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o\Desktop\DESTAJOS FLET\Base de datos\"/>
    </mc:Choice>
  </mc:AlternateContent>
  <xr:revisionPtr revIDLastSave="0" documentId="13_ncr:1_{1239803E-308A-449D-B51F-1AF1D3D0260F}" xr6:coauthVersionLast="47" xr6:coauthVersionMax="47" xr10:uidLastSave="{00000000-0000-0000-0000-000000000000}"/>
  <bookViews>
    <workbookView xWindow="-108" yWindow="-108" windowWidth="23256" windowHeight="12456" xr2:uid="{9892D78E-531E-42EF-A8A5-E2E40F8AF56F}"/>
  </bookViews>
  <sheets>
    <sheet name="BASE DATOS TOTAL" sheetId="1" r:id="rId1"/>
  </sheets>
  <definedNames>
    <definedName name="AA" localSheetId="0">'BASE DATOS TOTAL'!$D$2:$D$599</definedName>
    <definedName name="AA">#REF!</definedName>
    <definedName name="_xlnm.Print_Area" localSheetId="0">'BASE DATOS TOTAL'!$A$114:$D$599</definedName>
    <definedName name="CO" localSheetId="0">'BASE DATOS TOTAL'!$B$114:$B$599</definedName>
    <definedName name="CO">#REF!</definedName>
    <definedName name="LUIS" localSheetId="0">'BASE DATOS TOTAL'!$A$114:$D$599</definedName>
    <definedName name="LU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04" i="1" l="1"/>
  <c r="D2898" i="1"/>
  <c r="D2791" i="1"/>
  <c r="D2787" i="1"/>
  <c r="D2292" i="1"/>
  <c r="D2286" i="1"/>
  <c r="D2184" i="1"/>
  <c r="D2183" i="1"/>
  <c r="D2121" i="1"/>
  <c r="D2097" i="1"/>
  <c r="D2069" i="1"/>
  <c r="D2009" i="1"/>
  <c r="D1984" i="1"/>
  <c r="D1941" i="1"/>
  <c r="D1925" i="1"/>
  <c r="D1924" i="1"/>
  <c r="D1857" i="1"/>
  <c r="D1643" i="1"/>
  <c r="D1614" i="1"/>
  <c r="D1410" i="1"/>
  <c r="D1332" i="1"/>
  <c r="D484" i="1"/>
  <c r="D251" i="1"/>
  <c r="D239" i="1"/>
  <c r="D193" i="1"/>
  <c r="D86" i="1"/>
  <c r="D81" i="1"/>
  <c r="D44" i="1"/>
  <c r="D35" i="1"/>
  <c r="D12" i="1"/>
</calcChain>
</file>

<file path=xl/sharedStrings.xml><?xml version="1.0" encoding="utf-8"?>
<sst xmlns="http://schemas.openxmlformats.org/spreadsheetml/2006/main" count="7301" uniqueCount="3691">
  <si>
    <t>CHAVEZ NAVARRO JORGE PABLO</t>
  </si>
  <si>
    <t>RESID</t>
  </si>
  <si>
    <t>CHAVEZ ALVAREZ MIGUEL ALBERTO</t>
  </si>
  <si>
    <t>INGENIERO</t>
  </si>
  <si>
    <t>BAJA</t>
  </si>
  <si>
    <t>MATA PARDO MARIA CONCEPCION</t>
  </si>
  <si>
    <t>AFANADORA</t>
  </si>
  <si>
    <t>PEREZ RAMIREZ MARCO ANTONIO</t>
  </si>
  <si>
    <t>AYUDANTE DE MANTENIMIENTO</t>
  </si>
  <si>
    <t>ALVAREZ GONZALEZ JONATAN ULISES</t>
  </si>
  <si>
    <t>PEON</t>
  </si>
  <si>
    <t>RUVALCABA VERGARA MARIA VERONICA</t>
  </si>
  <si>
    <t>SECRETARIA</t>
  </si>
  <si>
    <t>VARGAS SILLAS RICARDO</t>
  </si>
  <si>
    <t>GARCIA CAMPOS GABRIELA</t>
  </si>
  <si>
    <t>CONTADOR</t>
  </si>
  <si>
    <t>IBARRA SANTILLAN CLAUDIA ELENA</t>
  </si>
  <si>
    <t>VIDAL OCHOA ROBERTO ENRIQUE</t>
  </si>
  <si>
    <t>DESTAJOS</t>
  </si>
  <si>
    <t>JAUREGUI GARCIA ARTURO</t>
  </si>
  <si>
    <t>PROYECTO</t>
  </si>
  <si>
    <t>RUVALCABA VERGARA MARIA ANGELICA</t>
  </si>
  <si>
    <t>CHAVEZ NAVARRO DIEGO</t>
  </si>
  <si>
    <t>ADMINISTRADOR</t>
  </si>
  <si>
    <t>CORTEZ MELENDREZ LORENA PATRICIA</t>
  </si>
  <si>
    <t>AUXILIAR ADMTVO.</t>
  </si>
  <si>
    <t>CASTELLANOS RODRIGUEZ DAYSI</t>
  </si>
  <si>
    <t>GARCIA GAMBOA OLGA LIDIA</t>
  </si>
  <si>
    <t>RAMIREZ GAMBOA VELDA</t>
  </si>
  <si>
    <t>VEGA ESCOTO JORGE</t>
  </si>
  <si>
    <t>RESIDENTE</t>
  </si>
  <si>
    <t>VERA PRECIADO ELIA MARGARITA</t>
  </si>
  <si>
    <t>ARQUITECTO</t>
  </si>
  <si>
    <t>DUEÑAS ZARZOSA ALEJANDRO</t>
  </si>
  <si>
    <t>CHAVEZ NAVARRO ANDRES</t>
  </si>
  <si>
    <t>S.INTTE.</t>
  </si>
  <si>
    <t>GUTIERREZ MORALES ANDRES</t>
  </si>
  <si>
    <t>JIMENEZ HERNANDEZ LILIA</t>
  </si>
  <si>
    <t>LAGUNES ZALDIVAR BENJAMIN</t>
  </si>
  <si>
    <t>COMPRAS</t>
  </si>
  <si>
    <t>AVALOS CORTES GERARDO JOSE</t>
  </si>
  <si>
    <t>WEBER GAYTAN EDGAR FERNANDO</t>
  </si>
  <si>
    <t>ESQUIVEL CAMACHO JOSE DE JESUS</t>
  </si>
  <si>
    <t>BGRO</t>
  </si>
  <si>
    <t>CERRILLOS LARA JOSE</t>
  </si>
  <si>
    <t>CORONA PRUNEDA ODETTE GUADALUPE</t>
  </si>
  <si>
    <t>VENEGAS CEDEÑO PAULIS</t>
  </si>
  <si>
    <t>JACQUES CALOCA GUILLERMO HERIBERTO</t>
  </si>
  <si>
    <t>GONZALEZ AYALA SARA MARGARITA</t>
  </si>
  <si>
    <t>SEGOVIA GONZALEZ ROBERTO PEDRO</t>
  </si>
  <si>
    <t>DIBUJANTE</t>
  </si>
  <si>
    <t>HERNANDEZ CASTILLO AMPARO</t>
  </si>
  <si>
    <t>ASEO</t>
  </si>
  <si>
    <t>LONA VALTIERRA MARIVEL</t>
  </si>
  <si>
    <t>CASTILLO TORRES ALFONSO MARTIN</t>
  </si>
  <si>
    <t>LOPEZ GALINDO CECILIA</t>
  </si>
  <si>
    <t>GUERRERO ACERO LAURA ITZEL</t>
  </si>
  <si>
    <t>DIAZ CRUZ ERICA LETICIA</t>
  </si>
  <si>
    <t>AUX CONT.</t>
  </si>
  <si>
    <t>RINCON LEON JUANA ANTONIA</t>
  </si>
  <si>
    <t>ORTIZ CALDERON ANTONIO</t>
  </si>
  <si>
    <t>CHAVEZ NAVARRO LORENA</t>
  </si>
  <si>
    <t>GROBA VILLAGRANA ROCIO YAREHEMY</t>
  </si>
  <si>
    <t>SILLER ROJAS JOSE REYNARIO</t>
  </si>
  <si>
    <t>OF</t>
  </si>
  <si>
    <t>MARTINEZ SANCHEZ ARIADNA ROCIO</t>
  </si>
  <si>
    <t>MANCERA SANDOVAL BERNARDO GUILLERMO</t>
  </si>
  <si>
    <t>HUIZAR ANDRADE RODRIGO ALEJANDRO</t>
  </si>
  <si>
    <t>CHOFER</t>
  </si>
  <si>
    <t>MARTINEZ CAMARENA FERNANDO</t>
  </si>
  <si>
    <t>JIMENEZ MENDOZA YULI</t>
  </si>
  <si>
    <t>CAMPAS RODRIGUEZ JOSE DANIEL</t>
  </si>
  <si>
    <t>PEREZ TORIZ MAXIMINO EDUARDO</t>
  </si>
  <si>
    <t>CHIQUITO LORA VIRGINIA</t>
  </si>
  <si>
    <t>MENDEZ IÑIGUEZ LUIS JAVIER</t>
  </si>
  <si>
    <t>CHAVEZ ALVAREZ ALEJANDRO</t>
  </si>
  <si>
    <t>PEREZ FONSECA ERNESTO</t>
  </si>
  <si>
    <t>COSTOS</t>
  </si>
  <si>
    <t>JIMENEZ LOPEZ MIGUEL ANGEL</t>
  </si>
  <si>
    <t>MARTINEZ NAVARRO PAULA</t>
  </si>
  <si>
    <t>ENCARGADO COMPRAS</t>
  </si>
  <si>
    <t>BARAJAS HERRERA IZLAVIA FABIOLA</t>
  </si>
  <si>
    <t>AUXILIAR CONTABLE</t>
  </si>
  <si>
    <t>SITTEN VELAZQUEZ VERONICA</t>
  </si>
  <si>
    <t>BAÑUELOS GODINEZ MARIA ALEJANDRA</t>
  </si>
  <si>
    <t>SANTILLAN RODRIGUEZ CAROLINA</t>
  </si>
  <si>
    <t>GAONA GARCIA JOAQUIN</t>
  </si>
  <si>
    <t>GUARDADO ROBLES PABLO</t>
  </si>
  <si>
    <t>GARCIA ENRIQUEZ IGNACIO</t>
  </si>
  <si>
    <t>MERCADO RAMEÑO MARIO ALBERTO</t>
  </si>
  <si>
    <t>RIVERA RAMIREZ JULIAN</t>
  </si>
  <si>
    <t>CRUZ HERNANDEZ ROGELIO</t>
  </si>
  <si>
    <t>JARD</t>
  </si>
  <si>
    <t>MONTERRUBIO RIVAS JACQUELINE</t>
  </si>
  <si>
    <t>AUXILIAR MEMORIAS</t>
  </si>
  <si>
    <t>VIDAL GARCIA MICHELLE NOEMI</t>
  </si>
  <si>
    <t>DE ALBA RULFO ACEDO ROBERTO</t>
  </si>
  <si>
    <t>GARCIA BAÑUELOS MARICELA IVONNE</t>
  </si>
  <si>
    <t>ROMERO NUÑEZ LUIS OSWALDO</t>
  </si>
  <si>
    <t>AUX. DE RESIDENTE</t>
  </si>
  <si>
    <t>FLORES SANCHEZ CLAUDIA IVETTE</t>
  </si>
  <si>
    <t>AVILA QUIROZ MIGUEL ANGEL</t>
  </si>
  <si>
    <t>VIDAL GARCIA CARLOS ROBERTO</t>
  </si>
  <si>
    <t>DORANTES BALCAZAR ALEJANDRA</t>
  </si>
  <si>
    <t>AUXILIAR ADMINISTRATIVO</t>
  </si>
  <si>
    <t>GARCIA GUTIERREZ JAVIER ALONSO</t>
  </si>
  <si>
    <t>SANDOVAL DE LA CRUZ RICARDO</t>
  </si>
  <si>
    <t>ONTIVEROS RUIZ MIGUEL ALEJANDRO</t>
  </si>
  <si>
    <t>CHAVEZ DE ALBA RULFO ALBERTO</t>
  </si>
  <si>
    <t>AYALA CESAR PRISCILIANA PATRICIA</t>
  </si>
  <si>
    <t>ALVAREZ OROZCO NORMA PATRICIA</t>
  </si>
  <si>
    <t>GARCIA SANCHEZ RODRIGO</t>
  </si>
  <si>
    <t>BARBA ESTRADA CHRISTOPHER</t>
  </si>
  <si>
    <t>MORALES AGUILAR LUCIANO ANTONIO</t>
  </si>
  <si>
    <t>CHAVEZ RUVALCABA JUAN DANIEL</t>
  </si>
  <si>
    <t>HERNANDEZ CERVANTES JUAN VICTOR</t>
  </si>
  <si>
    <t>TOPOGRAFIA</t>
  </si>
  <si>
    <t>BAÑUELOS GODINEZ MARIA ELENA</t>
  </si>
  <si>
    <t>AUX. COMPRAS</t>
  </si>
  <si>
    <t>AGUILERA GONZALEZ ROSA ADRIANA</t>
  </si>
  <si>
    <t>MARTIN CASTELLANOS JOSE DANIEL</t>
  </si>
  <si>
    <t xml:space="preserve">RESIDENTE </t>
  </si>
  <si>
    <t>RODRIGUEZ GUTIERREZ NANCY ALEJANDRA</t>
  </si>
  <si>
    <t>INFANTE PINTO JOSE LUIS</t>
  </si>
  <si>
    <t>SALAZAR LARA JOSE ROBERTO</t>
  </si>
  <si>
    <t>GARCIA SANDOVAL JAVIER</t>
  </si>
  <si>
    <t>MARTINEZ HERRERA ARMANDO</t>
  </si>
  <si>
    <t>CHAVEZ ALVAREZ MARIA INES GABRIELA</t>
  </si>
  <si>
    <t>MARTÍNEZ ZARAGOZA FEDERICO</t>
  </si>
  <si>
    <t>IBARROLA CESEÑA FRANCISCO JAVIER</t>
  </si>
  <si>
    <t>AUX ADMINISTRATIVO</t>
  </si>
  <si>
    <t>CASTELLANOS GONZALEZ EFRAIN</t>
  </si>
  <si>
    <t>AGUILAR RENTERIA MAXIMINO</t>
  </si>
  <si>
    <t>GALLO NAREZ JUAN JOSE</t>
  </si>
  <si>
    <t>SAUCEDO RODRIGUEZ PEDRO</t>
  </si>
  <si>
    <t>RIZO SAUCEDO AGUSTIN</t>
  </si>
  <si>
    <t>MENSAJERO</t>
  </si>
  <si>
    <t>GONZALEZ MARTINEZ MAYAM ALEJANDRA</t>
  </si>
  <si>
    <t>DIAZ ESTRADA MARIA TERESA</t>
  </si>
  <si>
    <t>VARGAS MENDEZ CARMELA</t>
  </si>
  <si>
    <t>AXU</t>
  </si>
  <si>
    <t>ALVAREZ AVALOS JOSE</t>
  </si>
  <si>
    <t>VELEZ CASTAÑEDA CINTHIA BERENICE</t>
  </si>
  <si>
    <t>DE LA TORRE FLORES JOSE EDUARDO</t>
  </si>
  <si>
    <t>TAMAYO GARCIA ESTEFANIA</t>
  </si>
  <si>
    <t>LOPEZ BERTO ANCELMO</t>
  </si>
  <si>
    <t>SÁNCHEZ VELÁZQUEZ JULIO CÉSAR</t>
  </si>
  <si>
    <t>DIAZ VAZQUEZ MARIANA ABIGAIL</t>
  </si>
  <si>
    <t>MUÑOZ VALDIVIA GASTÓN</t>
  </si>
  <si>
    <t>CONTRERAS HERRERA ROBERTO</t>
  </si>
  <si>
    <t>ARIZAGA FLORES CARLOS ALBERTO</t>
  </si>
  <si>
    <t>ROBLES GONZALEZ JOSE DE JESUS</t>
  </si>
  <si>
    <t>GOMEZ VAZQUEZ LUIS ERNESTO</t>
  </si>
  <si>
    <t>MARIN RIOS IGRAYNE</t>
  </si>
  <si>
    <t>RECEPCIONISTA</t>
  </si>
  <si>
    <t>MIRANDA FUENTES GABRIELA</t>
  </si>
  <si>
    <t>RAMÍREZ NIÑO ADRIÁN</t>
  </si>
  <si>
    <t>ALVAREZ PARAMO GUILLERMO</t>
  </si>
  <si>
    <t>HUERTA BECERRA SALVADOR</t>
  </si>
  <si>
    <t>VALADEZ GUTIERREZ YUNUEN</t>
  </si>
  <si>
    <t>NUÑEZ GONZALEZ OSCAR DANIEL</t>
  </si>
  <si>
    <t>MEZA VAZQUEZ TERESA DE JESUS</t>
  </si>
  <si>
    <t>ZAMORA VAZQUEZ ALEJANDRO</t>
  </si>
  <si>
    <t>NUÑEZ GARCIA FABIOLA ELIZABETH</t>
  </si>
  <si>
    <t>MONTERRUBIO RIVERA ANA MARIA</t>
  </si>
  <si>
    <t>ZAMORA VAZQUEZ BERNARDO</t>
  </si>
  <si>
    <t>MEDINA PELAYO FRANCISCO JAVIER</t>
  </si>
  <si>
    <t>CARRILLO RAMOS CARLOS ABADALLAN</t>
  </si>
  <si>
    <t>AUX. PRESUPUESTOS</t>
  </si>
  <si>
    <t>PEREZ HERNANDEZ LUZ DEL ANGEL</t>
  </si>
  <si>
    <t>HERNANDEZ VAZQUEZ AIDE</t>
  </si>
  <si>
    <t>FLORES SANCHEZ ANA CRISTINA</t>
  </si>
  <si>
    <t>RODRIGUEZ LOPEZ MARCOS</t>
  </si>
  <si>
    <t>SANTIAGO OLAN LUZ MATILDE</t>
  </si>
  <si>
    <t>HERNANDEZ HERNANDEZ DULCE KARINA</t>
  </si>
  <si>
    <t>RODRIGUEZ MARTINEZ ALICIA GUADALUPE</t>
  </si>
  <si>
    <t>URIBE ÁVILA JOSÉ PABLO</t>
  </si>
  <si>
    <t>PEÑA MURILLO ANA FABIOLA</t>
  </si>
  <si>
    <t>RAMOS LOPEZ ANA KAREN</t>
  </si>
  <si>
    <t>PEREZ MENDEZ MARIA LUISA</t>
  </si>
  <si>
    <t>HERNANDEZ SANTOS GLORIA</t>
  </si>
  <si>
    <t>PEÑA MURILLO VERÓNICA ELIZABETH</t>
  </si>
  <si>
    <t>HERNANDEZ HERNANDEZ MINERVA DOLORES</t>
  </si>
  <si>
    <t>CHÁVEZ GARCÍA ANA ISABEL</t>
  </si>
  <si>
    <t>IBAÑEZ GARCÍA GREGORIO</t>
  </si>
  <si>
    <t>SOLD</t>
  </si>
  <si>
    <t>IBAÑEZ GARCÍA JOSÉ ANTONIO</t>
  </si>
  <si>
    <t>LÓPEZ ROSAS ISRAEL</t>
  </si>
  <si>
    <t>ROA CEJA JORGE IVÁN</t>
  </si>
  <si>
    <t>JASSO CHIQUITO EDITH ESCARLET</t>
  </si>
  <si>
    <t>CÓRDOVA GARCÍA SERGIO MANUEL</t>
  </si>
  <si>
    <t>CARMONA SOLÍS VANESSA</t>
  </si>
  <si>
    <t>LÓPEZ BARAJAS EDGAR ARMANDO</t>
  </si>
  <si>
    <t>LOMELÍ DELGADO ANA KAREN</t>
  </si>
  <si>
    <t>BÁRCENAS FRANCISCO MARTHA PATRICIA</t>
  </si>
  <si>
    <t>LASCANO MÉNDEZ MARILYN SARAY</t>
  </si>
  <si>
    <t>PADILLA MERCADO ALMA YADIRA</t>
  </si>
  <si>
    <t>VEGA CAMPOS SARA RAQUEL</t>
  </si>
  <si>
    <t>HERNANDEZ ESTRADA ROBERTO</t>
  </si>
  <si>
    <t>LOPEZ CORDOVA PEDRO</t>
  </si>
  <si>
    <t>SEVILLA JÁUREGUI MELISSA</t>
  </si>
  <si>
    <t>VILLEGAS MENDOZA ANTONIO YONADAB</t>
  </si>
  <si>
    <t>VARGAS VÁZQUEZ JULIO CÉSAR</t>
  </si>
  <si>
    <t>CASTAÑEDA GARCÍA JOSÉ TRINIDAD</t>
  </si>
  <si>
    <t>SANCHEZ VAZQUEZ SALVADOR</t>
  </si>
  <si>
    <t>TORRES ORTEGA JUAN DANIEL</t>
  </si>
  <si>
    <t>LÓPEZ SÁNCHEZ JOSÉ GUADALUPE</t>
  </si>
  <si>
    <t>SANTIAGO OLÁN YESSENIA</t>
  </si>
  <si>
    <t>GARCÍA PÉREZ ANDREA GUADALUPE</t>
  </si>
  <si>
    <t>PÉREZ ÁLVAREZ JOSÉ CARLOS</t>
  </si>
  <si>
    <t>GONZALEZ CEBALLOS CIPRIANO</t>
  </si>
  <si>
    <t>CABRERA PALMA SELENE</t>
  </si>
  <si>
    <t>AUXILIAR PRESUPUESTOS</t>
  </si>
  <si>
    <t>PÉREZ RAMOS LUCÍA DEL REFUGIO</t>
  </si>
  <si>
    <t>GARCÍA RÍOS AMOR STEFANI</t>
  </si>
  <si>
    <t>CONTADORA</t>
  </si>
  <si>
    <t>LÓPEZ SANDOVAL GILDARDO</t>
  </si>
  <si>
    <t>REYES BARRAGÁN MIRIAM TYCHEE</t>
  </si>
  <si>
    <t>RÍOS FERNÁNDEZ PAOLA LIZBETH</t>
  </si>
  <si>
    <t>MARTÍNEZ LUISES MARÍA DE JESÚS</t>
  </si>
  <si>
    <t>RAMOS MOYA MANUEL ALBERTO</t>
  </si>
  <si>
    <t>GUZMÁN VALDEZ ISMAEL BENEDICTO</t>
  </si>
  <si>
    <t>HERNÁNDEZ MARTÍNEZ MARÍA ISABEL</t>
  </si>
  <si>
    <t>MEDINA JIMÉNEZ SHALMA MONSERRAT</t>
  </si>
  <si>
    <t>PÉREZ REYES ÉRIKA PAOLA</t>
  </si>
  <si>
    <t>AUX COMPRAS</t>
  </si>
  <si>
    <t>ARROYO NUÑO DIEGO</t>
  </si>
  <si>
    <t>FLORES PÉREZ HÉCTOR MIGUEL</t>
  </si>
  <si>
    <t>FRANCO FARAH JUAN ANTONIO</t>
  </si>
  <si>
    <t>ASISTENTE DE ADMINISTRACIÓN</t>
  </si>
  <si>
    <t>MEZA CÉLIZ ERICK ALEJANDRO</t>
  </si>
  <si>
    <t>GARCÍA DÍAZ ARIANA ELIZABETH</t>
  </si>
  <si>
    <t>ZAVALA VELAZCO FRANCISCO IVÁN</t>
  </si>
  <si>
    <t>PACA MARABEL JONATHAN</t>
  </si>
  <si>
    <t>HERNÁNDEZ LUNA JOAQUÍN</t>
  </si>
  <si>
    <t>ESPINOSA LARIOS FRANCISCO JAVIER</t>
  </si>
  <si>
    <t>DÍAZ RODRÍGUEZ DANIEL</t>
  </si>
  <si>
    <t>PARRA CAMACHO ÉDGAR FERNANDO</t>
  </si>
  <si>
    <t>GARCÍA JIMÉNEZ ALMA LETICIA</t>
  </si>
  <si>
    <t>CEDILLO CUEVAS JULIO CÉSAR</t>
  </si>
  <si>
    <t>LOMELÍ CASTRO DANIEL</t>
  </si>
  <si>
    <t>CHÁVEZ VÁZQUEZ LUZ SUSANA</t>
  </si>
  <si>
    <t>VILLAVICENCIO GUEVARA VANIA NOEMÍ</t>
  </si>
  <si>
    <t>VALLECILLO JOYA KARLIVETH</t>
  </si>
  <si>
    <t>RAMÍREZ MIRAMONTES ALAN ISAAC</t>
  </si>
  <si>
    <t>MARTÍNEZ GARCÍA LUIS ENRIQUE</t>
  </si>
  <si>
    <t>DUEÑAS ESPINOZA AMÉRICA</t>
  </si>
  <si>
    <t>PEÑA DE LA O DIEGO RONALDO</t>
  </si>
  <si>
    <t>CASTILLO RODRÍGUEZ CELINA DEL CARMEN</t>
  </si>
  <si>
    <t>CHÁVEZ ZÁRATE JORGE ERNESTO</t>
  </si>
  <si>
    <t>VARELA SANDOVAL BRAIN ALEKSÁNDER</t>
  </si>
  <si>
    <t>OROPEZA SILVA SANTIAGO</t>
  </si>
  <si>
    <t>SABIÑON HERNANDEZ FABIAN</t>
  </si>
  <si>
    <t>VAZQUEZ FLORES EVERARDO</t>
  </si>
  <si>
    <t>MAESTRO</t>
  </si>
  <si>
    <t>AVALOS PICAZO JOSE ALEJANDRO</t>
  </si>
  <si>
    <t>AVALOS PICAZO J JESUS</t>
  </si>
  <si>
    <t>INFANTE PINTO PEDRO</t>
  </si>
  <si>
    <t>ZAMORA ROMERO FRANCISCO</t>
  </si>
  <si>
    <t>HERNANDEZ MACIAS ALEJANDRO JORGE DANIEL</t>
  </si>
  <si>
    <t>CHOFER ANPA HERRERIA</t>
  </si>
  <si>
    <t>RODRIGUEZ CEDILLO FRANCISCO</t>
  </si>
  <si>
    <t>SEVILLA SALDAÑA ALBERTO</t>
  </si>
  <si>
    <t>SAUCEDO SALINAS JUAN</t>
  </si>
  <si>
    <t>ALVAREZ CALVILLO EUGENIO</t>
  </si>
  <si>
    <t>VELADOR</t>
  </si>
  <si>
    <t>CHAVEZ ALVAREZ JUAN PABLO</t>
  </si>
  <si>
    <t>HERNANDEZ ESTRADA MARCELO</t>
  </si>
  <si>
    <t>ARTEAGA MARTINEZ JOSE PEDRO</t>
  </si>
  <si>
    <t>NAVARRO VEGA RICARDO</t>
  </si>
  <si>
    <t>PACHECO GRACIANO JOSE LUIS</t>
  </si>
  <si>
    <t>TORRES SILVA JOSE LUIS</t>
  </si>
  <si>
    <t>ECHAURI GUTIERREZ FELIPE</t>
  </si>
  <si>
    <t>ALEMAN ORTIZ RAFAEL</t>
  </si>
  <si>
    <t>AGUILAR HERRERA JOSE GERARDO</t>
  </si>
  <si>
    <t>SANCHEZ CORTEZ CARLOS</t>
  </si>
  <si>
    <t>SÁNCHEZ ROJAS CARLOS ALBERTO</t>
  </si>
  <si>
    <t>NAVARRO RUVALCABA EFREN</t>
  </si>
  <si>
    <t>RIOS VELASCO EDUARDO</t>
  </si>
  <si>
    <t>ARCEO GUEVARA GUSTAVO</t>
  </si>
  <si>
    <t>CARP</t>
  </si>
  <si>
    <t>GUTIERREZ GARCIA JOSE DE JESUS</t>
  </si>
  <si>
    <t>AYTE</t>
  </si>
  <si>
    <t>FLORES HERNANDEZ JOSE MANUEL</t>
  </si>
  <si>
    <t>MUÑOZ MARTINEZ JOSE</t>
  </si>
  <si>
    <t>IBAÑEZ MARTINEZ FEDERICO</t>
  </si>
  <si>
    <t>CORREA RIVAS JOSE DE JESUS</t>
  </si>
  <si>
    <t>GARCIA SANDOVAL ALBERTO</t>
  </si>
  <si>
    <t>MURGUIA HERMOSILLO FELIX</t>
  </si>
  <si>
    <t>ZAMORA ROMERO VICTOR</t>
  </si>
  <si>
    <t>GARCIA FLORES ELIGIO</t>
  </si>
  <si>
    <t>GARCIA RENTERIA RAUL</t>
  </si>
  <si>
    <t>GARCIA RENTERIA ROBERTO</t>
  </si>
  <si>
    <t>LOPEZ GONZALEZ JOSE MANUEL</t>
  </si>
  <si>
    <t>IBAÑEZ MARTINEZ JUAN JOSE</t>
  </si>
  <si>
    <t>RAZO VERDUZCO JOSE GUADALUPE</t>
  </si>
  <si>
    <t>MARQUEZ FLORES ARMANDO ALBERTO</t>
  </si>
  <si>
    <t>PINTOR</t>
  </si>
  <si>
    <t>MORALES LOPEZ JOSE RICARDO</t>
  </si>
  <si>
    <t>ESTRADA ISLAS JUAN MANUEL</t>
  </si>
  <si>
    <t>MEZA PIÑA JUAN JOSE</t>
  </si>
  <si>
    <t>ROCHA MIRAMONTES IGNACIO</t>
  </si>
  <si>
    <t>VÁZQUEZ FLORES MAURO</t>
  </si>
  <si>
    <t>VAZQUEZ FLORES ENRIQUE</t>
  </si>
  <si>
    <t>FLORES RODRIGUEZ ARMANDO</t>
  </si>
  <si>
    <t>TORRES CALDERON ADOLFO</t>
  </si>
  <si>
    <t>MEDINA PADILLA CELIA</t>
  </si>
  <si>
    <t>CHAVEZ GALLEGOS GREGORIO</t>
  </si>
  <si>
    <t>MILAN HERNANDEZ SERGIO</t>
  </si>
  <si>
    <t>SANCHEZ VAZQUEZ ARTURO</t>
  </si>
  <si>
    <t>HERNANDEZ SANCHEZ ENRIQUE</t>
  </si>
  <si>
    <t>P.PISOS</t>
  </si>
  <si>
    <t>ENRIQUEZ FLORES MARIO</t>
  </si>
  <si>
    <t>FLORES OROPEZA ENRIQUE</t>
  </si>
  <si>
    <t>MARQUEZ GARCIA ALBERTO</t>
  </si>
  <si>
    <t>FLORES OROPEZA ALBERTO</t>
  </si>
  <si>
    <t>MERCADO GUTIERREZ JUAN</t>
  </si>
  <si>
    <t>SOLIS MENDIOLA LINO</t>
  </si>
  <si>
    <t>ALDRETE FLORES PEDRO</t>
  </si>
  <si>
    <t>GARCIA RENTERIA RAMON</t>
  </si>
  <si>
    <t>GARCIA RENTERIA GUSTAVO</t>
  </si>
  <si>
    <t>COLUNGA ESTRADA RODOLFO</t>
  </si>
  <si>
    <t>MERCADO GUTIERREZ RAMON</t>
  </si>
  <si>
    <t>AGUILAR HERRERA JAVIER</t>
  </si>
  <si>
    <t>HERNANDEZ DE LA CRUZ FERNANDO</t>
  </si>
  <si>
    <t>ENRIQUEZ AGUILAR MARIO</t>
  </si>
  <si>
    <t>ALONSO GARCIA OSCAR</t>
  </si>
  <si>
    <t>VEGA GONZALEZ ALEJANDRO</t>
  </si>
  <si>
    <t>VEGA GONZALEZ JUAN JOSE</t>
  </si>
  <si>
    <t>ROBLES FLORES FERMIN</t>
  </si>
  <si>
    <t>RIVERA CAMBEROS JOSE ISABEL</t>
  </si>
  <si>
    <t>ENRIQUEZ AGUILAR VICTOR</t>
  </si>
  <si>
    <t>AVIÑA PICAZO GILBERTO</t>
  </si>
  <si>
    <t>ECHAURI BARRERA FELIPE DE JESUS</t>
  </si>
  <si>
    <t>GONZALEZ ORDOÑEZ HORACIO A.</t>
  </si>
  <si>
    <t>FLORES OROPEZA JUAN</t>
  </si>
  <si>
    <t>GUDIÑO HERNANDEZ CARLOS</t>
  </si>
  <si>
    <t>MEZA CORTEZ ELENO</t>
  </si>
  <si>
    <t>MEZA PIÑA FRANCISCO JAVIER</t>
  </si>
  <si>
    <t>ALCALA GONZALEZ RENE</t>
  </si>
  <si>
    <t>AVALOS LOPEZ FRANCISCO</t>
  </si>
  <si>
    <t>VAZQUEZ CASILLAS SERAFIN</t>
  </si>
  <si>
    <t>HERNANDEZ GOMEZ ESTEBAN</t>
  </si>
  <si>
    <t>ZARAGOZA HERNANDEZ GONZALO</t>
  </si>
  <si>
    <t>GONZALEZ PEREZ GILBERTO</t>
  </si>
  <si>
    <t>VEGA GONZALEZ FABIAN</t>
  </si>
  <si>
    <t>RAMIREZ GONZALEZ MARTIN</t>
  </si>
  <si>
    <t>AZULE</t>
  </si>
  <si>
    <t>RAMIREZ TORRES GERARDO</t>
  </si>
  <si>
    <t>RAMIREZ GONZALEZ MANUEL</t>
  </si>
  <si>
    <t>ALDRETE DURAN RICARDO</t>
  </si>
  <si>
    <t>TORRES RAMIREZ VICTOR MANUEL</t>
  </si>
  <si>
    <t>TORRES RAMIREZ ALEJANDRO</t>
  </si>
  <si>
    <t>MORA SANTIAGO SALVADOR</t>
  </si>
  <si>
    <t>ORTEGA SOLANO MANUEL</t>
  </si>
  <si>
    <t>ENRIQUEZ AGULAR PEDRO URIEL</t>
  </si>
  <si>
    <t>FLORES OROPEZA ADÁN</t>
  </si>
  <si>
    <t>DIAZ LOPEZ JORGE</t>
  </si>
  <si>
    <t>SEGURA MANRIQUE JUAN</t>
  </si>
  <si>
    <t>RANGEL SEGURA JUAN GUADALUPE</t>
  </si>
  <si>
    <t>AYALA GOMEZ ELISEO</t>
  </si>
  <si>
    <t>AGUILAR RENTERIA FELIPE</t>
  </si>
  <si>
    <t>MARTINEZ VICENCIO FRANCISCO</t>
  </si>
  <si>
    <t>DIAZ ARRAÑAGA JOAQUIN</t>
  </si>
  <si>
    <t>DELGADILLO ESTRADA JORGE</t>
  </si>
  <si>
    <t>ALONSO GARCIA NOE</t>
  </si>
  <si>
    <t>RUIZ CEJA LUIS ALBERTO</t>
  </si>
  <si>
    <t>RENTERIA HUMBERTO</t>
  </si>
  <si>
    <t>MARTINEZ CORONA MANUEL</t>
  </si>
  <si>
    <t>AGUILAR RAMEÑO JOSE</t>
  </si>
  <si>
    <t>ALONSO CARLOS</t>
  </si>
  <si>
    <t>GARCIA APOLINAR ANTONINO</t>
  </si>
  <si>
    <t>GARCIA PADILLA ANTONINO</t>
  </si>
  <si>
    <t>MENDOZA GARCIA CARLOS</t>
  </si>
  <si>
    <t>MEZA CORTES JUAN</t>
  </si>
  <si>
    <t>GUTIERREZ LIMON ALFREDO</t>
  </si>
  <si>
    <t>OROPEZA SILVA JESUS</t>
  </si>
  <si>
    <t>SEGURA MANRIQUEZ MARTIN</t>
  </si>
  <si>
    <t>CHAVEZ LEON JOSE GPE</t>
  </si>
  <si>
    <t>FLORES MEDINA FERNANDO</t>
  </si>
  <si>
    <t>LEON RAMIREZ JORGE</t>
  </si>
  <si>
    <t>RODRIGUEZ CESAR ISRAEL</t>
  </si>
  <si>
    <t>MILAN RICO LUIS A</t>
  </si>
  <si>
    <t>FLORES OROPEZA JESUS</t>
  </si>
  <si>
    <t>MEZA RODRIGUEZ DAVID</t>
  </si>
  <si>
    <t>RODRÍGUEZ SÁNCHEZ FERNANDO</t>
  </si>
  <si>
    <t>RANGEL SEGURA RIGOBERTO</t>
  </si>
  <si>
    <t>AMBRIS AGUILAR SERAFINO</t>
  </si>
  <si>
    <t>AVALOS LOPEZ JUAN</t>
  </si>
  <si>
    <t>LOPEZ ACOSTA ARTURO</t>
  </si>
  <si>
    <t>RAMIREZ LERMA JOSE REFUGIO</t>
  </si>
  <si>
    <t>VILLA DOMINGUEZ LUIS</t>
  </si>
  <si>
    <t>PIÑA REYES PEDRO</t>
  </si>
  <si>
    <t>RAMOS PEÑA SALVADOR</t>
  </si>
  <si>
    <t>GARCIA RAMOS HUGO</t>
  </si>
  <si>
    <t>PEREZ AVALOS FELIX</t>
  </si>
  <si>
    <t>LOPEZ PEREZ RICARDO</t>
  </si>
  <si>
    <t>ASUNCION MACIAS JOSE</t>
  </si>
  <si>
    <t>MACIAS ENRIQUEZ FERNANDO</t>
  </si>
  <si>
    <t>RENTERIA GOMEZ OSCAR</t>
  </si>
  <si>
    <t>RODRIGUEZ DELGADILLO PABLO</t>
  </si>
  <si>
    <t>AGUILAR TOSCANO BERNARDINO</t>
  </si>
  <si>
    <t>AGUILAR FLORES JOSE NOE</t>
  </si>
  <si>
    <t>CASTAÑEDA RAMOS JUAN M</t>
  </si>
  <si>
    <t>DE LOS SANTOS RENTERIA TEOFILO</t>
  </si>
  <si>
    <t>DE LOS SANTOS MANJARRES RICARDO</t>
  </si>
  <si>
    <t>MORMOLEJO HERNANDEZ SERGIO</t>
  </si>
  <si>
    <t>CASILLAS GARCIA JUAN CARLOS</t>
  </si>
  <si>
    <t>SALAZAR RAMIREZ JESUS</t>
  </si>
  <si>
    <t>GOMEZ RODRIGUEZ MAXIMIANO</t>
  </si>
  <si>
    <t>GUTIERREZ ESTRADA SERGIO</t>
  </si>
  <si>
    <t>PUGA SANCHEZ CARLOS</t>
  </si>
  <si>
    <t>VIZCARRA DIAZ INOCENCIO</t>
  </si>
  <si>
    <t>MURILLO CASTAÑEDA CECILIO</t>
  </si>
  <si>
    <t>RAMIREZ GONZALEZ ROGELIO</t>
  </si>
  <si>
    <t>MARTINEZ NUÑEZ MANUEL</t>
  </si>
  <si>
    <t>MARTINEZ NUÑEZ JOSE DE JESUS</t>
  </si>
  <si>
    <t>FLORES OROPEZA SERGIO</t>
  </si>
  <si>
    <t>AVALOS LOPEZ JESUS</t>
  </si>
  <si>
    <t>RANGEL SEGURA JUAN RAMON</t>
  </si>
  <si>
    <t>MERCADO GUTIERREZ JAVIER</t>
  </si>
  <si>
    <t>A. MTO.</t>
  </si>
  <si>
    <t>MENDOZA MEDINA CARLOS MARTIN</t>
  </si>
  <si>
    <t>MURILLO CHAVEZ AMBROSIO</t>
  </si>
  <si>
    <t>FLORES ROJO JORGE</t>
  </si>
  <si>
    <t>DIAZ GOMEZ ANTONIO</t>
  </si>
  <si>
    <t>BECERRA LUNA MIRIAM</t>
  </si>
  <si>
    <t>SILVA JIMENEZ LORENZO</t>
  </si>
  <si>
    <t>JIMENEZ ENRIQUEZ MIGUEL ANGEL</t>
  </si>
  <si>
    <t>RUIZ CEJA JESUS</t>
  </si>
  <si>
    <t>ORTEGA PLATA JOSE JUVENAL</t>
  </si>
  <si>
    <t>AVALOS LOPEZ OCTAVIO</t>
  </si>
  <si>
    <t>MUÑOZ REYES JAVIER</t>
  </si>
  <si>
    <t>MACIAS MARTINEZ JOSE DE JESUS</t>
  </si>
  <si>
    <t>MONTOYA ACOSTA LEONEL</t>
  </si>
  <si>
    <t>GARCIA PECINA ANGEL NICOLAS</t>
  </si>
  <si>
    <t>DE LOS SANTOS RENTERIA FRANCISCO</t>
  </si>
  <si>
    <t>AGUILAR TOSCANO JAVIER</t>
  </si>
  <si>
    <t>DE LOS SANTOS RENTERIA SERVANDO</t>
  </si>
  <si>
    <t>RENTERIA GARCIA TEODORO</t>
  </si>
  <si>
    <t>CANTOR GARCIA FRANCISCO</t>
  </si>
  <si>
    <t>MACIAS HERNANDEZ EDUARDO</t>
  </si>
  <si>
    <t>MARTINEZ LOPEZ MIGUEL</t>
  </si>
  <si>
    <t>SOLORZANO CENDEJAS JOSE ERNEST</t>
  </si>
  <si>
    <t>ESPARZA ALVAREZ JUAN LUIS</t>
  </si>
  <si>
    <t>CASTAÑEDA RAMOS LUIS ALBERTO</t>
  </si>
  <si>
    <t>FLORES GARCIA JOSE TRINIDAD</t>
  </si>
  <si>
    <t>ORTIZ ORTIZ RAMIRO</t>
  </si>
  <si>
    <t>MONTANTE NUÑEZ J. FELIX</t>
  </si>
  <si>
    <t>MONTANTE CLETO J. FELIX</t>
  </si>
  <si>
    <t>ONTIVEROS CISNEROS JOSE</t>
  </si>
  <si>
    <t>LOZANO MUNDO PEDRO ALEJANDRO</t>
  </si>
  <si>
    <t>MARTINEZ VELAZQUEZ LEONARDO</t>
  </si>
  <si>
    <t>MARTINEZ AYALA JUAN CARLOS</t>
  </si>
  <si>
    <t>IBARRA RIVERA JOSE DE JESUS</t>
  </si>
  <si>
    <t>MEZA RODRIGUEZ LUIS MIGUEL</t>
  </si>
  <si>
    <t>MARTINEZ LOPEZ MARIO</t>
  </si>
  <si>
    <t>GONZALEZ ESPINOZA JOSE MIGUEL</t>
  </si>
  <si>
    <t>CAMPOS JIMENEZ IGNACIO</t>
  </si>
  <si>
    <t>CAMPOS JIMENEZ GABRIEL</t>
  </si>
  <si>
    <t>RENTERIA ELVIRA JUAN PABLO</t>
  </si>
  <si>
    <t>PADILLA QUIÑONEZ MIGUEL A</t>
  </si>
  <si>
    <t>ORTEGA RODRIGUEZ ROBERTO</t>
  </si>
  <si>
    <t>ORTEGA BUENROSTRO ROBERTO</t>
  </si>
  <si>
    <t>MACIAS MARTINEZ GUSTAVO</t>
  </si>
  <si>
    <t>ROBLES MADRIGAL COSME</t>
  </si>
  <si>
    <t>RENDON ARGUELLO DAVID</t>
  </si>
  <si>
    <t>HERNANDEZ ACEVEZ RAUL</t>
  </si>
  <si>
    <t>LOZANO GOMEZ PEDRO</t>
  </si>
  <si>
    <t>PEREZ VICENCIO PASCUAL</t>
  </si>
  <si>
    <t>DE LOS SANTOS RAMOS JOSE FRANCISCO</t>
  </si>
  <si>
    <t>FLORES RENTERIA JORGE GERMAN</t>
  </si>
  <si>
    <t>RANGEL RIVERA MARGARITO</t>
  </si>
  <si>
    <t>CHAVEZ RODRIGUEZ LEOPOLDO</t>
  </si>
  <si>
    <t>CERVANTES DE LA ROSA ROBERTO</t>
  </si>
  <si>
    <t>CASTOR CASTOR JOSE</t>
  </si>
  <si>
    <t>NUÑEZ PALACIOS ARMANDO</t>
  </si>
  <si>
    <t>AVALOS PICAZO EMILIO</t>
  </si>
  <si>
    <t>PAREDES JOSE ANTONIO</t>
  </si>
  <si>
    <t>SANCHEZ ROJAS HECTOR</t>
  </si>
  <si>
    <t>ALTAMIRA  BAEZ RAMON</t>
  </si>
  <si>
    <t>GUTIERREZ GARCIA CESAR</t>
  </si>
  <si>
    <t>GONZALEZ CALVARIO MANUEL</t>
  </si>
  <si>
    <t>CRUZ TRUJILLO MARTIN RAFAEL</t>
  </si>
  <si>
    <t>REYES GONZALEZ ZENAIDO</t>
  </si>
  <si>
    <t>ARELLANO RAMIREZ LEODEGARIO</t>
  </si>
  <si>
    <t>MORA SANCHEZ DONACIANO</t>
  </si>
  <si>
    <t>PLASCENCIA ESPINOSA SANTIAGO</t>
  </si>
  <si>
    <t>VELAZQUEZ CHIMAL JUAN</t>
  </si>
  <si>
    <t>HERNANDEZ OSEGUERA ROBERTO DANIEL</t>
  </si>
  <si>
    <t>PUGA MARTINEZ CARLOS E.</t>
  </si>
  <si>
    <t>PICHARDO MARIA DE JESUS</t>
  </si>
  <si>
    <t>HERNANDEZ MANRIQUEZ  BENITO</t>
  </si>
  <si>
    <t>HERNANDEZ ALVAREZ RIGOBERTO</t>
  </si>
  <si>
    <t>FLORES BRIONES ALEJANDRO</t>
  </si>
  <si>
    <t>MARTINEZ OCEGUERA SUSANA MARGARITA</t>
  </si>
  <si>
    <t>GARCIA AMBROCIO CIPRIANO</t>
  </si>
  <si>
    <t>AGUILAR HERRERA OSCAR</t>
  </si>
  <si>
    <t>MARTÍNEZ LÓPEZ ANTONIO</t>
  </si>
  <si>
    <t>GUARDADO SANCHEZ JUAN CARLOS</t>
  </si>
  <si>
    <t>GONZALEZ PULIDO LETICIA</t>
  </si>
  <si>
    <t>ORTEGA BUENROSTRO ALEJANDRO</t>
  </si>
  <si>
    <t>ULLOA VEGA JUAN CARLOS</t>
  </si>
  <si>
    <t>VEGA PEREZ MARIO ALBERTO</t>
  </si>
  <si>
    <t>MACIAS BORRAYO JORGE</t>
  </si>
  <si>
    <t>TORRES PUGA ESTEBAN</t>
  </si>
  <si>
    <t>HERRERA GARCIA JORGE ENRIQUE</t>
  </si>
  <si>
    <t>AVALOS PICAZO PEDRO</t>
  </si>
  <si>
    <t>VAZQUEZ OCEGUERA CARLOS ALEJANDRO</t>
  </si>
  <si>
    <t>SANCHEZ RAMIREZ JAIME JAVIER</t>
  </si>
  <si>
    <t>CORTEZ GARCIA FILIBERTO</t>
  </si>
  <si>
    <t>HERNANDEZ ANGELES ROSALIO</t>
  </si>
  <si>
    <t>MORALES MORENO MIGUEL</t>
  </si>
  <si>
    <t>ALVARADO RODRIGUEZ CANDELARIO</t>
  </si>
  <si>
    <t>CHAVEZ RODRIGUEZ MARIO</t>
  </si>
  <si>
    <t>LOZANO GOMEZ JOSE</t>
  </si>
  <si>
    <t>CRUZ CAYETANO JUAN</t>
  </si>
  <si>
    <t>ALVARADO CORREA MOISES</t>
  </si>
  <si>
    <t>MARTINEZ GONZALEZ ARTURO</t>
  </si>
  <si>
    <t>GAZCA AVILA MARTIN</t>
  </si>
  <si>
    <t>GARCIA SANCHEZ OSCAR</t>
  </si>
  <si>
    <t>HERNANDEZ ZAMORANO GUADALUPE</t>
  </si>
  <si>
    <t>VAZQUEZ CENTENO JOSE</t>
  </si>
  <si>
    <t>VAZQUEZ CENTENO SALVADOR</t>
  </si>
  <si>
    <t>CORTEZ SEGURA EVELIO</t>
  </si>
  <si>
    <t>DIAZ GOMEZ SEVERO</t>
  </si>
  <si>
    <t>ROBLES LEDEZMA SALOMON</t>
  </si>
  <si>
    <t>VERDUZCO SANCHEZ ENRIQUE</t>
  </si>
  <si>
    <t>HERRERA GARCIA VALENTIN</t>
  </si>
  <si>
    <t>VEGA ALCALA JOSE LUIS</t>
  </si>
  <si>
    <t>AVALOS CRUZ EUGENIO GUADALUPE</t>
  </si>
  <si>
    <t>AVALOS MUÑOZ MARIO ALBERTO</t>
  </si>
  <si>
    <t>AVALOS PICAZO HIGINIO</t>
  </si>
  <si>
    <t>RODRIGUEZ GARNICA PEDRO</t>
  </si>
  <si>
    <t>HERNANDEZ JAIME MELCHOR</t>
  </si>
  <si>
    <t>PEREZ MELCHOR SEVERIANO</t>
  </si>
  <si>
    <t>AVALOS GOMEZ MARTIN</t>
  </si>
  <si>
    <t>VAZQUEZ CARDENAS ALFONSO</t>
  </si>
  <si>
    <t>QUINTERO PACHECO MANUEL</t>
  </si>
  <si>
    <t>AGUILAR FERTINO ADALBERTO</t>
  </si>
  <si>
    <t>HERNANDEZ ORTIZ JUAN</t>
  </si>
  <si>
    <t>CANELA ESCALERA ALEJANDRO</t>
  </si>
  <si>
    <t>GARCIA PARRA RAMON</t>
  </si>
  <si>
    <t>PALOMINO RODRIGUEZ JOSE</t>
  </si>
  <si>
    <t>GONZALEZ GUTIERREZ JAVIER</t>
  </si>
  <si>
    <t>HERNANDEZ MIGUEL</t>
  </si>
  <si>
    <t>NUÑO TOVAR HUMBERTO</t>
  </si>
  <si>
    <t>TORO RENTERIA ALEJANDRO</t>
  </si>
  <si>
    <t>VEGA ESPARZA JOSE LUIS</t>
  </si>
  <si>
    <t>NUÑO DURAN GERONIMO JESUS</t>
  </si>
  <si>
    <t>AVALOS GOMEZ EUGENIO ARTURO</t>
  </si>
  <si>
    <t>OROZCO ORTEGA PORFIRIO</t>
  </si>
  <si>
    <t>MUNDO OLIVARES MARCIAL</t>
  </si>
  <si>
    <t>GARCIA MAGAÑA ELPIDIO</t>
  </si>
  <si>
    <t>VAZQUEZ IBARRA GERARDO</t>
  </si>
  <si>
    <t>GONZALEZ ARMENTA IRMA</t>
  </si>
  <si>
    <t>GUERRERO TREJO JUAN</t>
  </si>
  <si>
    <t>ROJAS MARTINEZ ALBERTO</t>
  </si>
  <si>
    <t>SUMAYA RUIZ LORENZO</t>
  </si>
  <si>
    <t>SAAVEDRA LUCERO LEONIDAS</t>
  </si>
  <si>
    <t>ESTEVEZ HERNANDEZ JORGE</t>
  </si>
  <si>
    <t>SANDOVAL GALLEGOS JUAN JOSE</t>
  </si>
  <si>
    <t>ESTRADA DOROTEO FILOMENO</t>
  </si>
  <si>
    <t>REYES PEREZ OSCAR</t>
  </si>
  <si>
    <t>GONZALEZ CEBALLOS JAVIER</t>
  </si>
  <si>
    <t>ROJAS MARTINEZ OSCAR</t>
  </si>
  <si>
    <t>RAMIREZ SANCHEZ JESUS</t>
  </si>
  <si>
    <t>MONTES VILLEGAS LUIS IGNACIO</t>
  </si>
  <si>
    <t>VENTURA RAMIREZ JOSE TRINIDAD</t>
  </si>
  <si>
    <t>AGUILERA ADAME JUVENAL</t>
  </si>
  <si>
    <t>DUARTE AGUILAR RAUL</t>
  </si>
  <si>
    <t>FERNANDEZ LILIANA</t>
  </si>
  <si>
    <t>REYES PEREZ SIDRONIO</t>
  </si>
  <si>
    <t>ZARAGOZA GONZALEZ JORGE</t>
  </si>
  <si>
    <t>TRIGUEROS LOZA LUCRECIA</t>
  </si>
  <si>
    <t>MENDIETA HERNANDEZ JOSE</t>
  </si>
  <si>
    <t>FLORES HUERTA JOSE JUAN</t>
  </si>
  <si>
    <t>REYES PEREZ SIMPLICIO</t>
  </si>
  <si>
    <t>GARCIA JOSE MANUEL</t>
  </si>
  <si>
    <t>ELECT</t>
  </si>
  <si>
    <t>FLORES ANGULO FERNANDO</t>
  </si>
  <si>
    <t>POLITRON RODRIGUEZ MANUEL</t>
  </si>
  <si>
    <t>ROMERO MARTINEZ RUBEN</t>
  </si>
  <si>
    <t>AVALOS GIL IGNACIO</t>
  </si>
  <si>
    <t>PARGA RAMIREZ JUAN MANUEL</t>
  </si>
  <si>
    <t>JUAREZ RIVERA ELIAS</t>
  </si>
  <si>
    <t>AGUILAR VARGAS DANIEL</t>
  </si>
  <si>
    <t>NUÑO AVALOS HUMBERTO</t>
  </si>
  <si>
    <t>JARA BARRIOS DOROTEO</t>
  </si>
  <si>
    <t>CERVANTES HERNANDEZ ACELERINO</t>
  </si>
  <si>
    <t>VALDEZ SOLIS JOSE LUIS</t>
  </si>
  <si>
    <t>LOPEZ BARAJAS OSCAR ALBERTO</t>
  </si>
  <si>
    <t>LOPEZ PACHECO JOSE MARTIN</t>
  </si>
  <si>
    <t>MARTINEZ HERNANDEZ LUIS OCTAVIO</t>
  </si>
  <si>
    <t>SOSSA GARCIA JULIO CESAR</t>
  </si>
  <si>
    <t>MILAN HERNANDEZ JESUS</t>
  </si>
  <si>
    <t>PONCIANO MILAN RIGOBERTO</t>
  </si>
  <si>
    <t>BUCIO BUCIO LUIS ALBERTO</t>
  </si>
  <si>
    <t>MERCADO LOPEZ ANDRES GERARDO</t>
  </si>
  <si>
    <t>MORALES ROMERO JOSE REYES</t>
  </si>
  <si>
    <t>CRUZ TRUJILLO JAVIER</t>
  </si>
  <si>
    <t>BAUTISTA GONZALEZ LUIS ENRIQUE</t>
  </si>
  <si>
    <t>ROJAS MARTINEZ CESAR</t>
  </si>
  <si>
    <t>GARCIA CORDOVA LUIS ENRIQUE</t>
  </si>
  <si>
    <t>JUAREZ BALTAZAR</t>
  </si>
  <si>
    <t>RESENDIZ TREJO RICARDO</t>
  </si>
  <si>
    <t>GODINEZ LONA EDGAR IVAN</t>
  </si>
  <si>
    <t>CASTRO HERNANDEZ ANTONIO</t>
  </si>
  <si>
    <t>RODRIGUEZ MADERA ENRIQUE</t>
  </si>
  <si>
    <t>AVALOS PICAZO JOSE GUADALUPE</t>
  </si>
  <si>
    <t>GUTIERREZ AVALOS RUBEN</t>
  </si>
  <si>
    <t>AVALOS GIL ALEJANDRO</t>
  </si>
  <si>
    <t>NOEL REYES CECILIO</t>
  </si>
  <si>
    <t>BENITEZ CAMPA LUIS</t>
  </si>
  <si>
    <t>YEPEZ BAROCIO JOSE</t>
  </si>
  <si>
    <t>GUARDADO SÁNCHEZ MARTÍN</t>
  </si>
  <si>
    <t>ALDANA DE LOZA ISMAEL</t>
  </si>
  <si>
    <t>RAMIREZ LARIOS ENGELBERTO</t>
  </si>
  <si>
    <t>VILLASEÑOR ROSALES MANUEL ISRAEL</t>
  </si>
  <si>
    <t>REYES VILLASEÑOR RICARDO</t>
  </si>
  <si>
    <t>GONZALEZ SANCHEZ PEDRO</t>
  </si>
  <si>
    <t>MILAN RICO JOSE FRANCISCO</t>
  </si>
  <si>
    <t>TRINIDAD VAZQUEZ ALEJANDRO FIDEL</t>
  </si>
  <si>
    <t>VAZQUEZ RAMIREZ GILBERTO JOSE</t>
  </si>
  <si>
    <t>PINTO PALOMARES JOSE DE JESUS</t>
  </si>
  <si>
    <t>AGUILAR HERRERA LUIS FERNANDO</t>
  </si>
  <si>
    <t>ROJAS MARTINEZ FREDDY</t>
  </si>
  <si>
    <t>ESPINOZA VAZQUEZ JOSE</t>
  </si>
  <si>
    <t>ESPINOZA VAZQUEZ EFRAIN</t>
  </si>
  <si>
    <t>CAMPOS DIAZ PEDRO</t>
  </si>
  <si>
    <t>CEBADA ROJAS FRANCISCO</t>
  </si>
  <si>
    <t>GONZALEZ GUERRERO JAVIER</t>
  </si>
  <si>
    <t>RAMIREZ JOSE LUIS</t>
  </si>
  <si>
    <t>MENDIETA LARA FILOGONIO</t>
  </si>
  <si>
    <t>MENDIETA LARA MARIO</t>
  </si>
  <si>
    <t>AVALOS TEJEDA HERIBERTO</t>
  </si>
  <si>
    <t>LOPEZ HERNANDEZ ESTEBAN ALVARO</t>
  </si>
  <si>
    <t>FRIAS MARTINEZ JUAN CARLOS</t>
  </si>
  <si>
    <t>ESCAÑUELA VAZQUEZ VICTOR</t>
  </si>
  <si>
    <t>ORTIZ ESCAMILLA EFRAIN</t>
  </si>
  <si>
    <t>MARAVILLAS AGUILAR LUIS FERNANDO</t>
  </si>
  <si>
    <t>MEJIA LARA JUAN</t>
  </si>
  <si>
    <t>MEDINA QUINTANA ROBERTO</t>
  </si>
  <si>
    <t>ALVAREZ LARA JUAN JOSE</t>
  </si>
  <si>
    <t>PEREZ CONTRERAS JESUS</t>
  </si>
  <si>
    <t>LARA NAVA RENE</t>
  </si>
  <si>
    <t>RAMIREZ MENDIETA ALEJANDRO</t>
  </si>
  <si>
    <t>GARCIA ESTRADA JUAN</t>
  </si>
  <si>
    <t>CASTRO MEZA RODOLFO</t>
  </si>
  <si>
    <t>AGUILAR CASTRO ROMAN</t>
  </si>
  <si>
    <t>SAAVEDRA HERNANDEZ RAUL</t>
  </si>
  <si>
    <t>MENDEZ PEREZ ALBERTO</t>
  </si>
  <si>
    <t>VALDEZ GONZALEZ JAVIER</t>
  </si>
  <si>
    <t>CHAVEZ ALBERTO ANTONIO</t>
  </si>
  <si>
    <t>HUERTA SOTO JESUS</t>
  </si>
  <si>
    <t>CHAVEZ TINOCO JULIO IVAN</t>
  </si>
  <si>
    <t>CHAVEZ CRISTIAN ISRAEL</t>
  </si>
  <si>
    <t>CARRILLO GONZALEZ JOSE GUADALUPE</t>
  </si>
  <si>
    <t>RIVERA LAMAS JOSE</t>
  </si>
  <si>
    <t>NAVARRETE CARLOS DE JESUS</t>
  </si>
  <si>
    <t>SAAVEDRA HERNANDEZ ARTURO</t>
  </si>
  <si>
    <t>DE LIRA MONTAÑEZ FRANCISCO</t>
  </si>
  <si>
    <t>RODRIGUEZ CARRILLO FERNANDO</t>
  </si>
  <si>
    <t>NAVA CAMACHO FILIBERTO</t>
  </si>
  <si>
    <t>AVALOS PICAZO PABLO</t>
  </si>
  <si>
    <t>LOPEZ GALINDO JUAN FRANCISCO</t>
  </si>
  <si>
    <t>GONZALEZ GUERRERO IGNACIO</t>
  </si>
  <si>
    <t>CRUZ NUÑEZ DOMINGO</t>
  </si>
  <si>
    <t>PEREZ CONTRERAS ABEL</t>
  </si>
  <si>
    <t>JIMENEZ DE LOS SANTOS HERMILIO</t>
  </si>
  <si>
    <t>REYES BAZAN JOSE</t>
  </si>
  <si>
    <t>ALVARADO GONZALEZ MIGUEL ANGEL</t>
  </si>
  <si>
    <t>BAUTISTA PURECO EFRAIN</t>
  </si>
  <si>
    <t>REYES CRUZ PEDRO</t>
  </si>
  <si>
    <t>ALONSO CRUZ FRANCISCO</t>
  </si>
  <si>
    <t>CASTILLO HERNANDEZ VALENTIN</t>
  </si>
  <si>
    <t>ROMERO SOLIS EMILIO</t>
  </si>
  <si>
    <t>DELGADO AYALA FRANCISCO JAVIER</t>
  </si>
  <si>
    <t>ALONSO CRUZ TOMAS</t>
  </si>
  <si>
    <t>ALONSO CRUZ JOSE LUIS</t>
  </si>
  <si>
    <t>ROMERO PITA ROSALINA</t>
  </si>
  <si>
    <t>CASTAÑEDA GONZALEZ NOE</t>
  </si>
  <si>
    <t>GARCIA PADILLA MARTIN</t>
  </si>
  <si>
    <t>CRUZ CERON VICTOR MANUEL</t>
  </si>
  <si>
    <t>CUELLAR GUZMAN PORFIRIO</t>
  </si>
  <si>
    <t>ALVARADO GONZALEZ JUAN MANUEL</t>
  </si>
  <si>
    <t>AGUAYO OCEGUEDA RAUL</t>
  </si>
  <si>
    <t>PENILLA AYON CARLOS</t>
  </si>
  <si>
    <t>GUERRERO LUNA JUAN CARLOS</t>
  </si>
  <si>
    <t>AGUILAR SANTILLAN RUBEN ALEJANDRO</t>
  </si>
  <si>
    <t>GALVEZ CHAVEZ LEONARDO MARTIN</t>
  </si>
  <si>
    <t>MARTINEZ CERQUEDA GUILEBALDO</t>
  </si>
  <si>
    <t>SILVA PARAMO ELOY</t>
  </si>
  <si>
    <t>LOPEZ CORTEZ PORFIRIO</t>
  </si>
  <si>
    <t>LOPEZ VELAZQUEZ ANTONIO</t>
  </si>
  <si>
    <t>TADEO RAMOS JOSE HUMBERTO</t>
  </si>
  <si>
    <t>BARAJAS VILLAGRAN JOSE ANGEL</t>
  </si>
  <si>
    <t>CHAVEZ ZAPATA CARLOS</t>
  </si>
  <si>
    <t>MENA PECH SERGIO RENE</t>
  </si>
  <si>
    <t>NUÑEZ LIZAMA BARTOLO SANTIAGO</t>
  </si>
  <si>
    <t>ZETINA HERNANDEZ CRISTOBAL</t>
  </si>
  <si>
    <t>GARCIA CRUZ DANIEL</t>
  </si>
  <si>
    <t>BAUTISTA PURECO JUAN CARLOS</t>
  </si>
  <si>
    <t>GARCIA ESTRADA EUSTAQUIO</t>
  </si>
  <si>
    <t>MARTINEZ RODRIGUEZ GABRIEL</t>
  </si>
  <si>
    <t>GARCIA TOSTADO JORGE ANTONIO</t>
  </si>
  <si>
    <t>RESENDIZ PATLAN RAFAEL</t>
  </si>
  <si>
    <t>MORALES SOTO MIGUEL</t>
  </si>
  <si>
    <t>VILLANUEVA GARCIA JOAQUIN</t>
  </si>
  <si>
    <t>AVALOS CRUZ ISAAC</t>
  </si>
  <si>
    <t>TAPIA VAZQUEZ OMAR</t>
  </si>
  <si>
    <t>MUÑOZ ISLAS OMAR</t>
  </si>
  <si>
    <t>ALONSO GUEVARA ALBERTO</t>
  </si>
  <si>
    <t>MARROQUIN JIMENEZ DAVID</t>
  </si>
  <si>
    <t>VELAZQUEZ GARCIA MARTIN</t>
  </si>
  <si>
    <t>CARRETERO CARBAJAL EMILIO</t>
  </si>
  <si>
    <t>MARTINEZ HERNANDEZ WILFRIDO</t>
  </si>
  <si>
    <t>JUAREZ GALICIA ISAAC JAIME</t>
  </si>
  <si>
    <t>IBARRA RENTERIA JOSE RAUL</t>
  </si>
  <si>
    <t>VEGA ESPARZA FRANCISCO JAVIER</t>
  </si>
  <si>
    <t>GAONA BARAONA JORGE ANTONIO</t>
  </si>
  <si>
    <t>VARGAS MORALES MOISES</t>
  </si>
  <si>
    <t>VILLALOBOS SANCHEZ PABLO</t>
  </si>
  <si>
    <t>SILVA PARAMO ARCADIO</t>
  </si>
  <si>
    <t>CANCINO GARMENDIA JOSE SILVESTRE</t>
  </si>
  <si>
    <t>VAZQUEZ ORTIZ SALVADOR</t>
  </si>
  <si>
    <t>ZACARIAS ANGELES VICTOR MANUEL</t>
  </si>
  <si>
    <t>OROPEZA RODRIGUEZ SANTIAGO EFREN</t>
  </si>
  <si>
    <t>BUCIO MONTERO IGNACIO</t>
  </si>
  <si>
    <t>CRUZ ZARAGOZA HECTOR</t>
  </si>
  <si>
    <t>GONZALEZ PEREZ JOSE PRIMITIVO MARGARITO</t>
  </si>
  <si>
    <t>DIAZ LOPEZ LUIS ENRIQUE</t>
  </si>
  <si>
    <t>BASULTO MORALES FERNANDO</t>
  </si>
  <si>
    <t>CASTELLON OCHOA FRANCISCO JAVIER</t>
  </si>
  <si>
    <t>BAZAN ZACARIAS RAFAEL</t>
  </si>
  <si>
    <t>GRIJALVA REYES BAUTISTA</t>
  </si>
  <si>
    <t>RODRIGUEZ LUNA BERNARDO</t>
  </si>
  <si>
    <t>DE LIRA MONTAÑEZ FERNANDO</t>
  </si>
  <si>
    <t>TRUJILLO M. JUAN ROBERTO</t>
  </si>
  <si>
    <t>COLORADO H. JOSE LUIS</t>
  </si>
  <si>
    <t>COLORADO H. JERONIMO</t>
  </si>
  <si>
    <t>MORALES FERNANDEZ GUADALUPE</t>
  </si>
  <si>
    <t>MARTINEZ FAUSTINO</t>
  </si>
  <si>
    <t>PEREZ CONTRERAS SERGIO</t>
  </si>
  <si>
    <t>PONCIANO MILAN JOSE ROGELIO</t>
  </si>
  <si>
    <t>RODRIGUEZ ENCISO JOSE LUIS</t>
  </si>
  <si>
    <t>GONZALEZ GUZMAN ALFREDO</t>
  </si>
  <si>
    <t>SALAZAR MARIA ALFREDO</t>
  </si>
  <si>
    <t>ROSALES VILLA RAUL</t>
  </si>
  <si>
    <t>REYES VILLASEÑOR JOSE MIGUEL</t>
  </si>
  <si>
    <t>ESCAMILLA LUIS</t>
  </si>
  <si>
    <t>YEPEZ BAROCIO DAVID</t>
  </si>
  <si>
    <t>NARANJO VALDEZ JOSE CAMERINO</t>
  </si>
  <si>
    <t>MORALES GUADALUPE</t>
  </si>
  <si>
    <t>MORALES MARTIN</t>
  </si>
  <si>
    <t>CARDOSO ESPINOZA ROBERTO</t>
  </si>
  <si>
    <t>FUENTES GONZALEZ EULOGIO</t>
  </si>
  <si>
    <t>HERNANDEZ ANGELES ORLANDO</t>
  </si>
  <si>
    <t>ANGELES LEON MARCOS</t>
  </si>
  <si>
    <t>FUENTES JUAREZ ANTONIO</t>
  </si>
  <si>
    <t>MARTINEZ DUEÑAS JOSE ARMANDO</t>
  </si>
  <si>
    <t>RUBIO JIMENEZ DAVID</t>
  </si>
  <si>
    <t>OCAMPO LARA EDUARDO HUMBERTO</t>
  </si>
  <si>
    <t>VARGAS LEYVA HUGO</t>
  </si>
  <si>
    <t>CASTILLO SANCHEZ DAVID</t>
  </si>
  <si>
    <t>CASTILLO ROBLES JULIAN JAVIER</t>
  </si>
  <si>
    <t>CASTELLON OCHOA MIGUEL</t>
  </si>
  <si>
    <t>LAGUNAS ESPINOZA JESUS</t>
  </si>
  <si>
    <t>MUZIÑO OLMOS JOSE SILVANO</t>
  </si>
  <si>
    <t>VERTIZ ROSAS ALBERTO</t>
  </si>
  <si>
    <t>GOMEZ MUZIÑO LUIS</t>
  </si>
  <si>
    <t>GOMEZ VELAZQUEZ JOSE LUIS</t>
  </si>
  <si>
    <t>GARCIA FERTINO ISIDRO</t>
  </si>
  <si>
    <t>GARCIA BARAJAS CARLOS</t>
  </si>
  <si>
    <t>GARCIA MENDOZA EDGAR</t>
  </si>
  <si>
    <t>GARCIA MENDOZA JORGE JOEL</t>
  </si>
  <si>
    <t>GARCIA FERTINO SERGIO</t>
  </si>
  <si>
    <t>GONZALEZ BRISEÑO JOSE LUIS</t>
  </si>
  <si>
    <t>GARCIA ZEPEDA JUAN CARLOS</t>
  </si>
  <si>
    <t>GARCIA ZEPEDA CESAR ARCADIO</t>
  </si>
  <si>
    <t>GONZAGA LEON JOSE LUIS</t>
  </si>
  <si>
    <t>MONTES GARCIA JOSE LUIS</t>
  </si>
  <si>
    <t>ESPINOZA NAVARRO RAFAEL</t>
  </si>
  <si>
    <t>MARTINEZ FLORES ENRIQUE</t>
  </si>
  <si>
    <t>MARTINEZ ESCAMILLA MARCOS</t>
  </si>
  <si>
    <t>MUÑOZ REYES ISMAEL</t>
  </si>
  <si>
    <t>ESCAÑUELA VAZQUEZ JOSE ISMAEL</t>
  </si>
  <si>
    <t>LOPEZ GUZMAN PAULINO</t>
  </si>
  <si>
    <t>PEREZ VERTIZ MARGARITO</t>
  </si>
  <si>
    <t>QUEZADA AGUILAR FRANCISCO</t>
  </si>
  <si>
    <t>GONZAGA LEON ALEJANDRO</t>
  </si>
  <si>
    <t>SÁNCHEZ RAMÍREZ ÓSCAR</t>
  </si>
  <si>
    <t>MEZA PIÑA ALEJANDRO</t>
  </si>
  <si>
    <t>VIRAMONTES CORTEZ ABEL</t>
  </si>
  <si>
    <t>VIRAMONTES GONZALEZ ABEL</t>
  </si>
  <si>
    <t>VIRAMONTES CORTEZ ISMAEL</t>
  </si>
  <si>
    <t>TIENDA NUÑEZ JULIAN</t>
  </si>
  <si>
    <t>CORTEZ CRUZ CARLOS JOSUE</t>
  </si>
  <si>
    <t>VIRAMONTES CORTEZ JOSE LUIS</t>
  </si>
  <si>
    <t>VIZCARRA DIAZ FEDERICO</t>
  </si>
  <si>
    <t>ESPARZA ORTIZ BAUDELIO</t>
  </si>
  <si>
    <t>MORALES SANCHEZ JUAN</t>
  </si>
  <si>
    <t>SORIANO QUIROZ ALEJANDRO</t>
  </si>
  <si>
    <t>SANCHEZ ALTAMIRANO HERMENEGILDO</t>
  </si>
  <si>
    <t>CHOLICO ESQUEDA EDUARDO</t>
  </si>
  <si>
    <t>APARICIO DE LA ROSA MANUEL</t>
  </si>
  <si>
    <t>VAZQUEZ CENTENO ALEJANDRO</t>
  </si>
  <si>
    <t>RAMOS SANCHEZ JOSE GERARDO</t>
  </si>
  <si>
    <t>ARAIZA AVALOS GERARDO ARTURO</t>
  </si>
  <si>
    <t>CASTRO CARBAJAL ALEJANDRO</t>
  </si>
  <si>
    <t>MEZA DE LA TORRE JOSE LUIS</t>
  </si>
  <si>
    <t>ALVAREZ RAMIREZ JOSE LUIS</t>
  </si>
  <si>
    <t>RENTERÍA HUMBERTO</t>
  </si>
  <si>
    <t>RENTERÍA GARCÍA HUMBERTO</t>
  </si>
  <si>
    <t>ENRIQUEZ DE LOS SANTOS RAFAEL</t>
  </si>
  <si>
    <t>DE LOS SANTOS RAMOS MIGUEL ANGEL</t>
  </si>
  <si>
    <t>SANCHEZ LARIOS FELIPE</t>
  </si>
  <si>
    <t>PEREZ GARCIA MARTINIANO</t>
  </si>
  <si>
    <t>RUIZ CHAVEZ DANIEL</t>
  </si>
  <si>
    <t>PEREZ MARISCAL RAUL</t>
  </si>
  <si>
    <t>MADRIGAL RUIZ HECTOR</t>
  </si>
  <si>
    <t>ANGUIANO CHAVEZ JOSE ROBERTO</t>
  </si>
  <si>
    <t>GONZALEZ BLANCO JUAN CARLOS</t>
  </si>
  <si>
    <t>RENTERIA LOMA JOSE ALFREDO</t>
  </si>
  <si>
    <t>GOMEZ SONORA JAIME</t>
  </si>
  <si>
    <t>MARTINEZ MURGUIA ALEJANDRO</t>
  </si>
  <si>
    <t>CURIEL RAMIREZ LUIS BERNARDO</t>
  </si>
  <si>
    <t>GOMEZ HERNANDEZ JAIME RENE</t>
  </si>
  <si>
    <t>GALVAN GALLARDO JOSE ANTONIO</t>
  </si>
  <si>
    <t>PEREZ VERTIZ JORGE ARMANDO</t>
  </si>
  <si>
    <t>GIJON BAUTISTA PETRONILO ROMAN</t>
  </si>
  <si>
    <t>DELGADO MEDRANO MANUEL</t>
  </si>
  <si>
    <t>CHAVEZ HERNANDEZ RUBEN</t>
  </si>
  <si>
    <t>GARCIA CRUZ SEBASTIAN</t>
  </si>
  <si>
    <t>HERNANDEZ GALVEZ JUAN</t>
  </si>
  <si>
    <t>LEVANO MENDOZA JORGE</t>
  </si>
  <si>
    <t>MARTINEZ CONTRERAS JESUS</t>
  </si>
  <si>
    <t>GONZAGA LEON FERNANDO</t>
  </si>
  <si>
    <t>PEREZ CRUZ GREGORIO</t>
  </si>
  <si>
    <t>JUAREZ OLGUIN ALFONSO</t>
  </si>
  <si>
    <t>XILONZOCHITL MURILLO JAVIER</t>
  </si>
  <si>
    <t>XILONZOCHITL GARCIA FRANCISCO JAVIER</t>
  </si>
  <si>
    <t>AGUILAR FLORES SAUL</t>
  </si>
  <si>
    <t>RENTERIA AGUILAR ALFREDO</t>
  </si>
  <si>
    <t>OROZCO PINTOR IGNACIO</t>
  </si>
  <si>
    <t>RENTERIA LOMA JORGE LUIS</t>
  </si>
  <si>
    <t>ZAVALA MEDINA BENITO</t>
  </si>
  <si>
    <t>GUERRERO PEREZ JOSE</t>
  </si>
  <si>
    <t>DOMINGUEZ RUEDA ENRIQUE</t>
  </si>
  <si>
    <t>SALAZAR MARTINEZ JOSE CARMEN</t>
  </si>
  <si>
    <t>ENRIQUEZ MENDOZA ARNULFO</t>
  </si>
  <si>
    <t>GARCIA GARCIA CARLOS FRANCISCO</t>
  </si>
  <si>
    <t>DOMINGUEZ GALVAN JUAN JOSE</t>
  </si>
  <si>
    <t>GARCIA SERNA MARCO ANTONIO</t>
  </si>
  <si>
    <t>GOMEZ SONORA FRANCISCO</t>
  </si>
  <si>
    <t>GONZALEZ GARCIA JOSEFINA</t>
  </si>
  <si>
    <t>GARCIA ENRIQUEZ JOSE TRINIDAD</t>
  </si>
  <si>
    <t>GARCIA FLORES JOSE TRINIDAD</t>
  </si>
  <si>
    <t>GARCIA ENRIQUEZ CESAR RAFAEL</t>
  </si>
  <si>
    <t>VAZQUEZ ROMERO FERMIN</t>
  </si>
  <si>
    <t>HERNANDEZ ACEVES ENRIQUE</t>
  </si>
  <si>
    <t>MONREAL DAVILA MARIO</t>
  </si>
  <si>
    <t>VEGA ESPARZA SALVADOR</t>
  </si>
  <si>
    <t>AMEZOLA MURILLO VICTOR FERNANDO</t>
  </si>
  <si>
    <t>HERNANDEZ SANCHEZ JAVIER</t>
  </si>
  <si>
    <t>AMEZOLA MURILLO JORGE</t>
  </si>
  <si>
    <t>VEGA GONZALEZ LUIS ALBERTO</t>
  </si>
  <si>
    <t>PEREZ CRUZ VICTORINO</t>
  </si>
  <si>
    <t>DE LIRA MONTAÑEZ RUBEN</t>
  </si>
  <si>
    <t>VAZQUEZ OCEGUERA OSCAR FERNANDO</t>
  </si>
  <si>
    <t>RAMIREZ GUARDADO JOSE</t>
  </si>
  <si>
    <t>XILONZOCHITL RENTERIA ISMAEL</t>
  </si>
  <si>
    <t>XILONZOCHITL JIMENEZ ISMAEL</t>
  </si>
  <si>
    <t>FLORES GARCIA JORGE</t>
  </si>
  <si>
    <t>ENRIQUEZ AGUILAR VICTOR HUGO</t>
  </si>
  <si>
    <t>FLORES RENTERIA JULIAN ALEJANDRO</t>
  </si>
  <si>
    <t>GARCIA BECERRA CASIMIRO</t>
  </si>
  <si>
    <t>RAMOS REYNAGA ANGEL GUSTAVO</t>
  </si>
  <si>
    <t>OROPEZA GONZAGA JORGE</t>
  </si>
  <si>
    <t>HERNANDEZ DE LA LUZ HUMBERTO</t>
  </si>
  <si>
    <t>HERNANDEZ HERNANDEZ CESAR</t>
  </si>
  <si>
    <t>MONROY HERNANDEZ JAVIER</t>
  </si>
  <si>
    <t>MONROY HERNANDEZ FRANCISCO</t>
  </si>
  <si>
    <t>ANGELES LOPEZ NABOR</t>
  </si>
  <si>
    <t>LEVANO HERNANDEZ VICENTE</t>
  </si>
  <si>
    <t>HUERTA ASCENCIO JAIME</t>
  </si>
  <si>
    <t>VERDIA MARTINEZ ISIDRO</t>
  </si>
  <si>
    <t>GARCIA AGUILAR ALVARO</t>
  </si>
  <si>
    <t>GARCIA ASCENCIO LIBORIO</t>
  </si>
  <si>
    <t>ROJAS REYES JORGE</t>
  </si>
  <si>
    <t>GARCIA AGUILAR CARLOS LIBORIO</t>
  </si>
  <si>
    <t>AGUIRRE FERTINO CRUZ</t>
  </si>
  <si>
    <t>MARTINEZ DUEÑAS ARNULFO FRANCISCO</t>
  </si>
  <si>
    <t>XILONZOCHITL JIMENEZ FRANCISCO</t>
  </si>
  <si>
    <t>REYES RENTERIA MARIO</t>
  </si>
  <si>
    <t>ROBLES MADRIGAL ANSELMO</t>
  </si>
  <si>
    <t>HERNANDEZ GONZALEZ JOSE LUIS</t>
  </si>
  <si>
    <t>DE LOS SANTOS MANJARRÉS RODRIGO</t>
  </si>
  <si>
    <t>CANTOR GARCIA ALVARO</t>
  </si>
  <si>
    <t>ENRIQUEZ XILONZOCHITL GERARDO</t>
  </si>
  <si>
    <t>ROJAS REYES JUAN</t>
  </si>
  <si>
    <t>MARQUEZ PEREZ ANTONIO</t>
  </si>
  <si>
    <t>BENITEZ MARTINEZ ANTONIO</t>
  </si>
  <si>
    <t>FALCON BENITEZ DAVID</t>
  </si>
  <si>
    <t>ENRIQUEZ SANCHEZ HUGO CESAR</t>
  </si>
  <si>
    <t>AGUILAR PEREZ GREGORIO</t>
  </si>
  <si>
    <t>VAZQUEZ IBARRA LUIS ENRIQUE</t>
  </si>
  <si>
    <t>GONZALEZ HERNANDEZ PEDRO</t>
  </si>
  <si>
    <t>GARCIA ENRIQUEZ JUAN CARLOS</t>
  </si>
  <si>
    <t>RENTERIA HERRERA JUAN CARLOS</t>
  </si>
  <si>
    <t>OROZCO CASTILLO JORGE ALBERTO</t>
  </si>
  <si>
    <t>FLORES AGUILAR JOSE FIDEL</t>
  </si>
  <si>
    <t>OLIVARES QUIRINO SEPTIMO</t>
  </si>
  <si>
    <t>ANGELES CRUZ JUAN ANTONIO</t>
  </si>
  <si>
    <t>LEON HERNANDEZ PLACIDO</t>
  </si>
  <si>
    <t>ENRIQUEZ AGUILAR SEBASTIAN</t>
  </si>
  <si>
    <t>GARCIA MURILLO ROGELIO</t>
  </si>
  <si>
    <t>BALDERAS MARTINEZ JOSE EDUWIJES</t>
  </si>
  <si>
    <t>DE JESUS DE JESUS JUAN</t>
  </si>
  <si>
    <t>MOCTEZUMA GUERRA SEBASTIAN</t>
  </si>
  <si>
    <t>AGUILAR HERRERA JUAN MIGUEL</t>
  </si>
  <si>
    <t>FLORES BARRAGAN FRANCISCO</t>
  </si>
  <si>
    <t>MARTINEZ CRUZ ANGEL</t>
  </si>
  <si>
    <t>BENITEZ GONZALEZ JUAN</t>
  </si>
  <si>
    <t>RODRIGUEZ BENITEZ GERMAN</t>
  </si>
  <si>
    <t>BENITEZ ANGELES ROBERTO</t>
  </si>
  <si>
    <t>FALCON HERNANDEZ CRUZ</t>
  </si>
  <si>
    <t>MARTINEZ VARGAS PABLO</t>
  </si>
  <si>
    <t>ZARAGOZA RAMIREZ RAMIRO</t>
  </si>
  <si>
    <t>VALENTIN HERNANDEZ MIGUEL ANGEL</t>
  </si>
  <si>
    <t>ENRIQUEZ FLORES JUAN</t>
  </si>
  <si>
    <t>MESTIZA CRISTINO ALEJANDRO</t>
  </si>
  <si>
    <t>RENTERIA TOLENTINO LUIS MANUEL</t>
  </si>
  <si>
    <t>FLORES CANDELARIO FLORENTINO</t>
  </si>
  <si>
    <t>VEGA ALONSO FRANCISCO JAVIER</t>
  </si>
  <si>
    <t>BOJORGES CASTILLO GABRIEL</t>
  </si>
  <si>
    <t>GARCIA ENRIQUEZ JOSE ARTURO</t>
  </si>
  <si>
    <t>RAMIREZ MAYA MIGUEL ANGEL</t>
  </si>
  <si>
    <t>VILLAFAÑA GUTIERREZ DANIEL</t>
  </si>
  <si>
    <t>FLORES MARTINEZ JOSE DE JESUS</t>
  </si>
  <si>
    <t>HERNANDEZ MARTINEZ JOSE</t>
  </si>
  <si>
    <t>RUBIO RAMIREZ PEDRO</t>
  </si>
  <si>
    <t>GAONA GALIMOR ALEJANDRO</t>
  </si>
  <si>
    <t>ALDRETE DURAN RENE</t>
  </si>
  <si>
    <t>PEREZ CONTRERAS AGUSTIN</t>
  </si>
  <si>
    <t>RIOS PEREZ ADRIAN MARTIN</t>
  </si>
  <si>
    <t>MOSQUEDA GAONA GERARDO</t>
  </si>
  <si>
    <t>GODINEZ NAVA OSWALDO ROMAN</t>
  </si>
  <si>
    <t>MONTES MAGALLON JOSE HUMBERTO</t>
  </si>
  <si>
    <t>BARRAGAN HERRERA FERNANDO</t>
  </si>
  <si>
    <t>HERRERA RENTERIA HUMBERTO</t>
  </si>
  <si>
    <t>ENRIQUEZ XILONZOCHITL JOSE DE JESUS</t>
  </si>
  <si>
    <t>HERRERA FLORES ANTONIO</t>
  </si>
  <si>
    <t>CASTRO CARBAJAL GABRIEL</t>
  </si>
  <si>
    <t>ROJAS FIGUEROA SAUL</t>
  </si>
  <si>
    <t>PEREZ HERNANDEZ ERNESTO RAUL</t>
  </si>
  <si>
    <t>LOPEZ SALAS VICTOR HUGO</t>
  </si>
  <si>
    <t>SANCHEZ ROJAS ARTURO</t>
  </si>
  <si>
    <t>RIVAS MENDOZA EFRAIN</t>
  </si>
  <si>
    <t>RIVAS ARMENTA JOSE ANTONIO</t>
  </si>
  <si>
    <t>PINTOR CALVARIO JUAN</t>
  </si>
  <si>
    <t>LOMELI LUPERCIO JOSE RAMON</t>
  </si>
  <si>
    <t>NICIO RUELAS ROMULO</t>
  </si>
  <si>
    <t>CASTRO CARBAJAL JUAN CARLOS</t>
  </si>
  <si>
    <t>IBARRA SANCHEZ JOAQUIN</t>
  </si>
  <si>
    <t>IBARRA JAUREGUI FRANCISCO JOAQUIN</t>
  </si>
  <si>
    <t>IBARRA JAUREGUI ALFONSO</t>
  </si>
  <si>
    <t>IBARRA JAUREGUI OSCAR MIGUEL</t>
  </si>
  <si>
    <t>BAUTISTA BENITEZ FRANCISCO JAVIER</t>
  </si>
  <si>
    <t>GALLARDO BIRAMONTES ANTONIO</t>
  </si>
  <si>
    <t>MENDOZA IBARRA VICTOR PEDRO</t>
  </si>
  <si>
    <t>MARTINEZ GABRIEL ULISES</t>
  </si>
  <si>
    <t>SALAZAR MARTINEZ LUIS</t>
  </si>
  <si>
    <t>GARCIA PEREZ JOSE GUADALUPE</t>
  </si>
  <si>
    <t>GARCIA DAVILA JUAN CARLOS</t>
  </si>
  <si>
    <t>RODRIGUEZ PASTOR LEOPOLDO</t>
  </si>
  <si>
    <t>LOPEZ PEREZ FAUSTO</t>
  </si>
  <si>
    <t>GARCIA JIMENEZ JOSE ANTONIO</t>
  </si>
  <si>
    <t>GARCIA CHAVARRIA JOSE GILBERTO</t>
  </si>
  <si>
    <t>RENTERIA AGUILAR CRUZ CARLOS</t>
  </si>
  <si>
    <t>AGUILAR BARRON MANUEL DE JESUS</t>
  </si>
  <si>
    <t>HERRERA RENTERIA CESAR</t>
  </si>
  <si>
    <t>CONTRERAS GARIBAY OSCAR</t>
  </si>
  <si>
    <t>PLAZAS BRAMBILA RAYMUNDO</t>
  </si>
  <si>
    <t>CONTRERAS GARIBAY LUIS ENRIQUE</t>
  </si>
  <si>
    <t>RIOS GONZALEZ CLAUDIO</t>
  </si>
  <si>
    <t>HERRERA RENTERIA EDUARDO</t>
  </si>
  <si>
    <t>VAZQUEZ SEGURA MARTIN</t>
  </si>
  <si>
    <t>TORRES MURILLO JUAN JOSE</t>
  </si>
  <si>
    <t>AGUAS VILLA JOSE LUIS</t>
  </si>
  <si>
    <t>GARCIA PARRA OSCAR</t>
  </si>
  <si>
    <t>LEDESMA DIAZ ISIDRO</t>
  </si>
  <si>
    <t>RUIZ HERNANDEZ EDUARDO</t>
  </si>
  <si>
    <t>MORALES AGUILAR EVERARDO</t>
  </si>
  <si>
    <t>RENTERIA AGUILAR JOSE LUIS</t>
  </si>
  <si>
    <t>RENTERIA TOLENTINO ALVARO</t>
  </si>
  <si>
    <t>ROJAS SERNA MARCOS</t>
  </si>
  <si>
    <t>MARQUEZ FLORES ARTURO</t>
  </si>
  <si>
    <t>AGUILAR GARCIA JOSE GABRIEL</t>
  </si>
  <si>
    <t>TORRES MURILLO ARMANDO</t>
  </si>
  <si>
    <t>AGUILAR GASPAR LUIS MARTIN</t>
  </si>
  <si>
    <t>RUBIO MARENTES ROBERTO CARLOS</t>
  </si>
  <si>
    <t>HERNANDEZ MORA JULIO CESAR</t>
  </si>
  <si>
    <t>MONTES SANCHEZ ERACLIO</t>
  </si>
  <si>
    <t>TORRES MURILLO RAUL</t>
  </si>
  <si>
    <t>QUIÑONES VIDALES FRANCISCO</t>
  </si>
  <si>
    <t>RENTERÍA GARCÍA FREDY</t>
  </si>
  <si>
    <t>JIMENEZ RENTERIA RAFAEL</t>
  </si>
  <si>
    <t>PINTO XILONZOCHITL ARCADIO</t>
  </si>
  <si>
    <t>MORALES ROJAS JOSE LUIS</t>
  </si>
  <si>
    <t>GONZALEZ GUERRERO JOSE MARIA</t>
  </si>
  <si>
    <t>MONDRAGON HERRERA JUAN EDUARDO</t>
  </si>
  <si>
    <t>PAJARITO HERRERA SERGIO</t>
  </si>
  <si>
    <t>SAUCEDO MELCHOR JORGE</t>
  </si>
  <si>
    <t>GUERRERO PEREZ LUIS</t>
  </si>
  <si>
    <t>LOPEZ RODRIGUEZ GERMAN</t>
  </si>
  <si>
    <t>MARTINEZ MARTINEZ MARTIN</t>
  </si>
  <si>
    <t>SANCHEZ HERRERA JUAN ANTONIO</t>
  </si>
  <si>
    <t>RIOS REYES SILVESTRE</t>
  </si>
  <si>
    <t>XILONZOCHITL JIMENEZ JOSE FELIPE</t>
  </si>
  <si>
    <t>GALVAN HERNANDEZ SERGIO</t>
  </si>
  <si>
    <t>DE LOS SANTOS RENTERIA ISIDRO</t>
  </si>
  <si>
    <t>XILONZOCHILT GARCIA JOSE IVAN</t>
  </si>
  <si>
    <t>ALATORRE TERAN FERNANDO</t>
  </si>
  <si>
    <t>BARRAGAN LAZCANO JOSE ANTONIO</t>
  </si>
  <si>
    <t>BAÑUELOS RAMIREZ ALEJANDRO</t>
  </si>
  <si>
    <t>GARCIA GUZMAN PEDRO</t>
  </si>
  <si>
    <t>ROJAS MORAN SAUL</t>
  </si>
  <si>
    <t>CHAVEZ AREVALO FERNANDO</t>
  </si>
  <si>
    <t>MORALES DIAZ ALBERTO</t>
  </si>
  <si>
    <t>MEZA RODRÍGUEZ HILARIO</t>
  </si>
  <si>
    <t>AGUILAR MORA J. JESUS NIEVES</t>
  </si>
  <si>
    <t>AGUILAR XILONZOCHITL JOEL</t>
  </si>
  <si>
    <t>ANDRADE PONCIANO ISIDRO</t>
  </si>
  <si>
    <t>CARDENAS GUTIERREZ EVARISTO</t>
  </si>
  <si>
    <t>GONZALEZ GARCIA ALBERTO</t>
  </si>
  <si>
    <t>ROJAS PEREZ MARCOS</t>
  </si>
  <si>
    <t>ROJAS SERNA DAVID</t>
  </si>
  <si>
    <t>RENTERIA SANCHEZ VICENTE</t>
  </si>
  <si>
    <t>ZEPEDA RUIZ CARLOS ALBERTO</t>
  </si>
  <si>
    <t>MACIAS GARCIA AGUSTIN SALVADOR</t>
  </si>
  <si>
    <t>GUILLEN NUÑEZ JULIO CESAR</t>
  </si>
  <si>
    <t>GONZALEZ MARTINEZ JAVIER ALEJANDRO</t>
  </si>
  <si>
    <t>GUERRERO PEREZ JUAN</t>
  </si>
  <si>
    <t>ARCINIEGA ALVAREZ FRANCISCO JAVIER</t>
  </si>
  <si>
    <t>CHAVEZ DIAZ MARTIN</t>
  </si>
  <si>
    <t>AVALOS TEJEDA EDGAR RICARDO</t>
  </si>
  <si>
    <t>GUZMAN ARAIZA JUAN JOSE</t>
  </si>
  <si>
    <t>RUIZ CARBAJAL JOSE ROSARIO</t>
  </si>
  <si>
    <t>SAUCEDO ENRIQUEZ PEDRO</t>
  </si>
  <si>
    <t>MURILLO VIRGEN MOISES</t>
  </si>
  <si>
    <t>ALEMAN MORALES RAYMUNDO</t>
  </si>
  <si>
    <t>SALAZAR HERNANDEZ ROBERTO</t>
  </si>
  <si>
    <t>MANJARREZ MARRON DAVID</t>
  </si>
  <si>
    <t>GARCIA VIDALES JOSE DE JESUS</t>
  </si>
  <si>
    <t>GONZALEZ SALAS FILEMON</t>
  </si>
  <si>
    <t>VIDALES ROSALES JOSÉ GUADALUPE</t>
  </si>
  <si>
    <t>TEJEDA ORTIZ RAMON</t>
  </si>
  <si>
    <t>RODRIGUEZ HUIZAR LUIS ALBERTO</t>
  </si>
  <si>
    <t>ENRIQUEZ XILONZOCHITL MIGUEL ANGEL</t>
  </si>
  <si>
    <t>OLIVARES LOZANO JOSE MANUEL</t>
  </si>
  <si>
    <t>OLIVARES DELGADO BENITO</t>
  </si>
  <si>
    <t>TEJEDA HERNANDEZ MARTHA</t>
  </si>
  <si>
    <t>HERRERA GARCIA LUIS ESTEBAN</t>
  </si>
  <si>
    <t>SOTO PULIDO JORGE JAVIER</t>
  </si>
  <si>
    <t>RODRIGUEZ YAÑEZ ELIAS</t>
  </si>
  <si>
    <t>ARENA OLMEDO ISMAEL</t>
  </si>
  <si>
    <t>GARCIA VIDALES JUAN DANIEL</t>
  </si>
  <si>
    <t>CHAVEZ RODRIGUEZ ADAN</t>
  </si>
  <si>
    <t>NUÑEZ MONTERO ALBERTO</t>
  </si>
  <si>
    <t>CHAVEZ RODRIGUEZ CIPRIANO</t>
  </si>
  <si>
    <t>ALVARADO PADILLA RICARDO</t>
  </si>
  <si>
    <t>HERNANDEZ PORTILLO JUAN CARLOS</t>
  </si>
  <si>
    <t>LARA FLORES EMORE</t>
  </si>
  <si>
    <t>PADILLA SANDOVAL EDUARDO</t>
  </si>
  <si>
    <t>CHAVEZ RODRIGUEZ JORGE</t>
  </si>
  <si>
    <t>CHAVEZ RODRIGUEZ JOSE ALFREDO</t>
  </si>
  <si>
    <t>TORRES OCHOA LUIS DEMETRIO</t>
  </si>
  <si>
    <t>MEZA TORRES HECTOR CAMILO</t>
  </si>
  <si>
    <t>HERRERA GARCIA JUAN FRANCISCO</t>
  </si>
  <si>
    <t>GARCIA APOLINAR ALEJANDRO</t>
  </si>
  <si>
    <t>ASCENCIO HUERTA ISRAEL</t>
  </si>
  <si>
    <t>VIDALES ESTRADA DIEGO</t>
  </si>
  <si>
    <t>VIDALES ESTRADA ANTONIO</t>
  </si>
  <si>
    <t>ROSAS ORTIZ JOSE DE JESUS</t>
  </si>
  <si>
    <t>SOTO ANGEL PEDRO</t>
  </si>
  <si>
    <t>CERVANTES MONJARAS JOSE LUIS</t>
  </si>
  <si>
    <t xml:space="preserve">HINOJOSA CAQUES JUAN </t>
  </si>
  <si>
    <t>ESTRADA PEDROZA RODOLFO</t>
  </si>
  <si>
    <t>QUIROZ TREJO ISMAEL</t>
  </si>
  <si>
    <t>BARRIGA GARCIA URBANO</t>
  </si>
  <si>
    <t>SOTO PULIDO JESUS</t>
  </si>
  <si>
    <t>PADILLA VELAZQUEZ SALVADOR</t>
  </si>
  <si>
    <t>RODRIGUEZ GARCIA NANCY YULIANA</t>
  </si>
  <si>
    <t>ESPINOZA RAMIREZ ENRIQUE</t>
  </si>
  <si>
    <t>REYES CASTRO JOSE ANTONIO</t>
  </si>
  <si>
    <t>GARCIA HUERTA SAMUEL</t>
  </si>
  <si>
    <t>TEJEDA ANSELMO JESUS</t>
  </si>
  <si>
    <t>GARCIA ORNELAS HECTOR JAVIER</t>
  </si>
  <si>
    <t>MARTINEZ ESPIRITU DAVID</t>
  </si>
  <si>
    <t>ESPIRITU COYOTE ALFREDO</t>
  </si>
  <si>
    <t>GUERRERO ROMO LUIS MANUEL</t>
  </si>
  <si>
    <t>QUIÑONEZ RODRIGUEZ FRANCISCO JAVIER</t>
  </si>
  <si>
    <t>HERNANDEZ ESTRADA ISIDRO</t>
  </si>
  <si>
    <t>QUIÑONES RODRIGUEZ JUAN JOSE</t>
  </si>
  <si>
    <t>TERAN PARRAL JOSE LUCIANO</t>
  </si>
  <si>
    <t>MARMOLEJO FLORES ARMANDO</t>
  </si>
  <si>
    <t>JUSTO VALLEJO SAUL</t>
  </si>
  <si>
    <t>RUIZ CEJA JOSE DE JESUS</t>
  </si>
  <si>
    <t>BIBIAN GARCIA JULIO CESAR</t>
  </si>
  <si>
    <t>DIAZ ESPARZA LUIS ALBERTO</t>
  </si>
  <si>
    <t>MARTINEZ MARTINEZ SERGIO JAIME</t>
  </si>
  <si>
    <t>ROMO GODOY JOSE ANTONIO</t>
  </si>
  <si>
    <t>CASTRO RENDON ALEJANDRO</t>
  </si>
  <si>
    <t>RAMOS PONCE OMAR</t>
  </si>
  <si>
    <t>MURGUIA NARANJO JULIO CESAR</t>
  </si>
  <si>
    <t>GONZALEZ GUTIERREZ ARMANDO</t>
  </si>
  <si>
    <t>LOPEZ AGUILAR ALFONSO</t>
  </si>
  <si>
    <t>INFANTE PINTO JUAN CARLOS</t>
  </si>
  <si>
    <t>HERNANDEZ VILLANUEVA DARIO</t>
  </si>
  <si>
    <t>GUERRERO ROMO JOSE GUADALUPE</t>
  </si>
  <si>
    <t>LOPEZ GOMEZ GUSTAVO JAVIER</t>
  </si>
  <si>
    <t>PATIÑO CARDENAS RAMCES ISAI</t>
  </si>
  <si>
    <t>HERNANDEZ GONZALEZ FERNANDO</t>
  </si>
  <si>
    <t xml:space="preserve">DEL REAL ORTIZ LUIS ALBERTO </t>
  </si>
  <si>
    <t>ZARATE CORTES JOSE DE JESUS</t>
  </si>
  <si>
    <t>MARTINEZ CASTILLO BENITO</t>
  </si>
  <si>
    <t>ANGEL VALENCIA JESUS ROBERTO</t>
  </si>
  <si>
    <t>RODRIGUEZ SANCHEZ JUAN ANTONIO</t>
  </si>
  <si>
    <t>RAMIREZ RODRIGUEZ JOSE DE JESUS</t>
  </si>
  <si>
    <t>SANCHEZ FLORES JESUS</t>
  </si>
  <si>
    <t>CASTAÑON HERNANDEZ JOSE MANUEL</t>
  </si>
  <si>
    <t>ACHUTEGUI CORTEZ RIGOBERTO</t>
  </si>
  <si>
    <t>ACHUTEGUI CORTEZ CORNELIO</t>
  </si>
  <si>
    <t>JIMENEZ VELAZQUEZ JOSE DE JESUS</t>
  </si>
  <si>
    <t>GARCIA PEREZ PABLO</t>
  </si>
  <si>
    <t>MARQUEZ GONZALEZ GERARDO</t>
  </si>
  <si>
    <t>ACHUTIGUI FLORES JUAN MARTIN</t>
  </si>
  <si>
    <t>MADRIGAL RUELAS RAUL</t>
  </si>
  <si>
    <t>HERNANDEZ LLAMAS JOSE MANUEL</t>
  </si>
  <si>
    <t>ESPINOZA HERNANDEZ FRANCISCO JAVIER</t>
  </si>
  <si>
    <t>MONROY ALATORRE CESAR</t>
  </si>
  <si>
    <t>GARCIA REAL GUILLERMO</t>
  </si>
  <si>
    <t>CASTAÑON HERNANDEZ EUTIMIO</t>
  </si>
  <si>
    <t>CASTAÑON CORONA MARCO ANTONIO</t>
  </si>
  <si>
    <t>HUERTA RAZO ALBERTO ERNESTO</t>
  </si>
  <si>
    <t>ALDAMA HERNANDEZ JUAN MARTIN</t>
  </si>
  <si>
    <t>MORALES ROJAS SIMON</t>
  </si>
  <si>
    <t>MORALES MONSIVAIS JOSE</t>
  </si>
  <si>
    <t>MORALES MONSIVAIS FROILAN</t>
  </si>
  <si>
    <t>PONCE PONCE RAUL</t>
  </si>
  <si>
    <t>MONSIVAIS RIVERA JOSE LUIS</t>
  </si>
  <si>
    <t>CISNEROS ESTRADA SALVADOR</t>
  </si>
  <si>
    <t>TEJEDA JIMENEZ PEDRO</t>
  </si>
  <si>
    <t>CISNEROS AVALOS ISRAEL</t>
  </si>
  <si>
    <t>TEJEDA JIMENEZ SANTIAGO</t>
  </si>
  <si>
    <t>BAUTISTA GRIMALDO JUAN PABLO</t>
  </si>
  <si>
    <t>TEJEDA JIMENEZ JOSE REYES</t>
  </si>
  <si>
    <t>GUZMAN LAVEAGA ROBERTO ARMANDO</t>
  </si>
  <si>
    <t>BARRAGAN FLORES RUBEN</t>
  </si>
  <si>
    <t>ESCOBEDO GARCIA HERIBERTO</t>
  </si>
  <si>
    <t>GUERRERO PEREZ MARCELINO</t>
  </si>
  <si>
    <t>DE LA PAZ CALVARIO ISIDRO</t>
  </si>
  <si>
    <t>DE LA PAZ CALVARIO SEBASTIAN</t>
  </si>
  <si>
    <t>MURILLO VARGAS VICTOR ARMANDO</t>
  </si>
  <si>
    <t>LUEVANO MUÑOZ RICARDO MARTIN</t>
  </si>
  <si>
    <t>CASTILLO PADILLA JORGE</t>
  </si>
  <si>
    <t>BARRAGAN BARRAGAN MARCO ANTONIO</t>
  </si>
  <si>
    <t>GUERRERO CHÁVEZ JUAN DANIEL</t>
  </si>
  <si>
    <t>RAMOS ALBA AMADEO</t>
  </si>
  <si>
    <t>SANTOS HERNANDEZ JESUS</t>
  </si>
  <si>
    <t>RANGEL BARCENAS MANUEL</t>
  </si>
  <si>
    <t>PEREZ DE LA CRUZ BARTOLO</t>
  </si>
  <si>
    <t>PEREZ DE LA CRUZ FELIPE</t>
  </si>
  <si>
    <t>DELGADO TERAN LUIS ALBERTO</t>
  </si>
  <si>
    <t>CASTILLO RAMIREZ ISIDRO</t>
  </si>
  <si>
    <t>POLA DE LA CRUZ EMIR AVIUT</t>
  </si>
  <si>
    <t>SANCHEZ SERRANO FRANCISCO JAVIER</t>
  </si>
  <si>
    <t>PIÑA CALZADA JESUS</t>
  </si>
  <si>
    <t>CASTAÑON HERNANDEZ RAFAEL</t>
  </si>
  <si>
    <t>LOPEZ LOPEZ MIGUEL ANGEL</t>
  </si>
  <si>
    <t>OCAMPO MUÑOZ JAVIER</t>
  </si>
  <si>
    <t>PEREZ CRUZ RICARDO</t>
  </si>
  <si>
    <t>ESPARZA PATIÑO JOSUE</t>
  </si>
  <si>
    <t>GOMEZ CASTILLO JOSE GUADALUPE</t>
  </si>
  <si>
    <t>SANTOS MARTINEZ EUSEBIO</t>
  </si>
  <si>
    <t>LUNA MEZA MARTIN</t>
  </si>
  <si>
    <t>CASTILLO RAMIREZ PRISCILIANO</t>
  </si>
  <si>
    <t>GALVAN MARTINEZ FRANCISCO JAVIER</t>
  </si>
  <si>
    <t>RODRIGUEZ LAMAS ESAUL</t>
  </si>
  <si>
    <t>ESCOBEDO RAMIREZ JUAN RAMON</t>
  </si>
  <si>
    <t>MARTINEZ GUZMAN GERARDO</t>
  </si>
  <si>
    <t>MILAN RICO FABIAN</t>
  </si>
  <si>
    <t>CALDERON WALTER</t>
  </si>
  <si>
    <t>GARCIA SILVERIO JOSE ANGEL</t>
  </si>
  <si>
    <t>GARCIA SILVERIO LUIS ALEJANDRO</t>
  </si>
  <si>
    <t>BECERRA NAVARRO JESUS HERNAN</t>
  </si>
  <si>
    <t>DELGADO TERAN LUIS ENRIQUE</t>
  </si>
  <si>
    <t>ESCOBEDO AYALA JUAN RAMON</t>
  </si>
  <si>
    <t>LEDESMA SOSA ROQUE</t>
  </si>
  <si>
    <t>PINEDA SUAREZ JORGE</t>
  </si>
  <si>
    <t>PINEDA SUAREZ JUAN MANUEL</t>
  </si>
  <si>
    <t>MONJARAZ FLORES ISMAEL</t>
  </si>
  <si>
    <t>GOMEZ ARRIAGA PEDRO</t>
  </si>
  <si>
    <t>GARCIA J. JESUS</t>
  </si>
  <si>
    <t>ROMERO RAMIREZ MANUEL</t>
  </si>
  <si>
    <t>MARTINEZ HERNANDEZ OMAR FERNANDO</t>
  </si>
  <si>
    <t>HUIZAR ANDRADE OSCAR</t>
  </si>
  <si>
    <t>PADILLA MUÑOZ JOSE GUADALUPE</t>
  </si>
  <si>
    <t>LEDEZMA SUAREZ JOSE GUADALUPE</t>
  </si>
  <si>
    <t>ESCOBEDO RAMIREZ JOSE DE JESUS</t>
  </si>
  <si>
    <t>ALCALA GARCIA ANTONIO</t>
  </si>
  <si>
    <t>ZAMUDIO LARA CESAR OMAR</t>
  </si>
  <si>
    <t>SUSTAYTA CARRANZA JOSE MARTIN</t>
  </si>
  <si>
    <t>DE LA CRUZ CISNEROS RAMON</t>
  </si>
  <si>
    <t>HERNANDEZ GUZMAN JUAN ALBERTO</t>
  </si>
  <si>
    <t>MARTINEZ REYES JOSE TRINIDAD</t>
  </si>
  <si>
    <t>MONTERO CRUZ MARCO ANTONIO</t>
  </si>
  <si>
    <t>BOBADILLA PARTIDA ANTONIO</t>
  </si>
  <si>
    <t>ESPARZA LOPEZ FRANCISCO</t>
  </si>
  <si>
    <t>HERNANDEZ FLORES EDGAR</t>
  </si>
  <si>
    <t>VAZQUEZ GOMEZ JOSE SALVADOR</t>
  </si>
  <si>
    <t>GUZMAN BARAJAS ISRAEL</t>
  </si>
  <si>
    <t>SANCHEZ RESENDIZ VICTOR FERNANDO</t>
  </si>
  <si>
    <t>REYES VILLAGRANA ALFREDO</t>
  </si>
  <si>
    <t>GUZMAN SOBREVILLA JOSE JULIAN</t>
  </si>
  <si>
    <t>ENRIQUEZ RAMIREZ FRANCISCO JAVIER</t>
  </si>
  <si>
    <t>GOMEZ HERNANDEZ JESUS OMAR</t>
  </si>
  <si>
    <t>BARBOSA BERNAL JUAN DIEGO</t>
  </si>
  <si>
    <t>CURIEL MARTINEZ SERGIO</t>
  </si>
  <si>
    <t>JIMENEZ DIAZ JAVIER</t>
  </si>
  <si>
    <t>HERNANDEZ DIAZ ALEJANDRO</t>
  </si>
  <si>
    <t>GAMBOA PADRON CARLOS</t>
  </si>
  <si>
    <t>QUIÑONES GARCIA ALEJANDRO</t>
  </si>
  <si>
    <t>VARGAS BAÑUELOS NATIVIDAD</t>
  </si>
  <si>
    <t>VAZQUEZ MANZO JOSE ALFREDO</t>
  </si>
  <si>
    <t>GARCIA MURILLO FRANCISCO</t>
  </si>
  <si>
    <t>DE LOS SANTOS GUADALUPE</t>
  </si>
  <si>
    <t>DE LOS SANTOS XILONZOCHITL IGNACIO</t>
  </si>
  <si>
    <t>DE LOS SANTOS XILONZOCHITL CARLOS</t>
  </si>
  <si>
    <t>HERNANDEZ MEJIA MIGUEL ALEJANDRO</t>
  </si>
  <si>
    <t>MEZA RODRÍGUEZ ANTONIO</t>
  </si>
  <si>
    <t>JIMÉNEZ CARRILLO JOSÉ LUIS</t>
  </si>
  <si>
    <t>DE LOS SANTOS XILONZOCHITL HUGO ENRIQUE</t>
  </si>
  <si>
    <t>CRUZ GARCIA DELFINO SAUL</t>
  </si>
  <si>
    <t>OROPEZA SANTILLAN ALFREDO</t>
  </si>
  <si>
    <t>OROPEZA RODRIGUEZ LUIS EDUARDO</t>
  </si>
  <si>
    <t>DE LOS SANTOS XILONZOCHILT IVAN</t>
  </si>
  <si>
    <t>HERNANDEZ GUZMAN ROBERTO CARLOS</t>
  </si>
  <si>
    <t>JIMÉNEZ CARRILLO JAVIER</t>
  </si>
  <si>
    <t>HERNANDEZ HERNANDEZ JORGE</t>
  </si>
  <si>
    <t>RODRIGUEZ SEPULVEDA JOSE JUAN</t>
  </si>
  <si>
    <t>ESCOBEDO ROSALES JOSE DE JESUS</t>
  </si>
  <si>
    <t>CASTILLO VALENCIA GERARDO</t>
  </si>
  <si>
    <t>HERNANDEZ SILVA RIGOBERTO</t>
  </si>
  <si>
    <t>BERNAL MENDEZ RAMON</t>
  </si>
  <si>
    <t>SOTO PULIDO IGNACIO</t>
  </si>
  <si>
    <t>FLORES SAUCEDO CARLOS ALBERTO</t>
  </si>
  <si>
    <t>GOMEZ SONORA J. VENTURA</t>
  </si>
  <si>
    <t>GOMEZ SONORA JUAN RAMON</t>
  </si>
  <si>
    <t>DE LOS SANTOS XILONZOCHITL EDGAR</t>
  </si>
  <si>
    <t>NUÑEZ ARGUMEDO SALVADOR</t>
  </si>
  <si>
    <t>VAZQUEZ GOMEZ JOSE ROBERTO</t>
  </si>
  <si>
    <t>GUZMAN YAÑEZ VICENTE</t>
  </si>
  <si>
    <t>NAVARRO HUERTA LUIS ALBERTO</t>
  </si>
  <si>
    <t>ALONSO NORIEGA TERESO</t>
  </si>
  <si>
    <t>ALONSO MARTINEZ OSCAR</t>
  </si>
  <si>
    <t>TOSTADO OROPEZA RIGOBERTO</t>
  </si>
  <si>
    <t>GUZMAN HERNANDEZ JESUS</t>
  </si>
  <si>
    <t>LOMELI AVILA ANDRES</t>
  </si>
  <si>
    <t>MARTINEZ BRISEÑO RICARDO</t>
  </si>
  <si>
    <t>RAMIREZ FUENTES ALAN CUAUHTEMOC</t>
  </si>
  <si>
    <t>VAZQUEZ ANDRADE JUAN DIEGO</t>
  </si>
  <si>
    <t>PADILLA COVARRUBIAS PABLO</t>
  </si>
  <si>
    <t>PADILLA COVARRUBIAS DANIEL ALEJANDRO</t>
  </si>
  <si>
    <t>NAVARRETE MEZA JORGE ANTONIO</t>
  </si>
  <si>
    <t>GALVAN VELAZQUEZ JORGE</t>
  </si>
  <si>
    <t>RAMIREZ JAIME MANUEL DE JESUS</t>
  </si>
  <si>
    <t>MARTINEZ HERNANDEZ JOSE LUIS</t>
  </si>
  <si>
    <t>ROSALES GARCIA SALVADOR</t>
  </si>
  <si>
    <t>GUZMAN GONZALEZ ERNESTO</t>
  </si>
  <si>
    <t>HERRERA RENTERIA ELIAS FERNANDO</t>
  </si>
  <si>
    <t>RODRIGUEZ IBARRA DAVID</t>
  </si>
  <si>
    <t>VAZQUEZ GUERRA JOSE PASCUAL</t>
  </si>
  <si>
    <t>GOMEZ ORTIZ JOSE MAURICIO</t>
  </si>
  <si>
    <t>MENDOZA MARTIN FERNANDO</t>
  </si>
  <si>
    <t>IBARRA SANTOS VICENTE</t>
  </si>
  <si>
    <t>GARCIA LUNA JORGE LUIS</t>
  </si>
  <si>
    <t>NORIEGA GUTIERREZ JULIAN</t>
  </si>
  <si>
    <t>NORIEGA GONZALEZ JOSE MARIO</t>
  </si>
  <si>
    <t>NORIEGA GONZALEZ JOSE SABINO</t>
  </si>
  <si>
    <t>MIRANDA ALCARAZ JUAN MANUEL</t>
  </si>
  <si>
    <t>DE ANDA LUNA INES</t>
  </si>
  <si>
    <t>GONZALEZ CRUZ JOSE NARCIZO</t>
  </si>
  <si>
    <t>NUÑEZ OLMEDA JUAN MIGUEL</t>
  </si>
  <si>
    <t>GARCIA GOMEZ JOSE LUIS</t>
  </si>
  <si>
    <t>JARAMILLO PEÑA BERNARDO</t>
  </si>
  <si>
    <t>RAMIREZ FLORES RICARDO</t>
  </si>
  <si>
    <t>OLIVA RUIZ FRANCISCO</t>
  </si>
  <si>
    <t>AGUILAR PEREZ JOSE DE JESUS</t>
  </si>
  <si>
    <t>AGUILAR PEREZ ANGEL</t>
  </si>
  <si>
    <t>GARCIA VILLALOBOS JUAN FELIPE</t>
  </si>
  <si>
    <t>LARA VILLALOBOS PAUL EUGENIO</t>
  </si>
  <si>
    <t>GARCIA LUNA JULIO CESAR</t>
  </si>
  <si>
    <t>AGUILAR SANCHEZ LUIS ANGEL</t>
  </si>
  <si>
    <t>AGUILAR SANCHEZ JOSE CATARINO</t>
  </si>
  <si>
    <t>RODRIGUEZ SANCHEZ CHRISTIAN</t>
  </si>
  <si>
    <t>SANCHEZ GUERRA JUAN LUIS</t>
  </si>
  <si>
    <t>GARCIA MORENO RICARDO</t>
  </si>
  <si>
    <t>ESCOBEDO GOMEZ MIGUEL ANGEL</t>
  </si>
  <si>
    <t>ANTIMO JORGE</t>
  </si>
  <si>
    <t>TORRES RODRIGUEZ MANUEL</t>
  </si>
  <si>
    <t>DIAZ HERNANDEZ ADOLFO</t>
  </si>
  <si>
    <t>MARTÍNEZ DUEÑAS FRANCISCO</t>
  </si>
  <si>
    <t>GOMEZ TAPIA JOSE GUADALUPE</t>
  </si>
  <si>
    <t>HERNANDEZ OCEGUERA IVAN</t>
  </si>
  <si>
    <t>ROMERO HERRERA JOSE RAFAEL</t>
  </si>
  <si>
    <t>MONDRAGON HERRERA VICTOR ARMANDO</t>
  </si>
  <si>
    <t>RAMIREZ RODRIGUEZ VICTOR</t>
  </si>
  <si>
    <t>DOMINGUEZ CRUZ JOAQUIN</t>
  </si>
  <si>
    <t>ZAMBRANO MIRAMONTES JOSE MANUEL</t>
  </si>
  <si>
    <t>LOPEZ CRUZ SERGIO ANTONIO</t>
  </si>
  <si>
    <t>GODOY YERENA EDUARDO MANUEL</t>
  </si>
  <si>
    <t>CASTAÑEDA CASTILLO ARTURO</t>
  </si>
  <si>
    <t>VALENTIN HERRERA JOSE MANUEL</t>
  </si>
  <si>
    <t>TERAN IBARRA VICTOR RAUL</t>
  </si>
  <si>
    <t>SANCHEZ OROZCO ARTURO</t>
  </si>
  <si>
    <t>CORTEZ CAMACHO OSCAR</t>
  </si>
  <si>
    <t>SOLORIO RODRIGUEZ JOSE ADAN</t>
  </si>
  <si>
    <t>GOMEZ VALDIVIA GERARDO</t>
  </si>
  <si>
    <t>GONZALEZ FLORES JORGE OMAR</t>
  </si>
  <si>
    <t>PIÑUELAS AGUIRRE LUIS ALBERTO</t>
  </si>
  <si>
    <t>RAMIREZ ESQUEDA JOSE DE JESUS</t>
  </si>
  <si>
    <t>MORALES MONSIVAIS SIMON</t>
  </si>
  <si>
    <t>ALFARO VAZQUEZ LUIS ALONSO</t>
  </si>
  <si>
    <t>RAMIREZ GORDILLO GABRIEL MIGUEL</t>
  </si>
  <si>
    <t>GARCIA CASTAÑEDA ZENON</t>
  </si>
  <si>
    <t>TORRES VAZQUEZ CESAR</t>
  </si>
  <si>
    <t>AGUILAR FLORES JUAN MANUEL</t>
  </si>
  <si>
    <t>BARAJAS VENEGAS MARCOS DAVID</t>
  </si>
  <si>
    <t>RENTERIA ENRIQUEZ ESTEBAN</t>
  </si>
  <si>
    <t>DOMINGUEZ RUEDA MANUEL DE JESUS</t>
  </si>
  <si>
    <t>DELGADO GONZALEZ JUAN MARTIN</t>
  </si>
  <si>
    <t>ZAVALA RUIZ BENITO</t>
  </si>
  <si>
    <t>GUTIERREZ CARVAJAL GABRIEL</t>
  </si>
  <si>
    <t>HERNANDEZ SANCHEZ GREGORIO</t>
  </si>
  <si>
    <t>CEDANO HERNANDEZ ALEJANDRO GIOVANI</t>
  </si>
  <si>
    <t>BRAMBILA NEGRETE ROBERTO CARLOS</t>
  </si>
  <si>
    <t>GUZMAN APARICIO MARCOS JOSUE</t>
  </si>
  <si>
    <t>PAREDES LOZA EDUARDO</t>
  </si>
  <si>
    <t>MALDONADO FLORES JOSE GUADALUPE</t>
  </si>
  <si>
    <t>CARRILLO LOPEZ FRANCISCO JAVIER</t>
  </si>
  <si>
    <t>SONORA PALOMINO RAUL</t>
  </si>
  <si>
    <t>VILLALOBOS CARBAJAL JOSE</t>
  </si>
  <si>
    <t>AMEZCUA ALANIS JONATHAN EFREN</t>
  </si>
  <si>
    <t>OCEGUEDA PEREZ GUILLERMO</t>
  </si>
  <si>
    <t>RANGEL HERNANDEZ JOSE LUZ</t>
  </si>
  <si>
    <t>HERNANDEZ SOTO JUAN GERARDO</t>
  </si>
  <si>
    <t>HERNANDEZ SOTO JOSE ALBERTO</t>
  </si>
  <si>
    <t>GARCIA LOPEZ GILBERTO</t>
  </si>
  <si>
    <t>CARRILLO GAUCIN BENJAMIN</t>
  </si>
  <si>
    <t>MURGUIA CHAVEZ SAUL</t>
  </si>
  <si>
    <t>CARRILLO MURGUIA JUAN JOSE</t>
  </si>
  <si>
    <t>GUTIERREZ DELGADILLO ABRAHAM MANUEL</t>
  </si>
  <si>
    <t>SANCHEZ SALAS JORGE</t>
  </si>
  <si>
    <t>FLORES IBARRA PABLO</t>
  </si>
  <si>
    <t>FLORES SAINZ GUADALUPE ALEJANDRO</t>
  </si>
  <si>
    <t>FLORES SAÉNZ JOSÉ LUIS</t>
  </si>
  <si>
    <t>LUJANO PÉREZ JOSÉ ANTONIO</t>
  </si>
  <si>
    <t>PORTILLO NAVA GUSTAVO</t>
  </si>
  <si>
    <t>GONZALEZ MALDONADO HECTOR MANUEL</t>
  </si>
  <si>
    <t>BECERRA CHAVEZ JOSE LUIS</t>
  </si>
  <si>
    <t>ALVAREZ RODRIGUEZ ARTURO</t>
  </si>
  <si>
    <t>CARDENAS PIZANO FRANCISCO</t>
  </si>
  <si>
    <t>HERNANDEZ MARTINEZ MARTIN</t>
  </si>
  <si>
    <t>RUVALCABA RUIZ JOSE</t>
  </si>
  <si>
    <t>RUVALCABA BARRIOS JOSE DE JESUS</t>
  </si>
  <si>
    <t>REYES FRAUSTO JOSE MANUEL</t>
  </si>
  <si>
    <t>MARTINEZ HERNANDEZ SALVADOR</t>
  </si>
  <si>
    <t>PADILLA COVARRUBIAS ISRAEL</t>
  </si>
  <si>
    <t>RENTERÍA GARCÍA RODOLFO</t>
  </si>
  <si>
    <t>GARCÍA PARRA JOSÉ ARTURO</t>
  </si>
  <si>
    <t>MEJIA GUTIERREZ FIDENCIO</t>
  </si>
  <si>
    <t>MEJIA ESQUIVEL ALEJANDRO</t>
  </si>
  <si>
    <t>MACIAS TOVAR NOE</t>
  </si>
  <si>
    <t>NUÑEZ OROZCO HUMBERTO</t>
  </si>
  <si>
    <t>ORTEGA REYES AMADO</t>
  </si>
  <si>
    <t>ARAUJO RAMIREZ ROMEO</t>
  </si>
  <si>
    <t>RODRIGUEZ CASTREJON ANGEL</t>
  </si>
  <si>
    <t>MARES DE JESUS ISMAEL</t>
  </si>
  <si>
    <t>ENCISO MARES LUIS ANGEL</t>
  </si>
  <si>
    <t>ENCISO MARES PEDRO</t>
  </si>
  <si>
    <t>RAMOS OLIVEROS PEDRO</t>
  </si>
  <si>
    <t>TOVAR GARCIA JUAN CARLOS</t>
  </si>
  <si>
    <t>MADRIGAL MOLINA ANGEL</t>
  </si>
  <si>
    <t>CHAVEZ BARAJAS HECTOR TOMAS</t>
  </si>
  <si>
    <t>PIMENTEL NUÑEZ GUILLERMO</t>
  </si>
  <si>
    <t>CALDELA ALBERTO ROGELIO</t>
  </si>
  <si>
    <t>RODRIGUEZ VILLALOBOS JOSE</t>
  </si>
  <si>
    <t>MOLINA VILLALOBOS ARMANDO</t>
  </si>
  <si>
    <t>FLORES SAINZ JESUS MANUEL</t>
  </si>
  <si>
    <t>SANCHEZ BOLAÑOS JOEL MARIO</t>
  </si>
  <si>
    <t>PIÑA CALZADA JOSE MARIA</t>
  </si>
  <si>
    <t>LOPEZ MARTINEZ MARGARITO</t>
  </si>
  <si>
    <t>CRISTOBAL PAZ NEFTALI</t>
  </si>
  <si>
    <t>MARES DE JESUS DANIEL</t>
  </si>
  <si>
    <t>GOMEZ RIOS REMIGIO</t>
  </si>
  <si>
    <t>OROPEZA ROMO JUAN CARLOS</t>
  </si>
  <si>
    <t>MARTINEZ DUEÑAS JUAN EDUARDO</t>
  </si>
  <si>
    <t>MEZA ABOYTE CRISTOBAL</t>
  </si>
  <si>
    <t>SALAS ROJAS LUIS EDUARDO</t>
  </si>
  <si>
    <t>SOLIS ARROYO JOSE DE JESUS</t>
  </si>
  <si>
    <t>ELVIRA GARCIA RICARDO</t>
  </si>
  <si>
    <t>RENTERIA ENRIQUEZ ROGELIO</t>
  </si>
  <si>
    <t>FLORES BARRAGAN ROGELIO</t>
  </si>
  <si>
    <t>INFANTE ZENTENO FRANCISCO</t>
  </si>
  <si>
    <t>MEZA ABOYTE EDUARDO</t>
  </si>
  <si>
    <t>INFANTE RAMÍREZ PABLO GABRIEL</t>
  </si>
  <si>
    <t>MORA ROMO ERNESTO</t>
  </si>
  <si>
    <t>PEREZ PEDRAZA CESAR ADAN</t>
  </si>
  <si>
    <t>AGUILAR SERNA JOSE GERARDO</t>
  </si>
  <si>
    <t>FLORES ÁVILA TEODORO</t>
  </si>
  <si>
    <t>INFANTE VILLALON SALOMON</t>
  </si>
  <si>
    <t>INFANTE ZENTENO RICARDO</t>
  </si>
  <si>
    <t>RANGEL ALCALA JUAN CARLOS</t>
  </si>
  <si>
    <t>ESTRADA CAMACHO CHRISTIAN ADRIAN</t>
  </si>
  <si>
    <t>ZENTENO SAUCEDO SERGIO</t>
  </si>
  <si>
    <t>MARES DE JESUS MARTIN</t>
  </si>
  <si>
    <t>ZERMEÑO CANO JUAN</t>
  </si>
  <si>
    <t>MARES PEREZ DAVID</t>
  </si>
  <si>
    <t>ALONSO TOSCANO JUAN CARLOS</t>
  </si>
  <si>
    <t>ZERMEÑO SAUCEDO FELIPE</t>
  </si>
  <si>
    <t>GRAJEDA GOMEZ JUAN ANTONIO</t>
  </si>
  <si>
    <t>HERNANDEZ CHAVEZ MIGUEL ANGEL</t>
  </si>
  <si>
    <t>MORA ROMO RODOLFO</t>
  </si>
  <si>
    <t>PEREZ GUZMAN NOE</t>
  </si>
  <si>
    <t>MARES DE JESUS FILIBERTO</t>
  </si>
  <si>
    <t>ECHEVERRIA ROSAS JOSE MANUEL</t>
  </si>
  <si>
    <t>MARTINEZ PEREZ RODOLFO</t>
  </si>
  <si>
    <t>REYNA PEDRAZA JORGE EDUARDO</t>
  </si>
  <si>
    <t>SEVILLA LOPEZ JOSE</t>
  </si>
  <si>
    <t>MARES DE JESUS LORENZO</t>
  </si>
  <si>
    <t>SEVILLA MARES LUIS MIGUEL</t>
  </si>
  <si>
    <t>NAJAR MARISCAL VICTOR MANUEL</t>
  </si>
  <si>
    <t>VILLALOBOS RODRIGUEZ ISMAEL</t>
  </si>
  <si>
    <t>ENRIQUEZ XILONZOCHILT JUAN</t>
  </si>
  <si>
    <t>LOPEZ MARTINEZ JOSE ASUNCION</t>
  </si>
  <si>
    <t>PEREZ MARTINEZ SERGIO</t>
  </si>
  <si>
    <t>SANCHEZ NUÑEZ AGUSTIN</t>
  </si>
  <si>
    <t>BORRAYO URIBE GUILLERMO</t>
  </si>
  <si>
    <t>ALBA AGUILAR FABIAN</t>
  </si>
  <si>
    <t>MEJIA ESQUIVEL JOSE DE JESUS</t>
  </si>
  <si>
    <t>NAJAR MARISCAL JAIME</t>
  </si>
  <si>
    <t>SANCHEZ CERVANTES JUAN ANTONIO</t>
  </si>
  <si>
    <t>HERNANDEZ REYES JUAN ANTONIO</t>
  </si>
  <si>
    <t>HERNANDEZ REYES JOSE DE JESUS</t>
  </si>
  <si>
    <t>RODRIGUEZ ESTRADA ELICEO</t>
  </si>
  <si>
    <t>BARRERA HERNÁNDEZ JOSÉ GUSTAVO</t>
  </si>
  <si>
    <t>SANCHEZ GONZALEZ MANUEL</t>
  </si>
  <si>
    <t>BRAVO AGUIRRE FAUSTINO</t>
  </si>
  <si>
    <t>DORADO CERVANTES ALEJO</t>
  </si>
  <si>
    <t>MORENO MORENO MARIO</t>
  </si>
  <si>
    <t>OROZCO GONZALEZ DANIEL ALEJANDRO</t>
  </si>
  <si>
    <t>MARTIN MUÑOZ ALEJANDRO</t>
  </si>
  <si>
    <t>OCHOA CONTRERAS ROBERTO</t>
  </si>
  <si>
    <t>ORTIZ GUTIERREZ CELSO</t>
  </si>
  <si>
    <t>SANCHEZ HERNANDEZ JOSE ULISES</t>
  </si>
  <si>
    <t>OLMOS MORA DAVID ALEJANDRO</t>
  </si>
  <si>
    <t>SALAZAR GARCIA RAUL GUADALUPE</t>
  </si>
  <si>
    <t>PEREZ GONZALEZ JESUS</t>
  </si>
  <si>
    <t>LOPEZ PEREZ GUADALUPE ARMANDO</t>
  </si>
  <si>
    <t>CERVANTES LOPEZ LUIS ENRIQUE</t>
  </si>
  <si>
    <t>RODRIGUEZ CASTREJON FELIPE</t>
  </si>
  <si>
    <t>MENDOZA BARCENAS GUILLERMO</t>
  </si>
  <si>
    <t>ENRIQUEZ MENDOZA JOSE REFUGIO</t>
  </si>
  <si>
    <t>ENRIQUEZ SANCHEZ JORGE OMAR</t>
  </si>
  <si>
    <t>ENRIQUEZ SANCHEZ CARLOS</t>
  </si>
  <si>
    <t>BARRAGAN LAZCANO JUAN RICARDO</t>
  </si>
  <si>
    <t>MEZA ALCALA JAIME</t>
  </si>
  <si>
    <t>MENDOZA GOMEZ SERGIO ALBERTO</t>
  </si>
  <si>
    <t>LOPEZ MARTINEZ LUIS ALBERTO</t>
  </si>
  <si>
    <t>RIVERA COVARRUBIAS JOSE FERNANDO</t>
  </si>
  <si>
    <t>JIMENEZ GONZALEZ JOSE GUADALUPE</t>
  </si>
  <si>
    <t>ROMO OROPEZA MARTIN</t>
  </si>
  <si>
    <t>JUAREZ RODRIGUEZ RAMIRO</t>
  </si>
  <si>
    <t>OROPEZA ROMO JOSE ADAN</t>
  </si>
  <si>
    <t>FREGOSO MORAN SERGIO</t>
  </si>
  <si>
    <t>GUERRERO RAMIREZ JUAN</t>
  </si>
  <si>
    <t>GUERRERO RAMIREZ ADOLFO</t>
  </si>
  <si>
    <t>HERNANDEZ RAMOS UBALDO</t>
  </si>
  <si>
    <t>HERNANDEZ REYNOSO UVALDO</t>
  </si>
  <si>
    <t>VAZQUEZ GOMEZ LUIS FENIMOOR</t>
  </si>
  <si>
    <t>SANCHEZ TORRES JUAN</t>
  </si>
  <si>
    <t>DIAZ GARCIA ADOLFO RAFAEL</t>
  </si>
  <si>
    <t>TOLENTINO DAVALOS PABLO</t>
  </si>
  <si>
    <t>RAMIREZ HERRERA RICARDO</t>
  </si>
  <si>
    <t>PEREZ VILLEGAS SIMPLICIO</t>
  </si>
  <si>
    <t>RIVERA ALVARADO GERARDO</t>
  </si>
  <si>
    <t>RAMIREZ RAMEÑO RICARDO</t>
  </si>
  <si>
    <t>RIVERA AGUILAR GABRIEL ENRIQUE</t>
  </si>
  <si>
    <t>RODRIGUEZ PORRAS JOSE JUAN</t>
  </si>
  <si>
    <t>HARO GARCIA ABRAHAM</t>
  </si>
  <si>
    <t>LAMAS MONTES ROGELIO</t>
  </si>
  <si>
    <t>FUENTES AMBRIZ MISAEL</t>
  </si>
  <si>
    <t>CASILLAS RENTERIA JOSE MANUEL</t>
  </si>
  <si>
    <t>ESTRADA ALVAREZ HORACIO</t>
  </si>
  <si>
    <t>MEDINA LOZANO JOSE DE JESUS</t>
  </si>
  <si>
    <t>OLIDEN DOMINGUEZ ADRIAN</t>
  </si>
  <si>
    <t>LOPEZ FIGUEROA MANUEL</t>
  </si>
  <si>
    <t>RODRIGUEZ APOLONIO RENE</t>
  </si>
  <si>
    <t>GUZMAN SEGURA MIGUEL</t>
  </si>
  <si>
    <t>MARTINEZ MORENO CARLOS RODOLFO</t>
  </si>
  <si>
    <t>MORANDO ORTIZ MIGUEL</t>
  </si>
  <si>
    <t>ROSALES HERNANDEZ VICENTE</t>
  </si>
  <si>
    <t>ZAMORA RAMOS PEDRO</t>
  </si>
  <si>
    <t>PEREZ ROMERO ALEJANDRO</t>
  </si>
  <si>
    <t>MARISCAL JIMENEZ JOSE CARLOS</t>
  </si>
  <si>
    <t>ZAMORA MOGICA SAMUEL</t>
  </si>
  <si>
    <t>ZAMORA MOGICA HUMBERTO</t>
  </si>
  <si>
    <t>PALACIOS CAMPOS MARCO ANTONIO</t>
  </si>
  <si>
    <t>RAMOS ORTIGOZA AMANCIO</t>
  </si>
  <si>
    <t>HERNANDEZ RAMIREZ SERGIO</t>
  </si>
  <si>
    <t>RODRIGUEZ APOLONIO VICTOR MANUEL</t>
  </si>
  <si>
    <t>OCHOA LOZANO RUBEN</t>
  </si>
  <si>
    <t>GOMEZ MARQUEZ JOSE CARLOS</t>
  </si>
  <si>
    <t>PALAFOX JUAREZ JOSUE ALEJANDRO</t>
  </si>
  <si>
    <t>LOPEZ FIGUEROA PEDRO</t>
  </si>
  <si>
    <t>LOPEZ LOPEZ ENRIQUE</t>
  </si>
  <si>
    <t>MARTINEZ MARTINEZ TRINIDAD ARMANDO</t>
  </si>
  <si>
    <t>ALFERES VILLALOBOS JUAN CARLOS</t>
  </si>
  <si>
    <t>ZAMORA REYES ALEJANDRO</t>
  </si>
  <si>
    <t>PEREZ NUÑO JOSE MARIA</t>
  </si>
  <si>
    <t>MORANDO ORTIZ MARTIN</t>
  </si>
  <si>
    <t>REYES BALBINO FEDERICO</t>
  </si>
  <si>
    <t>REYES MARQUEZ JOSE LUIS</t>
  </si>
  <si>
    <t>CHAVEZ ALMADA DANIEL</t>
  </si>
  <si>
    <t>RESENDIZ OROZCO CARLOS ALBERTO</t>
  </si>
  <si>
    <t>RESENDIZ MACIAS JUAN MANUEL</t>
  </si>
  <si>
    <t>RESENDIZ OROZCO ERNESTO ALONSO</t>
  </si>
  <si>
    <t>PINTOR PATIÑO JUAN SALVADOR</t>
  </si>
  <si>
    <t>PEREZ ORTEGA ROBERTO</t>
  </si>
  <si>
    <t>PEREZ ORTEGA ADRIAN</t>
  </si>
  <si>
    <t>VILLALOBOS RODRIGUEZ JOSE INOCENCIO</t>
  </si>
  <si>
    <t>GAUCIN VILLALOBOS JORGE</t>
  </si>
  <si>
    <t>GAUCIN MORALES PEDRO</t>
  </si>
  <si>
    <t>GOMEZ PEREZ FILIBERTO</t>
  </si>
  <si>
    <t>ALBA REYES GABRIEL</t>
  </si>
  <si>
    <t>ALVARADO CORONA JOSE AMPELIO</t>
  </si>
  <si>
    <t>ALFERES BILLALOBOS ALBERTO</t>
  </si>
  <si>
    <t>MARTINEZ DUEÑAS RODOLFO</t>
  </si>
  <si>
    <t>ESPARZA GONZALEZ CESAR OCTAVIO</t>
  </si>
  <si>
    <t>ALFEREZ VILLALOBOS JORGE LUIS</t>
  </si>
  <si>
    <t>MORALES AMAYA RAFAEL</t>
  </si>
  <si>
    <t>ALBA REYES NICOLAS</t>
  </si>
  <si>
    <t>ALCALA GONZALEZ PEDRO</t>
  </si>
  <si>
    <t>ORTIZ ANDRADE JOSE EDUARDO</t>
  </si>
  <si>
    <t>AGUILAR JIMENEZ EMMANUEL</t>
  </si>
  <si>
    <t>BARRAGAN RAMEÑO JUAN ALBERTO</t>
  </si>
  <si>
    <t>PIMENTEL SOTO ROBERTO</t>
  </si>
  <si>
    <t>HERNANDEZ LEPE MARTIN</t>
  </si>
  <si>
    <t>HERNANDEZ LEPE OSCAR</t>
  </si>
  <si>
    <t>BELTRAN FUENTES MARIO ANTONIO</t>
  </si>
  <si>
    <t>DE LOS SANTOS MANJARRES ALBERTO</t>
  </si>
  <si>
    <t>SANCHEZ SAUCEDO MARCELO</t>
  </si>
  <si>
    <t>RENTERIA GARCIA JOSE MANUEL</t>
  </si>
  <si>
    <t>DE LA CRUZ ESTRADA SANTOS</t>
  </si>
  <si>
    <t>RENTERIA VEGA JOSE CRUZ</t>
  </si>
  <si>
    <t>MENDOZA ELVIRA JOSE LUIS</t>
  </si>
  <si>
    <t>MENDOZA MURILLO CARLOS</t>
  </si>
  <si>
    <t>ELVIRA JIMENEZ JOSE LUIS</t>
  </si>
  <si>
    <t>MARTÍNEZ ALAMILLA FERNANDO</t>
  </si>
  <si>
    <t>REYES ARCEO JUAN EDUARDO</t>
  </si>
  <si>
    <t>GALVAN VELAZQUEZ JOSE DE JESUS</t>
  </si>
  <si>
    <t>GALVAN MONTES JOSE DE JESUS</t>
  </si>
  <si>
    <t>VAZQUEZ SANCHEZ JOSE GUADALUPE</t>
  </si>
  <si>
    <t>VAZQUEZ DE LA PAZ ROBERTO</t>
  </si>
  <si>
    <t>GUZMAN DE LA PAZ DARIO</t>
  </si>
  <si>
    <t>NAVARRO VEGA JORGE</t>
  </si>
  <si>
    <t>SALAZAR RENTERIA EFRAIN</t>
  </si>
  <si>
    <t>REYES CORTES JUAN CARLOS</t>
  </si>
  <si>
    <t>CABRERA LEON EFRAIN</t>
  </si>
  <si>
    <t>OROZCO GUTIERREZ JOSE ERACLIO</t>
  </si>
  <si>
    <t>CABRERA LEON JAVIER ISAAC</t>
  </si>
  <si>
    <t>BERDUZCO SANCHEZ ENRIQUE</t>
  </si>
  <si>
    <t>REYES MARIN GREGORIO</t>
  </si>
  <si>
    <t>SAUCEDO TORRES MARTIN</t>
  </si>
  <si>
    <t>ENRIQUEZ PEREZ EDUARDO</t>
  </si>
  <si>
    <t>VIDRIO TLAXCALA OSCAR</t>
  </si>
  <si>
    <t>DIAZ AVALOS NORBERTO</t>
  </si>
  <si>
    <t>HERNANDEZ VAZQUEZ PEDRO JOSE</t>
  </si>
  <si>
    <t>DIAZ CRUZ GUADALUPE JAVIER</t>
  </si>
  <si>
    <t>SALAZAR RENTERIA JUAN RAMON</t>
  </si>
  <si>
    <t>RAMOS ALVARADO EDUARDO</t>
  </si>
  <si>
    <t>DIAZ MARTINEZ ENRIQUE</t>
  </si>
  <si>
    <t>CHAVEZ ORTEGA MARIO ALBERTO</t>
  </si>
  <si>
    <t>FLORES RODRIGUEZ ENRIQUE ALBERTO</t>
  </si>
  <si>
    <t>VEGA VELAZQUEZ HECTOR JAVIER</t>
  </si>
  <si>
    <t>VAZQUEZ HERNANDEZ JUAN JOSE</t>
  </si>
  <si>
    <t>OROPEZA VEGA BENJAMIN</t>
  </si>
  <si>
    <t>VEGA PEREZ FERNANDO</t>
  </si>
  <si>
    <t>GALARZA RAMOS CESAR</t>
  </si>
  <si>
    <t>MIRAMONTES VELAZQUEZ JOSE PEDRO</t>
  </si>
  <si>
    <t>HERNANDEZ SOTO JOEL</t>
  </si>
  <si>
    <t>SOLORIO CRUZ RAFAEL</t>
  </si>
  <si>
    <t>AGUIRRE CAMARENA JOSE ANTONIO</t>
  </si>
  <si>
    <t>RESENDIZ OROZCO OMAR ALEJANDRO</t>
  </si>
  <si>
    <t>MICHEL CARDONA DIONICIO JOAQUIN</t>
  </si>
  <si>
    <t>FLORES ALVIZO JOSE DE JESUS</t>
  </si>
  <si>
    <t>SANDOVAL RAMOS LUIS ALBERTO</t>
  </si>
  <si>
    <t>TOSTADO OROPEZA ARTURO</t>
  </si>
  <si>
    <t>TOSTADO OROPEZA JUAN</t>
  </si>
  <si>
    <t>RENTERIA VEGA JOSE CARLOS</t>
  </si>
  <si>
    <t>ESTRADA VAZQUEZ MIGUEL</t>
  </si>
  <si>
    <t>ALVARADO CORONA VICTOR</t>
  </si>
  <si>
    <t>HERNANDEZ SOTO URIEL</t>
  </si>
  <si>
    <t>BORRAYO NAVARRO FRANCISCO JAVIER</t>
  </si>
  <si>
    <t>URISTA FLORES FELIPE DE JESUS</t>
  </si>
  <si>
    <t>MURILLO HARO JOSE JUAN</t>
  </si>
  <si>
    <t>MENDOZA MURILLO JUAN ANTONIO</t>
  </si>
  <si>
    <t>CHAVEZ SANCHEZ DIEGO ARMANDO</t>
  </si>
  <si>
    <t>DIAZ PEREZ JOSE BALTAZAR</t>
  </si>
  <si>
    <t>HERNANDEZ HERNANDEZ J. JESUS</t>
  </si>
  <si>
    <t>SEGURA DIAZ OSCAR</t>
  </si>
  <si>
    <t>RIVERA ALVARADO GUSTAVO</t>
  </si>
  <si>
    <t>MICHEL CARDONA GABRIEL DE JESUS</t>
  </si>
  <si>
    <t>GARCIA MURILLO LUIS JAVIER</t>
  </si>
  <si>
    <t>REYES COLLAZO SAUL</t>
  </si>
  <si>
    <t>RODRIGUEZ FRIAS EDUARDO</t>
  </si>
  <si>
    <t>GARCIA MURILLO ORLANDO</t>
  </si>
  <si>
    <t>GAMBOA OLIVARES JOEL</t>
  </si>
  <si>
    <t>CASTAÑEDA CORTEZ MAURILIO</t>
  </si>
  <si>
    <t>GAMBOA OLIVARES GUSTAVO ADOLFO</t>
  </si>
  <si>
    <t>MANZO AMESCUA ELISEO</t>
  </si>
  <si>
    <t>ESTRADA MACIEL JESUS RICARDO</t>
  </si>
  <si>
    <t>NAJAR URISTA HERIBERTO</t>
  </si>
  <si>
    <t>SEGURA DIAZ ADRIAN</t>
  </si>
  <si>
    <t>HERNANDEZ DANIEL JOSE LUIS</t>
  </si>
  <si>
    <t>MONTANTE NUÑEZ JOSE DE JESUS</t>
  </si>
  <si>
    <t>HERNANDEZ GUZMAN JOSE CHRISTIAN</t>
  </si>
  <si>
    <t>AGUIRRE FUENTES J CRUZ</t>
  </si>
  <si>
    <t>VALDEZ RODRIGUEZ HECTOR GABRIEL</t>
  </si>
  <si>
    <t>VAZQUEZ IBARRA EMANUEL</t>
  </si>
  <si>
    <t>NAJAR URISTA FABIAN</t>
  </si>
  <si>
    <t>MENDOZA MURILLO IVAN</t>
  </si>
  <si>
    <t>MARTINEZ RIVAS SABAS</t>
  </si>
  <si>
    <t>AGUILERA RUVALCABA RIGOBERTO</t>
  </si>
  <si>
    <t>IBARRA VILLALOBOS JOSE GILBERTO</t>
  </si>
  <si>
    <t>CALVARIO TOLENTINO MANUEL</t>
  </si>
  <si>
    <t>RAMOS MARQUEZ ARTURO</t>
  </si>
  <si>
    <t>VALLADARES LOMELI ROBERTO</t>
  </si>
  <si>
    <t>RENTERIA ARREGUIN MOISES</t>
  </si>
  <si>
    <t>MARTINEZ ESTRADA ALFONSO</t>
  </si>
  <si>
    <t>SERRANO CASTILLO LUIS ANTONIO</t>
  </si>
  <si>
    <t>MARTINEZ ESTRADA MARTIN</t>
  </si>
  <si>
    <t>MARTINEZ ESTRADA JOSE CONCEPCION</t>
  </si>
  <si>
    <t>ESPARZA RUIZ FERNANDO</t>
  </si>
  <si>
    <t>HERRERA ORTEGA FRANCISCO DAVID</t>
  </si>
  <si>
    <t>ROJAS FIGUEROA ISRAEL</t>
  </si>
  <si>
    <t>JIMENEZ DAVALOS JOSE LUIS</t>
  </si>
  <si>
    <t>JASSO CHAVEZ ALEJANDRO</t>
  </si>
  <si>
    <t>MEZA RODRIGUEZ ADAN</t>
  </si>
  <si>
    <t>MACHUCA SALDIVAR GERARDO</t>
  </si>
  <si>
    <t>MACHUCA SALDIVAR JESUS</t>
  </si>
  <si>
    <t>RUVALCABA DIAZ JOSE</t>
  </si>
  <si>
    <t>GARCIA PARRA CARLOS SAMUEL</t>
  </si>
  <si>
    <t>RUVALCABA FLORES JOSE GUADALUPE</t>
  </si>
  <si>
    <t>ARENAS OLMEDO ABEL</t>
  </si>
  <si>
    <t>HERNANDEZ ROMERO ROBERTO</t>
  </si>
  <si>
    <t>GONZALEZ SANCHEZ ADOLFO</t>
  </si>
  <si>
    <t>TOVAR DOMINGUEZ FRANCISCO CECILIO</t>
  </si>
  <si>
    <t>MARQUEZ DE LA CRUZ ERIC MANUEL</t>
  </si>
  <si>
    <t>XILONZOCHITL IBAÑEZ EVERARDO</t>
  </si>
  <si>
    <t>BRAVO PIÑA FAUSTINO</t>
  </si>
  <si>
    <t>NAZARIO PEREZ GERARDO</t>
  </si>
  <si>
    <t>GARCIA REYES ANDRES</t>
  </si>
  <si>
    <t>HERNANDEZ MARES GUSTAVO</t>
  </si>
  <si>
    <t>GONZALEZ ROBERTO</t>
  </si>
  <si>
    <t>ORTIZ VAZQUEZ OSCAR</t>
  </si>
  <si>
    <t>MEZA RODRIGUEZ JUAN JOSE</t>
  </si>
  <si>
    <t>RODRIGUEZ FRIAS JESUS</t>
  </si>
  <si>
    <t>RUVALCABA BARRIOS MARTIN</t>
  </si>
  <si>
    <t>ALCARAZ CHAVEZ RAMON</t>
  </si>
  <si>
    <t>RAUDA SANCHEZ SAID ABENAMAR</t>
  </si>
  <si>
    <t>SANCHEZ MENDOZA JOSE DE JESUS</t>
  </si>
  <si>
    <t>ALVAREZ SERRANO ALVERTO</t>
  </si>
  <si>
    <t>RAUDA SANCHEZ ALONSO AMURABI</t>
  </si>
  <si>
    <t>ANZAR SANCHEZ EULALIO</t>
  </si>
  <si>
    <t>MERAZ ARTEAGA JUAN</t>
  </si>
  <si>
    <t>ALVAREZ GANCEDA CHRISTIAN ALEJANDRO</t>
  </si>
  <si>
    <t>BARRAGAN ZEPEDA JOSE DE JESUS</t>
  </si>
  <si>
    <t>ALVAREZ CISNEROS JOSE ALBERTO</t>
  </si>
  <si>
    <t>SAUCEDO GALLEGOS HUGO ARMANDO</t>
  </si>
  <si>
    <t>SANTIAGO SANTIAGO MIGUEL</t>
  </si>
  <si>
    <t>SANTIAGO SANTIAGO FRANCISCO</t>
  </si>
  <si>
    <t>MENDOZA BRAVO ANTONIO</t>
  </si>
  <si>
    <t>HERNANDEZ ORTIZ ALBERTO</t>
  </si>
  <si>
    <t>SANCHEZ HIDALGO ROMAN</t>
  </si>
  <si>
    <t>SANCHEZ SANCHEZ PEDRO</t>
  </si>
  <si>
    <t>ADAME COLMENARES RAFAEL</t>
  </si>
  <si>
    <t>SANCHEZ LEON JOSE ANTONIO</t>
  </si>
  <si>
    <t>SANTOS SALINAS FREDY</t>
  </si>
  <si>
    <t>AGUILAR ANGUIANO ALEJANDRO</t>
  </si>
  <si>
    <t>ADAME COLMENARES SERGIO</t>
  </si>
  <si>
    <t>MENDOZA RAMOS ABRAHAM</t>
  </si>
  <si>
    <t>OLVERA SANTOS JOEL</t>
  </si>
  <si>
    <t>MENDOZA ROJAS JAIME</t>
  </si>
  <si>
    <t>PEREZ ORTIZ DAVID</t>
  </si>
  <si>
    <t>GUZMAN CARREON JUAN CARLOS</t>
  </si>
  <si>
    <t>LIBERATO REYES JOSE</t>
  </si>
  <si>
    <t>MONTES TORRES CESAR</t>
  </si>
  <si>
    <t>MORELOS CERVANTES J GUADALUPE</t>
  </si>
  <si>
    <t>MONTES TRIL JOSE GUADALUPE</t>
  </si>
  <si>
    <t>BONILLA CHAVEZ JOEL</t>
  </si>
  <si>
    <t>BARRAGAN VILLASEÑOR ALEJANDRO</t>
  </si>
  <si>
    <t>MENDOZA BARAJAS MARCELO</t>
  </si>
  <si>
    <t>JIMENEZ MERAZ EFRAIN</t>
  </si>
  <si>
    <t>MENDOZA ROJAS HORACIO</t>
  </si>
  <si>
    <t>LOPEZ AGUILAR FERNANDO</t>
  </si>
  <si>
    <t>CHÁVEZ JURADO ÁNGEL</t>
  </si>
  <si>
    <t>ALVAREZ GANCEDA JUAN RAMON</t>
  </si>
  <si>
    <t>MOLINA MORENO CARLOS</t>
  </si>
  <si>
    <t>DEL TORO BERMUDEZ ENRIQUE</t>
  </si>
  <si>
    <t>CONTRERAS RAMOS ARMANDO FRANCISCO</t>
  </si>
  <si>
    <t>GUZMAN SANCHEZ JORGE</t>
  </si>
  <si>
    <t>GUTIERREZ GODINA CARLOS ALBERTO</t>
  </si>
  <si>
    <t>LIMON LOPEZ JOSE PABLO</t>
  </si>
  <si>
    <t>REYES HERNANDEZ ABRAHAM</t>
  </si>
  <si>
    <t>RUBIO MARTINEZ ISMAEL</t>
  </si>
  <si>
    <t>MENDOZA CHAVEZ GABRIEL</t>
  </si>
  <si>
    <t>CHAVEZ FLORES JOSE DE JESUS</t>
  </si>
  <si>
    <t>GUILLEN GARCIA PEDRO</t>
  </si>
  <si>
    <t>PELAYO SALGADO RAMON</t>
  </si>
  <si>
    <t>ESQUIVEL ALCALA JAVIER</t>
  </si>
  <si>
    <t>ESTRADA SOSA RIGOBERTO</t>
  </si>
  <si>
    <t>LIBERATO MORENO JOSE</t>
  </si>
  <si>
    <t>SANTIAGO SANTIAGO RAMON</t>
  </si>
  <si>
    <t>RODRIGUEZ MARTINEZ LEONEL</t>
  </si>
  <si>
    <t>RODRIGUEZ BRAVO ANTONIO LEONEL</t>
  </si>
  <si>
    <t>MORENO MAGAÑA CARLOS CESAR</t>
  </si>
  <si>
    <t>SANTIAGO SANTIAGO JOAQUIN</t>
  </si>
  <si>
    <t>RODRIGUEZ SANCHEZ YUBANY</t>
  </si>
  <si>
    <t>SANCHEZ CASTRO ARMANDO</t>
  </si>
  <si>
    <t>FLORES RAMIREZ ISRAEL</t>
  </si>
  <si>
    <t>VAZQUEZ PEREZ JOSE GUADALUPE</t>
  </si>
  <si>
    <t>COVARRUBIAS ARROYO JONATHAN IVAN</t>
  </si>
  <si>
    <t>VALENCIA AGUILAR FRANCISCO JAVIER</t>
  </si>
  <si>
    <t>VALENCIA ORTEGA FRANCISCO JAVIER</t>
  </si>
  <si>
    <t>MORENO MACIAS CHRISTIAN JONATHAN</t>
  </si>
  <si>
    <t>DOMINGUEZ ARIAS GABRIEL ALEJANDRO</t>
  </si>
  <si>
    <t>MEDINA GONZALEZ SERGIO ANTONIO</t>
  </si>
  <si>
    <t>MURILLO RODRIGUEZ JOSE JUAN</t>
  </si>
  <si>
    <t>CARDENAS RIOS JUAN MANUEL</t>
  </si>
  <si>
    <t>SANCHEZ VALENCIA ROBERTO CARLOS</t>
  </si>
  <si>
    <t>GUILLEN V MANUEL</t>
  </si>
  <si>
    <t>MONTANTE NUÑEZ MANUEL</t>
  </si>
  <si>
    <t>VALENCIA ORTEGA JOSE GUADALUPE</t>
  </si>
  <si>
    <t>GUTIERREZ CHAVEZ HERIBERTO</t>
  </si>
  <si>
    <t>SUAZO SANCHEZ PABLO</t>
  </si>
  <si>
    <t>RAMIREZ ESCUTIA JULIO CESAR</t>
  </si>
  <si>
    <t>MEZA RODRIGUEZ CALIXTO</t>
  </si>
  <si>
    <t>ANDRES MORENO DANIEL</t>
  </si>
  <si>
    <t>MENDOZA MURILLO ERIC MARTIN</t>
  </si>
  <si>
    <t>MEZA PIÑA EDUARDO</t>
  </si>
  <si>
    <t>AGUILAR GARCIA JOSE FRANCISCO</t>
  </si>
  <si>
    <t>URQUIDEZ OSORIO GERARDO</t>
  </si>
  <si>
    <t>RODRIGUEZ BRAVO LUIS ENRIQUE</t>
  </si>
  <si>
    <t>ALVAREZ CISNEROS CRISTIAN AMURABI</t>
  </si>
  <si>
    <t>PADILLA VALLE RAUL</t>
  </si>
  <si>
    <t>ITURBIDE SALMERON GUILLERMO</t>
  </si>
  <si>
    <t>PANTOJA ONTIVEROS JUVENAL</t>
  </si>
  <si>
    <t>TORRES BIZARRO DAVID</t>
  </si>
  <si>
    <t>BIZARRO HERRERA ARMANDO</t>
  </si>
  <si>
    <t>LOPEZ ESPINOZA JOSE LUIS</t>
  </si>
  <si>
    <t>NAJA CASILLAS EDUARDO</t>
  </si>
  <si>
    <t>ENRIQUEZ AGUILAR PEDRO URIEL</t>
  </si>
  <si>
    <t>CASILLAS XILONZOCHITL JUAN DIEGO</t>
  </si>
  <si>
    <t>ANZAR SANCHEZ CARLOS HUMBERTO</t>
  </si>
  <si>
    <t>BRAVO MATA PEDRO</t>
  </si>
  <si>
    <t>GUTIERREZ GUTIERREZ HILARIO</t>
  </si>
  <si>
    <t>SUAZO SANCHEZ EDER</t>
  </si>
  <si>
    <t>VALDOVINOS MACIAS JOSE</t>
  </si>
  <si>
    <t>GONZALEZ AVILA GREGORIO</t>
  </si>
  <si>
    <t>ALVAREZ SERRANO VICTOR MANUEL</t>
  </si>
  <si>
    <t>CASTAÑEDA ROMERO VALENTIN</t>
  </si>
  <si>
    <t>BUCIO SAUCEDO JOSE LUIS</t>
  </si>
  <si>
    <t>JIMENEZ LOPEZ SEVERIANO</t>
  </si>
  <si>
    <t>ALCALA ROJAS JAVIER</t>
  </si>
  <si>
    <t>HERRERA GARDUÑO ALBERTO EZEQUIEL</t>
  </si>
  <si>
    <t>JIMENEZ MERAZ JUAN PATRICIO</t>
  </si>
  <si>
    <t>TORRES SANCHEZ MISRAIM RAMSES</t>
  </si>
  <si>
    <t>BRACAMONTES LOPEZ GABRIEL</t>
  </si>
  <si>
    <t>JUSTO DE LA TORRE IGNACIO</t>
  </si>
  <si>
    <t>BRACAMONTES LOPEZ JOSE ALFREDO</t>
  </si>
  <si>
    <t>BRACAMONTES AGUILAR GABRIEL ALEJANDRO</t>
  </si>
  <si>
    <t>JUSTO DE LA TORRE ALFREDO</t>
  </si>
  <si>
    <t>MARTINEZ JUSTO ALFREDO MIGUEL</t>
  </si>
  <si>
    <t>MARTINEZ JUSTO JORGE ARTEMIO</t>
  </si>
  <si>
    <t>BRAVO MATA JOSE ARMANDO</t>
  </si>
  <si>
    <t>MARTINEZ HERNANDEZ MARIO ASENCION</t>
  </si>
  <si>
    <t>HERRERA GARDUÑO LUIS ALEJANDRO</t>
  </si>
  <si>
    <t>JIMENEZ MERAZ GONZALO</t>
  </si>
  <si>
    <t>GUILLEN VILLALVAZO JOSE MANUEL</t>
  </si>
  <si>
    <t>MORENO CASTAÑEDA MIGUEL</t>
  </si>
  <si>
    <t>SEVILLA IBARRA REYES</t>
  </si>
  <si>
    <t>NAVARRETE ESTRADA CARLOS</t>
  </si>
  <si>
    <t>PEREZ RAMOS RAMON</t>
  </si>
  <si>
    <t>REYES ESPINO MAXIMINO</t>
  </si>
  <si>
    <t>BRACAMONTES LOPEZ MIGUEL</t>
  </si>
  <si>
    <t>BRACAMONTES LOPEZ MANUEL ALFONSO</t>
  </si>
  <si>
    <t>HERNANDEZ LOPEZ JOSE REFUGIO</t>
  </si>
  <si>
    <t>BRACAMONTES MENDOZA SILVERIO</t>
  </si>
  <si>
    <t>BRACAMONTES MENDOZA EDUARDO INES</t>
  </si>
  <si>
    <t>BRACAMONTES LOPEZ PEDRO</t>
  </si>
  <si>
    <t>NUÑEZ ORTEGA JOSE GILBERTO</t>
  </si>
  <si>
    <t>HERNANDEZ MEDEL LUIS</t>
  </si>
  <si>
    <t>JIMENEZ MERAZ SALVADOR</t>
  </si>
  <si>
    <t>CARREON FARIAS JOSE FELICIANO</t>
  </si>
  <si>
    <t>VARGAS CHAVEZ ELMER RAFAEL</t>
  </si>
  <si>
    <t>HERNANDEZ CORNEJO CARLOS SANTIAGO</t>
  </si>
  <si>
    <t>BRAVO ACEVEDO J GUADALUPE</t>
  </si>
  <si>
    <t>BRAVO ACEVEDO FIDEL</t>
  </si>
  <si>
    <t>BRAVO ACEVEDO EMILIANO</t>
  </si>
  <si>
    <t>RAMIREZ MORALES SERGIO</t>
  </si>
  <si>
    <t>BRAVO ACEVEDO HERIBERTO</t>
  </si>
  <si>
    <t>VILLALVAZO SABALA VICTOR MANUEL</t>
  </si>
  <si>
    <t>RAMIREZ MORALES RAFAEL</t>
  </si>
  <si>
    <t>BRAVO ACEVEDO JOSE</t>
  </si>
  <si>
    <t>BRAVO MATA JUAN PABLO</t>
  </si>
  <si>
    <t>VILLEGAS CERVANTES ANTONIO</t>
  </si>
  <si>
    <t>GONZALEZ MAGAÑA SAUL</t>
  </si>
  <si>
    <t>PEDRAZA TELLEZ HUMBERTO</t>
  </si>
  <si>
    <t>VILLACAÑA CASTILLO EMILIANO</t>
  </si>
  <si>
    <t>BRACAMONTES MENDOZA JUAN JOSE</t>
  </si>
  <si>
    <t>BECERRA RAMÍREZ MARTÍN</t>
  </si>
  <si>
    <t>VAZQUEZ VAZQUEZ CENOBIO</t>
  </si>
  <si>
    <t>SANCHEZ CASTRO ERIC</t>
  </si>
  <si>
    <t>MARTINEZ BRACAMONTES JOSE</t>
  </si>
  <si>
    <t>GOMEZ CASTILLO JOSE ANSELMO</t>
  </si>
  <si>
    <t>BECERRA RAMIREZ IGNACIO</t>
  </si>
  <si>
    <t>BRAVO AGUILAR SERGIO</t>
  </si>
  <si>
    <t>SANDOVAL GOMEZ RAMIRO</t>
  </si>
  <si>
    <t>SANDOVAL GOMEZ SALVADOR</t>
  </si>
  <si>
    <t>MAGAÑA MOLINA DANIEL</t>
  </si>
  <si>
    <t>SANDOVAL GOMEZ BENJAMIN</t>
  </si>
  <si>
    <t>SANDOVAL GOMEZ HERNESTO GUADALUPE</t>
  </si>
  <si>
    <t>HERNANDEZ MEDEL ANTONIO</t>
  </si>
  <si>
    <t>HERNANDEZ MEDEL MELITON</t>
  </si>
  <si>
    <t>GONZALEZ MATA SERGIO</t>
  </si>
  <si>
    <t>ESPINDOLA CONTRERAS VICENTE</t>
  </si>
  <si>
    <t>HERNANDEZ ORTIZ ERNESTO</t>
  </si>
  <si>
    <t>DE LA TORRE NAVA GILBERTHO GREGORIO</t>
  </si>
  <si>
    <t>BRACAMONTES MENDOZA LEONARDO RAFAEL</t>
  </si>
  <si>
    <t>CONTRERAS ALVAREZ JUAN MARTIN</t>
  </si>
  <si>
    <t>CASTAÑEDA MATA IGNACIO</t>
  </si>
  <si>
    <t>NIEVES LUNA PEDRO</t>
  </si>
  <si>
    <t>CONTRERAS ALVAREZ BRAULIO OMAR</t>
  </si>
  <si>
    <t>GUILLEN ONTIVEROS FRANCISCO JAVIER</t>
  </si>
  <si>
    <t>HERNANDEZ HERNANDEZ FERNANDO</t>
  </si>
  <si>
    <t>SEBA SEBA ALEJANDRINO FRANCISCO</t>
  </si>
  <si>
    <t>SEBA SEBA ADELO</t>
  </si>
  <si>
    <t>ORTIZ HERNANDEZ ANTONIO PABLO</t>
  </si>
  <si>
    <t>HERNANDEZ ORTIZ GERMAN</t>
  </si>
  <si>
    <t>RESENDIZ AYALA RAUL</t>
  </si>
  <si>
    <t>TOTO TOTO FEDERICO</t>
  </si>
  <si>
    <t>AYALA CESAR MANUEL</t>
  </si>
  <si>
    <t>ORTIZ MATA JAIME</t>
  </si>
  <si>
    <t>ABARCA FARÍAS JOSÉ GUADALUPE</t>
  </si>
  <si>
    <t>FLORES MARQUEZ RICARDO</t>
  </si>
  <si>
    <t>BELLO CHAVEZ JOSE ENRIQUE</t>
  </si>
  <si>
    <t>MENDEZ DIAZ JACINTO</t>
  </si>
  <si>
    <t>HERNANDEZ GARCIA FRANCISCO</t>
  </si>
  <si>
    <t>SEBA POLITO JAIME</t>
  </si>
  <si>
    <t>TOTO POLITO CIPRIANO</t>
  </si>
  <si>
    <t>TOTO MALAGA GREGORIO</t>
  </si>
  <si>
    <t>MALAGA SEBA ISIDRO</t>
  </si>
  <si>
    <t>SEBA TOTO MOISES</t>
  </si>
  <si>
    <t>TEMICH TOTO CORNELIO</t>
  </si>
  <si>
    <t>CEBA TOTO POMPEYO EZEQUIEL</t>
  </si>
  <si>
    <t>TEMICH SINTA REYES</t>
  </si>
  <si>
    <t>TEMICH DE DIOS RODOLFO</t>
  </si>
  <si>
    <t>VALDOVINOS VALENCIA DANIEL</t>
  </si>
  <si>
    <t>CHAVEZ LOPEZ DAVID</t>
  </si>
  <si>
    <t>ARREOLA RODRIGUEZ IRVING ADAIR</t>
  </si>
  <si>
    <t>SEGURA GUTIERREZ JUAN</t>
  </si>
  <si>
    <t>BRAVO ACEVEDO J JESUS</t>
  </si>
  <si>
    <t>BRAVO MATA MIGUEL ANGEL</t>
  </si>
  <si>
    <t>BRAVO CHAVEZ JESUS</t>
  </si>
  <si>
    <t>CARRILLO VAZQUEZ VICTOR</t>
  </si>
  <si>
    <t>CARRILLO LOPEZ VICTOR ELISEO</t>
  </si>
  <si>
    <t>HERNANDEZ MARTINEZ ELADIO</t>
  </si>
  <si>
    <t>JUAREZ MARTINEZ HERMENEGILDO</t>
  </si>
  <si>
    <t>RODRIGUEZ TORRES AGUSTIN</t>
  </si>
  <si>
    <t>CRUZ HERNANDEZ FRANCISCO</t>
  </si>
  <si>
    <t>FARIAS GUERRERO DIEGO FORTUNATO</t>
  </si>
  <si>
    <t>GONZALEZ MARTINEZ SAMUEL</t>
  </si>
  <si>
    <t>MARTINEZ JUAREZ GUSTAVO</t>
  </si>
  <si>
    <t>GONZALEZ GONZALEZ JUAN CARLOS</t>
  </si>
  <si>
    <t>SUAZO BARRAGAN JOSE MANUEL</t>
  </si>
  <si>
    <t>MARTINEZ HERNANDEZ GERARDO</t>
  </si>
  <si>
    <t>GUTIERREZ MARTINEZ ULISES</t>
  </si>
  <si>
    <t>ARIZMENDI MORA MARGARITO</t>
  </si>
  <si>
    <t>ELIAS CUEVAS CARLOS</t>
  </si>
  <si>
    <t>CUEVAS ROMAN ERICK</t>
  </si>
  <si>
    <t>LOVERA MARTINEZ JUAN</t>
  </si>
  <si>
    <t>VALDOVINOS VALLEJO ALBERTO</t>
  </si>
  <si>
    <t>ZEPEDA ACOSTA RICARDO</t>
  </si>
  <si>
    <t>CAMBRON  GARCIA ARTURO</t>
  </si>
  <si>
    <t>CUEVAS BARRIENTOS LEONARDO</t>
  </si>
  <si>
    <t>SEBA SINACA TOMAS</t>
  </si>
  <si>
    <t>NERI CAMPOS ROBERTO JOSE</t>
  </si>
  <si>
    <t>TOTO TEMICH SANTOS</t>
  </si>
  <si>
    <t>TOTO SINACA LUIS</t>
  </si>
  <si>
    <t>TOTO TEMICH ANDRES</t>
  </si>
  <si>
    <t>POLITO CHIGO ARMANDO</t>
  </si>
  <si>
    <t>POLITO MOTO JUAN DOMINGO</t>
  </si>
  <si>
    <t>SEBA TOTO JUAN</t>
  </si>
  <si>
    <t>SEBA TOTO PABLO</t>
  </si>
  <si>
    <t>CINTA ESCRIBANO RAFAEL</t>
  </si>
  <si>
    <t>TOTO POLITO JONAS BIBIANO</t>
  </si>
  <si>
    <t>BLANCO RINCON UBALDO</t>
  </si>
  <si>
    <t>GOMEZ GARCIA ALFREDO</t>
  </si>
  <si>
    <t>CAMPOS BARTOLO CIPRIANO</t>
  </si>
  <si>
    <t>CAMPOS BARTOLO ARNULFO</t>
  </si>
  <si>
    <t>LÓPEZ MARTÍNEZ RICARDO ALONSO</t>
  </si>
  <si>
    <t>SEBA BUSTAMANTE TOMAS</t>
  </si>
  <si>
    <t>HERNANDEZ MARTINEZ JOSE DE JESUS</t>
  </si>
  <si>
    <t>TEMICH CHAGALA FEDERICO</t>
  </si>
  <si>
    <t>TEMICH POLITO JUAN</t>
  </si>
  <si>
    <t>HERNANDEZ TOXQUI CARLOS</t>
  </si>
  <si>
    <t>MALAGA SEBA SILVESTRE</t>
  </si>
  <si>
    <t>LUNA ROMERO RAYMUNDO</t>
  </si>
  <si>
    <t>PEREZ MARTINEZ RAMON</t>
  </si>
  <si>
    <t>MORENO ESPINO ROBERTO CARLOS</t>
  </si>
  <si>
    <t>CAZAREZ LUNA DANIEL</t>
  </si>
  <si>
    <t>TEMICH POLITO ALEJANDRO</t>
  </si>
  <si>
    <t>VARGAS SANCHEZ JOSE ALBERTO</t>
  </si>
  <si>
    <t>TORRES TORRES RODRIGO</t>
  </si>
  <si>
    <t>DE LA CRUZ MORENO OSCAR</t>
  </si>
  <si>
    <t>CLEMENTE VELASCO VICTOR MANUEL</t>
  </si>
  <si>
    <t>TEMICH SINTA SANTOS</t>
  </si>
  <si>
    <t>CARRERA GARCIA FORTUNATO</t>
  </si>
  <si>
    <t>TAPIA NAVA CRISTIAN MANUEL</t>
  </si>
  <si>
    <t>BUSTAMANTE POLITO ALEJANDRO</t>
  </si>
  <si>
    <t>DOMINGUEZ JUAREZ FRANCISCO DANIEL</t>
  </si>
  <si>
    <t>DE LEON VELAZQUEZ JOSE MANUEL</t>
  </si>
  <si>
    <t>BLANCO BALANZAR WILIBALDO</t>
  </si>
  <si>
    <t>FARIAS CHAVEZ JOSE DE JESUS</t>
  </si>
  <si>
    <t>PIMENTEL SANCHEZ CARLOS</t>
  </si>
  <si>
    <t>SEBA POLITO JOSE MANUEL</t>
  </si>
  <si>
    <t>TOTO XOLO RAFAEL</t>
  </si>
  <si>
    <t>GUERRERO ACEVEDO RAUL</t>
  </si>
  <si>
    <t>HUERTA ZEPEDA JUAN</t>
  </si>
  <si>
    <t>LOPEZ MAGAÑA JORGE IRINEO</t>
  </si>
  <si>
    <t>FARIAS GARCIA EDGAR OMAR</t>
  </si>
  <si>
    <t>FARIAS VALDOVINOS JOSE TRINIDAD</t>
  </si>
  <si>
    <t>SANDOVAL GOMEZ JESUS</t>
  </si>
  <si>
    <t>SANDOVAL GOMEZ LIZANDRO RAFAEL</t>
  </si>
  <si>
    <t>SANCHEZ MENDOZA SALVADOR</t>
  </si>
  <si>
    <t>GARCÍA ABARCA ANTONIO ASUMETH</t>
  </si>
  <si>
    <t>SEBA TOTO SANTOS</t>
  </si>
  <si>
    <t>RUBIO CERVANTES JOSE DANIEL</t>
  </si>
  <si>
    <t>RAMIREZ GRANADOS USMAR FABIAN</t>
  </si>
  <si>
    <t>SEBA POLITO LUIS</t>
  </si>
  <si>
    <t>MENDOZA GUERRERO ELMER NOLBERTO</t>
  </si>
  <si>
    <t>VALENCIA MARTINEZ VIDAL</t>
  </si>
  <si>
    <t>ESPINOSA ESPINOSA RICARDO ANDRES</t>
  </si>
  <si>
    <t>FILOMENO MANUEL ROSALIO</t>
  </si>
  <si>
    <t>FILOMENO MANUEL SILVESTRE</t>
  </si>
  <si>
    <t>HERNANDEZ DE LOS SANTOS CALIXTO FERNANDO</t>
  </si>
  <si>
    <t>MARTINEZ GONZALEZ BALDER REYES</t>
  </si>
  <si>
    <t>SOLANO MARTINEZ VICTOR ARGENIS</t>
  </si>
  <si>
    <t>MARTINEZ GUTIERREZ TOMAS</t>
  </si>
  <si>
    <t>POLITO TOTO SERGIO</t>
  </si>
  <si>
    <t>HERNANDEZ ROCHA EDGAR YADIR</t>
  </si>
  <si>
    <t>CARDENAS MANRIQUEZ MIGUEL ANGEL</t>
  </si>
  <si>
    <t>BENITEZ BAÑUELOS IGNACIO</t>
  </si>
  <si>
    <t>PEREZ MARTINEZ JOSE ALFREDO</t>
  </si>
  <si>
    <t>TEMICH TOTO CIRO</t>
  </si>
  <si>
    <t>ORTEGA LOPEZ DANIEL</t>
  </si>
  <si>
    <t>MACHUCHO SEBA ANTONIO</t>
  </si>
  <si>
    <t>ESPINOZA SALINAS JOSE ANTONIO</t>
  </si>
  <si>
    <t>FILOMENO SANCHEZ JOEL</t>
  </si>
  <si>
    <t>TOTO BUSTAMANTE MIGUEL</t>
  </si>
  <si>
    <t>FILOMENO SANCHEZ MARCELINO</t>
  </si>
  <si>
    <t>GUERRERO GONZALEZ DELFINO</t>
  </si>
  <si>
    <t>VARGAS GUERRERO GILBERTO</t>
  </si>
  <si>
    <t>POLITO TEMICH HECTOR</t>
  </si>
  <si>
    <t>MERCADO LOPEZ ORLANDO</t>
  </si>
  <si>
    <t>CARDENAS MACIAS JUAN PEDRO</t>
  </si>
  <si>
    <t>HERNANDEZ ANDRADE ISAIAS JEHIEL</t>
  </si>
  <si>
    <t>GUZMAN ESTRADA CELERINO</t>
  </si>
  <si>
    <t>GOMEZ MALDONADO MAHALALEL</t>
  </si>
  <si>
    <t>VILLALPANDO HIDALGO JESUS</t>
  </si>
  <si>
    <t>MARTINEZ VILLASEÑOR FRANCISCO</t>
  </si>
  <si>
    <t>TORRES VALDEZ EFRAIN</t>
  </si>
  <si>
    <t>BARBOSA ORNELAS MIGUEL ANGEL</t>
  </si>
  <si>
    <t>FRUTOS MOYA GERARDO</t>
  </si>
  <si>
    <t>SANCHEZ GERMAN MAURICIO</t>
  </si>
  <si>
    <t>VEGA FUENTES ANSELMO</t>
  </si>
  <si>
    <t>ARANA LEYVA CARLOS MARCELO</t>
  </si>
  <si>
    <t>GARCIA GARCIA FRANCISCO</t>
  </si>
  <si>
    <t>GUTIÉRREZ AGUILAR JOSÉ</t>
  </si>
  <si>
    <t>LOPEZ NUÑEZ ROGELIO</t>
  </si>
  <si>
    <t>MARTINEZ MARTINEZ ELIAS</t>
  </si>
  <si>
    <t>GARCIA MUÑOZ RUPERTO</t>
  </si>
  <si>
    <t>RODRIGUEZ RODRIGUEZ ANTONIO</t>
  </si>
  <si>
    <t>TORRES SANCHEZ JUAN JOSE</t>
  </si>
  <si>
    <t>PERALTA ORDOÑEZ FRANCISCO</t>
  </si>
  <si>
    <t>GOMEZ MARTINEZ EZEQUIEL</t>
  </si>
  <si>
    <t>GUADALUPE SANTIAGO JOAQUIN</t>
  </si>
  <si>
    <t>GUADALUPE SANTIAGO LUCIO</t>
  </si>
  <si>
    <t>CARRERA GARCIA HILARIO</t>
  </si>
  <si>
    <t>CARBAJAL CARBAJAL ANTONIO</t>
  </si>
  <si>
    <t>BIZARRO GARCIA MARCO ANTONIO</t>
  </si>
  <si>
    <t>GARCIA GRACILIANO HUGO ALFREDO</t>
  </si>
  <si>
    <t>GARCÍA LÓPEZ JORGE OMAR</t>
  </si>
  <si>
    <t>MARTINEZ ALONSO JOSE RAMIRO</t>
  </si>
  <si>
    <t>GARCIA DELGADILLO JOSE SANTOS</t>
  </si>
  <si>
    <t>HERRERA MENDOZA JOSE CRUZ</t>
  </si>
  <si>
    <t>GARCÍA BRAVO EDUARDO</t>
  </si>
  <si>
    <t>PLASCENCIA HARO JOSE LUIS</t>
  </si>
  <si>
    <t>ALVAREZ HARO GUADALUPE DE JESUS</t>
  </si>
  <si>
    <t>MORENO ARCEO J JESUS</t>
  </si>
  <si>
    <t>RAMOS MUÑOZ HERIBERTO</t>
  </si>
  <si>
    <t>CRUZ ROJAS ARTURO</t>
  </si>
  <si>
    <t>GOMEZ CRUZ EULALIA</t>
  </si>
  <si>
    <t>GAYOSSO MARTINEZ DOMINGA</t>
  </si>
  <si>
    <t>OLIVO FARFAN FELIPE DE JESUS</t>
  </si>
  <si>
    <t>CARDENAS HERNANDEZ MIGUEL ANGEL</t>
  </si>
  <si>
    <t>ENRIQUEZ DOMINGUEZ MARIO ENRIQUE</t>
  </si>
  <si>
    <t>SANCHEZ MENDEZ JOSE</t>
  </si>
  <si>
    <t>ORTIZ MERCADO SURY</t>
  </si>
  <si>
    <t>BRIONES RIVERA SERGIO</t>
  </si>
  <si>
    <t>MONROY JUAREZ HERIBERTO</t>
  </si>
  <si>
    <t>RUIZ ARIAS JUAN CARLOS</t>
  </si>
  <si>
    <t>PATRICIO ORTIZ PORFIRIO</t>
  </si>
  <si>
    <t>GAYOSSO MARTINEZ VICTORIA</t>
  </si>
  <si>
    <t>FLORES LEMUS LUCERO</t>
  </si>
  <si>
    <t>MARCELO GALLARDO ERNESTINA</t>
  </si>
  <si>
    <t>GUERRERO LOPEZ ERICK RAFAEL</t>
  </si>
  <si>
    <t>LARA GONZALEZ URIEL</t>
  </si>
  <si>
    <t>DE JESUS BASILIO VALENTIN</t>
  </si>
  <si>
    <t>DE JESUS BACILIO PEDRO</t>
  </si>
  <si>
    <t>GOMEZ DE JESUS FEDERICO</t>
  </si>
  <si>
    <t>DE JESUS BACILIO JOSE GUADALUPE</t>
  </si>
  <si>
    <t>FILOMENO SANCHEZ JOSE GUADALUPE</t>
  </si>
  <si>
    <t>LOPEZ GARCIA JULIO CESAR</t>
  </si>
  <si>
    <t>PRIETO GALICIA JOAQUIN</t>
  </si>
  <si>
    <t>MENDEZ PERETE JOSE JUAN</t>
  </si>
  <si>
    <t>MEDINA MALDONADO JUAN MANUEL</t>
  </si>
  <si>
    <t>ORTEGA GONZALEZ ROBERTO</t>
  </si>
  <si>
    <t>MACIEL BALTAZAR MARCELINO ALEJANDRO</t>
  </si>
  <si>
    <t>PINTOR PATIÑO MANUEL ALEJANDRO</t>
  </si>
  <si>
    <t>CARDENAS RUIZ J. ISABEL</t>
  </si>
  <si>
    <t>CERVANTES PERALES MARCO ANTONIO</t>
  </si>
  <si>
    <t>HERNANDEZ VALDOVINOS JORGE ALBERTO</t>
  </si>
  <si>
    <t>DE LA CRUZ SOLIS JOSE DE JESUS</t>
  </si>
  <si>
    <t>GARCIA GANCEDA JOSE ALBERTO</t>
  </si>
  <si>
    <t>SANCHEZ BAUTISTA EDUARDO</t>
  </si>
  <si>
    <t>SANCHEZ BAUTISTA ENRIQUE</t>
  </si>
  <si>
    <t>DIAZ MEDINA JOSE REFUGIO</t>
  </si>
  <si>
    <t>HERRERA GUTIERREZ VICTOR MANUEL</t>
  </si>
  <si>
    <t>GUERRERO CHÁVEZ JUAN JOSÉ</t>
  </si>
  <si>
    <t>ALCARAZ GARCIA EDMUNDO</t>
  </si>
  <si>
    <t>SANCHEZ QUEZADA RAMIRO</t>
  </si>
  <si>
    <t>SANCHEZ BAUTISTA ARTURO ANTONIO</t>
  </si>
  <si>
    <t>SANCHEZ MENESES ARTURO ANTONIO</t>
  </si>
  <si>
    <t>CASTAÑEDA VERGARA FERNANDO ESTEBAN</t>
  </si>
  <si>
    <t>RODRIGUEZ MARQUEZ LORENZO</t>
  </si>
  <si>
    <t>CHAVEZ RIVERA JUAN DE JESUS</t>
  </si>
  <si>
    <t>CHAVEZ MAISTERRA JUAN PABLO</t>
  </si>
  <si>
    <t>SARMIENTA BARRAGAN MARTIN</t>
  </si>
  <si>
    <t>VALDOVINOS SANCHEZ CATARINO</t>
  </si>
  <si>
    <t>MARCHAN ROMERO REYES</t>
  </si>
  <si>
    <t>ROSAS VEGA JOSE REFUGIO</t>
  </si>
  <si>
    <t>SÁNCHEZ ÁVALOS JOSÉ ANTONIO</t>
  </si>
  <si>
    <t>MARTINEZ GALLEGOS GILBERTO</t>
  </si>
  <si>
    <t>URISTA HERNANDEZ OCTAVIO NOEL</t>
  </si>
  <si>
    <t>ZAMORA CALDERON ALEJANDRO</t>
  </si>
  <si>
    <t>PALOMAREZ ABARCA RIGOBERTO AVACUC</t>
  </si>
  <si>
    <t>MURILLO XILONZOCHITL JOSE JUAN</t>
  </si>
  <si>
    <t>GUILLEN SANCHEZ URIEL</t>
  </si>
  <si>
    <t>DE LA CRUZ SOLIS OSCAR</t>
  </si>
  <si>
    <t>CORONADO RODRIGUEZ JOSE DE JESUS</t>
  </si>
  <si>
    <t>MENDOZA OLMEDO JORGE</t>
  </si>
  <si>
    <t>GARCIA ENRIQUEZ GUSTAVO</t>
  </si>
  <si>
    <t>MURILLO XILONZOCHITL FRANCISCO SANTIAGO</t>
  </si>
  <si>
    <t>MACIAS OLIVO JUAN CARLOS</t>
  </si>
  <si>
    <t>AGUILAR MARTINEZ CESAR</t>
  </si>
  <si>
    <t>IBARRA MENDOZA SERGIO</t>
  </si>
  <si>
    <t>HERNANDEZ CASTELLON BERNARDO</t>
  </si>
  <si>
    <t>AGUAYO NAVARRO ROMAN</t>
  </si>
  <si>
    <t>HERRERA VILLA RICARDO</t>
  </si>
  <si>
    <t>SANCHEZ CORTEZ PAULINO</t>
  </si>
  <si>
    <t>LEON VALENCIA VICTOR HUGO</t>
  </si>
  <si>
    <t>AGUILAR GUILLEN MIGUEL ANGEL</t>
  </si>
  <si>
    <t>RANGEL SEGURA RICARDO</t>
  </si>
  <si>
    <t>SANCHEZ MORENO VICTOR MANUEL</t>
  </si>
  <si>
    <t>PEREZ CHAPARRO ROGELIO</t>
  </si>
  <si>
    <t>MENDOZA RAMEÑO JUAN CARLOS</t>
  </si>
  <si>
    <t>HERNANDEZ RODRIGUEZ MARIO ALONSO</t>
  </si>
  <si>
    <t>ESPARZA URISTA JOSE ANTONIO</t>
  </si>
  <si>
    <t>VAZQUEZ MENDOZA CRISTIAN FERNANDO</t>
  </si>
  <si>
    <t>BIBIAN GARCIA ERIC ARMANDO</t>
  </si>
  <si>
    <t>SANCHEZ GUTIERREZ JOSE ALBERTO</t>
  </si>
  <si>
    <t>NIEVES GARIBO LAZARO</t>
  </si>
  <si>
    <t>GONZALEZ ZAVALA ROSENDO</t>
  </si>
  <si>
    <t>ARREDONDO ELIZALDE MARIO</t>
  </si>
  <si>
    <t>SALAZAR REYES ROGELIO</t>
  </si>
  <si>
    <t>GONZALEZ SALAZAR CRISTOPHER</t>
  </si>
  <si>
    <t>CANTOR MACIAS EUTILIO</t>
  </si>
  <si>
    <t>NUÑEZ LOPEZ GILBERTO</t>
  </si>
  <si>
    <t>VILLEGAS CHAVEZ GUSTAVO ALBERTO</t>
  </si>
  <si>
    <t>RIOS VAZQUEZ ROGELIO</t>
  </si>
  <si>
    <t>CERNA OLIVA HECTOR GEOVANI</t>
  </si>
  <si>
    <t>CASTELLANOS LOPEZ RAMON</t>
  </si>
  <si>
    <t>ROCHA LOPEZ FRANCISCO JAVIER</t>
  </si>
  <si>
    <t>ORTIZ TORRES JAHACIEL</t>
  </si>
  <si>
    <t>RIVAS ESTRADA LEONARDO</t>
  </si>
  <si>
    <t>GARCIA BRAVO JESUS</t>
  </si>
  <si>
    <t>GONZALEZ TAPIA SANTOS</t>
  </si>
  <si>
    <t>VILLALVAZO ZAVALA JOSE ADOLFO</t>
  </si>
  <si>
    <t>SANCHEZ MENDOZA JOAQUIN</t>
  </si>
  <si>
    <t>ABARCA BARRAGAN JOSE</t>
  </si>
  <si>
    <t>TOLEDO SANDOVAL JOSE IVAN</t>
  </si>
  <si>
    <t>MEDRANO GONZALEZ ALBERTO</t>
  </si>
  <si>
    <t>SOSA LEON ERICK</t>
  </si>
  <si>
    <t xml:space="preserve">BARRAGAN SALGADO JUAN JOSE </t>
  </si>
  <si>
    <t>OSUNA LEYVA ISRAEL</t>
  </si>
  <si>
    <t>MARTINEZ LOPEZ METODIO</t>
  </si>
  <si>
    <t>MARTINEZ MERCADO MIGUEL ANGEL</t>
  </si>
  <si>
    <t>MERCADO ZEPEDA JORGE</t>
  </si>
  <si>
    <t>BARRAGAN RODRIGUEZ JOSE DE JESUS</t>
  </si>
  <si>
    <t>MARTINEZ CASTAÑEDA MOISES</t>
  </si>
  <si>
    <t>ROMERO NUÑEZ PEDRO</t>
  </si>
  <si>
    <t>ALVAREZ BARRAGAN ENRIQUE</t>
  </si>
  <si>
    <t>PRECIADO CANELA FRANCISCO JAVIER</t>
  </si>
  <si>
    <t>LARA GONZALEZ JOSE GUADALUPE</t>
  </si>
  <si>
    <t>ORTEGA GONZALEZ GUILLERMO</t>
  </si>
  <si>
    <t>MERCADO ESPINO ELIO</t>
  </si>
  <si>
    <t>ROSAS BARRETO ADOLFO</t>
  </si>
  <si>
    <t>ADAMES DE LA CRUZ JESUS GAMALIEL</t>
  </si>
  <si>
    <t>CARRERA GONZALEZ GUSTAVO ARMANDO</t>
  </si>
  <si>
    <t>VEGA SANCHEZ MATEO</t>
  </si>
  <si>
    <t>LORIA ALAMILLA LUIS FERNANDO</t>
  </si>
  <si>
    <t>TELLEZ GONZALEZ RICARDO ANGEL</t>
  </si>
  <si>
    <t>SANTOYO SAUCEDO JOAQUIN</t>
  </si>
  <si>
    <t>PELAYO IBARRA ROMAN</t>
  </si>
  <si>
    <t>BECERRA RAMOS JOSE DE JESUS</t>
  </si>
  <si>
    <t>RODRIGUEZ ARELLANO RAUL</t>
  </si>
  <si>
    <t>FLORES SAENZ JUAN PABLO</t>
  </si>
  <si>
    <t>CORRALES SANCHEZ ANGEL DE JESUS</t>
  </si>
  <si>
    <t>MORALES RODRIGUEZ FELIPE</t>
  </si>
  <si>
    <t>ESQUIVEL ALCALA JOSE</t>
  </si>
  <si>
    <t>HERNANDEZ ROCHA CARLOS IVAN</t>
  </si>
  <si>
    <t>ROCHA LOPEZ WILFRIDO</t>
  </si>
  <si>
    <t>ORTEGA VALENCIA JUAN CARLOS</t>
  </si>
  <si>
    <t>ESQUIVEL ALCALA JUAN AUDEL</t>
  </si>
  <si>
    <t>FILOMENO SANCHEZ DELFINO</t>
  </si>
  <si>
    <t>CRUZ GONZALEZ ROGELIO</t>
  </si>
  <si>
    <t>GARCIA LEAL JOSE DE JESUS</t>
  </si>
  <si>
    <t>MEJIA NAVARRO RICARDO REFUGIO</t>
  </si>
  <si>
    <t>MONTALVO PEREZ JOSE VICTOR</t>
  </si>
  <si>
    <t>RENTERÍA GARCÍA FERNANDO</t>
  </si>
  <si>
    <t>ANDRADE SILVA JOSE LUIS</t>
  </si>
  <si>
    <t>GARCIA PARRA GERARDO</t>
  </si>
  <si>
    <t>ABARCA MATA RAYMUNDO</t>
  </si>
  <si>
    <t>HUERTA MURILLO SANTIAGO</t>
  </si>
  <si>
    <t>XILONZOCHITL GARCIA SERGIO ADRIAN</t>
  </si>
  <si>
    <t>ALVAREZ HARO FRANCISCO MIGUEL</t>
  </si>
  <si>
    <t>MURILLO AGUILAR RUBEN</t>
  </si>
  <si>
    <t>HERRERA RAMIREZ EDUARDO</t>
  </si>
  <si>
    <t>CASTILLO FLORES JOSE GUADALUPE</t>
  </si>
  <si>
    <t>NUÑEZ SALCEDO SANTIAGO JOAQUIN</t>
  </si>
  <si>
    <t>HERNANDEZ ORTIZ ALFREDO</t>
  </si>
  <si>
    <t>TOVAR HERNANDEZ ROBERTO</t>
  </si>
  <si>
    <t>ENRIQUEZ DOMINGUEZ MOISES</t>
  </si>
  <si>
    <t>TOVAR HERNANDEZ JULIAN</t>
  </si>
  <si>
    <t>ORTIZ HERNANDEZ LUIS FERNANDO</t>
  </si>
  <si>
    <t>ORTIZ MATA ISIDRO</t>
  </si>
  <si>
    <t>ORTIZ MATA JOSE MACARIO</t>
  </si>
  <si>
    <t>ORTIZ MATA LEONEL</t>
  </si>
  <si>
    <t>ORTIZ MATA JORGE CELERINO</t>
  </si>
  <si>
    <t>BRACAMONTES BECERRA RODRIGO</t>
  </si>
  <si>
    <t>BRACAMONTES CARRILLO ANDRES</t>
  </si>
  <si>
    <t>LOPEZ CORDOVA JOSE ENCARNACION</t>
  </si>
  <si>
    <t>CORDOVA BARTOLO FILEMON</t>
  </si>
  <si>
    <t>QUINTERO CORDOVA JAVIER</t>
  </si>
  <si>
    <t>VILLALVAZO CUEVAS SAMUEL</t>
  </si>
  <si>
    <t>PIO DE JESUS GREGORIO</t>
  </si>
  <si>
    <t>PIO GONZALEZ OSCAR</t>
  </si>
  <si>
    <t>RAMIREZ RAMOS JULIO CESAR</t>
  </si>
  <si>
    <t>GAYTAN VILLALVAZO LUIS ANTONIO</t>
  </si>
  <si>
    <t>ARIZMENDI MORA YHADIR</t>
  </si>
  <si>
    <t>LOPEZ MALDONADO JONATHAN ALEXIS</t>
  </si>
  <si>
    <t>BRACAMONTES TRINIDAD EDUARDO</t>
  </si>
  <si>
    <t>RAMOS HERNANDEZ CRISTIAN</t>
  </si>
  <si>
    <t>SANCHEZ CORTES IRMA ELVIRA</t>
  </si>
  <si>
    <t>CRUZ BAUTISTA MARA MINERVA</t>
  </si>
  <si>
    <t>RIOS VAZQUEZ DAVID</t>
  </si>
  <si>
    <t>AMEZCUA MAGALLON JUAN</t>
  </si>
  <si>
    <t>RODRIGUEZ VALDOVINOS BRAYAN YONJARY</t>
  </si>
  <si>
    <t>HERNANDEZ RAMOS CRISTIAN OMAR</t>
  </si>
  <si>
    <t>LÓPEZ MARTÍNEZ FRANCISCO JAVIER</t>
  </si>
  <si>
    <t>CABRERA LEON HEBER NEFTALI</t>
  </si>
  <si>
    <t>CHAVEZ MENDOZA JULIO CESAR</t>
  </si>
  <si>
    <t>MEJIA VAZQUEZ RODOLFO ERNESTO</t>
  </si>
  <si>
    <t>ALCALA PEREZ SALVADOR</t>
  </si>
  <si>
    <t>CRUZ GARCÍA ADOLFO</t>
  </si>
  <si>
    <t>VALENTINES BERNABE SAUL</t>
  </si>
  <si>
    <t>DIAZ MARTINEZ JUAN ANTONIO</t>
  </si>
  <si>
    <t>GONZALEZ BRACAMONTES JOSE LUIS</t>
  </si>
  <si>
    <t>FLORES FILOMENO EFREN</t>
  </si>
  <si>
    <t>OROZCO JACOBO GUSTAVO</t>
  </si>
  <si>
    <t>ALCARAZ RAMIREZ RAUL</t>
  </si>
  <si>
    <t>LOZANO URISTA BRUNO</t>
  </si>
  <si>
    <t>DIAZ PARRA JUAN MANUEL</t>
  </si>
  <si>
    <t>HERNANDEZ LAUREANO MIGUEL ARMANDO</t>
  </si>
  <si>
    <t>RODRIGUEZ LUNA LUIS ANTONIO</t>
  </si>
  <si>
    <t>ORTEGA HERNÁNDEZ JOSÉ ALBERTO</t>
  </si>
  <si>
    <t>NAVA SILVA FELIPE</t>
  </si>
  <si>
    <t>SILVA LINARES ROBERTO</t>
  </si>
  <si>
    <t>HERNANDEZ JIMENEZ DAVID</t>
  </si>
  <si>
    <t>MENDEZ REYES ROBERTO</t>
  </si>
  <si>
    <t>GUTIERREZ RAMIREZ JAVIER</t>
  </si>
  <si>
    <t>GUTIERREZ BALLESTEROS JULIAN</t>
  </si>
  <si>
    <t>GUTIERREZ MORALES ARI ADRIAN</t>
  </si>
  <si>
    <t>FLORES FILOMENO TIRSO EFRAIN</t>
  </si>
  <si>
    <t>VILCHIS SALGADO EDILBERTO</t>
  </si>
  <si>
    <t>ANDRACA IRIARTE GABRIEL ANGEL</t>
  </si>
  <si>
    <t>REYES MORALES ANA</t>
  </si>
  <si>
    <t>BAUTISTA HERNANDEZ DIANA</t>
  </si>
  <si>
    <t>HERNANDEZ COLULA VICTOR</t>
  </si>
  <si>
    <t>SANCHEZ NAVA MARIA EUGENIA</t>
  </si>
  <si>
    <t>LUEVANO ORTIZ JESUS EDUARDO</t>
  </si>
  <si>
    <t>OLMOS ASCENCIO ROBERTO</t>
  </si>
  <si>
    <t>CUEVAS SANCHEZ OFELIA</t>
  </si>
  <si>
    <t>LUEVANOS ORTIZ JOSE JAVIER</t>
  </si>
  <si>
    <t>JIMENEZ ORTIZ JOSE MIGUEL</t>
  </si>
  <si>
    <t>DIAZ LOPEZ JOSE GUADALUPE</t>
  </si>
  <si>
    <t>TRINIDAD BECERRA JOSE ASUNCION</t>
  </si>
  <si>
    <t>TRINIDAD TRINIDAD JOSE EDUARDO</t>
  </si>
  <si>
    <t>LÓPEZ MARTÍNEZ PEDRO</t>
  </si>
  <si>
    <t>BARTOLO CASTELLON FRANCISCO VIDAL</t>
  </si>
  <si>
    <t>HERNANDEZ LOZANO RENE</t>
  </si>
  <si>
    <t>XILONZOCHITL HERRERA JULIO CESAR</t>
  </si>
  <si>
    <t>FLORES CRUZ GALDINO</t>
  </si>
  <si>
    <t>RIVERA GUARRO ANGEL ADAN</t>
  </si>
  <si>
    <t>HERNANDEZ TOXQUI VICTOR</t>
  </si>
  <si>
    <t>HERNANDEZ TOXQUI VALENTIN</t>
  </si>
  <si>
    <t>RUIZ VAZQUEZ JOSE MARIA</t>
  </si>
  <si>
    <t>LARIOS NUÑEZ VICTOR DANIEL</t>
  </si>
  <si>
    <t>HERNANDEZ HERNANDEZ CARLOS</t>
  </si>
  <si>
    <t>ANDRADE AYALA DAVID GERARDO</t>
  </si>
  <si>
    <t>PATRICIO ORTIZ JACINTO</t>
  </si>
  <si>
    <t>ALVAREZ ZUÑIGA CARLOS ALBERTO</t>
  </si>
  <si>
    <t>CABEZUDT RUIZ FELIPE</t>
  </si>
  <si>
    <t>CHAVEZ MAISTERRA SANTIAGO</t>
  </si>
  <si>
    <t>LÓPEZ GALINDO JOSÉ ANTONIO</t>
  </si>
  <si>
    <t>BRAVO AGUILAR JOSE LUIS</t>
  </si>
  <si>
    <t>BRAVO AGUILAR RAFAEL</t>
  </si>
  <si>
    <t xml:space="preserve">LOPEZ HERNANDEZ JOSE MARTIN </t>
  </si>
  <si>
    <t>GUERRERO CHAVEZ JOSE LEONARDO</t>
  </si>
  <si>
    <t>AGUILAR NAVARRO JOSE MANUEL</t>
  </si>
  <si>
    <t>ZENDEJAS ARROYO JOAQUIN</t>
  </si>
  <si>
    <t>SALAZAR RAMIREZ EDUARDO JAVIER</t>
  </si>
  <si>
    <t>ZENDEJAS ARROYO JOSE GUADALUPE</t>
  </si>
  <si>
    <t>SENDEJAS REGALADO TELESFORO DE JESUS</t>
  </si>
  <si>
    <t>RAMOS SANCHEZ ISRAEL</t>
  </si>
  <si>
    <t>REGALADO GARCIA RICARDO</t>
  </si>
  <si>
    <t>VELASCO MORALES MIGUEL</t>
  </si>
  <si>
    <t>CARDENAS RUIZ ALBERTO</t>
  </si>
  <si>
    <t>FLORES FILOMENO ALFREDO</t>
  </si>
  <si>
    <t>CALVILLO HERNANDEZ JUAN</t>
  </si>
  <si>
    <t>PADILLA SANCHEZ EDWIN</t>
  </si>
  <si>
    <t>GARCIA GALLARDO OLIVERIO</t>
  </si>
  <si>
    <t>ANGUIANO BIRRUETA JOSE MARIA</t>
  </si>
  <si>
    <t>CAMPOS BARTOLO FRANCISCO</t>
  </si>
  <si>
    <t>FARIAS CUEVAS JOSE MANUEL</t>
  </si>
  <si>
    <t>MARTÍNEZ TORRES RAÚL</t>
  </si>
  <si>
    <t>LLAMAS HERRERA LUIS</t>
  </si>
  <si>
    <t>LLAMAS CORDOVA LUIS ADAN</t>
  </si>
  <si>
    <t>GONZALEZ CARDENAS JORGE</t>
  </si>
  <si>
    <t>CHAVEZ SANCHEZ JUAN</t>
  </si>
  <si>
    <t>CASTAÑEDA VERGARA JESUS</t>
  </si>
  <si>
    <t>LARIOS NUÑEZ FRANCISCO JAVIER</t>
  </si>
  <si>
    <t>CORDOVA PRECIADO JORGE ALBERTO</t>
  </si>
  <si>
    <t>PATRICIO GARCIA FERNANDO</t>
  </si>
  <si>
    <t>LLAMAS RAMOS GERARDO</t>
  </si>
  <si>
    <t>BARRÓN GARCÍA JOSÉ DAMACIO</t>
  </si>
  <si>
    <t>BARTOLO CASTELLON JOSE GUADALUPE</t>
  </si>
  <si>
    <t>CAMPOS MADRIGAL JUAN</t>
  </si>
  <si>
    <t>FORTOSO RODRIGUEZ MIGUEL ANGEL</t>
  </si>
  <si>
    <t>LOPEZ AVALOS GUILLERMO</t>
  </si>
  <si>
    <t>AVALOS MARTINEZ ALVARO</t>
  </si>
  <si>
    <t>CANDELARIO CORDOBA GABINO</t>
  </si>
  <si>
    <t>CANDELARIO CORDOBA JAVIER</t>
  </si>
  <si>
    <t>LOPEZ LOPEZ MARTIN</t>
  </si>
  <si>
    <t>RUBIO VIBANCO ARTURO</t>
  </si>
  <si>
    <t>LLAMAS RAMOS PEDRO</t>
  </si>
  <si>
    <t>CANDELARIO BASILIO AGUSTIN</t>
  </si>
  <si>
    <t>ARCINIEGA PRECIADO RAMON ALEJANDRO</t>
  </si>
  <si>
    <t>ENCISO NAVARRETE VICTOR MANUEL</t>
  </si>
  <si>
    <t>BARTOLO CASTELLON ANGEL RAMON</t>
  </si>
  <si>
    <t>LOPEZ AVALOS FELIPE</t>
  </si>
  <si>
    <t>SANCHEZ GARCIA JOSE ANGEL</t>
  </si>
  <si>
    <t>AVALOS VILLA JESUS</t>
  </si>
  <si>
    <t>PACHECO DE LA TORRE CRUZ FIDEL</t>
  </si>
  <si>
    <t>CAMPOS BARTOLO JOSE GUADALUPE</t>
  </si>
  <si>
    <t>CAMPOS VELASCO JORGE</t>
  </si>
  <si>
    <t>HERNANDEZ HERNANDEZ JAVIER</t>
  </si>
  <si>
    <t>HERNANDEZ RAMOS CECILIO GERARDO</t>
  </si>
  <si>
    <t>HERNANDEZ RAMOS FRANCISCO JAVIER</t>
  </si>
  <si>
    <t>RESENDIZ HERNANDEZ JOSE EFRAIN</t>
  </si>
  <si>
    <t>AVALOS CARRILLO JOSE ADRIAN</t>
  </si>
  <si>
    <t>RUBIO GARCIA JESUS ARTURO</t>
  </si>
  <si>
    <t>LLAMAS LOPEZ JAIME</t>
  </si>
  <si>
    <t>ARCINIEGA CARDENAS SALOMON</t>
  </si>
  <si>
    <t>ARCINIEGA CARDENAS ERNESTO ALONSO</t>
  </si>
  <si>
    <t>DIAZ FAJARDO NOE GUADALUPE</t>
  </si>
  <si>
    <t>NUÑEZ BECERRA JORGE</t>
  </si>
  <si>
    <t>MARTINEZ BRACAMONTES ALEJANDRO</t>
  </si>
  <si>
    <t>XILONZOCHITL GARCIA JOSE IVAN</t>
  </si>
  <si>
    <t>SANCHEZ MALFAVON MIRSHA ALBERTO</t>
  </si>
  <si>
    <t>ESCOBEDO REVELES FERNANDO</t>
  </si>
  <si>
    <t>ORTEGA SANCHEZ MARCO ANTONIO</t>
  </si>
  <si>
    <t>ROJAS LOPEZ MAURICIO ROGELIO</t>
  </si>
  <si>
    <t>DIAZ CRUZ SERGIO ELEAZAR</t>
  </si>
  <si>
    <t>VALENCIA MARTINEZ ANDRES RAFAEL</t>
  </si>
  <si>
    <t>VILLANUEVA DOMINGUEZ HUGO</t>
  </si>
  <si>
    <t>SERRATOS GALVAN ALEJANDRO</t>
  </si>
  <si>
    <t>LUPERCIO MARTINEZ GILBERTO</t>
  </si>
  <si>
    <t>ARROYO SANCHEZ JOSE CARLOS</t>
  </si>
  <si>
    <t>FRANCO CALDERON  CASTULO</t>
  </si>
  <si>
    <t>LUNA AMEZCUA JOSE GUADALUPE</t>
  </si>
  <si>
    <t>CALVILLO REYNA JOSE DE JESÚS</t>
  </si>
  <si>
    <t>CARBAJAL SALVADOR</t>
  </si>
  <si>
    <t>RAMOS MEJIA JONATHAN OMAR</t>
  </si>
  <si>
    <t>PIÑA GUERRERO ENRIQUE</t>
  </si>
  <si>
    <t>TORRES ESPAÑA SILVIANO</t>
  </si>
  <si>
    <t>GUERRERO PADILLA VICTOR MANUEL</t>
  </si>
  <si>
    <t>RODRIGUEZ ARGUELLO EDUARDO</t>
  </si>
  <si>
    <t>TORRES BRIONES MANUEL</t>
  </si>
  <si>
    <t>TORRES MACIAS GERARDO</t>
  </si>
  <si>
    <t>VILLEGAS HERNANDEZ JOSE DAVID</t>
  </si>
  <si>
    <t>HERNANDEZ COLULA NOE</t>
  </si>
  <si>
    <t>CHIGO TEMICH JUAN</t>
  </si>
  <si>
    <t>GONZALEZ MATA MACARIO</t>
  </si>
  <si>
    <t>MACHUCHO TOTO FRANCISCO</t>
  </si>
  <si>
    <t>BUSTAMANTE POLITO GERARDO</t>
  </si>
  <si>
    <t>ALVINO DOLORES CLAUDIO</t>
  </si>
  <si>
    <t>DE LA CRUZ BAUTISTA JANER</t>
  </si>
  <si>
    <t>MATIAS JACINTO HECTOR</t>
  </si>
  <si>
    <t>MEDEL RODRIGUEZ BARTOLO</t>
  </si>
  <si>
    <t>SOLORZANO SIERRA MARCOS ADOLFO</t>
  </si>
  <si>
    <t>CAMPOS VELASCO LUIS FERNANDO</t>
  </si>
  <si>
    <t>CAMPOS VAZQUEZ SALVADOR</t>
  </si>
  <si>
    <t>FUERTE RIOS NOE</t>
  </si>
  <si>
    <t>XILONZOCHILT BIZARRO ISAAC</t>
  </si>
  <si>
    <t>MEDINA ALBARADO SERGIO IVÁN</t>
  </si>
  <si>
    <t>TOSCANO LOPEZ SERGIO</t>
  </si>
  <si>
    <t>RIVERA SALTO CUSTODIO</t>
  </si>
  <si>
    <t>FLORES MURILLO JULIO ENRIQUE</t>
  </si>
  <si>
    <t>SALINAS VAZQUEZ FILIBERTO</t>
  </si>
  <si>
    <t>HERNANDEZ RAMOS JULIO CESAR</t>
  </si>
  <si>
    <t>GONZALEZ SANTEÑO JOSE DE JESUS</t>
  </si>
  <si>
    <t>RUVALCABA VERGARA JOSE LUIS</t>
  </si>
  <si>
    <t>TREVIÑO MUCIÑO FERNANDO</t>
  </si>
  <si>
    <t>TREVIÑO RODRIGUEZ JUAN ANTONIO</t>
  </si>
  <si>
    <t>SALAZAR SANCHEZ JAVIER</t>
  </si>
  <si>
    <t>CRUZ CARRILLO FAUSTINO</t>
  </si>
  <si>
    <t>GUERRERO ACEVEDO SALVADOR</t>
  </si>
  <si>
    <t>RINCON LEON MIGUEL</t>
  </si>
  <si>
    <t>RINCON LEON MARIO</t>
  </si>
  <si>
    <t>SANCHEZ GABRIEL JOSE GERMAN</t>
  </si>
  <si>
    <t>RESENDIZ GONZALEZ JOSE</t>
  </si>
  <si>
    <t>GARCIA REYES BLANCA ITZEL</t>
  </si>
  <si>
    <t>TREVIÑO RODRIGUEZ FERNANDO BENJAMIN</t>
  </si>
  <si>
    <t>ARGUMEDO VELAZCO CARLOS RAMON</t>
  </si>
  <si>
    <t>MEDRANO GONZALEZ EFRAIN</t>
  </si>
  <si>
    <t>CASTAÑEDA VERGARA MANUEL SALVADOR</t>
  </si>
  <si>
    <t>RAMIREZ ZAMBRANO EMILIANO</t>
  </si>
  <si>
    <t>LEYVA RENTERIA RAMON</t>
  </si>
  <si>
    <t>CERVANTES VARGAS MIGUEL ANGEL</t>
  </si>
  <si>
    <t>CERVANTES VALLADAREZ RAUL</t>
  </si>
  <si>
    <t>VILLANUEVA DOMINGUEZ ARTEMIO</t>
  </si>
  <si>
    <t>MONTECLARO GALVÁN MANUEL DE JESÚS</t>
  </si>
  <si>
    <t>AGUILAR RUIZ JOSE MARIA</t>
  </si>
  <si>
    <t>BRAVO FARIAS JOSE LUIS</t>
  </si>
  <si>
    <t>PASCACIO REYNA RAUL</t>
  </si>
  <si>
    <t>FLORES AMEZOLA EMIGDIO ALFONSO</t>
  </si>
  <si>
    <t>MORENO JURADO CRISTIAM JOBANI</t>
  </si>
  <si>
    <t>ORTIZ TINAJERO SUSANA</t>
  </si>
  <si>
    <t>MUÑOZ GONZALEZ MARIA LEONOR</t>
  </si>
  <si>
    <t>DIAZ VILLATORO ANA</t>
  </si>
  <si>
    <t>HERNANDEZ MATA ANTONIO</t>
  </si>
  <si>
    <t>HERNANDEZ MATA EVELIO</t>
  </si>
  <si>
    <t>SANTOS BENAVIDES JULIO CESAR</t>
  </si>
  <si>
    <t>VILLEGAS MUÑOZ VICTOR HUGO</t>
  </si>
  <si>
    <t>RAMOS ALVARADO JOSE DE JESUS</t>
  </si>
  <si>
    <t>NAVARRO NOYOLA CARLOS ANTONIO</t>
  </si>
  <si>
    <t>GARCIA CRUZ JOSE DE JESUS</t>
  </si>
  <si>
    <t>CORTES TERAN SARA</t>
  </si>
  <si>
    <t>VAZQUEZ GASCA ANA LILIA</t>
  </si>
  <si>
    <t>MARTINEZ DOMINGUEZ JUANA CECILIA</t>
  </si>
  <si>
    <t>SANCHEZ GASCA LUIS</t>
  </si>
  <si>
    <t>VAZQUEZ HERNANDEZ JORGE</t>
  </si>
  <si>
    <t>GUERRERO MARTINEZ LUIS MANUEL</t>
  </si>
  <si>
    <t>RAMOS ESPINOZA MARCELINO</t>
  </si>
  <si>
    <t>MARQUEZ GUTIERREZ NICOLAS</t>
  </si>
  <si>
    <t>FLORES AGUILAR JOSE GUADALUPE</t>
  </si>
  <si>
    <t>MACIAS TEJEDA JOSE DE JESUS</t>
  </si>
  <si>
    <t>MACIAS TEJEDA JOSE GUADALUPE</t>
  </si>
  <si>
    <t>GIL CASTILLO IGNACIO</t>
  </si>
  <si>
    <t>MONTES VACA AGUSTIN GEOVANNI</t>
  </si>
  <si>
    <t>SOTELO DIAZ JOSE DE JESUS</t>
  </si>
  <si>
    <t>TORRES MASIAS ANDRES</t>
  </si>
  <si>
    <t>GOMEZ MARIN GREGORIO</t>
  </si>
  <si>
    <t>ESCAMILLA MARTINEZ JORGE</t>
  </si>
  <si>
    <t>CASTAÑEDA DIAZ JOSE JUAN DE DIOS</t>
  </si>
  <si>
    <t>MEDINA LOPEZ OSCAR ENRIQUE</t>
  </si>
  <si>
    <t>CABAÑAS SANCHEZ EFREN ELIAS</t>
  </si>
  <si>
    <t>MACIAS TEJEDA MIGUEL ANGEL</t>
  </si>
  <si>
    <t>BAUTISTA GONZALEZ MIGUEL ANGEL</t>
  </si>
  <si>
    <t>ONTIVEROS RUIZ DANIEL</t>
  </si>
  <si>
    <t>HERRERA AGUILAR JUAN JESUS</t>
  </si>
  <si>
    <t>GARCIA MENDOZA JAIME</t>
  </si>
  <si>
    <t>OCAMPO LUISES LEONARDO</t>
  </si>
  <si>
    <t>OCAMPO MARRUFO PEDRO</t>
  </si>
  <si>
    <t>FLORES GARCIA LUIS ALFREDO</t>
  </si>
  <si>
    <t>XILONZOCHITL BECERRA SERGIO</t>
  </si>
  <si>
    <t>XILONZOCHITL IBAÑEZ HERIBERTO</t>
  </si>
  <si>
    <t>MENDOZA GARCIA JAIME</t>
  </si>
  <si>
    <t>WARNER GARCIA JULIO CESAR</t>
  </si>
  <si>
    <t>JIMENEZ GONZALEZ ALEJANDRO</t>
  </si>
  <si>
    <t>JIMENEZ DIAZ EVERARDO</t>
  </si>
  <si>
    <t>LOPEZ BAUTISTA RICARDO ISMAEL</t>
  </si>
  <si>
    <t>LUEVANO ORTIZ MARCELO</t>
  </si>
  <si>
    <t>OVALLE MARTINEZ EDUARDO GUADALUPE</t>
  </si>
  <si>
    <t>PEREZ REYNOSO REYES VICENTE</t>
  </si>
  <si>
    <t>VAZQUEZ VELAZCO FERNANDO</t>
  </si>
  <si>
    <t>HERNANDEZ PEREZ GABRIEL</t>
  </si>
  <si>
    <t>JIMENEZ TOVAR HUMBERTO GABRIEL</t>
  </si>
  <si>
    <t>GALVEZ MEDINA J FELIX</t>
  </si>
  <si>
    <t>JIMENEZ GAVILAN JORGE LUIS</t>
  </si>
  <si>
    <t>NAVARRO FLORES HELEODORO ANTONIO</t>
  </si>
  <si>
    <t>VALENTÍN MENDOZA MIGUEL ÁNGEL</t>
  </si>
  <si>
    <t>GARCIA MURILLO DANIEL</t>
  </si>
  <si>
    <t>ESPARZA URISTA MIGUEL ANGEL</t>
  </si>
  <si>
    <t>SEVILLA OSORIO RAFAEL</t>
  </si>
  <si>
    <t>SEVILLA ORNELAS RAFAEL</t>
  </si>
  <si>
    <t>HERRERA ORTEGA LEONARDO RODOLFO</t>
  </si>
  <si>
    <t>RAMOS HERNANDEZ SAUL</t>
  </si>
  <si>
    <t>BRAVO BARAJAS SERAFIN</t>
  </si>
  <si>
    <t>EUFRACIO GUZMAN JOSE BONIFACIO</t>
  </si>
  <si>
    <t>VARGAS HERNANDEZ CHRISTIAN EDUARDO</t>
  </si>
  <si>
    <t>MONDRAGON ASCENCIO J. JESUS</t>
  </si>
  <si>
    <t>SILONXOCHILT HERRERA HERIBERTO</t>
  </si>
  <si>
    <t>JAIME FLORES OSCAR ALONSO</t>
  </si>
  <si>
    <t>SANCHEZ VILLANUEVA VICENTE</t>
  </si>
  <si>
    <t>ESPARZA TEJEDA JOSE MANUEL</t>
  </si>
  <si>
    <t>GARCIA REYES ISIDRO</t>
  </si>
  <si>
    <t>JIMENEZ RAMIREZ JOSE ANGEL</t>
  </si>
  <si>
    <t>NAJAR GARCIA AMAURI</t>
  </si>
  <si>
    <t>REYES GONZALEZ BRYAN FRANCISCO</t>
  </si>
  <si>
    <t>RUELAS HERRERA SERGIO SAMUEL</t>
  </si>
  <si>
    <t>SALAZAR DE LOS SANTOS JORGE ADRIÁN</t>
  </si>
  <si>
    <t>HUERTA SOLIS JESUS ANTONIO</t>
  </si>
  <si>
    <t>HERRERA LAZCANO JUAN CARLOS</t>
  </si>
  <si>
    <t>MACIAS MORA ANTONIO</t>
  </si>
  <si>
    <t>AGUIRRE BERDINO NOE</t>
  </si>
  <si>
    <t>VELAZQUEZ NAVARRETE JOSE EDUARDO</t>
  </si>
  <si>
    <t>HERNANDEZ DOMINGUEZ MARIO</t>
  </si>
  <si>
    <t>HERNANDEZ DOMINGUEZ GUSTAVO</t>
  </si>
  <si>
    <t>HERNANDEZ CASTELLON ENRIQUE</t>
  </si>
  <si>
    <t>GUTIERREZ AGUILERA DANIEL</t>
  </si>
  <si>
    <t>REYES BRAVO ARNOLDO ADRIAN</t>
  </si>
  <si>
    <t>NAJAR TORRES JUAN MANUEL</t>
  </si>
  <si>
    <t>NAJAR MARTINEZ JUAN CARLOS</t>
  </si>
  <si>
    <t>HERNANDEZ ESTRADA JOSE LUIS</t>
  </si>
  <si>
    <t>LARA BARRIOS CARLOS DANIEL</t>
  </si>
  <si>
    <t>INFANTE SIMUTA ONIEL</t>
  </si>
  <si>
    <t>HURTADO ROBLES ULISES JAVIER</t>
  </si>
  <si>
    <t>LOPEZ SANCHEZ OSCAR DE JESUS</t>
  </si>
  <si>
    <t>NAJAR SOLIS HUGO</t>
  </si>
  <si>
    <t>SANTANA GARDUÑO ISMAEL</t>
  </si>
  <si>
    <t>SOTO SOTO ROGELIO</t>
  </si>
  <si>
    <t>RANGEL ALCALA FRANCISCO JAVIER</t>
  </si>
  <si>
    <t>CAMACHO ORTIZ MIGUEL ANGEL</t>
  </si>
  <si>
    <t>CERVANTES ARIAS JOSE ANTONIO</t>
  </si>
  <si>
    <t>RAMIREZ RUBIO CARLOS</t>
  </si>
  <si>
    <t>LOPEZ VIGIL CESAR ALEJANDRO</t>
  </si>
  <si>
    <t>URISTA BOLAÑOS JOSE ISIDRO ENRIQUE</t>
  </si>
  <si>
    <t>RAMIREZ DAMIAN JOSE MARIA MARTIN</t>
  </si>
  <si>
    <t>MOYA REAL URIEL ALFREDO</t>
  </si>
  <si>
    <t>ZUÑIGA ARIAS ENCARNACION</t>
  </si>
  <si>
    <t>CHAVARIN GOMEZ ALVARO</t>
  </si>
  <si>
    <t>REYES BRAVO JOSE DE JESUS</t>
  </si>
  <si>
    <t>HERRERA OLIVARES MARTIN OSWALDO</t>
  </si>
  <si>
    <t>MEDELLIN LOPEZ FELIX ALEJANDRO</t>
  </si>
  <si>
    <t>LOZANO RAMIREZ FRANCISCO JAVIER</t>
  </si>
  <si>
    <t>COLULA COLORADO FRANCISCO</t>
  </si>
  <si>
    <t>CRUZ BAUTISTA LEONARDO</t>
  </si>
  <si>
    <t>SAN LUIS HERNANDEZ LEOBARDO</t>
  </si>
  <si>
    <t>REYES BRAVO SALVADOR</t>
  </si>
  <si>
    <t>CALDERON MUÑIZ MIGUEL ANGEL</t>
  </si>
  <si>
    <t>GARCIA IBARRA ARMANDO</t>
  </si>
  <si>
    <t>LUJANO PORTILLO JUAN GUADALUPE</t>
  </si>
  <si>
    <t>PONCE VENEGAS CESAR ARMANDO</t>
  </si>
  <si>
    <t>HERRERA HIGAREDA RODRIGO</t>
  </si>
  <si>
    <t>MACHUCHO POLITO CORNELIO</t>
  </si>
  <si>
    <t>TEMICH POLITO ISRAEL</t>
  </si>
  <si>
    <t>DE LA CRUZ CRUZ LEONARDO</t>
  </si>
  <si>
    <t>GARCIA BECERRA ROGELIO</t>
  </si>
  <si>
    <t>GARCIA GARCIA JOEL</t>
  </si>
  <si>
    <t>FLORES IBARRA ROBERTO</t>
  </si>
  <si>
    <t>HURTADO ROBLES EDGAR DE JESUS</t>
  </si>
  <si>
    <t>CASTELLÓN ARÉCHIGA JOSÉ LUIS</t>
  </si>
  <si>
    <t>MORENO JURADO JORGE LUIS</t>
  </si>
  <si>
    <t>VARGAS VARGAS JOSE MANUEL</t>
  </si>
  <si>
    <t>VALENTIN XILONZOCHILT JORGE ALBERTO</t>
  </si>
  <si>
    <t>BIZARRO MACIAS PEDRO</t>
  </si>
  <si>
    <t>ENRIQUEZ XILONZOCHITL JOSE MANUEL</t>
  </si>
  <si>
    <t>AGUILAR EUGENIO LUIS RUBEN</t>
  </si>
  <si>
    <t>AGUILAR VENTURA SERGIO</t>
  </si>
  <si>
    <t>PEREZ MENDOZA JOSE FLORENTINO</t>
  </si>
  <si>
    <t>HERNANDEZ LOPEZ VALENTIN</t>
  </si>
  <si>
    <t>BIZARRO XILONZOCHITL MISAEL</t>
  </si>
  <si>
    <t>DIERA MONTOYA JOSE MANUEL</t>
  </si>
  <si>
    <t>SANDOVAL CABAÑAS VICTOR MANUEL</t>
  </si>
  <si>
    <t>DAVILA TOLENTINO JOSE SALVADOR</t>
  </si>
  <si>
    <t>MACIAS ZENTENO CARLOS EDUARDO</t>
  </si>
  <si>
    <t>AGUILAR SAUCEDO RICARDO JAVIER</t>
  </si>
  <si>
    <t>ESCOTO MENDOZA JOSE EDUARDO</t>
  </si>
  <si>
    <t>GARCIA BIZARRO RODRIGO</t>
  </si>
  <si>
    <t>CASTRO DE LA CERDA JONATHAN REYES</t>
  </si>
  <si>
    <t>OLIVO MORA CRISTIAN FABIÁN</t>
  </si>
  <si>
    <t>ENRIQUEZ CAMARENA GREGORIO</t>
  </si>
  <si>
    <t>BARRERA BOCANEGRA DAVID</t>
  </si>
  <si>
    <t>ENRÍQUEZ XILONZÓCHITL CARLOS DAVID</t>
  </si>
  <si>
    <t>VILLALVASO JAIME FERNANDO RAUL</t>
  </si>
  <si>
    <t>SANCHEZ DIAZ DANIEL</t>
  </si>
  <si>
    <t>CRUZ LOPEZ MANUEL</t>
  </si>
  <si>
    <t>FLORES BARANDA ALFREDO</t>
  </si>
  <si>
    <t>HERNÁNDEZ HERNÁNDEZ CASIANO</t>
  </si>
  <si>
    <t>BUSTAMANTE POLITO CANDELARIO</t>
  </si>
  <si>
    <t>SEBA MARCIAL MIGUEL</t>
  </si>
  <si>
    <t>FILOMENO SANCHEZ LUCAS GUADALUPE</t>
  </si>
  <si>
    <t>LAURIANO VERDIA MARTIN</t>
  </si>
  <si>
    <t>GARCIA AGUIRRE OMAR ALEJANDRO</t>
  </si>
  <si>
    <t>AVIÑA LOPEZ VICTOR HUGO</t>
  </si>
  <si>
    <t>FLORES RODRIGUEZ RAUL JAVIER</t>
  </si>
  <si>
    <t>DEL VALLE NUÑEZ JUAN JOSE</t>
  </si>
  <si>
    <t>MARTINEZ URISTA REYNALDO</t>
  </si>
  <si>
    <t>URISTA BOLAÑOS JOSE DE JESUS</t>
  </si>
  <si>
    <t>LOZADA VEGA GIESI AHSTARI</t>
  </si>
  <si>
    <t>RAMOS HERNANDEZ JESUS ISRAEL</t>
  </si>
  <si>
    <t>HERNANDEZ HERNANDEZ RICARDO</t>
  </si>
  <si>
    <t>AGUILAR ENRRIQUEZ LUIS FELIPE</t>
  </si>
  <si>
    <t>FLORES SAUCEDO LUIS GERARDO</t>
  </si>
  <si>
    <t>SALCEDO HERNANDEZ OSCAR LORENZO</t>
  </si>
  <si>
    <t>MONTIEL AGUAYO JOSE SERGIO</t>
  </si>
  <si>
    <t>MIRANDA PEREZ JOSE LUIS</t>
  </si>
  <si>
    <t>GUERRA RODRIGUEZ RAMON</t>
  </si>
  <si>
    <t>LAUREANO ENRIQUEZ MIGUEL ANGEL</t>
  </si>
  <si>
    <t>MORA HARO ARMANDO MANUEL</t>
  </si>
  <si>
    <t>LOPEZ RAMOS HERIBERTO</t>
  </si>
  <si>
    <t>LAUREANO ENRIQUEZ JAIME</t>
  </si>
  <si>
    <t>CONTRERAS GUAREÑO CARLOS ULISES</t>
  </si>
  <si>
    <t>MAGAÑA BARRAGAN JAIME EFRAIN</t>
  </si>
  <si>
    <t>REYES BRAVO FELIPE DE JESUS</t>
  </si>
  <si>
    <t>SANTANA REYES UBALDO</t>
  </si>
  <si>
    <t>BAÑUELOS MEJIA ALFREDO</t>
  </si>
  <si>
    <t>ROMERO RIOS MIGUEL ANGEL</t>
  </si>
  <si>
    <t>GARCIA SANCHEZ ALVARO</t>
  </si>
  <si>
    <t>VEGA FLORES MIGUEL ANGEL</t>
  </si>
  <si>
    <t>PIÑA ORTIZ JOSE LUIS</t>
  </si>
  <si>
    <t>CABRERA MAZUCA MARTIN</t>
  </si>
  <si>
    <t>MARTÍN RAMOS IVÁN</t>
  </si>
  <si>
    <t>GONZALEZ SANTEÑO MOISES</t>
  </si>
  <si>
    <t>FIGUEROA LOPEZ JOSE LUIS</t>
  </si>
  <si>
    <t>CORNEJO RENTERIA RAFAEL</t>
  </si>
  <si>
    <t>VEGA SALAZAR ISAAC MANUEL</t>
  </si>
  <si>
    <t>FIGUEROA LOPEZ FRANCISCO JAVIER</t>
  </si>
  <si>
    <t>MORA FELIX FRANCISCO JUAN</t>
  </si>
  <si>
    <t>PIÑA ORTIZ CESILIO</t>
  </si>
  <si>
    <t>JIMENEZ MACIAS JOSE ANTONIO</t>
  </si>
  <si>
    <t>NAVARRO VEGA GERARDO</t>
  </si>
  <si>
    <t>PONCE RIVERA LUIS FELIPE DE JESUS</t>
  </si>
  <si>
    <t>SANCHEZ QUINTANA MIGUEL ANGEL</t>
  </si>
  <si>
    <t>FLORES TEJEDA PABLO ANTONIO</t>
  </si>
  <si>
    <t>HERNANDEZ MENDEZ JOSE AURELIO</t>
  </si>
  <si>
    <t>SANCHEZ BORRAYO VICTOR MANUEL</t>
  </si>
  <si>
    <t>DE LA O RIVAS JUAN CARLOS</t>
  </si>
  <si>
    <t>ROMERO RUBALCAVA FRANCISCO</t>
  </si>
  <si>
    <t>MEDINA ARMENTA ALFREDO</t>
  </si>
  <si>
    <t>OJEDA SANCHEZ RODOLFO</t>
  </si>
  <si>
    <t>GONZALEZ NAVARRO EDGAR IVAN</t>
  </si>
  <si>
    <t>BUENO ESCONTRILLA LUIS ENRIQUE</t>
  </si>
  <si>
    <t>CASTRO CHAVEZ LUIS FERNANDO</t>
  </si>
  <si>
    <t>JIMENEZ FLORES ANTONIO RAFAEL</t>
  </si>
  <si>
    <t>MORALES ORTIZ ABELARDO</t>
  </si>
  <si>
    <t>RAMIREZ CLARA JUAN CARLOS</t>
  </si>
  <si>
    <t>ALVARADO RODRIGUEZ MOISES</t>
  </si>
  <si>
    <t>HERNANDEZ ROQUE DAVID</t>
  </si>
  <si>
    <t>MELENDEZ JIMENEZ FAUSTINO</t>
  </si>
  <si>
    <t>DE LA PAZ CALVARIO JOSE DE JESUS</t>
  </si>
  <si>
    <t>LOPEZ HERRERA FRANCISCO JAVIER</t>
  </si>
  <si>
    <t>HERNANDEZ HERNANDEZ ADRIAN</t>
  </si>
  <si>
    <t>PEREZ RAMIREZ CRISTIAN ALEJANDRO</t>
  </si>
  <si>
    <t>RAMIREZ LERMA JULIAN</t>
  </si>
  <si>
    <t>SANCHEZ VAZQUEZ JAVIER</t>
  </si>
  <si>
    <t>XILONZOCHITL OCAMPO FORTUNATO</t>
  </si>
  <si>
    <t>ZUÑIGA RAMIREZ ISMAEL</t>
  </si>
  <si>
    <t>CORDOVA GARCIA EDUARDO DE JESUS</t>
  </si>
  <si>
    <t>RAMIREZ CLARA JORGE ALBERTO</t>
  </si>
  <si>
    <t>PARRA OCHOA MARCOS EDUARDO</t>
  </si>
  <si>
    <t>CAMPOS MANZANO GUADALUPE DE JESUS</t>
  </si>
  <si>
    <t>BARTOLO CASTELLON MARTIN</t>
  </si>
  <si>
    <t>GARCIA BARTOLO MANUEL GUADALUPE</t>
  </si>
  <si>
    <t>GARCIA BARTOLO PABLO</t>
  </si>
  <si>
    <t>PIO DE JESUS CECILIO</t>
  </si>
  <si>
    <t>PIO DE JESUS EMILIO</t>
  </si>
  <si>
    <t>CANDELARIO CORDOBA ALEJANDRO</t>
  </si>
  <si>
    <t>RUBIO VIBANCO ALEJANDRO GILBERTO</t>
  </si>
  <si>
    <t>CASTILLO PADILLA ANTONIO</t>
  </si>
  <si>
    <t>DE LA TORRE HERNANDEZ RAMON</t>
  </si>
  <si>
    <t>CAMACHO PRECIADO JOSE ADAN</t>
  </si>
  <si>
    <t>VALLE RAMIREZ ROBERTO</t>
  </si>
  <si>
    <t>LOPEZ PAREDES JORGE</t>
  </si>
  <si>
    <t>ARCINIEGA GARCIA J. JESUS</t>
  </si>
  <si>
    <t>ALVAREZ QUINTERO SERGIO</t>
  </si>
  <si>
    <t>GONZÁLEZ NAVARRO HÉCTOR MIGUEL</t>
  </si>
  <si>
    <t>IBARRA RAMIREZ PATRICIO</t>
  </si>
  <si>
    <t xml:space="preserve">BARRAGAN RAMEÑO TOMAS ALEJANDRO </t>
  </si>
  <si>
    <t>RIVERA RIVERA MOISES ERNESTO</t>
  </si>
  <si>
    <t>VELAZQUEZ LOPEZ ERICK DEL REFUGIO</t>
  </si>
  <si>
    <t>LOPEZ PADILLA RENE</t>
  </si>
  <si>
    <t>SALAZAR DE LOS SANTOS JESÚS IGNACIO</t>
  </si>
  <si>
    <t>VILLAGRANA CAMACHO CRISTIAN GERONIMO</t>
  </si>
  <si>
    <t>VARGAS ALDERETE JOSE LUIS</t>
  </si>
  <si>
    <t>VELAZQUEZ VELAZQUEZ AGUSTIN</t>
  </si>
  <si>
    <t>MEDINA VELAZQUEZ FERNANDO</t>
  </si>
  <si>
    <t>VALDEZ GUADARRAMA ARELI</t>
  </si>
  <si>
    <t>ESPÍRITU DÍAZ MANUEL</t>
  </si>
  <si>
    <t>ESPÍRITU DÍAZ JUAN CARLOS</t>
  </si>
  <si>
    <t>HERNANDEZ SOTO JUAN CARLOS</t>
  </si>
  <si>
    <t>GARCIA URISTA JULIO ADRIAN</t>
  </si>
  <si>
    <t>DÍAZ SÁNCHEZ DANIEL</t>
  </si>
  <si>
    <t>MARTINEZ URISTA JORGE HUMBERTO</t>
  </si>
  <si>
    <t>FLORES RUBIO JOSE GUADALUPE</t>
  </si>
  <si>
    <t>FLORES RODRIGUEZ JESUS</t>
  </si>
  <si>
    <t>TRINIDAD BECERRA ROSALÍO</t>
  </si>
  <si>
    <t>QUINTERO CORDOVA PABLO</t>
  </si>
  <si>
    <t>QUINTERO LOPEZ CESAR IVAN</t>
  </si>
  <si>
    <t>PADILLA HERNANDEZ JOSE</t>
  </si>
  <si>
    <t>ORNELAS HERRERA CESAR</t>
  </si>
  <si>
    <t>DIAZ MARTINEZ ERNESTO</t>
  </si>
  <si>
    <t>VALENTIN OLIVO CESAR</t>
  </si>
  <si>
    <t>SANCHEZ ALCALA ALBERTO</t>
  </si>
  <si>
    <t>DELGADO PEREZ HECTOR ELIAS</t>
  </si>
  <si>
    <t>REYNA PEDRAZA VICTOR ANTONIO</t>
  </si>
  <si>
    <t>CASTRO CENDEJAS JOSE ANTONIO</t>
  </si>
  <si>
    <t>DEL VALLE ROBLEDO FRANCISCO LEONEL</t>
  </si>
  <si>
    <t>VALENTIN HERRERA MIGUEL ANGEL</t>
  </si>
  <si>
    <t>MENDOZA GARCIA LUIS ENRIQUE</t>
  </si>
  <si>
    <t>RAMOS GARCIA FABIAN</t>
  </si>
  <si>
    <t>ALATORRE LOPEZ GABRIEL</t>
  </si>
  <si>
    <t>LOZANO LUA HERIBERTO</t>
  </si>
  <si>
    <t>DÁVILA DE LOS SANTOS JUAN CARLOS</t>
  </si>
  <si>
    <t>VARGAS ENRIQUEZ RUBEN</t>
  </si>
  <si>
    <t>DAVILA RUIZ TOMAS</t>
  </si>
  <si>
    <t>ROMERO RAMIREZ JOSE ALFREDO</t>
  </si>
  <si>
    <t>ELVIRA TADEO GABRIEL</t>
  </si>
  <si>
    <t>ORTIZ MACIAS JESUS</t>
  </si>
  <si>
    <t>GARCIA LAUREANO ALEJANDRO</t>
  </si>
  <si>
    <t>TOVAR SANCHEZ JOSE EZEQUIEL</t>
  </si>
  <si>
    <t>BORRAYO URISTA JUAN DANIEL</t>
  </si>
  <si>
    <t>GUERRERO AYALA JOSE MANUEL</t>
  </si>
  <si>
    <t>OROZCO FLORES RODOLFO MAXIMILIANO</t>
  </si>
  <si>
    <t>BIZARRO XILONZÓCHITL PEDRO EDUARDO</t>
  </si>
  <si>
    <t>ENRIQUEZ SAUCEDO RIGOBERTO</t>
  </si>
  <si>
    <t>VEGA SALAZAR JOSE RAMON</t>
  </si>
  <si>
    <t>ORTIZ MACIAS JOSE LUIS</t>
  </si>
  <si>
    <t>VALENTIN HERRERA SIDRONIO</t>
  </si>
  <si>
    <t>RODRIGUEZ GARCIA DAVID</t>
  </si>
  <si>
    <t>ALONSO VAZQUEZ JUAN GABRIEL</t>
  </si>
  <si>
    <t>SALAZAR RENTERIA ALEJANDRO</t>
  </si>
  <si>
    <t>GARCIA VAZQUEZ JOSE ADRIAN</t>
  </si>
  <si>
    <t>RAMOS MARTINEZ FERNANDO</t>
  </si>
  <si>
    <t>CÓRDOVA NICASIO SAMUEL ENRIQUE</t>
  </si>
  <si>
    <t>AGUILAR BARTOLO JOSE GUADALUPE</t>
  </si>
  <si>
    <t>LOPEZ RIOS EDGAR ALONSO</t>
  </si>
  <si>
    <t>OLIVARES VAZQUEZ EDGAR FABIAN</t>
  </si>
  <si>
    <t>FRIAS VALDEZ JOSE LUIS</t>
  </si>
  <si>
    <t>DIAZ LOPEZ ALIFONSO</t>
  </si>
  <si>
    <t>GONZALEZ LOPEZ MACARIO</t>
  </si>
  <si>
    <t>BARAJAS ORNELAS ROGER ENRIQUE</t>
  </si>
  <si>
    <t>XILONZOCHITL GARCIA MARCELO</t>
  </si>
  <si>
    <t>XILONZOCHITL GARCIA GABRIEL</t>
  </si>
  <si>
    <t>GARCIA VAZQUEZ JUAN CARLOS</t>
  </si>
  <si>
    <t>AGUILAR VENTURA MIGUEL</t>
  </si>
  <si>
    <t>RUBIO TOSCANO ELVIS</t>
  </si>
  <si>
    <t>VILLANUEVA CHAVEZ MIGUEL</t>
  </si>
  <si>
    <t>MENDOZA VILLANUEVA JUAN DIEGO</t>
  </si>
  <si>
    <t>SANDOVAL AVALOS OCTAVIO</t>
  </si>
  <si>
    <t>PEÑA GUTIERREZ JUAN GABRIEL</t>
  </si>
  <si>
    <t>CABRERA FLORES GUILLERMO</t>
  </si>
  <si>
    <t>VALENCIA FLORES SAUL GIOVVANY</t>
  </si>
  <si>
    <t>HERNANDEZ HERNANDEZ HECTOR</t>
  </si>
  <si>
    <t>MARISCAL JIMENEZ EDUARDO</t>
  </si>
  <si>
    <t>MEDINA MARTINEZ JESUS</t>
  </si>
  <si>
    <t>GALLEGOS GONZALEZ DIEGO ALEJANDRO</t>
  </si>
  <si>
    <t>RAMOS VELAZQUEZ EMILIANO</t>
  </si>
  <si>
    <t>BECERRA SANCHEZ MOISES HUMBERTO</t>
  </si>
  <si>
    <t>VUELVAS FRIAS JORGE ALBERTO</t>
  </si>
  <si>
    <t>LOPEZ MORENO ISIDRO</t>
  </si>
  <si>
    <t>RODRIGUEZ BRAVO CHRISTIAN GIOVVANY</t>
  </si>
  <si>
    <t>VARGAS VARGAS MARIO ALBERTO</t>
  </si>
  <si>
    <t>BARRIGA RAMIREZ ADALBERTO</t>
  </si>
  <si>
    <t>ALONSO URIBE RICARDO ISMAEL</t>
  </si>
  <si>
    <t>MENESES AGUILAR LINO</t>
  </si>
  <si>
    <t>SUAREZ GUERRA MARCO ANTONIO</t>
  </si>
  <si>
    <t>VARGAS ALVAREZ HECTOR ARMANDO</t>
  </si>
  <si>
    <t>MOZO RODRIGUEZ MOISES</t>
  </si>
  <si>
    <t>VENTURA FIGUEROA PABLO</t>
  </si>
  <si>
    <t>GAVILAN MACIAS JOAQUIN</t>
  </si>
  <si>
    <t>GARCIA CRUZ JOSE RAMON</t>
  </si>
  <si>
    <t>REYES AGUAYO VICENTE</t>
  </si>
  <si>
    <t>CORTEZ FARIAS ANGEL EDUARDO</t>
  </si>
  <si>
    <t>RAMIREZ ESPINO ALEXANDER</t>
  </si>
  <si>
    <t>ANGUIANO VIRRUETA LUIS</t>
  </si>
  <si>
    <t>PANTOJA MENDOZA JESUS</t>
  </si>
  <si>
    <t>BETANCOURT DIAZ ALFREDO</t>
  </si>
  <si>
    <t>ADAME MERCADO ALEXIS VIDAL</t>
  </si>
  <si>
    <t>RESENDIZ FARIAS JUAN MANUEL</t>
  </si>
  <si>
    <t>GALLARDO RIOS JORGE ALEJANDRO</t>
  </si>
  <si>
    <t>CASTAÑEDA ONTIVEROS CARLOS</t>
  </si>
  <si>
    <t>MERAZ GALLEGO URIEL</t>
  </si>
  <si>
    <t>XILONZOCHITL RENTERIA FELIPE</t>
  </si>
  <si>
    <t>NAVARRETE QUINTERO NOE</t>
  </si>
  <si>
    <t>GOMEZ VALDOVINOS OSVALDO</t>
  </si>
  <si>
    <t>GRIMALDO JIMENEZ RAMON</t>
  </si>
  <si>
    <t>CHAVEZ MENDOZA RAUL JUAN</t>
  </si>
  <si>
    <t>OLMEDO MARES JHON BAIRON</t>
  </si>
  <si>
    <t>CARRILLO GUZMAN MIGUEL ANGEL</t>
  </si>
  <si>
    <t>HERNANDEZ SOTO HECTOR MANUEL</t>
  </si>
  <si>
    <t>HERRERA PEREZ JOSE MANUEL</t>
  </si>
  <si>
    <t>MANZANO ROBLES MARIO</t>
  </si>
  <si>
    <t>PRIETO GONZALEZ OSCAR YOVANI</t>
  </si>
  <si>
    <t>MARTÍNEZ DUEÑAS RIGOBERTO</t>
  </si>
  <si>
    <t>ZAMORA SANCHEZ MOISES</t>
  </si>
  <si>
    <t>CAMPOS VELASCO JOSE GUADALUPE</t>
  </si>
  <si>
    <t>VELAZCO ESTRELLA ARNULFO GUILLERMO</t>
  </si>
  <si>
    <t>HERNANDEZ FREGOSO JOSE MANUEL</t>
  </si>
  <si>
    <t>FARIAS GARCIA JOSE NICOLAS</t>
  </si>
  <si>
    <t>CORDOVA CRUZ JUAN CARLOS</t>
  </si>
  <si>
    <t>GARCIA SANCHEZ GUSTAVO</t>
  </si>
  <si>
    <t>PRECIADO PARRA MARTIN</t>
  </si>
  <si>
    <t>VALDOVINOS MENDEZ KEVIN JESUS</t>
  </si>
  <si>
    <t>MENDEZ JIMENEZ YOLOTZIN JOEL</t>
  </si>
  <si>
    <t>ZARAGOZA VARGAS LUIS ENRIQUE</t>
  </si>
  <si>
    <t>LOPEZ PEREZ MARCO ANTONIO</t>
  </si>
  <si>
    <t>HERNANDEZ DE LA ROSA JOSE DE JESUS</t>
  </si>
  <si>
    <t>VAZQUEZ RODRIGUEZ SERGIO DANIEL</t>
  </si>
  <si>
    <t>FERNANDEZ MARTINEZ JOSE ANGEL</t>
  </si>
  <si>
    <t>CORDOVA BRACAMONTES FRANCISCO JAVIER</t>
  </si>
  <si>
    <t>ROMERO CASTAÑEDA URIEL</t>
  </si>
  <si>
    <t>ZEPEDA ACOSTA LEONEL</t>
  </si>
  <si>
    <t>LOPEZ LOPEZ JOSE GUADALUPE</t>
  </si>
  <si>
    <t>CARLOS ALTO ANGEL</t>
  </si>
  <si>
    <t>VIDRIO REYES JOEL</t>
  </si>
  <si>
    <t>SANDOVAL CERVANTES JOSE RAMIRO</t>
  </si>
  <si>
    <t>JURADO MENDEZ FRANCISCO</t>
  </si>
  <si>
    <t>OLEA MERAZ J. JESUS</t>
  </si>
  <si>
    <t>PULIDO SANCHEZ JOSE JOVANY</t>
  </si>
  <si>
    <t>MENDOZA SALAS LEONARDO</t>
  </si>
  <si>
    <t>GONZALEZ HERNANDEZ JOSE ALBERTO</t>
  </si>
  <si>
    <t>FLORES PARRA CARLOS</t>
  </si>
  <si>
    <t>ROSALES ROSALES VICTOR JAVIER</t>
  </si>
  <si>
    <t>GONZALEZ DE LA CRUZ SANTOS</t>
  </si>
  <si>
    <t>CRUZ DIAZ ALEJANDRO</t>
  </si>
  <si>
    <t>GARCIA CORDOVA JUAN CARLOS</t>
  </si>
  <si>
    <t>GAVILAN ENCISO EDGAR IVAN</t>
  </si>
  <si>
    <t>CRUZ TRINIDAD ALEJANDRO IVAN</t>
  </si>
  <si>
    <t>FARIAS REYES JORGE GUADALUPE</t>
  </si>
  <si>
    <t>CORDOVA LARIOS EFREN</t>
  </si>
  <si>
    <t>VILLANUEVA SOTELO ENRIQUE</t>
  </si>
  <si>
    <t>ZARAGOZA VARGAS ANGEL EDUARDO</t>
  </si>
  <si>
    <t>VILLANUEVA SOTELO CRISTIHAN</t>
  </si>
  <si>
    <t>JIMENEZ GONZALEZ JUAN FRANCISCO</t>
  </si>
  <si>
    <t>DURAN GONZALEZ ELIAS GUADALUPE</t>
  </si>
  <si>
    <t>AGUILAR CAMPOS PEDRO</t>
  </si>
  <si>
    <t>BARRON GARCIA JUAN ANTONIO</t>
  </si>
  <si>
    <t>AGUILAR LOPEZ DANIEL</t>
  </si>
  <si>
    <t>GONZALEZ PARRA CRISTIAN MANUEL</t>
  </si>
  <si>
    <t>ARCINIEGA LOPEZ FELIPE</t>
  </si>
  <si>
    <t>AVALOS MARTINEZ ANDRES</t>
  </si>
  <si>
    <t>LOPEZ LOPEZ PABLO</t>
  </si>
  <si>
    <t>REAL TOVAR JOSE LUIS</t>
  </si>
  <si>
    <t>PIO DE JESUS MAGDALENO</t>
  </si>
  <si>
    <t>DE LA TORRE LOPEZ RAMON</t>
  </si>
  <si>
    <t>MARMOLEJO DURAN JUAN CARLOS</t>
  </si>
  <si>
    <t>AGUILAR RODRIGUEZ CESAR GERARDO</t>
  </si>
  <si>
    <t>GARCIA GUZMAN GUILLERMO ANTONIO</t>
  </si>
  <si>
    <t>SALAZAR RAMOS SERGIO</t>
  </si>
  <si>
    <t>LOPEZ CARRILLO LIBRADO</t>
  </si>
  <si>
    <t>TRINIDAD CARRILLO JERÓNIMO</t>
  </si>
  <si>
    <t>LOPEZ DUEÑAS JUAN</t>
  </si>
  <si>
    <t>LOPEZ ROMERO JUAN CARLOS</t>
  </si>
  <si>
    <t>LOPEZ ROMERO LUIS ANGEL</t>
  </si>
  <si>
    <t>LOPEZ ROMERO JAVIER</t>
  </si>
  <si>
    <t>CISNEROS AVALOS JOSUE DE JESUS</t>
  </si>
  <si>
    <t>TORRES CASILLAS LEOBARDO</t>
  </si>
  <si>
    <t>PATIÑO CARDENAS SEVERO</t>
  </si>
  <si>
    <t>CASTAÑEDA OROZCO OSCAR EDUARDO</t>
  </si>
  <si>
    <t>LOPEZ NICACIO JESUS PEDRO</t>
  </si>
  <si>
    <t>ROBLES GONZALEZ ALEJANDRO</t>
  </si>
  <si>
    <t>NUÑEZ PADILLA SILVERIO</t>
  </si>
  <si>
    <t>PACHECO MENDOZA JOSE FRANCISCO</t>
  </si>
  <si>
    <t>OLIVO MORA MIGUEL HUMBERTO</t>
  </si>
  <si>
    <t>NUÑEZ GARCIA BERNARDO PETRONILO</t>
  </si>
  <si>
    <t>CHAVEZ LOPEZ RAFAEL</t>
  </si>
  <si>
    <t>IBARRA AUCES VICTOR DANIEL</t>
  </si>
  <si>
    <t>CORTES CAMPOS ROBERTO</t>
  </si>
  <si>
    <t>CAMPOS ESPIRITU SEVERIANO</t>
  </si>
  <si>
    <t>SOLANO GONZALEZ JUAN MANUEL</t>
  </si>
  <si>
    <t>MACIAS GONZALEZ JOSE JUAN</t>
  </si>
  <si>
    <t>LOPEZ FERNANDEZ CARLOS</t>
  </si>
  <si>
    <t>LLAMAS DIAZ JOSE ROSALIO</t>
  </si>
  <si>
    <t>LAZARIN MARTINEZ CRISTO ALBERTO</t>
  </si>
  <si>
    <t>GONZALEZ MARTINEZ RITO RICARDO</t>
  </si>
  <si>
    <t>LAZARIN ALONSO RAMON MANUEL EPIGMENIO</t>
  </si>
  <si>
    <t>RODRIGUEZ ESTRADA ANTONIO</t>
  </si>
  <si>
    <t>ROBLES CORONADO JESUS MIGUEL ANGEL</t>
  </si>
  <si>
    <t>HERRERA ORTEGA RAYMUNDO SEBASTIAN</t>
  </si>
  <si>
    <t>CASTELLANOS LOPEZ RODOLFO HOMERO</t>
  </si>
  <si>
    <t>GRANADOS SANTIVAÑEZ MARCO ANTONIO</t>
  </si>
  <si>
    <t>ROBLES HERNANDEZ ANGEL DANIEL</t>
  </si>
  <si>
    <t>SANTILLAN DUARTE SERGIO RAMON</t>
  </si>
  <si>
    <t>MENDOZA VILLANUEVA LUIS GUSTAVO</t>
  </si>
  <si>
    <t>DE LA TORRE CASAS JUAN PABLO</t>
  </si>
  <si>
    <t>REYNA PEDRAZA JESUS MANUEL</t>
  </si>
  <si>
    <t>RIVERA MONTAÑEZ MANUEL ALEJANDRO</t>
  </si>
  <si>
    <t>SANCHEZ GASPAR MARCOS ARTURO</t>
  </si>
  <si>
    <t>GOMEZ VALDOVINOS HUGO ALBERTO</t>
  </si>
  <si>
    <t>SANCHEZ ZEPEDA PATRICIO</t>
  </si>
  <si>
    <t>DELGADILLO ARANDA HECTOR RAYMUNDO</t>
  </si>
  <si>
    <t>MARTIN RAMOS JERONIMO</t>
  </si>
  <si>
    <t>MACIAS ESCOBEDO FRANCISCO JAVIER</t>
  </si>
  <si>
    <t>URISTA HERNANDEZ LUIS ANGEL</t>
  </si>
  <si>
    <t>TORRES MACIAS ROMAN</t>
  </si>
  <si>
    <t>DE LA TORRE BRISEÑO JUAN</t>
  </si>
  <si>
    <t>ALVARADO CALLEJAS DAVID</t>
  </si>
  <si>
    <t>CARBAJAL VAZQUEZ ANTONIO</t>
  </si>
  <si>
    <t>GARCIA REYES ARMANDO</t>
  </si>
  <si>
    <t>ARANDA OROZCO FIDEL</t>
  </si>
  <si>
    <t>ARANDA OROZCO RAUL</t>
  </si>
  <si>
    <t>ARANDA OROZCO GABRIEL</t>
  </si>
  <si>
    <t>CASTILLO TLAXCALA FRANCISCO JAVIER</t>
  </si>
  <si>
    <t>VÁZQUEZ HERNÁNDEZ GILBERTO</t>
  </si>
  <si>
    <t>HERNANDEZ VILLALOBOS JOSE RAMIRO</t>
  </si>
  <si>
    <t>GARCIA URIBE JIOVANNI</t>
  </si>
  <si>
    <t>CASSIO BECERRA JUAN JOSE</t>
  </si>
  <si>
    <t>RAMOS BRISEÑO OSCAR GUADALUPE</t>
  </si>
  <si>
    <t>RAMOS BRISEÑO JOSÉ ANGEL</t>
  </si>
  <si>
    <t>PIO OCHOA GABRIEL</t>
  </si>
  <si>
    <t>DAMIAN MARTINEZ GERARDO</t>
  </si>
  <si>
    <t>GONZÁLEZ CAMPOS FELIPE</t>
  </si>
  <si>
    <t>JAUREGUI MUÑETON JUAN CARLOS</t>
  </si>
  <si>
    <t>MELENDEZ CASTILLO CESAR ANTONIO</t>
  </si>
  <si>
    <t>GARCIA AGUAYO BERNARDO</t>
  </si>
  <si>
    <t>NAVARRO ACOSTA ALEJANDRO</t>
  </si>
  <si>
    <t>FRANCISCO DE JESUS DOMINGO</t>
  </si>
  <si>
    <t>NAVARRO SANTOS SABINO ELOY</t>
  </si>
  <si>
    <t>PEREZ NAVARRO RUBEN</t>
  </si>
  <si>
    <t>PEREZ LOPEZ DAVID ISMAEL</t>
  </si>
  <si>
    <t>VALENTIN MENDOZA JUAN CARLOS</t>
  </si>
  <si>
    <t>MEZA MUÑOZ MIGUEL ANGEL</t>
  </si>
  <si>
    <t>JIMENEZ TOVAR LUIS CARLOS</t>
  </si>
  <si>
    <t>ANGUIANO DIAZ ISIDRO</t>
  </si>
  <si>
    <t>NAVARRO ACOSTA GREGORIO</t>
  </si>
  <si>
    <t>GOMEZ ENRIQUEZ JOAN RAFAEL</t>
  </si>
  <si>
    <t>GARCIA AGUIÑIGA EVERARDO</t>
  </si>
  <si>
    <t>HERNANDEZ JIMENEZ LUIS ANTONIO EMMANUEL</t>
  </si>
  <si>
    <t>BRISEÑO PINTOR SALVADOR</t>
  </si>
  <si>
    <t>DE LA TORRE BRISEÑO OSCAR</t>
  </si>
  <si>
    <t>ALVARADO ANGUIANO MARTIN</t>
  </si>
  <si>
    <t>LOPEZ GARCIA ALVARO</t>
  </si>
  <si>
    <t>XILONZOCHILT OCAMPO GENARO</t>
  </si>
  <si>
    <t>XILONZOCHITL SALDAÑA ALBERTO DIONICIO</t>
  </si>
  <si>
    <t>XILONZOCHITL SALDAÑA JOSÉ LUIS</t>
  </si>
  <si>
    <t>VIRAMONTES CHAVEZ JOSE ALEJANDRO</t>
  </si>
  <si>
    <t>VEGA XILONZOCHITL CESAR</t>
  </si>
  <si>
    <t>SALAZAR MENDOZA JOSE HILARIO</t>
  </si>
  <si>
    <t>ALVAREZ ORTIZ ALAN</t>
  </si>
  <si>
    <t>HUERTA CUEVAS LAURO ANTONIO</t>
  </si>
  <si>
    <t>GONZALEZ LOPEZ OSIRIS SAMUEL</t>
  </si>
  <si>
    <t>GOMEZ GALLEGOS GERARDO</t>
  </si>
  <si>
    <t>HERNANDEZ JUAREZ MIGUEL</t>
  </si>
  <si>
    <t>SALAS PALAFOX OSCAR OMAR</t>
  </si>
  <si>
    <t>GUTIÉRREZ CONTRERAS IRAK IVÁN</t>
  </si>
  <si>
    <t>SEGURA DIAZ JAVIER</t>
  </si>
  <si>
    <t>PINEDA PRECIADO NOE</t>
  </si>
  <si>
    <t>MACIEL RIVERA FERMIN</t>
  </si>
  <si>
    <t>GARCIA URISTA JOSE MISAEL</t>
  </si>
  <si>
    <t>GARCIA CRUZ FLAVIO CESAR</t>
  </si>
  <si>
    <t>VALENTIN OLIVO DAVID</t>
  </si>
  <si>
    <t>MARTINEZ TORRES J JESUS</t>
  </si>
  <si>
    <t>ARANDA ARANDA JESÚS ALBERTO</t>
  </si>
  <si>
    <t>FLORES OROPEZA JESUS MANUEL</t>
  </si>
  <si>
    <t>MANZANO GONZALEZ JOSE DE JESUS</t>
  </si>
  <si>
    <t>REYES BRAVO LUIS ARMANDO</t>
  </si>
  <si>
    <t>LOZANO RAMIREZ EDUARDO</t>
  </si>
  <si>
    <t>ENRÍQUEZ XILONZÓCHITL JUAN CARLOS</t>
  </si>
  <si>
    <t>GARCIA BOITES CRISTHOPHER</t>
  </si>
  <si>
    <t>GARCIA GUZMAN RICARDO</t>
  </si>
  <si>
    <t>ESPARZA RIVERA SERGIO</t>
  </si>
  <si>
    <t>REYNAGA MORENO  JULIO CESAR</t>
  </si>
  <si>
    <t>GARCIA LORENZANA LUIS FERNANDO</t>
  </si>
  <si>
    <t>GARCIA REYES RUBEN RICARDO</t>
  </si>
  <si>
    <t>ZAVALA LANDINO JOSE HUMBERTO</t>
  </si>
  <si>
    <t>GONZALEZ LOMELI ANTONIO DE JESUS</t>
  </si>
  <si>
    <t>CRUZ CABRERA SERGIO</t>
  </si>
  <si>
    <t>DAMIAN URISTA MARIO</t>
  </si>
  <si>
    <t>RAMIREZ LERMA PEDRO</t>
  </si>
  <si>
    <t>RAMIREZ LERMA RAMON</t>
  </si>
  <si>
    <t>ARVIZU RAMIREZ JONATHAN JOSUE</t>
  </si>
  <si>
    <t>MACIEL RIVERA JORGE ALBERTO</t>
  </si>
  <si>
    <t>AVALOS PICAZO EDGAR ISAAC</t>
  </si>
  <si>
    <t>LOPEZ LOZANO J. JESUS</t>
  </si>
  <si>
    <t>VENEGAS RUVALCABA MAURICIO</t>
  </si>
  <si>
    <t>SANCHEZ RAMIREZ OSCAR</t>
  </si>
  <si>
    <t>CAMPOS NARVAEZ JUAN PABLO</t>
  </si>
  <si>
    <t>BELMONTES ALFARO MARCOS GERARDO</t>
  </si>
  <si>
    <t>HERNANDEZ GALLEGOS HECTOR ABRAHAM</t>
  </si>
  <si>
    <t>HERNANDEZ REYES PEDRO</t>
  </si>
  <si>
    <t>MARTINEZ RODRIGUEZ JACOB EFRAIN</t>
  </si>
  <si>
    <t>ESPARZA GONZALEZ CALLETANO</t>
  </si>
  <si>
    <t>VILLA AVILA DIEGO ADRIAN</t>
  </si>
  <si>
    <t>ESPINOZA FIERROS SINUHE ALEJANDRO</t>
  </si>
  <si>
    <t>BARRERA SANCHEZ ENRIQUE</t>
  </si>
  <si>
    <t>GOMEZ  MARQUEZ JOSE CARLOS</t>
  </si>
  <si>
    <t>AGUILAR GUILLEN JOSE ANTONIO</t>
  </si>
  <si>
    <t>BARRERA COSIO LUIS ENRIQUE</t>
  </si>
  <si>
    <t>BARRERA COSIO JULIO ARMANDO</t>
  </si>
  <si>
    <t>BIZARRO MACIAS ANDRES</t>
  </si>
  <si>
    <t>BIZARRO MACIAS LUCIO</t>
  </si>
  <si>
    <t>BIZARRO PONCE ALVARO</t>
  </si>
  <si>
    <t>CARRANZA VIZCARRA GUSTAVO MAXIMILIANO</t>
  </si>
  <si>
    <t>MENDEZ GUERRERO VICTOR MANUEL</t>
  </si>
  <si>
    <t>SAUCEDO EUGENIO ENRIQUE MANUEL</t>
  </si>
  <si>
    <t>MARMOLEJO TORRES ARTURO</t>
  </si>
  <si>
    <t>RODRIGUEZ OSEGUERA GUILLERMO</t>
  </si>
  <si>
    <t>LOPEZ MENDEZ ULISES EDUARDO</t>
  </si>
  <si>
    <t>PEREZ GODINA ALAN</t>
  </si>
  <si>
    <t>VILLEGAS TADEO JORGE</t>
  </si>
  <si>
    <t>EUGENIO AGUILAR JOSE DANIEL</t>
  </si>
  <si>
    <t>GARCIA ROMERO ESAU</t>
  </si>
  <si>
    <t>GARCIA ROMERO LUIS ALBERTO</t>
  </si>
  <si>
    <t>GARCIA ROMERO JAVIER</t>
  </si>
  <si>
    <t>GARCIA ROMERO JULIO CESAR</t>
  </si>
  <si>
    <t>NAVARRO LUVIAN JUAN MARTIN</t>
  </si>
  <si>
    <t>PEREZ RITO ISIDRO ISMAEL</t>
  </si>
  <si>
    <t>LEAL CASTRO OSCAR ADAN</t>
  </si>
  <si>
    <t>DE LA TORRE BRISEÑO RICARDO</t>
  </si>
  <si>
    <t>HUERTA PARADA CHRISTIAN FABIAN</t>
  </si>
  <si>
    <t>SUAREZ RAMIREZ EMILIO</t>
  </si>
  <si>
    <t>RAMIREZ ROSALES FEDERICO</t>
  </si>
  <si>
    <t>HERRERA ALONSO SALVADOR</t>
  </si>
  <si>
    <t>OLIVO ALONSO FRANCISCO</t>
  </si>
  <si>
    <t>MORA MACIAS OCTAVIANO</t>
  </si>
  <si>
    <t>MORA JIMENEZ ELI EMMANUEL</t>
  </si>
  <si>
    <t>MELENDEZ CASTILLO OSCAR DANIEL</t>
  </si>
  <si>
    <t>PARRA NUÑEZ JOSE ARNULFO</t>
  </si>
  <si>
    <t>ESCALANTE GARCIA JORGE ANGEL</t>
  </si>
  <si>
    <t>GONZALEZ ESCOBAR JOSE</t>
  </si>
  <si>
    <t>GONZALEZ CAMPOS JUAN ANTONIO</t>
  </si>
  <si>
    <t>HERNANDEZ RODRIGUEZ ARTURO</t>
  </si>
  <si>
    <t>RODRIGUEZ PADILLA JUAN LUIS</t>
  </si>
  <si>
    <t>MEZA RODRÍGUEZ DAVID ALEJANDRO</t>
  </si>
  <si>
    <t>VALENTIN OLIVO VICTOR IGNACIO</t>
  </si>
  <si>
    <t>DURAN GONZALEZ JUAN ALONSO</t>
  </si>
  <si>
    <t>FRANCO LOPEZ ENRIQUE</t>
  </si>
  <si>
    <t>MORA GARCIA RAFAEL</t>
  </si>
  <si>
    <t>PINEDA CISNEROS JAIRO</t>
  </si>
  <si>
    <t>BECERRA HERNANDEZ IGNACIO</t>
  </si>
  <si>
    <t>PATIÑO ALMADER JOSE DAVID</t>
  </si>
  <si>
    <t>MATEOS MEZA JOSE GUADALUPE</t>
  </si>
  <si>
    <t>NUÑEZ ARELLANO ALEJANDRO</t>
  </si>
  <si>
    <t>QUINTERO CARBAJAL JOSE LUIS</t>
  </si>
  <si>
    <t>VILLAVICENCIO GONZALEZ JOSE LUIS</t>
  </si>
  <si>
    <t>VILLAVICENCIO GONZALEZ IGNACIO</t>
  </si>
  <si>
    <t>VILLAVICENCIO CERVANTES LUIS PEDRO</t>
  </si>
  <si>
    <t>GUILLEN RAMIREZ JUAN CARLOS</t>
  </si>
  <si>
    <t>RAMIREZ JIMENEZ JOSE LUIS</t>
  </si>
  <si>
    <t>ARANDA VAZQUEZ JOSE LUIS</t>
  </si>
  <si>
    <t>AMEZQUITA PACHECO JAVIER</t>
  </si>
  <si>
    <t>CASTILLO FERRER JUAN ULISES</t>
  </si>
  <si>
    <t>GONZALEZ DAVILA OSCAR IVAN</t>
  </si>
  <si>
    <t>CAÑADA TOLENTINO ADALBERTO</t>
  </si>
  <si>
    <t>LOPEZ MADRIGAL JONATHAN</t>
  </si>
  <si>
    <t>MEDINA CASTRO MAXIMO</t>
  </si>
  <si>
    <t>CASTELLON LOPEZ EDUARDO ALEJANDRO</t>
  </si>
  <si>
    <t>MARGARITO JUAN JOSE MANUEL</t>
  </si>
  <si>
    <t>GONZALEZ RIVERA CARLOS ALBERTO</t>
  </si>
  <si>
    <t>ROSALES RODRIGUEZ MAGDALENO</t>
  </si>
  <si>
    <t>NAJAR URISTA MIGUEL ANGEL</t>
  </si>
  <si>
    <t>PLASCENCIA FLORES LUIS FERNANDO</t>
  </si>
  <si>
    <t>GONZALEZ RIVERA RUBEN</t>
  </si>
  <si>
    <t>MACIAS GONZALEZ ERNESTO YOVANNI</t>
  </si>
  <si>
    <t>GARCIA ALVARADO EMILIO</t>
  </si>
  <si>
    <t>PEDROZA MACIAS NOLBERTO</t>
  </si>
  <si>
    <t>FERNANDO GONZALEZ BENITO</t>
  </si>
  <si>
    <t>GARCIA ALVARADO JOSE ADRIAN</t>
  </si>
  <si>
    <t>ENRRIQUEZ SAUCEDO JOSE DE JESUS</t>
  </si>
  <si>
    <t>SOLIS GUILLEN NOE</t>
  </si>
  <si>
    <t>ARANDA PLASCENCIA GONZALO</t>
  </si>
  <si>
    <t>SAUCEDO GARCIA JUAN FELIPE</t>
  </si>
  <si>
    <t>DELGADO GUTIERREZ JUAN DIEGO</t>
  </si>
  <si>
    <t>MONJE TINOCO ANGEL</t>
  </si>
  <si>
    <t>BECERRA CARRILLO ALEJANDRO</t>
  </si>
  <si>
    <t>SILVA LOPEZ CRISTIAN ADRIAN</t>
  </si>
  <si>
    <t>DE LEON HERRERA HECTOR MANUEL</t>
  </si>
  <si>
    <t>PIMENTEL CRUZ MARIO ARTURO</t>
  </si>
  <si>
    <t>ARREGUIN ATILANO ANDRES</t>
  </si>
  <si>
    <t>GONZALEZ RAMIREZ MARCO ALBERTO</t>
  </si>
  <si>
    <t>ARIAS BRIONES LUIS FRANCISCO</t>
  </si>
  <si>
    <t>ARANDA OROZCO JOSE LUIS</t>
  </si>
  <si>
    <t>GUERRERO RAMIREZ LUIS GERARDO</t>
  </si>
  <si>
    <t>ROSALES ARTEAGA JUAN CARLOS</t>
  </si>
  <si>
    <t>SANCHEZ ANDRADE J GUADALUPE</t>
  </si>
  <si>
    <t>RANGEL SANCHEZ EMMANUEL DE JESUS</t>
  </si>
  <si>
    <t xml:space="preserve">TORRES GARCIA SAUL </t>
  </si>
  <si>
    <t>VELAZQUEZ FLORES VICTOR MANUEL</t>
  </si>
  <si>
    <t>QUINTERO CARVAJAL MARIA CANDELARIA</t>
  </si>
  <si>
    <t>MENDOZA MUÑOZ IVAN</t>
  </si>
  <si>
    <t>VIRGEN CONTRERAS FRANCISCO</t>
  </si>
  <si>
    <t>GOMEZ ARELLANO JUAN EDUARDO</t>
  </si>
  <si>
    <t>OROZCO HERNANDEZ ENRIQUE</t>
  </si>
  <si>
    <t>CORNEJO RENTERIA JUAN DANIEL</t>
  </si>
  <si>
    <t>CORDOVA CRUZ HUGO</t>
  </si>
  <si>
    <t>PIMENTEL CRUZ ALEJANDRO</t>
  </si>
  <si>
    <t>ALFARO BRAVO RAMON</t>
  </si>
  <si>
    <t>CERVANTES BENITES ANGEL OMAR</t>
  </si>
  <si>
    <t>ROQUE PINEDA OMAR ABDIAS</t>
  </si>
  <si>
    <t>HERNANDEZ GARCIA CARLOS RAMON</t>
  </si>
  <si>
    <t>LOPEZ NICASIO JOSE ANTONIO</t>
  </si>
  <si>
    <t>SOLANO GARCIA CRUZ</t>
  </si>
  <si>
    <t>GARCIA LARIOS TEOFILO</t>
  </si>
  <si>
    <t>LOPEZ GARCIA JACOB ISRAEL</t>
  </si>
  <si>
    <t>LARIOS DIAZ CARLOS ALBERTO</t>
  </si>
  <si>
    <t>SOLANO GARCIA BERNARDINO</t>
  </si>
  <si>
    <t>FLORES MORENO MARIO</t>
  </si>
  <si>
    <t>CONTRERAS SERRANO JESUS EDUARDO</t>
  </si>
  <si>
    <t>MATA VAZQUEZ NORBERTO</t>
  </si>
  <si>
    <t>LLAMAS LOPEZ CHRISTIAN</t>
  </si>
  <si>
    <t>GONZALEZ CHAVEZ NICOLAS</t>
  </si>
  <si>
    <t>FLORES OROZCO JOSE FRANCISCO</t>
  </si>
  <si>
    <t>SANCHEZ AVILA JESUS OMAR</t>
  </si>
  <si>
    <t>HUERTA PARADA CRUZ ALEJANDRO</t>
  </si>
  <si>
    <t>HUERTA PARADA HECTOR EDUARDO</t>
  </si>
  <si>
    <t>GARCIA SANCHEZ FRANCISCO</t>
  </si>
  <si>
    <t>BECERRA BAUTISTA ROBERTO CARLOS</t>
  </si>
  <si>
    <t>GARCIA CASTILLO DILAN SEBASTIAN</t>
  </si>
  <si>
    <t>TORRES VAZQUEZ JUAN JOSE</t>
  </si>
  <si>
    <t>GARCIA ESPARZA FLAVIO</t>
  </si>
  <si>
    <t>GARCIA HERNANDEZ GENARO</t>
  </si>
  <si>
    <t>RAMIREZ HERNANDEZ ARTURO</t>
  </si>
  <si>
    <t>SOLANO GALINDO GREGORIO SILVINO</t>
  </si>
  <si>
    <t>SANCHEZ RUIZ FERNANDO ISAI</t>
  </si>
  <si>
    <t>LIMAS HERNANDEZ LUIS ANTONIO</t>
  </si>
  <si>
    <t>ALVAREZ GARCIA ARTURO</t>
  </si>
  <si>
    <t>RIVERA CONTRERAS NOE ANDRES</t>
  </si>
  <si>
    <t>RIOS HERNANDEZ CARLOS ALBERTO</t>
  </si>
  <si>
    <t>QUINTEROS ARJON ELEAZAR</t>
  </si>
  <si>
    <t>RUIZ SEVILLA CARLOS ERNESTO</t>
  </si>
  <si>
    <t>RODRIGUEZ GARCIA MARCOS ALBERTO</t>
  </si>
  <si>
    <t>GARCIA HERNANDEZ EFREN</t>
  </si>
  <si>
    <t>VILLA LOPEZ GERARDO</t>
  </si>
  <si>
    <t>CAMPOS LOPEZ SILVIANO</t>
  </si>
  <si>
    <t>DIAZ VILLA GILBERTO ANTONIO</t>
  </si>
  <si>
    <t>VILLA LÓPEZ FRANCISCO</t>
  </si>
  <si>
    <t>GUEVARA PULIDO GEOVANNI ALEJANDRO</t>
  </si>
  <si>
    <t>ZARAGOZA RUBIO RAFAEL</t>
  </si>
  <si>
    <t>CARDENAS IBAÑEZ OCTAVIO</t>
  </si>
  <si>
    <t>GOMEZ ZARAGOZA LUIS FERNANDO</t>
  </si>
  <si>
    <t xml:space="preserve">BARRAGAN GUERRERO URIEL ARAHI </t>
  </si>
  <si>
    <t>CRUZ REYES EDGAR GERARDO</t>
  </si>
  <si>
    <t>AGUILAR HERNANDEZ ANGEL PEDRO</t>
  </si>
  <si>
    <t>AGUILAR BENITO JORGE</t>
  </si>
  <si>
    <t>AGUILA HEREDIA EMILIO</t>
  </si>
  <si>
    <t>MARTINEZ AVIÑA JUAN CARLOS</t>
  </si>
  <si>
    <t>CERVANTES MACIAS RAFAEL ALONSO</t>
  </si>
  <si>
    <t>LARIOS NUÑEZ JUAN</t>
  </si>
  <si>
    <t>FLORES RIVERA SANTOS EDUARDO</t>
  </si>
  <si>
    <t>PRECIADO AMADOR LORENZO</t>
  </si>
  <si>
    <t>PRECIADO CARRASCO HUSAM OBED</t>
  </si>
  <si>
    <t>ALVAREZ TABARES JOSE GUADALUPE</t>
  </si>
  <si>
    <t>DIAZ CORDOVA JESUS ALBERTO</t>
  </si>
  <si>
    <t>GARCIA TORRES PAULINO</t>
  </si>
  <si>
    <t>DURAN GONZALEZ MARTIN YOVANY</t>
  </si>
  <si>
    <t>MUÑOZ SAAVEDRA BRYAN ALEJANDRO</t>
  </si>
  <si>
    <t>REGINO JUAREZ VALENTIN</t>
  </si>
  <si>
    <t>CERDA URIBE JUAN MANUEL</t>
  </si>
  <si>
    <t>CARRETERO LOMA FRANCISCO MANUEL</t>
  </si>
  <si>
    <t>SERRANO BUSTOS DANIEL</t>
  </si>
  <si>
    <t>ZARAGOZA VARGAS RICARDO DE JESUS</t>
  </si>
  <si>
    <t>GONZALEZ RAMIREZ MIGUEL</t>
  </si>
  <si>
    <t>DIAZ CORDOVA JOSE LUIS</t>
  </si>
  <si>
    <t>SALCIDO ACOSTA JORGE</t>
  </si>
  <si>
    <t>OROZCO MOLINA DANIEL ISAI</t>
  </si>
  <si>
    <t>FELIPE FELIPE ALEJANDRO</t>
  </si>
  <si>
    <t>RAMIREZ PINACHO GREGORIO HECTOR</t>
  </si>
  <si>
    <t>DIAZ PLASCENCIA DAYGORO</t>
  </si>
  <si>
    <t>AMEZQUITA PACHECO VICTOR</t>
  </si>
  <si>
    <t>ROBLES GARCIA RIGOBERTO</t>
  </si>
  <si>
    <t>MIRANDA ACOSTA CARLOS ALBERTO</t>
  </si>
  <si>
    <t>XILONZOCHITL SALDAÑA ANGEL ASENCION</t>
  </si>
  <si>
    <t>VALLEJO SALAZAR REYMUNDO</t>
  </si>
  <si>
    <t>ALVAREZ RODRIGUEZ VICTOR MANUEL</t>
  </si>
  <si>
    <t>MEJIA CELIS GERARDO</t>
  </si>
  <si>
    <t>GONZALEZ NAVARRO CARLOS EDUARDO</t>
  </si>
  <si>
    <t>MARTINEZ ISAAC NAPOLEON</t>
  </si>
  <si>
    <t>GARCIA AGUILA JOSE ELIAS</t>
  </si>
  <si>
    <t>GUERRERO LUISES JUAN MANUEL</t>
  </si>
  <si>
    <t>ULLOA HERNANDEZ JOSE MANUEL</t>
  </si>
  <si>
    <t>VALLEJO SALAZAR CARLOS GUADALUPE</t>
  </si>
  <si>
    <t>LEON HERNANDEZ CARLOS</t>
  </si>
  <si>
    <t>CARRILLO CISNEROS JUAN MANUEL</t>
  </si>
  <si>
    <t>AMEZQUITA NAVA JAVIER</t>
  </si>
  <si>
    <t>GONZALEZ BRACAMONTES JESUS</t>
  </si>
  <si>
    <t>CASTREJON FLORES JOSE</t>
  </si>
  <si>
    <t>VILLA LOPEZ JOSE MARIA</t>
  </si>
  <si>
    <t>GONZALEZ SOLANO HUBALDO</t>
  </si>
  <si>
    <t>DIAZ ARCINIEGA GILBERTO</t>
  </si>
  <si>
    <t>VILLA LÓPEZ JORGE ARMANDO</t>
  </si>
  <si>
    <t>LARIOS LOPEZ MARTIN ALONSO</t>
  </si>
  <si>
    <t>LOPEZ GARCIA AGUSTIN</t>
  </si>
  <si>
    <t>VILLA LÓPEZ RUBÉN ERASMO</t>
  </si>
  <si>
    <t>LOPEZ NUÑEZ JOEL</t>
  </si>
  <si>
    <t>ZAMBRANO ZACARIAS ANTONIO</t>
  </si>
  <si>
    <t>TRINIDAD VAZQUEZ ARNULFO</t>
  </si>
  <si>
    <t>LOPEZ LOPEZ GREGORIO</t>
  </si>
  <si>
    <t>LOPEZ GARCIA CESAR ARMANDO</t>
  </si>
  <si>
    <t>RODRIGUEZ GARZA HILARIO</t>
  </si>
  <si>
    <t>RANGEL IBARRA RUBEN</t>
  </si>
  <si>
    <t>LUVIAN RIVERA SERGIO</t>
  </si>
  <si>
    <t>PRECIADO ALEJO ALAN JOEL</t>
  </si>
  <si>
    <t>VINAJA FLORES JESUS</t>
  </si>
  <si>
    <t>ROSALES GAVILAN MILTON IRAN</t>
  </si>
  <si>
    <t>RIVERA RODRIGUEZ JOSE JAIME</t>
  </si>
  <si>
    <t>VEGA ESPARZA MAYRA MARGARITA</t>
  </si>
  <si>
    <t>VALDIVIA VILLAMAR PORFIRIO</t>
  </si>
  <si>
    <t>TAMAYO ORENDAY JOSE DE JESUS</t>
  </si>
  <si>
    <t>BECERRA DE LA TORRE MARCOS</t>
  </si>
  <si>
    <t>ALVAREZ FERNANDEZ GUSTAVO ERNESTO</t>
  </si>
  <si>
    <t>MARTINEZ OLMEDO VIDAL EMANUEL</t>
  </si>
  <si>
    <t>ROSAS RAMIREZ MACARIO</t>
  </si>
  <si>
    <t>SALAZAR BARRIENTOS NOE ISAIAS</t>
  </si>
  <si>
    <t>ROMERO MONTES VICTOR MANUEL</t>
  </si>
  <si>
    <t>CHAVARIN LEDEZMA JUAN MARTIN</t>
  </si>
  <si>
    <t>XILONZOCHITL MORA RICARDO</t>
  </si>
  <si>
    <t>ZAVALA CARDENAS LUIS JHAN CARLOS</t>
  </si>
  <si>
    <t xml:space="preserve">MEJIA MEJIA EDUARDO EMMANUEL </t>
  </si>
  <si>
    <t>REYES LOPEZ LUIS ANTONIO</t>
  </si>
  <si>
    <t>RAMIREZ GUZMAN JOSE GUADALUPE</t>
  </si>
  <si>
    <t>NAZARIN DANIEL MACARIO</t>
  </si>
  <si>
    <t>SANCHEZ VEGA JUAN MANUEL</t>
  </si>
  <si>
    <t>PRECIADO ALEJO JUAN DIEGO</t>
  </si>
  <si>
    <t>HERNANDEZ DOMINGUEZ IVAN ALEJANDRO</t>
  </si>
  <si>
    <t>HERNANDEZ LEDEZMA GERARDO</t>
  </si>
  <si>
    <t>VELAZQUEZ RAMIREZ HUMBERTO ALEJANDRO</t>
  </si>
  <si>
    <t>ROSALES MATA RODOLFO</t>
  </si>
  <si>
    <t>URIBE PEREZ FRANCISCO JAVIER</t>
  </si>
  <si>
    <t>DE LA TORRE LOPEZ GUILLERMO</t>
  </si>
  <si>
    <t>CORTES MIRAMONTES FERMIN</t>
  </si>
  <si>
    <t>RODRIGUEZ RIVERA JUAN MANUEL</t>
  </si>
  <si>
    <t>RODRIGUEZ ARANDA CARLOS</t>
  </si>
  <si>
    <t>OCHOA JUSTO MIGUEL ANGEL</t>
  </si>
  <si>
    <t>VARGAS AGUILAR CARLOS IVÁN</t>
  </si>
  <si>
    <t>LOPEZ NICASIO ISELA NOEMI</t>
  </si>
  <si>
    <t>ENRIQUEZ CAMARENA MOISES ALEJANDRO</t>
  </si>
  <si>
    <t>NAVARRO VENEGAS ALFONSO</t>
  </si>
  <si>
    <t>SALCIDO SANTIBAÑEZ GABRIEL</t>
  </si>
  <si>
    <t>RIVAS RAMIREZ J JESUS</t>
  </si>
  <si>
    <t>JIMENEZ ROMERO J GUADALUPE</t>
  </si>
  <si>
    <t>GARCIA CORDOVA RICARDO</t>
  </si>
  <si>
    <t>RAMÍREZ VILLA JOSÉ EDUARDO</t>
  </si>
  <si>
    <t>VILLA LÓPEZ DAVID RIGOBERTO</t>
  </si>
  <si>
    <t>LOPEZ SOLANO GUSTAVO</t>
  </si>
  <si>
    <t>BECERRA HERNANDEZ ASCENCIO</t>
  </si>
  <si>
    <t>AGUILAR VILLA ANTONIO</t>
  </si>
  <si>
    <t>DIAZ CORDOVA CARLOS RICARDO</t>
  </si>
  <si>
    <t>VAZQUEZ LOPEZ HECTOR DANIEL</t>
  </si>
  <si>
    <t>JIMENEZ HERNANDEZ JOSE LUIS</t>
  </si>
  <si>
    <t>MONTELONGO RAMIREZ JULIO CESAR</t>
  </si>
  <si>
    <t>ESTRADA HERNANDEZ JUAN SALVADOR</t>
  </si>
  <si>
    <t>OCHOA JARAMILLO SALVADOR</t>
  </si>
  <si>
    <t>ARANDA MARTINEZ RAUL ALEJANDRO</t>
  </si>
  <si>
    <t>SERRANO ROMERO JOSE ROBERTO</t>
  </si>
  <si>
    <t>VEGA GUZMAN EDUARDO</t>
  </si>
  <si>
    <t>HERNANDEZ MARTINEZ EDUARDO</t>
  </si>
  <si>
    <t>MARTINEZ SAUCEDO LUIS FERNANDO</t>
  </si>
  <si>
    <t>MARES ECHEVERRIA JUAN ISMAEL</t>
  </si>
  <si>
    <t>GALLARDO RODRIGUEZ ERICK FERNANDO</t>
  </si>
  <si>
    <t>TRINIDAD GUZMAN ISRAEL</t>
  </si>
  <si>
    <t>GUILLEN RAMIREZ JOSE GUADALUPE</t>
  </si>
  <si>
    <t>JIMENEZ RAMIREZ MOISES</t>
  </si>
  <si>
    <t>LAUREANO RAMIREZ JOSE JESUS</t>
  </si>
  <si>
    <t>DE LA ROSA ALMARAZ RICARDO EMMANUEL</t>
  </si>
  <si>
    <t>RIVERA SOTELO RUBEN</t>
  </si>
  <si>
    <t>FLORES MORENO JOSÉ PABLO</t>
  </si>
  <si>
    <t>GOMEZ GUTIERREZ ALEJANDRO</t>
  </si>
  <si>
    <t>IBAÑEZ GARCIA OLIVER</t>
  </si>
  <si>
    <t>GOMEZ HERNANDEZ FABIAN</t>
  </si>
  <si>
    <t>ENRIQUEZ CAMARENA CHRISTIAN</t>
  </si>
  <si>
    <t>RODRIGUEZ LIMÓN ROBERTO</t>
  </si>
  <si>
    <t>ALCARAZ SANTILLAN ADAN</t>
  </si>
  <si>
    <t>MORA VERA JOSE SALVADOR</t>
  </si>
  <si>
    <t>LARA GOMEZ JOSE JESUS</t>
  </si>
  <si>
    <t>LARA GOMEZ AURELIO</t>
  </si>
  <si>
    <t>LARA GARCIA JOSE ALEJANDRO</t>
  </si>
  <si>
    <t>LARA GARCIA JESUS ADRIAN</t>
  </si>
  <si>
    <t>MOLINA RODRIGUEZ JOSE FELIX</t>
  </si>
  <si>
    <t>MOLINA JIMENEZ JONHATAN ALEXIS</t>
  </si>
  <si>
    <t>JIMENEZ ROJAS HILDA</t>
  </si>
  <si>
    <t>GOMEZ ESPARZA OSCAR MANUEL</t>
  </si>
  <si>
    <t>AMÉZQUITA NAVA JOSÉ GUADALUPE</t>
  </si>
  <si>
    <t>ACOSTA CAMACHO BRUNO</t>
  </si>
  <si>
    <t>MAGAÑA BARRAGAN CRISTIAN ULISES</t>
  </si>
  <si>
    <t>GONZALEZ VAZQUEZ LUIS FERNANDO</t>
  </si>
  <si>
    <t>RAMOS HERNANDEZ MARTIN</t>
  </si>
  <si>
    <t>LOPEZ MATA FRANCISCO JAVIER</t>
  </si>
  <si>
    <t>ARIAS BARRAGAN ADOLFO</t>
  </si>
  <si>
    <t>GARCIA MANZANO JOSE MARTIN</t>
  </si>
  <si>
    <t>VIDAL SOTO ALMA GABRIELA</t>
  </si>
  <si>
    <t>CRUZ HERNANDEZ ROSA MARIA</t>
  </si>
  <si>
    <t>VERA CAMACHO VALENTIN</t>
  </si>
  <si>
    <t>REYES BURCIAGA ISAAC</t>
  </si>
  <si>
    <t>CRUZ LOPEZ MARIA GLORIA</t>
  </si>
  <si>
    <t>SALINAS ENRÍQUEZ SABINO DANIEL</t>
  </si>
  <si>
    <t>DE LOS SANTOS GENTIL MAURICIO</t>
  </si>
  <si>
    <t>GONZALEZ SOLANO MONICO OMAR</t>
  </si>
  <si>
    <t>DIAZ GARCIA LEOBARDO</t>
  </si>
  <si>
    <t>PEREZ MARIA IRMA</t>
  </si>
  <si>
    <t>CASTELLON LOPEZ LUIS MANUEL</t>
  </si>
  <si>
    <t>CORTEZ SANTOS EDGAR IVAN</t>
  </si>
  <si>
    <t>RAMIREZ DE LA CRUZ IGNACIO</t>
  </si>
  <si>
    <t>LAGUNAS DIAZ SALVADOR</t>
  </si>
  <si>
    <t>PACHECO JIMENEZ JONATHAN ISRAEL</t>
  </si>
  <si>
    <t>ESTRADA GONZALEZ VICTOR ADRIAN</t>
  </si>
  <si>
    <t>AYALA PAZ ADRIAN</t>
  </si>
  <si>
    <t>HERNANDEZ ANGUIANO OSBALDO OMAR</t>
  </si>
  <si>
    <t>CORDOVA GARCIA ALEJANDRO FILEMON</t>
  </si>
  <si>
    <t>IBARRA LOPEZ RODOLFO</t>
  </si>
  <si>
    <t>MADERA CHAVEZ SAMUEL PASCUAL</t>
  </si>
  <si>
    <t>JIMENEZ CORONA ISRAEL</t>
  </si>
  <si>
    <t>APARICIO LAMAS JOSE GUADALUPE</t>
  </si>
  <si>
    <t>RODRIGUEZ TAPIA ROCIO ELIZABETH</t>
  </si>
  <si>
    <t>GARCIA PALACIOS ERICK DUVAN</t>
  </si>
  <si>
    <t>LOMELÍ MADRIGAL MANUEL EDUARDO</t>
  </si>
  <si>
    <t>DÁVALOS ROCHA CARLOS</t>
  </si>
  <si>
    <t>IBARRA BARRAGAN LUIS ADRIAN</t>
  </si>
  <si>
    <t>SANCHEZ ALCALA JOSE CARLOS</t>
  </si>
  <si>
    <t>TREVIÑO ROJAS ALFREDO GABRIEL</t>
  </si>
  <si>
    <t>JIMÉNEZ EUGENIO GABRIEL</t>
  </si>
  <si>
    <t>HERNANDEZ HERNANDEZ JONATHAN</t>
  </si>
  <si>
    <t>MARTINEZ OROS DARIO</t>
  </si>
  <si>
    <t>GONZALEZ MORALES ARGIMIRO</t>
  </si>
  <si>
    <t>NUÑEZ FLORES EVA</t>
  </si>
  <si>
    <t>VELAZQUEZ BARRIOS JORGE</t>
  </si>
  <si>
    <t>RIVERA PONCE JOSE JAIME</t>
  </si>
  <si>
    <t>MARTINEZ JACOBO JOSE LUIS</t>
  </si>
  <si>
    <t>LOPEZ PADILLA JUAN PABLO</t>
  </si>
  <si>
    <t xml:space="preserve">GONZALEZ PERALES JORGE </t>
  </si>
  <si>
    <t>VEGA GUZMAN JOSE MANUEL</t>
  </si>
  <si>
    <t>FLORES PATRICIO CESAR ANTONIO</t>
  </si>
  <si>
    <t>HERNANDEZ SILVESTRE ANTONIO</t>
  </si>
  <si>
    <t>GONZALEZ NAVARRO LUIS FERNANDO</t>
  </si>
  <si>
    <t>RANGEL VARGAS MANUEL</t>
  </si>
  <si>
    <t>SILVA PALOMERA HÉCTOR FABIÁN</t>
  </si>
  <si>
    <t>CORDOVA CANDELARIO JOSE ENRIQUE</t>
  </si>
  <si>
    <t>OCAMPO LUISES VICTOR</t>
  </si>
  <si>
    <t>OCAMPO ALONSO VICTOR ANDRES</t>
  </si>
  <si>
    <t>GARCIA CABRAL VICTOR</t>
  </si>
  <si>
    <t>GARCIA CARRASCO ARMANDO</t>
  </si>
  <si>
    <t>ZAMORA JIMENEZ JOSE DE JESUS</t>
  </si>
  <si>
    <t>TORRES DANIEL VICTOR MANUEL</t>
  </si>
  <si>
    <t>RUBIO FLORES JOSE ANGEL</t>
  </si>
  <si>
    <t>REYES PEREZ JOSE ALFREDO</t>
  </si>
  <si>
    <t>ARREGUIN AGUILAR J. JESUS</t>
  </si>
  <si>
    <t>VALDEZ RAMOS MARCOS</t>
  </si>
  <si>
    <t>MELCHOR ROBLES HECTOR ANDRES</t>
  </si>
  <si>
    <t>GUILLEN LOPEZ JOSE ANTONIO</t>
  </si>
  <si>
    <t>DELGADO MEDINA LUIS ALBERTO</t>
  </si>
  <si>
    <t>SANDOVAL VALLEJO DANIEL</t>
  </si>
  <si>
    <t>GODINEZ JIMENEZ SALVADOR</t>
  </si>
  <si>
    <t>GONZALEZ MORA JOSE MANUEL</t>
  </si>
  <si>
    <t>MARQUEZ CANALES MOISES</t>
  </si>
  <si>
    <t>LEDESMA MEDEL MARIO ALBERTO</t>
  </si>
  <si>
    <t>RIVERA RIVERA LEONARDO DE JESUS</t>
  </si>
  <si>
    <t>MENDOZA MARTINEZ MARCOS</t>
  </si>
  <si>
    <t>TORRES VEGA JUAN CARLOS</t>
  </si>
  <si>
    <t>MARTINEZ GOMEZ JOSE CRISTIAN</t>
  </si>
  <si>
    <t>LOYO CRUZ FRANCISCO MIGUEL</t>
  </si>
  <si>
    <t>ROCHA MICHEL OSCAR MARTIN</t>
  </si>
  <si>
    <t>YAÑEZ DE LA CRUZ JOSE JUAN</t>
  </si>
  <si>
    <t>MARIN LOPEZ MARCOS MANUEL</t>
  </si>
  <si>
    <t>VALLE MORA DANIEL</t>
  </si>
  <si>
    <t>REYNAGA RITO SONIA</t>
  </si>
  <si>
    <t>AVALOS VAZQUEZ PABLO ALBERTO</t>
  </si>
  <si>
    <t>ENRIQUEZ DOMINGUEZ JOSUE DAVID</t>
  </si>
  <si>
    <t>VILLAVICENCIO CASTAÑEDA DIEGO</t>
  </si>
  <si>
    <t>FLORES DIAZ SERGIO</t>
  </si>
  <si>
    <t>RODRIGUEZ GARZA ROSENDO</t>
  </si>
  <si>
    <t>MALDONADO ORTEGA LUIS GERARDO</t>
  </si>
  <si>
    <t>CABRAL MARTINEZ OSCAR MARTIN</t>
  </si>
  <si>
    <t>CONTRERAS CHAVEZ MARIO ARMANDO</t>
  </si>
  <si>
    <t>MORALES MUÑOZ OSWALDO RUBEN</t>
  </si>
  <si>
    <t>MONTELONGO ESPINOZA HERIBERTO</t>
  </si>
  <si>
    <t>VALLEJO MENDOZA JOSE LUIS</t>
  </si>
  <si>
    <t>CRUZ CABRERA RICARDO</t>
  </si>
  <si>
    <t>CLARO GONZALEZ JUAN MANUEL</t>
  </si>
  <si>
    <t>SILVA HERNANDEZ TOMAS RODRIGO</t>
  </si>
  <si>
    <t>MACILLAS RAMIREZ JORGE SALVADOR</t>
  </si>
  <si>
    <t>TOSCANO HERNANDEZ SERGIO DAVID</t>
  </si>
  <si>
    <t>FRAIDE BELTRAN JUAN JOSE</t>
  </si>
  <si>
    <t>DELGADILLO GUZMAN JORGE DIEGO</t>
  </si>
  <si>
    <t>GARCÍA PONCIANO JOEL ANDRÉS</t>
  </si>
  <si>
    <t>ROMERO FULGENCIO HILARIO</t>
  </si>
  <si>
    <t>ROMERO FULGENCIO PEDRO</t>
  </si>
  <si>
    <t>LOPEZ PEREZ SALVADOR</t>
  </si>
  <si>
    <t>MEZA TORRES CESAR SANTIAGO</t>
  </si>
  <si>
    <t>GONZALEZ QUINTERO ROBERTO CARLOS</t>
  </si>
  <si>
    <t>ROMERO LOPEZ JONATHAN ISRAEL</t>
  </si>
  <si>
    <t>GUTIERREZ GUTIERREZ JOSE ARTURO</t>
  </si>
  <si>
    <t>TOLENTINO CHINO GALDINO</t>
  </si>
  <si>
    <t>ZUÑIGA VELAZQUEZ DAGOBERTO</t>
  </si>
  <si>
    <t>GUTIERREZ MENDOZA DIEGO ARTURO</t>
  </si>
  <si>
    <t>SAUCEDO SALINAS SERGIO ALBERTO</t>
  </si>
  <si>
    <t>CALDERON TELLEZ JUVENAL</t>
  </si>
  <si>
    <t>RODRIGUEZ RAMOS EDGAR ISAAC</t>
  </si>
  <si>
    <t>RODRIGUEZ GUAJARDO CARLOS</t>
  </si>
  <si>
    <t>HERNANDEZ CURIEL SALVADOR</t>
  </si>
  <si>
    <t>MORENO DE LA ROSA MARTIN</t>
  </si>
  <si>
    <t>MORENO DE LA ROSA ALEJANDRO</t>
  </si>
  <si>
    <t>MORENO DE LA ROSA SAMUEL</t>
  </si>
  <si>
    <t>OLGUIN GARCIA ABAD</t>
  </si>
  <si>
    <t>MARTINEZ PEREZ JOSE REFUGIO</t>
  </si>
  <si>
    <t>SALAZAR GARCÍA FLAVIO CÉSAR</t>
  </si>
  <si>
    <t>REYNA SANCHEZ JORGE</t>
  </si>
  <si>
    <t>DIAZ IBARRA JUAN JOSE</t>
  </si>
  <si>
    <t>GARZA MAGALLANES DANIEL</t>
  </si>
  <si>
    <t xml:space="preserve">RODRIGUEZ MALTA JULIO CESAR </t>
  </si>
  <si>
    <t>VAZQUEZ CISNEROS FRANCISCO</t>
  </si>
  <si>
    <t>ALBA REYES JOSE DE JESUS</t>
  </si>
  <si>
    <t>FLORES ALBA JOSÉ DARIEL</t>
  </si>
  <si>
    <t>ROBLES RUVALCABA MARTÍN ISMAEL</t>
  </si>
  <si>
    <t xml:space="preserve">TELLO PÉREZ ARMANDO ABRAHAM </t>
  </si>
  <si>
    <t>URISTA ORTEGA EMILIANO</t>
  </si>
  <si>
    <t>DELGADO AVIÑA JOSÉ GUADALUPE</t>
  </si>
  <si>
    <t>AGUIRRE VELAZQUEZ JAVIER</t>
  </si>
  <si>
    <t>LOPEZ RAMIREZ JORGE ALONSO</t>
  </si>
  <si>
    <t>REYES BRAVO MIGUEL ANGEL</t>
  </si>
  <si>
    <t>GARCÍA CASTRO JESÚS ANTONIO</t>
  </si>
  <si>
    <t>HERNÁNDEZ GARCÍA LUIS ALFONSO</t>
  </si>
  <si>
    <t>GARIBAY RUELAS JOSÉ MANUEL</t>
  </si>
  <si>
    <t>SAUCEDO VEGA ALEJANDRO</t>
  </si>
  <si>
    <t>PAZ VILLANUEVA BRANDON ÓMAR</t>
  </si>
  <si>
    <t>RAMOS RODRIGUEZ SAUL ALEJANDRO</t>
  </si>
  <si>
    <t>GUERRERO LÓPEZ LEONARDO DANIEL</t>
  </si>
  <si>
    <t>BIZARRO XILONZOCHITL MAURICIO JORDÁN</t>
  </si>
  <si>
    <t>TORRES BAÑUELOS DIEGO SALATIEL</t>
  </si>
  <si>
    <t>MEDINA ALVARADO SERGIO IVÁN</t>
  </si>
  <si>
    <t>MEZA NAVARRO ALEXIS RAMIRO</t>
  </si>
  <si>
    <t>SALVADOR LEÓN JOSÉ ALFREDO</t>
  </si>
  <si>
    <t>MORA JIMÉNEZ JOSUÉ</t>
  </si>
  <si>
    <t>PÉREZ MARES JONATAN GUSTAVO</t>
  </si>
  <si>
    <t>MEJÍA NAVARRO EMMANUEL</t>
  </si>
  <si>
    <t>RODRÍGUEZ AYALA FERNANDO DE JESÚS</t>
  </si>
  <si>
    <t>HERNÁNDEZ HUERTA LUIS ÁNGEL</t>
  </si>
  <si>
    <t>VÁZQUEZ MARTÍNEZ CRISTOFER DE JESÚS</t>
  </si>
  <si>
    <t>VEGA AGUIRRE ABRAHAM</t>
  </si>
  <si>
    <t>RAMÍREZ VILLA FRANCISCO JAVIER</t>
  </si>
  <si>
    <t>GONZÁLEZ CAMPOS ÓSCAR IVÁN</t>
  </si>
  <si>
    <t>RODRÍGUEZ HERNÁNDEZ CARLOS OMAR</t>
  </si>
  <si>
    <t>GARCÍA GARCÍA ELVIS RAUL</t>
  </si>
  <si>
    <t>CRUZ SOTO MAXIMINO MARTÍN</t>
  </si>
  <si>
    <t>ESPINOZA LÓPEZ JONATHAN ARATH</t>
  </si>
  <si>
    <t>SAUCEDO FLORES LUIS ENRIQUE</t>
  </si>
  <si>
    <t>MEJÍA ARÍAS HUGO ALONSO</t>
  </si>
  <si>
    <t>CASTILLO OCHOA JESÚS ALONSO</t>
  </si>
  <si>
    <t>MORA CUEVAS JUAN MANUEL</t>
  </si>
  <si>
    <t>RUIZ RICO FRANCISCO JAVIER</t>
  </si>
  <si>
    <t>ROBLES GODÍNEZ LUIS JAVIER</t>
  </si>
  <si>
    <t>CARBAJAL GALLARDO FRANCISCO</t>
  </si>
  <si>
    <t>MORA RAMÍREZ CÉSAR ALEJANDRO</t>
  </si>
  <si>
    <t>PRECIADO PARRA HÉCTOR</t>
  </si>
  <si>
    <t>ALCALÁ BERNAL JONATHAN OMAR</t>
  </si>
  <si>
    <t>LÓPEZ DÍAZ HELIOS YAEL</t>
  </si>
  <si>
    <t>BARROZO ALBA ALFREDO</t>
  </si>
  <si>
    <t>LÓPEZ MATA KEVIN EDUARDO</t>
  </si>
  <si>
    <t>ZAMORA MARTÍNEZ MIGUEL IGNACIO</t>
  </si>
  <si>
    <t>VILLA JAVIER</t>
  </si>
  <si>
    <t>GÓMEZ GARCÍA JUAN PABLO</t>
  </si>
  <si>
    <t>SAUCEDO FLORES JUAN MANUEL</t>
  </si>
  <si>
    <t>LOMELÍ MADRIGAL MARCO ANTONIO</t>
  </si>
  <si>
    <t>CAMPOS LÓPEZ JESÚS</t>
  </si>
  <si>
    <t>RAMÍREZ ROSALES EMILIO</t>
  </si>
  <si>
    <t>FLORES MORENO HÉCTOR MANUEL</t>
  </si>
  <si>
    <t>SÁNCHEZ MALDONADO JOSÉ LUIS</t>
  </si>
  <si>
    <t>FÉLIX LÓPEZ FRANCISCO ALEJANDRO</t>
  </si>
  <si>
    <t>RUVALCABA HERNÁNDEZ JESÚS</t>
  </si>
  <si>
    <t>DÁVALOS FRAGA ÓSCAR ALEJANDRO</t>
  </si>
  <si>
    <t>DÁVALOS ÁVILA JOSÉ ÁNGEL</t>
  </si>
  <si>
    <t>CUESTAS RAMÍREZ JOSÉ JESÚS</t>
  </si>
  <si>
    <t>NÚÑEZ MUÑOZ ESTIVEN RAUDEL</t>
  </si>
  <si>
    <t>XILONZÓCHITL SALDAÑA EDUARDO FRANCISCO</t>
  </si>
  <si>
    <t>MENDOZA OCAMPO LUIS MANUEL</t>
  </si>
  <si>
    <t>COVARRUBIAS ROMERO ARNULFO ULISES</t>
  </si>
  <si>
    <t>SEGURA DÁVALOS CARLOS ALBERTO</t>
  </si>
  <si>
    <t>RODRÍGUEZ ROJAS ÓSCAR IVÁN</t>
  </si>
  <si>
    <t>OROPEZA BRIONES DAVID ISRAEL</t>
  </si>
  <si>
    <t>PÉREZ JIMÉNEZ JUAN ERNESTO</t>
  </si>
  <si>
    <t>BERNAL OCEGUEDA ABRAHAM</t>
  </si>
  <si>
    <t>RAUDALES RODRÍGUEZ CRISTIAN BERNARDO</t>
  </si>
  <si>
    <t>BELTRÁN LÓPEZ HÉCTOR</t>
  </si>
  <si>
    <t>ROMÁN VÁZQUEZ DAVID EMMANUEL</t>
  </si>
  <si>
    <t>SÁNCHEZ DÍAZ ALEJANDRO</t>
  </si>
  <si>
    <t>ENRÍQUEZ CARRETERO ÁNGEL EDUARDO</t>
  </si>
  <si>
    <t>HURTADO REAL DARIÉN JEAN CARLO</t>
  </si>
  <si>
    <t>ENRÍQUEZ DE LOS SANTOS SERGIO</t>
  </si>
  <si>
    <t>RODRÍGUEZ BRIONES JUAN LUIS</t>
  </si>
  <si>
    <t xml:space="preserve">FLORES GARCÍA SERGIO </t>
  </si>
  <si>
    <t>ELVIRA DE LOS SANTOS JUAN FELIPE</t>
  </si>
  <si>
    <t>HERNÁNDEZ FRAIDES JULIÁN</t>
  </si>
  <si>
    <t>BARRIOS JIMÉNEZ LORENZO</t>
  </si>
  <si>
    <t>DE LA TORRE ROSAS ÓSCAR EDUARDO</t>
  </si>
  <si>
    <t xml:space="preserve">ECHEVERRÍA MENDOZA JESÚS OSWALDO </t>
  </si>
  <si>
    <t>TRINIDAD TRINIDAD JOSÉ OMAR</t>
  </si>
  <si>
    <t>GARCÍA HERNÁNDEZ LUIS FERNANDO</t>
  </si>
  <si>
    <t>VÁZQUEZ HERNÁNDEZ FRANCISCO SERVANDO</t>
  </si>
  <si>
    <t>LÓPEZ HERNÁNDEZ GABRIEL</t>
  </si>
  <si>
    <t>SOTO SANDOVAL JAIME</t>
  </si>
  <si>
    <t>VELAZCO SOTO JOSÉ ALFREDO</t>
  </si>
  <si>
    <t>HERNÁNDEZ GARCÍA BRANDON MISAEL</t>
  </si>
  <si>
    <t>TRINIDAD RODRÍGUEZ JULIO CÉSAR</t>
  </si>
  <si>
    <t>DE LOS SANTOS GENTIL LUIS ALEJANDRO</t>
  </si>
  <si>
    <t>OCHOA AGUILAR JOSÉ LUIS</t>
  </si>
  <si>
    <t>CERVANTES GARCÍA JUAN DANIEL</t>
  </si>
  <si>
    <t>SÁNCHEZ VÁZQUEZ DANIEL ALEJANDRO</t>
  </si>
  <si>
    <t>SUÁREZ TOVAR ÓSCAR IVÁN</t>
  </si>
  <si>
    <t>XILONZOCHITL AGUILAR SERGIO ADRIÁN</t>
  </si>
  <si>
    <t>BÁLBER MARTÍNEZ JORGE HUMBERTO</t>
  </si>
  <si>
    <t>PAREDES SÁNCHEZ IVÁN</t>
  </si>
  <si>
    <t>CERVANTES GARCÍA MIGUEL ÁNGEL</t>
  </si>
  <si>
    <t>GUTIÉRREZ CONTRERAS ERIK EDOARDO</t>
  </si>
  <si>
    <t>XILONZOCHITL MORA JESÚS CARLOS</t>
  </si>
  <si>
    <t>GUTIÉRREZ FLORES EMMANUEL</t>
  </si>
  <si>
    <t>TEJEDA SALCIDO JUAN ANTONIO</t>
  </si>
  <si>
    <t xml:space="preserve">MONTALVO HERNANDEZ JUAN LUIS </t>
  </si>
  <si>
    <t>PEÓN</t>
  </si>
  <si>
    <t>GUARDADO REYES MARTÍN</t>
  </si>
  <si>
    <t>GÓMEZ SIMÓN CÉSAR EFRAÍN</t>
  </si>
  <si>
    <t>GUILLÉN ROMERO EMMANUEL JOSUÉ</t>
  </si>
  <si>
    <t>RODRÍGUEZ RODRÍGUEZ JUAN LUIS</t>
  </si>
  <si>
    <t>ALDANA SÁNCHEZ JAIME RODOLFO</t>
  </si>
  <si>
    <t>CERVANTES MEDINA JOSÉ FRANCISCO</t>
  </si>
  <si>
    <t>ELIZONDO GARCÍA MIGUEL ÁNGEL</t>
  </si>
  <si>
    <t>GARCÍA IBARRA DANIEL</t>
  </si>
  <si>
    <t>ÁLVAREZ VALENCIA RAMÓN</t>
  </si>
  <si>
    <t>ÁLVAREZ JUÁREZ RAFAEL</t>
  </si>
  <si>
    <t>SOLÓRZANO MÉNDEZ FRANCISCO</t>
  </si>
  <si>
    <t>MEDINA JIMÉNEZ J. SANTOS</t>
  </si>
  <si>
    <t>ARTEAGA CORTÉS NOÉ JULIÁN</t>
  </si>
  <si>
    <t>REYES BARRAGÁN MANUEL</t>
  </si>
  <si>
    <t>RAMOS GONZÁLEZ HUMBERTO</t>
  </si>
  <si>
    <t>MARÍN TINOCO ÉDGAR</t>
  </si>
  <si>
    <t>RAMOS GONZÁLEZ ÁNGEL GABRIEL</t>
  </si>
  <si>
    <t>RUIZ MELCHOR JUAN ANTONIO</t>
  </si>
  <si>
    <t>NAVARRO ÁLVAREZ CARLOS DANIEL</t>
  </si>
  <si>
    <t>SOTO LANDÍN JUAN JOSÉ</t>
  </si>
  <si>
    <t>1/2 CUCHARA</t>
  </si>
  <si>
    <t>MARQUEZ CAMPOS VLADIMIR ULISES</t>
  </si>
  <si>
    <t>MOLINA MORENO GUSTAVO</t>
  </si>
  <si>
    <t>ROMERO RENTERÍA PEDRO</t>
  </si>
  <si>
    <t>LEÓN RANGEL JUAN GABRIEL</t>
  </si>
  <si>
    <t>VILLANUEVA SILVA JESÚS</t>
  </si>
  <si>
    <t>SÁNCHEZ ÁVALOS CRISTIAN</t>
  </si>
  <si>
    <t>ARIZMENDI MORA ÉDGAR YAIR</t>
  </si>
  <si>
    <t>RAMÍREZ LARIOS JAIME TRINIDAD</t>
  </si>
  <si>
    <t>MARÍN TINOCO FROILÁN</t>
  </si>
  <si>
    <t>CASTAÑEDA ÁLVAREZ FERNANDO JESÚS</t>
  </si>
  <si>
    <t>TORRES VALENCIA EDUARDO</t>
  </si>
  <si>
    <t>ESTRADA DE LA CRUZ MARÍA CRUZ</t>
  </si>
  <si>
    <t>GASPAR TIBURCIO MANUEL</t>
  </si>
  <si>
    <t>VÁZQUEZ HERNÁNDEZ JOSÉ DE JESÚS</t>
  </si>
  <si>
    <t>CÓRDOVA HERNÁNDEZ CARLOS</t>
  </si>
  <si>
    <t>SUÁREZ GUERRERO HÉCTOR</t>
  </si>
  <si>
    <t>SUÁREZ GUERRERO AGUSTÍN</t>
  </si>
  <si>
    <t>SILVA MEZA FRANCISCO EMMANUEL</t>
  </si>
  <si>
    <t>ENRÍQUEZ XILONXÓCHITL OMAR OSVALDO</t>
  </si>
  <si>
    <t>VÁZQUEZ MENA SAMUEL ISRAEL</t>
  </si>
  <si>
    <t>ALATORRE BORRAYO MIGUEL ÁNGEL</t>
  </si>
  <si>
    <t>BALBINO GRAJEDA PEDRO EDUARDO</t>
  </si>
  <si>
    <t>LÓPEZ HERNÁNDEZ HÉCTOR</t>
  </si>
  <si>
    <t>BOBADILLA LARIOS MIGUEL</t>
  </si>
  <si>
    <t xml:space="preserve">RODRÍGUEZ GARZA JESÚS </t>
  </si>
  <si>
    <t>RODRÍGUEZ HUÍZAR CHRISTOPHER EMMANUEL</t>
  </si>
  <si>
    <t>ROCHA DELGADO ALEJANDRO</t>
  </si>
  <si>
    <t>MÉNDEZ VÉLEZ AGUSTÍN</t>
  </si>
  <si>
    <t>ESCOTO MENDOZA LUIS ÁNGEL</t>
  </si>
  <si>
    <t>VILLA LÓPEZ JOSÉ EFRAÍN</t>
  </si>
  <si>
    <t>VILLA LÓPEZ AMADO</t>
  </si>
  <si>
    <t>HERRERA PINEDA HÉCTOR</t>
  </si>
  <si>
    <t>GONZÁLEZ DANIEL JOSÉ BRAULIO</t>
  </si>
  <si>
    <t>SAUCEDO SALINAS REYES</t>
  </si>
  <si>
    <t>SALAZAR BAUTISTA ERICK EDUARDO</t>
  </si>
  <si>
    <t>RODRÍGUEZ BRIONES RICARDO</t>
  </si>
  <si>
    <t>VILLA LÓPEZ ISAAC</t>
  </si>
  <si>
    <t>OCHOA AGUILAR JUAN PEDRO</t>
  </si>
  <si>
    <t>MORQUECHO PLASCENCIA MARCO GUSTAVO</t>
  </si>
  <si>
    <t>PINTO MARES VÍCTOR HUGO</t>
  </si>
  <si>
    <t>GUTIÉRREZ BARBOSA JOSUÉ ALEXANDER</t>
  </si>
  <si>
    <t>OROZCO BÁRBER LUIS ÁNGEL</t>
  </si>
  <si>
    <t>SANTIBAÑEZ TATENGO CARLOS</t>
  </si>
  <si>
    <t>VALENTÍN MENDOZA JUAN DIEGO</t>
  </si>
  <si>
    <t>SEVILLA MORALES FRANCISCO JAVIER</t>
  </si>
  <si>
    <t>MARCIAL REGALADO VICTORINO</t>
  </si>
  <si>
    <t>GARCÍA ENCISO SERGIO ANTONIO</t>
  </si>
  <si>
    <t>FLORES SÁNCHEZ HÉCTOR ARMANDO</t>
  </si>
  <si>
    <t>AGUILAR ARROYO LUIS FERNANDO</t>
  </si>
  <si>
    <t>VERA CAMACHO JOSÉ MANUEL</t>
  </si>
  <si>
    <t>LÓPEZ HERNÁNDEZ EFRAÍN</t>
  </si>
  <si>
    <t>VERA CAMACHO MARIO</t>
  </si>
  <si>
    <t>RODRÍGUEZ MURILLO MIGUEL ÁNGEL</t>
  </si>
  <si>
    <t>MORALES JUÁREZ DIDIER</t>
  </si>
  <si>
    <t>ORTIZ ROBLES JOSÉ NOÉ</t>
  </si>
  <si>
    <t>VIDALES MELÉNDEZ FILIBERTO</t>
  </si>
  <si>
    <t>NAVA ESPÍRITU JOSÉ DE JESÚS</t>
  </si>
  <si>
    <t>DÍAZ NAVA JOSÉ ALBERTO</t>
  </si>
  <si>
    <t>HERNÁNDEZ CLEMENTE ATLAI</t>
  </si>
  <si>
    <t>GONZÁLEZ HERNÁNDEZ LUIS ALBERTO</t>
  </si>
  <si>
    <t>ORTIZ ROBLES MOISÉS</t>
  </si>
  <si>
    <t>VELÁZQUEZ GARROCHO CRISTIAN ISRAEL</t>
  </si>
  <si>
    <t>ESCOTO IBARRA JOSÉ LUIS</t>
  </si>
  <si>
    <t>LÓPEZ LÓPEZ ADRIÁN</t>
  </si>
  <si>
    <t>VÁZQUEZ GALINDO OMAR AGUSTÍN</t>
  </si>
  <si>
    <t>AGUILAR VILLA ABEL</t>
  </si>
  <si>
    <t>TRINIDAD BECERRA CARLOS ADRIÁN</t>
  </si>
  <si>
    <t>CARRILLO GUTIÉRREZ MIGUEL ÁNGEL</t>
  </si>
  <si>
    <t>MARTÍNEZ FAJARDO VÍCTOR MIGUEL</t>
  </si>
  <si>
    <t>BRACAMONTES ACOSTA JOSÉ LUIS</t>
  </si>
  <si>
    <t>SÁNCHEZ QUINTERO ARTURO EMMANUEL</t>
  </si>
  <si>
    <t>SÁNCHEZ CHACÓN JORGE</t>
  </si>
  <si>
    <t>SERRANO HERNÁNDEZ JOSÉ OMAR</t>
  </si>
  <si>
    <t>REYES RODRÍGUEZ VÍCTOR MANUEL</t>
  </si>
  <si>
    <t>TRINIDAD NÚÑEZ EFRAÍN</t>
  </si>
  <si>
    <t>MEDINA AYALA LUIS ANTONIO</t>
  </si>
  <si>
    <t>TRINIDAD NÚÑEZ IVÁN ALBINO</t>
  </si>
  <si>
    <t>MENDOZA ESPÍRITU FERNANDO JOSÉ</t>
  </si>
  <si>
    <t>TRINIDAD NÚÑEZ BERNARDO</t>
  </si>
  <si>
    <t>LÓPEZ RODRÍGUEZ ERASMO</t>
  </si>
  <si>
    <t>TOSCANO VÁZQUEZ OMAR GUADALUPE</t>
  </si>
  <si>
    <t>GARCÍA DE LA TORRE JESÚS ALBERTO</t>
  </si>
  <si>
    <t>NAVA SÁNCHEZ JORGE</t>
  </si>
  <si>
    <t>TRINIDAD CARRILLO CÉSAR</t>
  </si>
  <si>
    <t>CABRERA CRUZ ÉDGAR GERARDO</t>
  </si>
  <si>
    <t>VELÁZQUEZ TALAVERA LEOPOLDO</t>
  </si>
  <si>
    <t>DE LA TORRE ROSAS KEVIN OSVALDO</t>
  </si>
  <si>
    <t>GUTIÉRREZ VILLA CARLOS CECILIO</t>
  </si>
  <si>
    <t>ÁRIAS ÁVALOS OSVALDO DAMIÁN</t>
  </si>
  <si>
    <t>GARCÍA GARCÍA VALENTE</t>
  </si>
  <si>
    <t>SAUCEDO FLORES MICHEL</t>
  </si>
  <si>
    <t>CARRANZA JIMÉNEZ BENJAMÍN AUSTREBERTO</t>
  </si>
  <si>
    <t>MARTÍNEZ CÓRDOVA JOSÉ RAÚL</t>
  </si>
  <si>
    <t>JUSTO TORRES ISMAEL</t>
  </si>
  <si>
    <t>GARCÍA AGUILAR ÓSCAR</t>
  </si>
  <si>
    <t>GARCÍA GARCÍA CARLOS EDUARDO</t>
  </si>
  <si>
    <t>GARCÍA GUZMÁN ELIZABETH</t>
  </si>
  <si>
    <t>JUSTO TORRES JOSÉ MARÍA</t>
  </si>
  <si>
    <t>SANDOVAL MACHUCA FRANCISCO</t>
  </si>
  <si>
    <t>FLORES RUIZ SERGIO YAHIR</t>
  </si>
  <si>
    <t>AYUDANTE MECÁNICO</t>
  </si>
  <si>
    <t>VIRAMONTES SALAMANCA ALBERTÍN</t>
  </si>
  <si>
    <t>ÁVILA GONZÁLEZ RICARDO EMANUEL</t>
  </si>
  <si>
    <t>ROJAS PÉREZ MANUEL</t>
  </si>
  <si>
    <t>MONTES ALCANTAR JUAN PABLO</t>
  </si>
  <si>
    <t>HERNÁNDEZ HERNÁNDEZ JAIME</t>
  </si>
  <si>
    <t>MARTÍNEZ GONZÁLEZ JULIO CÉSAR</t>
  </si>
  <si>
    <t>VILLA DÍAZ JOSÉ ARMANDO</t>
  </si>
  <si>
    <t>RAMÍREZ ALVARADO SALVADOR</t>
  </si>
  <si>
    <t>BRACAMONTES GONZÁLEZ ELENA GORETTY</t>
  </si>
  <si>
    <t>LÓPEZ GONZÁLEZ ANDRÉS</t>
  </si>
  <si>
    <t>GARCÍA SÁNCHEZ JUAN DIEGO</t>
  </si>
  <si>
    <t>LOMELÍ MADRIGAL MIGUEL ÁNGEL</t>
  </si>
  <si>
    <t>RANGEL BENITEZ PEDRO</t>
  </si>
  <si>
    <t>VARGAS BARAJAS MARTÍN</t>
  </si>
  <si>
    <t>VELÁZQUEZ HERNÁNDEZ GUADALUPE</t>
  </si>
  <si>
    <t>HERNÁNDEZ RAMOS LINO JAVIER</t>
  </si>
  <si>
    <t>AGUILAR GARCÍA JUAN</t>
  </si>
  <si>
    <t>CRUZ GUTIÉRREZ FRANCISCO</t>
  </si>
  <si>
    <t>HERNÁNDEZ CORTÉS ULISES</t>
  </si>
  <si>
    <t>HERNÁNDEZ CASTELLÓN PABLO</t>
  </si>
  <si>
    <t>APARICIO HERNÁNDEZ FRANCISCO JAVIER</t>
  </si>
  <si>
    <t>FIGUEROA CÓRDOVA MARIO FERNANDO</t>
  </si>
  <si>
    <t>HERNÁNDEZ HERNÁNDEZ ROLANDO</t>
  </si>
  <si>
    <t>LÓPEZ MATA OCTAVIO DANIEL</t>
  </si>
  <si>
    <t>TRINIDAD SÁNCHEZ RUBÉN</t>
  </si>
  <si>
    <t>VÁZQUEZ MEJÍA JUAN DIEGO</t>
  </si>
  <si>
    <t>AGUILAR AGUILAR ADRIÁN</t>
  </si>
  <si>
    <t>ORTIZ TAPIA ALEXÁDER ULISES</t>
  </si>
  <si>
    <t>AGUILAR LARIOS PEDRO</t>
  </si>
  <si>
    <t>GARCÍA ARCINIEGA J. TRINIDAD</t>
  </si>
  <si>
    <t>NAVARRETE VERA JULIO ADRIÁN</t>
  </si>
  <si>
    <t>VÁZQUEZ NIÑO ÓSCAR RODOLFO</t>
  </si>
  <si>
    <t>TRINIDAD NÚÑEZ ANTONIO</t>
  </si>
  <si>
    <t>TRINIDAD NÚÑEZ CELEDONIO</t>
  </si>
  <si>
    <t>ÁVALOS LÓPEZ ENRIQUE LEONEL</t>
  </si>
  <si>
    <t>MORALES RIVAS DIEGO ARMANDO</t>
  </si>
  <si>
    <t>BELTRÁN ESPADAS PAULO FORTINO</t>
  </si>
  <si>
    <t>SAHAGÚN HARO SALVADOR</t>
  </si>
  <si>
    <t>MANZANO SÁNCHEZ JAIME ALEXÁNDER</t>
  </si>
  <si>
    <t>ZILONZOCHILT GARCÍA MOISÉS</t>
  </si>
  <si>
    <t>HERNÁNDEZ RAMOS JOVANNI</t>
  </si>
  <si>
    <t>MARTÍNEZ VALADEZ FERNANDO</t>
  </si>
  <si>
    <t>TRINIDAD CARRILLO RUBÉN</t>
  </si>
  <si>
    <t>BECERRA HERNÁNDEZ ALAN</t>
  </si>
  <si>
    <t>BECERRA NIÑO EDUARDO DAMIÁN</t>
  </si>
  <si>
    <t>VALENTÍN BIZARRO DAVID ALEJANDRO</t>
  </si>
  <si>
    <t>HERNÁNDEZ GARCÍA FRANCISCO JAVIER</t>
  </si>
  <si>
    <t>LÓPEZ GRANADOS GILBERTO</t>
  </si>
  <si>
    <t>RAMOS PALACIOS MÁXIMO</t>
  </si>
  <si>
    <t>BALTAZAR DELGADO JOSÉ ALBERTO</t>
  </si>
  <si>
    <t>MENDOZA BAUTISTA JOSÉ HERIBERTO</t>
  </si>
  <si>
    <t>PÉREZ RITO MAURICIO</t>
  </si>
  <si>
    <t>CHÁVEZ NUÑO CÉSAR ALEJANDRO</t>
  </si>
  <si>
    <t>DOMÍNGUEZ MENDOZA LUIS ÁNGEL</t>
  </si>
  <si>
    <t>BECERRA CARRILLO DIEGO ARMANDO</t>
  </si>
  <si>
    <t>RENTERÍA JUAN MANUEL</t>
  </si>
  <si>
    <t>AGUILAR ÁVALOS NICOLASA</t>
  </si>
  <si>
    <t>JUSTO PRECIADO ARACELI</t>
  </si>
  <si>
    <t>CHÁVEZ ORTIZ JORGE</t>
  </si>
  <si>
    <t>VEGA JIMÉNEZ JUAN</t>
  </si>
  <si>
    <t>CAMPOS DOMÍNGUEZ DAVID</t>
  </si>
  <si>
    <t>BERNAL GONZÁLEZ JOSÉ ALBERTO</t>
  </si>
  <si>
    <t>OROPEZA LÓPEZ NÉSTOR JOAQUÍN</t>
  </si>
  <si>
    <t>VILLA PRECIADO RICARDO SANTIAGO</t>
  </si>
  <si>
    <t>FLORES REVELES ALEJANDRA</t>
  </si>
  <si>
    <t>XILONZÓCHILT RAMÍREZ CHRISTIAN BENJAMÍN</t>
  </si>
  <si>
    <t>GARCÍA PONCIANO ADRIÁN</t>
  </si>
  <si>
    <t>RENTERÍA MACÍAS RUBÉN</t>
  </si>
  <si>
    <t>ARCINIEGA LÓPEZ JUAN PABLO</t>
  </si>
  <si>
    <t>RÍOS BALANZAR JESÚS ANTONIO</t>
  </si>
  <si>
    <t>ARCINIEGA PRECIADO FELIPE DE JESÚS</t>
  </si>
  <si>
    <t>LUJANO PORTILLO JOSÉ DAVID</t>
  </si>
  <si>
    <t>LÓPEZ SILVA JAVIER EDUARDO</t>
  </si>
  <si>
    <t>GARCÍA RENTERÍA MOISÉS</t>
  </si>
  <si>
    <t>SOLÍS CASTAÑEDA JULIO URBANO</t>
  </si>
  <si>
    <t>MACÍAS GONZÁLEZ MIGUEL ÁNGEL</t>
  </si>
  <si>
    <t>ORTEGA GUTIÉRREZ VÍCTOR IVÁN</t>
  </si>
  <si>
    <t>LÓPEZ BASULTO SAMARA VIANEY</t>
  </si>
  <si>
    <t>DÍAZ GONZÁLES ARMANDO FERMÍN</t>
  </si>
  <si>
    <t>NAVARRETE MUÑOZ ANA ROSÍO</t>
  </si>
  <si>
    <t>RAMOS PONCIANO PALEMÓN</t>
  </si>
  <si>
    <t>ORTIZ FRAUSTRO JOSÉ ALBERTO</t>
  </si>
  <si>
    <t>MURILLO FRANCISCO RUBÉN</t>
  </si>
  <si>
    <t>CÓRDOVA LÓPEZ AMADO</t>
  </si>
  <si>
    <t>VILLA ÁVALOS PABLO</t>
  </si>
  <si>
    <t>ESCALANTE OLIVARES MARÍA CONCEPCIÓN</t>
  </si>
  <si>
    <t>SÁNCHEZ GUZMÁN CARLOS</t>
  </si>
  <si>
    <t>CAMACHO LÓPEZ ÓSCAR MANUEL</t>
  </si>
  <si>
    <t>XILONZÓCHITL HERRERA BENJAMÍN</t>
  </si>
  <si>
    <t>LÓPEZ OLIVA FRANCISCO JAVIER</t>
  </si>
  <si>
    <t>XILONZÓCHITL RAMÍREZ LUIS ÁNGEL</t>
  </si>
  <si>
    <t>VERAR ÁLVAREZ JEFFIRI</t>
  </si>
  <si>
    <t>ENRIQUEZ ENRIQUEZ ANDRÉS</t>
  </si>
  <si>
    <t>LÓPEZ RODRÍGUEZ MANUEL</t>
  </si>
  <si>
    <t>VEGA BERNAL JUAN PABLO</t>
  </si>
  <si>
    <t>PREZA ALVARÍN GERARDO</t>
  </si>
  <si>
    <t>ORTIZ AGUILAR ÓSCAR RAMÓN</t>
  </si>
  <si>
    <t>CISNEROS LUNA JOSÉ GABRIEL</t>
  </si>
  <si>
    <t>ÁLVAREZ VALLADARES FABIÁN</t>
  </si>
  <si>
    <t>GARCÍA SAUCEDO BRIAN JOSUÉ</t>
  </si>
  <si>
    <t>VIDALES CAMPOS GUSTAVO</t>
  </si>
  <si>
    <t>DIAZ VILLA JUAN PABLO</t>
  </si>
  <si>
    <t>clave</t>
  </si>
  <si>
    <t>nombre</t>
  </si>
  <si>
    <t>puesto</t>
  </si>
  <si>
    <t>salario_diario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</si>
</sst>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N$&quot;* #,##0.00_);_(&quot;N$&quot;* \(#,##0.00\);_(&quot;N$&quot;* &quot;-&quot;??_);_(@_)"/>
    <numFmt numFmtId="165" formatCode="&quot;$&quot;#,##0.00"/>
  </numFmts>
  <fonts count="5" x14ac:knownFonts="1">
    <font>
      <sz val="8"/>
      <name val="Arial"/>
    </font>
    <font>
      <b/>
      <sz val="8"/>
      <color indexed="9"/>
      <name val="Arial"/>
      <family val="2"/>
    </font>
    <font>
      <b/>
      <sz val="7"/>
      <color indexed="9"/>
      <name val="Arial"/>
      <family val="2"/>
    </font>
    <font>
      <sz val="8"/>
      <name val="Arial"/>
      <family val="2"/>
    </font>
    <font>
      <sz val="7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2">
    <xf numFmtId="0" fontId="0" fillId="0" borderId="0" xfId="0"/>
    <xf numFmtId="1" fontId="1" fillId="2" borderId="0" xfId="0" applyNumberFormat="1" applyFont="1" applyFill="1" applyAlignment="1">
      <alignment horizontal="center"/>
    </xf>
    <xf numFmtId="1" fontId="1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left"/>
    </xf>
    <xf numFmtId="2" fontId="1" fillId="2" borderId="0" xfId="1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5" fontId="3" fillId="0" borderId="0" xfId="1" applyNumberFormat="1" applyFont="1" applyFill="1"/>
    <xf numFmtId="1" fontId="3" fillId="0" borderId="0" xfId="0" applyNumberFormat="1" applyFont="1" applyAlignment="1">
      <alignment horizontal="center"/>
    </xf>
    <xf numFmtId="1" fontId="3" fillId="0" borderId="0" xfId="0" applyNumberFormat="1" applyFont="1"/>
    <xf numFmtId="2" fontId="3" fillId="0" borderId="0" xfId="1" applyNumberFormat="1" applyFont="1"/>
  </cellXfs>
  <cellStyles count="2">
    <cellStyle name="Moneda" xfId="1" builtinId="4"/>
    <cellStyle name="Normal" xfId="0" builtinId="0"/>
  </cellStyles>
  <dxfs count="3"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3D98-A53F-4BDA-BE00-42BA2A2633B3}">
  <dimension ref="A1:D4082"/>
  <sheetViews>
    <sheetView tabSelected="1" zoomScaleNormal="100" workbookViewId="0">
      <selection activeCell="D2" sqref="D2"/>
    </sheetView>
  </sheetViews>
  <sheetFormatPr baseColWidth="10" defaultRowHeight="10.199999999999999" x14ac:dyDescent="0.2"/>
  <cols>
    <col min="1" max="1" width="14" style="9" customWidth="1"/>
    <col min="2" max="2" width="63.7109375" style="10" customWidth="1"/>
    <col min="3" max="3" width="26.7109375" style="7" bestFit="1" customWidth="1"/>
    <col min="4" max="4" width="16.42578125" style="11" bestFit="1" customWidth="1"/>
    <col min="5" max="186" width="11.42578125" style="5"/>
    <col min="187" max="187" width="10.28515625" style="5" customWidth="1"/>
    <col min="188" max="188" width="55.85546875" style="5" bestFit="1" customWidth="1"/>
    <col min="189" max="189" width="12.85546875" style="5" bestFit="1" customWidth="1"/>
    <col min="190" max="190" width="9.140625" style="5" bestFit="1" customWidth="1"/>
    <col min="191" max="191" width="4.7109375" style="5" bestFit="1" customWidth="1"/>
    <col min="192" max="192" width="8.140625" style="5" bestFit="1" customWidth="1"/>
    <col min="193" max="193" width="12.85546875" style="5" bestFit="1" customWidth="1"/>
    <col min="194" max="194" width="10.85546875" style="5" bestFit="1" customWidth="1"/>
    <col min="195" max="195" width="35" style="5" bestFit="1" customWidth="1"/>
    <col min="196" max="196" width="12.28515625" style="5" customWidth="1"/>
    <col min="197" max="197" width="13.85546875" style="5" customWidth="1"/>
    <col min="198" max="198" width="12.85546875" style="5" customWidth="1"/>
    <col min="199" max="200" width="11.42578125" style="5"/>
    <col min="201" max="201" width="6.42578125" style="5" customWidth="1"/>
    <col min="202" max="442" width="11.42578125" style="5"/>
    <col min="443" max="443" width="10.28515625" style="5" customWidth="1"/>
    <col min="444" max="444" width="55.85546875" style="5" bestFit="1" customWidth="1"/>
    <col min="445" max="445" width="12.85546875" style="5" bestFit="1" customWidth="1"/>
    <col min="446" max="446" width="9.140625" style="5" bestFit="1" customWidth="1"/>
    <col min="447" max="447" width="4.7109375" style="5" bestFit="1" customWidth="1"/>
    <col min="448" max="448" width="8.140625" style="5" bestFit="1" customWidth="1"/>
    <col min="449" max="449" width="12.85546875" style="5" bestFit="1" customWidth="1"/>
    <col min="450" max="450" width="10.85546875" style="5" bestFit="1" customWidth="1"/>
    <col min="451" max="451" width="35" style="5" bestFit="1" customWidth="1"/>
    <col min="452" max="452" width="12.28515625" style="5" customWidth="1"/>
    <col min="453" max="453" width="13.85546875" style="5" customWidth="1"/>
    <col min="454" max="454" width="12.85546875" style="5" customWidth="1"/>
    <col min="455" max="456" width="11.42578125" style="5"/>
    <col min="457" max="457" width="6.42578125" style="5" customWidth="1"/>
    <col min="458" max="698" width="11.42578125" style="5"/>
    <col min="699" max="699" width="10.28515625" style="5" customWidth="1"/>
    <col min="700" max="700" width="55.85546875" style="5" bestFit="1" customWidth="1"/>
    <col min="701" max="701" width="12.85546875" style="5" bestFit="1" customWidth="1"/>
    <col min="702" max="702" width="9.140625" style="5" bestFit="1" customWidth="1"/>
    <col min="703" max="703" width="4.7109375" style="5" bestFit="1" customWidth="1"/>
    <col min="704" max="704" width="8.140625" style="5" bestFit="1" customWidth="1"/>
    <col min="705" max="705" width="12.85546875" style="5" bestFit="1" customWidth="1"/>
    <col min="706" max="706" width="10.85546875" style="5" bestFit="1" customWidth="1"/>
    <col min="707" max="707" width="35" style="5" bestFit="1" customWidth="1"/>
    <col min="708" max="708" width="12.28515625" style="5" customWidth="1"/>
    <col min="709" max="709" width="13.85546875" style="5" customWidth="1"/>
    <col min="710" max="710" width="12.85546875" style="5" customWidth="1"/>
    <col min="711" max="712" width="11.42578125" style="5"/>
    <col min="713" max="713" width="6.42578125" style="5" customWidth="1"/>
    <col min="714" max="954" width="11.42578125" style="5"/>
    <col min="955" max="955" width="10.28515625" style="5" customWidth="1"/>
    <col min="956" max="956" width="55.85546875" style="5" bestFit="1" customWidth="1"/>
    <col min="957" max="957" width="12.85546875" style="5" bestFit="1" customWidth="1"/>
    <col min="958" max="958" width="9.140625" style="5" bestFit="1" customWidth="1"/>
    <col min="959" max="959" width="4.7109375" style="5" bestFit="1" customWidth="1"/>
    <col min="960" max="960" width="8.140625" style="5" bestFit="1" customWidth="1"/>
    <col min="961" max="961" width="12.85546875" style="5" bestFit="1" customWidth="1"/>
    <col min="962" max="962" width="10.85546875" style="5" bestFit="1" customWidth="1"/>
    <col min="963" max="963" width="35" style="5" bestFit="1" customWidth="1"/>
    <col min="964" max="964" width="12.28515625" style="5" customWidth="1"/>
    <col min="965" max="965" width="13.85546875" style="5" customWidth="1"/>
    <col min="966" max="966" width="12.85546875" style="5" customWidth="1"/>
    <col min="967" max="968" width="11.42578125" style="5"/>
    <col min="969" max="969" width="6.42578125" style="5" customWidth="1"/>
    <col min="970" max="1210" width="11.42578125" style="5"/>
    <col min="1211" max="1211" width="10.28515625" style="5" customWidth="1"/>
    <col min="1212" max="1212" width="55.85546875" style="5" bestFit="1" customWidth="1"/>
    <col min="1213" max="1213" width="12.85546875" style="5" bestFit="1" customWidth="1"/>
    <col min="1214" max="1214" width="9.140625" style="5" bestFit="1" customWidth="1"/>
    <col min="1215" max="1215" width="4.7109375" style="5" bestFit="1" customWidth="1"/>
    <col min="1216" max="1216" width="8.140625" style="5" bestFit="1" customWidth="1"/>
    <col min="1217" max="1217" width="12.85546875" style="5" bestFit="1" customWidth="1"/>
    <col min="1218" max="1218" width="10.85546875" style="5" bestFit="1" customWidth="1"/>
    <col min="1219" max="1219" width="35" style="5" bestFit="1" customWidth="1"/>
    <col min="1220" max="1220" width="12.28515625" style="5" customWidth="1"/>
    <col min="1221" max="1221" width="13.85546875" style="5" customWidth="1"/>
    <col min="1222" max="1222" width="12.85546875" style="5" customWidth="1"/>
    <col min="1223" max="1224" width="11.42578125" style="5"/>
    <col min="1225" max="1225" width="6.42578125" style="5" customWidth="1"/>
    <col min="1226" max="1466" width="11.42578125" style="5"/>
    <col min="1467" max="1467" width="10.28515625" style="5" customWidth="1"/>
    <col min="1468" max="1468" width="55.85546875" style="5" bestFit="1" customWidth="1"/>
    <col min="1469" max="1469" width="12.85546875" style="5" bestFit="1" customWidth="1"/>
    <col min="1470" max="1470" width="9.140625" style="5" bestFit="1" customWidth="1"/>
    <col min="1471" max="1471" width="4.7109375" style="5" bestFit="1" customWidth="1"/>
    <col min="1472" max="1472" width="8.140625" style="5" bestFit="1" customWidth="1"/>
    <col min="1473" max="1473" width="12.85546875" style="5" bestFit="1" customWidth="1"/>
    <col min="1474" max="1474" width="10.85546875" style="5" bestFit="1" customWidth="1"/>
    <col min="1475" max="1475" width="35" style="5" bestFit="1" customWidth="1"/>
    <col min="1476" max="1476" width="12.28515625" style="5" customWidth="1"/>
    <col min="1477" max="1477" width="13.85546875" style="5" customWidth="1"/>
    <col min="1478" max="1478" width="12.85546875" style="5" customWidth="1"/>
    <col min="1479" max="1480" width="11.42578125" style="5"/>
    <col min="1481" max="1481" width="6.42578125" style="5" customWidth="1"/>
    <col min="1482" max="1722" width="11.42578125" style="5"/>
    <col min="1723" max="1723" width="10.28515625" style="5" customWidth="1"/>
    <col min="1724" max="1724" width="55.85546875" style="5" bestFit="1" customWidth="1"/>
    <col min="1725" max="1725" width="12.85546875" style="5" bestFit="1" customWidth="1"/>
    <col min="1726" max="1726" width="9.140625" style="5" bestFit="1" customWidth="1"/>
    <col min="1727" max="1727" width="4.7109375" style="5" bestFit="1" customWidth="1"/>
    <col min="1728" max="1728" width="8.140625" style="5" bestFit="1" customWidth="1"/>
    <col min="1729" max="1729" width="12.85546875" style="5" bestFit="1" customWidth="1"/>
    <col min="1730" max="1730" width="10.85546875" style="5" bestFit="1" customWidth="1"/>
    <col min="1731" max="1731" width="35" style="5" bestFit="1" customWidth="1"/>
    <col min="1732" max="1732" width="12.28515625" style="5" customWidth="1"/>
    <col min="1733" max="1733" width="13.85546875" style="5" customWidth="1"/>
    <col min="1734" max="1734" width="12.85546875" style="5" customWidth="1"/>
    <col min="1735" max="1736" width="11.42578125" style="5"/>
    <col min="1737" max="1737" width="6.42578125" style="5" customWidth="1"/>
    <col min="1738" max="1978" width="11.42578125" style="5"/>
    <col min="1979" max="1979" width="10.28515625" style="5" customWidth="1"/>
    <col min="1980" max="1980" width="55.85546875" style="5" bestFit="1" customWidth="1"/>
    <col min="1981" max="1981" width="12.85546875" style="5" bestFit="1" customWidth="1"/>
    <col min="1982" max="1982" width="9.140625" style="5" bestFit="1" customWidth="1"/>
    <col min="1983" max="1983" width="4.7109375" style="5" bestFit="1" customWidth="1"/>
    <col min="1984" max="1984" width="8.140625" style="5" bestFit="1" customWidth="1"/>
    <col min="1985" max="1985" width="12.85546875" style="5" bestFit="1" customWidth="1"/>
    <col min="1986" max="1986" width="10.85546875" style="5" bestFit="1" customWidth="1"/>
    <col min="1987" max="1987" width="35" style="5" bestFit="1" customWidth="1"/>
    <col min="1988" max="1988" width="12.28515625" style="5" customWidth="1"/>
    <col min="1989" max="1989" width="13.85546875" style="5" customWidth="1"/>
    <col min="1990" max="1990" width="12.85546875" style="5" customWidth="1"/>
    <col min="1991" max="1992" width="11.42578125" style="5"/>
    <col min="1993" max="1993" width="6.42578125" style="5" customWidth="1"/>
    <col min="1994" max="2234" width="11.42578125" style="5"/>
    <col min="2235" max="2235" width="10.28515625" style="5" customWidth="1"/>
    <col min="2236" max="2236" width="55.85546875" style="5" bestFit="1" customWidth="1"/>
    <col min="2237" max="2237" width="12.85546875" style="5" bestFit="1" customWidth="1"/>
    <col min="2238" max="2238" width="9.140625" style="5" bestFit="1" customWidth="1"/>
    <col min="2239" max="2239" width="4.7109375" style="5" bestFit="1" customWidth="1"/>
    <col min="2240" max="2240" width="8.140625" style="5" bestFit="1" customWidth="1"/>
    <col min="2241" max="2241" width="12.85546875" style="5" bestFit="1" customWidth="1"/>
    <col min="2242" max="2242" width="10.85546875" style="5" bestFit="1" customWidth="1"/>
    <col min="2243" max="2243" width="35" style="5" bestFit="1" customWidth="1"/>
    <col min="2244" max="2244" width="12.28515625" style="5" customWidth="1"/>
    <col min="2245" max="2245" width="13.85546875" style="5" customWidth="1"/>
    <col min="2246" max="2246" width="12.85546875" style="5" customWidth="1"/>
    <col min="2247" max="2248" width="11.42578125" style="5"/>
    <col min="2249" max="2249" width="6.42578125" style="5" customWidth="1"/>
    <col min="2250" max="2490" width="11.42578125" style="5"/>
    <col min="2491" max="2491" width="10.28515625" style="5" customWidth="1"/>
    <col min="2492" max="2492" width="55.85546875" style="5" bestFit="1" customWidth="1"/>
    <col min="2493" max="2493" width="12.85546875" style="5" bestFit="1" customWidth="1"/>
    <col min="2494" max="2494" width="9.140625" style="5" bestFit="1" customWidth="1"/>
    <col min="2495" max="2495" width="4.7109375" style="5" bestFit="1" customWidth="1"/>
    <col min="2496" max="2496" width="8.140625" style="5" bestFit="1" customWidth="1"/>
    <col min="2497" max="2497" width="12.85546875" style="5" bestFit="1" customWidth="1"/>
    <col min="2498" max="2498" width="10.85546875" style="5" bestFit="1" customWidth="1"/>
    <col min="2499" max="2499" width="35" style="5" bestFit="1" customWidth="1"/>
    <col min="2500" max="2500" width="12.28515625" style="5" customWidth="1"/>
    <col min="2501" max="2501" width="13.85546875" style="5" customWidth="1"/>
    <col min="2502" max="2502" width="12.85546875" style="5" customWidth="1"/>
    <col min="2503" max="2504" width="11.42578125" style="5"/>
    <col min="2505" max="2505" width="6.42578125" style="5" customWidth="1"/>
    <col min="2506" max="2746" width="11.42578125" style="5"/>
    <col min="2747" max="2747" width="10.28515625" style="5" customWidth="1"/>
    <col min="2748" max="2748" width="55.85546875" style="5" bestFit="1" customWidth="1"/>
    <col min="2749" max="2749" width="12.85546875" style="5" bestFit="1" customWidth="1"/>
    <col min="2750" max="2750" width="9.140625" style="5" bestFit="1" customWidth="1"/>
    <col min="2751" max="2751" width="4.7109375" style="5" bestFit="1" customWidth="1"/>
    <col min="2752" max="2752" width="8.140625" style="5" bestFit="1" customWidth="1"/>
    <col min="2753" max="2753" width="12.85546875" style="5" bestFit="1" customWidth="1"/>
    <col min="2754" max="2754" width="10.85546875" style="5" bestFit="1" customWidth="1"/>
    <col min="2755" max="2755" width="35" style="5" bestFit="1" customWidth="1"/>
    <col min="2756" max="2756" width="12.28515625" style="5" customWidth="1"/>
    <col min="2757" max="2757" width="13.85546875" style="5" customWidth="1"/>
    <col min="2758" max="2758" width="12.85546875" style="5" customWidth="1"/>
    <col min="2759" max="2760" width="11.42578125" style="5"/>
    <col min="2761" max="2761" width="6.42578125" style="5" customWidth="1"/>
    <col min="2762" max="3002" width="11.42578125" style="5"/>
    <col min="3003" max="3003" width="10.28515625" style="5" customWidth="1"/>
    <col min="3004" max="3004" width="55.85546875" style="5" bestFit="1" customWidth="1"/>
    <col min="3005" max="3005" width="12.85546875" style="5" bestFit="1" customWidth="1"/>
    <col min="3006" max="3006" width="9.140625" style="5" bestFit="1" customWidth="1"/>
    <col min="3007" max="3007" width="4.7109375" style="5" bestFit="1" customWidth="1"/>
    <col min="3008" max="3008" width="8.140625" style="5" bestFit="1" customWidth="1"/>
    <col min="3009" max="3009" width="12.85546875" style="5" bestFit="1" customWidth="1"/>
    <col min="3010" max="3010" width="10.85546875" style="5" bestFit="1" customWidth="1"/>
    <col min="3011" max="3011" width="35" style="5" bestFit="1" customWidth="1"/>
    <col min="3012" max="3012" width="12.28515625" style="5" customWidth="1"/>
    <col min="3013" max="3013" width="13.85546875" style="5" customWidth="1"/>
    <col min="3014" max="3014" width="12.85546875" style="5" customWidth="1"/>
    <col min="3015" max="3016" width="11.42578125" style="5"/>
    <col min="3017" max="3017" width="6.42578125" style="5" customWidth="1"/>
    <col min="3018" max="3258" width="11.42578125" style="5"/>
    <col min="3259" max="3259" width="10.28515625" style="5" customWidth="1"/>
    <col min="3260" max="3260" width="55.85546875" style="5" bestFit="1" customWidth="1"/>
    <col min="3261" max="3261" width="12.85546875" style="5" bestFit="1" customWidth="1"/>
    <col min="3262" max="3262" width="9.140625" style="5" bestFit="1" customWidth="1"/>
    <col min="3263" max="3263" width="4.7109375" style="5" bestFit="1" customWidth="1"/>
    <col min="3264" max="3264" width="8.140625" style="5" bestFit="1" customWidth="1"/>
    <col min="3265" max="3265" width="12.85546875" style="5" bestFit="1" customWidth="1"/>
    <col min="3266" max="3266" width="10.85546875" style="5" bestFit="1" customWidth="1"/>
    <col min="3267" max="3267" width="35" style="5" bestFit="1" customWidth="1"/>
    <col min="3268" max="3268" width="12.28515625" style="5" customWidth="1"/>
    <col min="3269" max="3269" width="13.85546875" style="5" customWidth="1"/>
    <col min="3270" max="3270" width="12.85546875" style="5" customWidth="1"/>
    <col min="3271" max="3272" width="11.42578125" style="5"/>
    <col min="3273" max="3273" width="6.42578125" style="5" customWidth="1"/>
    <col min="3274" max="3514" width="11.42578125" style="5"/>
    <col min="3515" max="3515" width="10.28515625" style="5" customWidth="1"/>
    <col min="3516" max="3516" width="55.85546875" style="5" bestFit="1" customWidth="1"/>
    <col min="3517" max="3517" width="12.85546875" style="5" bestFit="1" customWidth="1"/>
    <col min="3518" max="3518" width="9.140625" style="5" bestFit="1" customWidth="1"/>
    <col min="3519" max="3519" width="4.7109375" style="5" bestFit="1" customWidth="1"/>
    <col min="3520" max="3520" width="8.140625" style="5" bestFit="1" customWidth="1"/>
    <col min="3521" max="3521" width="12.85546875" style="5" bestFit="1" customWidth="1"/>
    <col min="3522" max="3522" width="10.85546875" style="5" bestFit="1" customWidth="1"/>
    <col min="3523" max="3523" width="35" style="5" bestFit="1" customWidth="1"/>
    <col min="3524" max="3524" width="12.28515625" style="5" customWidth="1"/>
    <col min="3525" max="3525" width="13.85546875" style="5" customWidth="1"/>
    <col min="3526" max="3526" width="12.85546875" style="5" customWidth="1"/>
    <col min="3527" max="3528" width="11.42578125" style="5"/>
    <col min="3529" max="3529" width="6.42578125" style="5" customWidth="1"/>
    <col min="3530" max="3770" width="11.42578125" style="5"/>
    <col min="3771" max="3771" width="10.28515625" style="5" customWidth="1"/>
    <col min="3772" max="3772" width="55.85546875" style="5" bestFit="1" customWidth="1"/>
    <col min="3773" max="3773" width="12.85546875" style="5" bestFit="1" customWidth="1"/>
    <col min="3774" max="3774" width="9.140625" style="5" bestFit="1" customWidth="1"/>
    <col min="3775" max="3775" width="4.7109375" style="5" bestFit="1" customWidth="1"/>
    <col min="3776" max="3776" width="8.140625" style="5" bestFit="1" customWidth="1"/>
    <col min="3777" max="3777" width="12.85546875" style="5" bestFit="1" customWidth="1"/>
    <col min="3778" max="3778" width="10.85546875" style="5" bestFit="1" customWidth="1"/>
    <col min="3779" max="3779" width="35" style="5" bestFit="1" customWidth="1"/>
    <col min="3780" max="3780" width="12.28515625" style="5" customWidth="1"/>
    <col min="3781" max="3781" width="13.85546875" style="5" customWidth="1"/>
    <col min="3782" max="3782" width="12.85546875" style="5" customWidth="1"/>
    <col min="3783" max="3784" width="11.42578125" style="5"/>
    <col min="3785" max="3785" width="6.42578125" style="5" customWidth="1"/>
    <col min="3786" max="4026" width="11.42578125" style="5"/>
    <col min="4027" max="4027" width="10.28515625" style="5" customWidth="1"/>
    <col min="4028" max="4028" width="55.85546875" style="5" bestFit="1" customWidth="1"/>
    <col min="4029" max="4029" width="12.85546875" style="5" bestFit="1" customWidth="1"/>
    <col min="4030" max="4030" width="9.140625" style="5" bestFit="1" customWidth="1"/>
    <col min="4031" max="4031" width="4.7109375" style="5" bestFit="1" customWidth="1"/>
    <col min="4032" max="4032" width="8.140625" style="5" bestFit="1" customWidth="1"/>
    <col min="4033" max="4033" width="12.85546875" style="5" bestFit="1" customWidth="1"/>
    <col min="4034" max="4034" width="10.85546875" style="5" bestFit="1" customWidth="1"/>
    <col min="4035" max="4035" width="35" style="5" bestFit="1" customWidth="1"/>
    <col min="4036" max="4036" width="12.28515625" style="5" customWidth="1"/>
    <col min="4037" max="4037" width="13.85546875" style="5" customWidth="1"/>
    <col min="4038" max="4038" width="12.85546875" style="5" customWidth="1"/>
    <col min="4039" max="4040" width="11.42578125" style="5"/>
    <col min="4041" max="4041" width="6.42578125" style="5" customWidth="1"/>
    <col min="4042" max="4282" width="11.42578125" style="5"/>
    <col min="4283" max="4283" width="10.28515625" style="5" customWidth="1"/>
    <col min="4284" max="4284" width="55.85546875" style="5" bestFit="1" customWidth="1"/>
    <col min="4285" max="4285" width="12.85546875" style="5" bestFit="1" customWidth="1"/>
    <col min="4286" max="4286" width="9.140625" style="5" bestFit="1" customWidth="1"/>
    <col min="4287" max="4287" width="4.7109375" style="5" bestFit="1" customWidth="1"/>
    <col min="4288" max="4288" width="8.140625" style="5" bestFit="1" customWidth="1"/>
    <col min="4289" max="4289" width="12.85546875" style="5" bestFit="1" customWidth="1"/>
    <col min="4290" max="4290" width="10.85546875" style="5" bestFit="1" customWidth="1"/>
    <col min="4291" max="4291" width="35" style="5" bestFit="1" customWidth="1"/>
    <col min="4292" max="4292" width="12.28515625" style="5" customWidth="1"/>
    <col min="4293" max="4293" width="13.85546875" style="5" customWidth="1"/>
    <col min="4294" max="4294" width="12.85546875" style="5" customWidth="1"/>
    <col min="4295" max="4296" width="11.42578125" style="5"/>
    <col min="4297" max="4297" width="6.42578125" style="5" customWidth="1"/>
    <col min="4298" max="4538" width="11.42578125" style="5"/>
    <col min="4539" max="4539" width="10.28515625" style="5" customWidth="1"/>
    <col min="4540" max="4540" width="55.85546875" style="5" bestFit="1" customWidth="1"/>
    <col min="4541" max="4541" width="12.85546875" style="5" bestFit="1" customWidth="1"/>
    <col min="4542" max="4542" width="9.140625" style="5" bestFit="1" customWidth="1"/>
    <col min="4543" max="4543" width="4.7109375" style="5" bestFit="1" customWidth="1"/>
    <col min="4544" max="4544" width="8.140625" style="5" bestFit="1" customWidth="1"/>
    <col min="4545" max="4545" width="12.85546875" style="5" bestFit="1" customWidth="1"/>
    <col min="4546" max="4546" width="10.85546875" style="5" bestFit="1" customWidth="1"/>
    <col min="4547" max="4547" width="35" style="5" bestFit="1" customWidth="1"/>
    <col min="4548" max="4548" width="12.28515625" style="5" customWidth="1"/>
    <col min="4549" max="4549" width="13.85546875" style="5" customWidth="1"/>
    <col min="4550" max="4550" width="12.85546875" style="5" customWidth="1"/>
    <col min="4551" max="4552" width="11.42578125" style="5"/>
    <col min="4553" max="4553" width="6.42578125" style="5" customWidth="1"/>
    <col min="4554" max="4794" width="11.42578125" style="5"/>
    <col min="4795" max="4795" width="10.28515625" style="5" customWidth="1"/>
    <col min="4796" max="4796" width="55.85546875" style="5" bestFit="1" customWidth="1"/>
    <col min="4797" max="4797" width="12.85546875" style="5" bestFit="1" customWidth="1"/>
    <col min="4798" max="4798" width="9.140625" style="5" bestFit="1" customWidth="1"/>
    <col min="4799" max="4799" width="4.7109375" style="5" bestFit="1" customWidth="1"/>
    <col min="4800" max="4800" width="8.140625" style="5" bestFit="1" customWidth="1"/>
    <col min="4801" max="4801" width="12.85546875" style="5" bestFit="1" customWidth="1"/>
    <col min="4802" max="4802" width="10.85546875" style="5" bestFit="1" customWidth="1"/>
    <col min="4803" max="4803" width="35" style="5" bestFit="1" customWidth="1"/>
    <col min="4804" max="4804" width="12.28515625" style="5" customWidth="1"/>
    <col min="4805" max="4805" width="13.85546875" style="5" customWidth="1"/>
    <col min="4806" max="4806" width="12.85546875" style="5" customWidth="1"/>
    <col min="4807" max="4808" width="11.42578125" style="5"/>
    <col min="4809" max="4809" width="6.42578125" style="5" customWidth="1"/>
    <col min="4810" max="5050" width="11.42578125" style="5"/>
    <col min="5051" max="5051" width="10.28515625" style="5" customWidth="1"/>
    <col min="5052" max="5052" width="55.85546875" style="5" bestFit="1" customWidth="1"/>
    <col min="5053" max="5053" width="12.85546875" style="5" bestFit="1" customWidth="1"/>
    <col min="5054" max="5054" width="9.140625" style="5" bestFit="1" customWidth="1"/>
    <col min="5055" max="5055" width="4.7109375" style="5" bestFit="1" customWidth="1"/>
    <col min="5056" max="5056" width="8.140625" style="5" bestFit="1" customWidth="1"/>
    <col min="5057" max="5057" width="12.85546875" style="5" bestFit="1" customWidth="1"/>
    <col min="5058" max="5058" width="10.85546875" style="5" bestFit="1" customWidth="1"/>
    <col min="5059" max="5059" width="35" style="5" bestFit="1" customWidth="1"/>
    <col min="5060" max="5060" width="12.28515625" style="5" customWidth="1"/>
    <col min="5061" max="5061" width="13.85546875" style="5" customWidth="1"/>
    <col min="5062" max="5062" width="12.85546875" style="5" customWidth="1"/>
    <col min="5063" max="5064" width="11.42578125" style="5"/>
    <col min="5065" max="5065" width="6.42578125" style="5" customWidth="1"/>
    <col min="5066" max="5306" width="11.42578125" style="5"/>
    <col min="5307" max="5307" width="10.28515625" style="5" customWidth="1"/>
    <col min="5308" max="5308" width="55.85546875" style="5" bestFit="1" customWidth="1"/>
    <col min="5309" max="5309" width="12.85546875" style="5" bestFit="1" customWidth="1"/>
    <col min="5310" max="5310" width="9.140625" style="5" bestFit="1" customWidth="1"/>
    <col min="5311" max="5311" width="4.7109375" style="5" bestFit="1" customWidth="1"/>
    <col min="5312" max="5312" width="8.140625" style="5" bestFit="1" customWidth="1"/>
    <col min="5313" max="5313" width="12.85546875" style="5" bestFit="1" customWidth="1"/>
    <col min="5314" max="5314" width="10.85546875" style="5" bestFit="1" customWidth="1"/>
    <col min="5315" max="5315" width="35" style="5" bestFit="1" customWidth="1"/>
    <col min="5316" max="5316" width="12.28515625" style="5" customWidth="1"/>
    <col min="5317" max="5317" width="13.85546875" style="5" customWidth="1"/>
    <col min="5318" max="5318" width="12.85546875" style="5" customWidth="1"/>
    <col min="5319" max="5320" width="11.42578125" style="5"/>
    <col min="5321" max="5321" width="6.42578125" style="5" customWidth="1"/>
    <col min="5322" max="5562" width="11.42578125" style="5"/>
    <col min="5563" max="5563" width="10.28515625" style="5" customWidth="1"/>
    <col min="5564" max="5564" width="55.85546875" style="5" bestFit="1" customWidth="1"/>
    <col min="5565" max="5565" width="12.85546875" style="5" bestFit="1" customWidth="1"/>
    <col min="5566" max="5566" width="9.140625" style="5" bestFit="1" customWidth="1"/>
    <col min="5567" max="5567" width="4.7109375" style="5" bestFit="1" customWidth="1"/>
    <col min="5568" max="5568" width="8.140625" style="5" bestFit="1" customWidth="1"/>
    <col min="5569" max="5569" width="12.85546875" style="5" bestFit="1" customWidth="1"/>
    <col min="5570" max="5570" width="10.85546875" style="5" bestFit="1" customWidth="1"/>
    <col min="5571" max="5571" width="35" style="5" bestFit="1" customWidth="1"/>
    <col min="5572" max="5572" width="12.28515625" style="5" customWidth="1"/>
    <col min="5573" max="5573" width="13.85546875" style="5" customWidth="1"/>
    <col min="5574" max="5574" width="12.85546875" style="5" customWidth="1"/>
    <col min="5575" max="5576" width="11.42578125" style="5"/>
    <col min="5577" max="5577" width="6.42578125" style="5" customWidth="1"/>
    <col min="5578" max="5818" width="11.42578125" style="5"/>
    <col min="5819" max="5819" width="10.28515625" style="5" customWidth="1"/>
    <col min="5820" max="5820" width="55.85546875" style="5" bestFit="1" customWidth="1"/>
    <col min="5821" max="5821" width="12.85546875" style="5" bestFit="1" customWidth="1"/>
    <col min="5822" max="5822" width="9.140625" style="5" bestFit="1" customWidth="1"/>
    <col min="5823" max="5823" width="4.7109375" style="5" bestFit="1" customWidth="1"/>
    <col min="5824" max="5824" width="8.140625" style="5" bestFit="1" customWidth="1"/>
    <col min="5825" max="5825" width="12.85546875" style="5" bestFit="1" customWidth="1"/>
    <col min="5826" max="5826" width="10.85546875" style="5" bestFit="1" customWidth="1"/>
    <col min="5827" max="5827" width="35" style="5" bestFit="1" customWidth="1"/>
    <col min="5828" max="5828" width="12.28515625" style="5" customWidth="1"/>
    <col min="5829" max="5829" width="13.85546875" style="5" customWidth="1"/>
    <col min="5830" max="5830" width="12.85546875" style="5" customWidth="1"/>
    <col min="5831" max="5832" width="11.42578125" style="5"/>
    <col min="5833" max="5833" width="6.42578125" style="5" customWidth="1"/>
    <col min="5834" max="6074" width="11.42578125" style="5"/>
    <col min="6075" max="6075" width="10.28515625" style="5" customWidth="1"/>
    <col min="6076" max="6076" width="55.85546875" style="5" bestFit="1" customWidth="1"/>
    <col min="6077" max="6077" width="12.85546875" style="5" bestFit="1" customWidth="1"/>
    <col min="6078" max="6078" width="9.140625" style="5" bestFit="1" customWidth="1"/>
    <col min="6079" max="6079" width="4.7109375" style="5" bestFit="1" customWidth="1"/>
    <col min="6080" max="6080" width="8.140625" style="5" bestFit="1" customWidth="1"/>
    <col min="6081" max="6081" width="12.85546875" style="5" bestFit="1" customWidth="1"/>
    <col min="6082" max="6082" width="10.85546875" style="5" bestFit="1" customWidth="1"/>
    <col min="6083" max="6083" width="35" style="5" bestFit="1" customWidth="1"/>
    <col min="6084" max="6084" width="12.28515625" style="5" customWidth="1"/>
    <col min="6085" max="6085" width="13.85546875" style="5" customWidth="1"/>
    <col min="6086" max="6086" width="12.85546875" style="5" customWidth="1"/>
    <col min="6087" max="6088" width="11.42578125" style="5"/>
    <col min="6089" max="6089" width="6.42578125" style="5" customWidth="1"/>
    <col min="6090" max="6330" width="11.42578125" style="5"/>
    <col min="6331" max="6331" width="10.28515625" style="5" customWidth="1"/>
    <col min="6332" max="6332" width="55.85546875" style="5" bestFit="1" customWidth="1"/>
    <col min="6333" max="6333" width="12.85546875" style="5" bestFit="1" customWidth="1"/>
    <col min="6334" max="6334" width="9.140625" style="5" bestFit="1" customWidth="1"/>
    <col min="6335" max="6335" width="4.7109375" style="5" bestFit="1" customWidth="1"/>
    <col min="6336" max="6336" width="8.140625" style="5" bestFit="1" customWidth="1"/>
    <col min="6337" max="6337" width="12.85546875" style="5" bestFit="1" customWidth="1"/>
    <col min="6338" max="6338" width="10.85546875" style="5" bestFit="1" customWidth="1"/>
    <col min="6339" max="6339" width="35" style="5" bestFit="1" customWidth="1"/>
    <col min="6340" max="6340" width="12.28515625" style="5" customWidth="1"/>
    <col min="6341" max="6341" width="13.85546875" style="5" customWidth="1"/>
    <col min="6342" max="6342" width="12.85546875" style="5" customWidth="1"/>
    <col min="6343" max="6344" width="11.42578125" style="5"/>
    <col min="6345" max="6345" width="6.42578125" style="5" customWidth="1"/>
    <col min="6346" max="6586" width="11.42578125" style="5"/>
    <col min="6587" max="6587" width="10.28515625" style="5" customWidth="1"/>
    <col min="6588" max="6588" width="55.85546875" style="5" bestFit="1" customWidth="1"/>
    <col min="6589" max="6589" width="12.85546875" style="5" bestFit="1" customWidth="1"/>
    <col min="6590" max="6590" width="9.140625" style="5" bestFit="1" customWidth="1"/>
    <col min="6591" max="6591" width="4.7109375" style="5" bestFit="1" customWidth="1"/>
    <col min="6592" max="6592" width="8.140625" style="5" bestFit="1" customWidth="1"/>
    <col min="6593" max="6593" width="12.85546875" style="5" bestFit="1" customWidth="1"/>
    <col min="6594" max="6594" width="10.85546875" style="5" bestFit="1" customWidth="1"/>
    <col min="6595" max="6595" width="35" style="5" bestFit="1" customWidth="1"/>
    <col min="6596" max="6596" width="12.28515625" style="5" customWidth="1"/>
    <col min="6597" max="6597" width="13.85546875" style="5" customWidth="1"/>
    <col min="6598" max="6598" width="12.85546875" style="5" customWidth="1"/>
    <col min="6599" max="6600" width="11.42578125" style="5"/>
    <col min="6601" max="6601" width="6.42578125" style="5" customWidth="1"/>
    <col min="6602" max="6842" width="11.42578125" style="5"/>
    <col min="6843" max="6843" width="10.28515625" style="5" customWidth="1"/>
    <col min="6844" max="6844" width="55.85546875" style="5" bestFit="1" customWidth="1"/>
    <col min="6845" max="6845" width="12.85546875" style="5" bestFit="1" customWidth="1"/>
    <col min="6846" max="6846" width="9.140625" style="5" bestFit="1" customWidth="1"/>
    <col min="6847" max="6847" width="4.7109375" style="5" bestFit="1" customWidth="1"/>
    <col min="6848" max="6848" width="8.140625" style="5" bestFit="1" customWidth="1"/>
    <col min="6849" max="6849" width="12.85546875" style="5" bestFit="1" customWidth="1"/>
    <col min="6850" max="6850" width="10.85546875" style="5" bestFit="1" customWidth="1"/>
    <col min="6851" max="6851" width="35" style="5" bestFit="1" customWidth="1"/>
    <col min="6852" max="6852" width="12.28515625" style="5" customWidth="1"/>
    <col min="6853" max="6853" width="13.85546875" style="5" customWidth="1"/>
    <col min="6854" max="6854" width="12.85546875" style="5" customWidth="1"/>
    <col min="6855" max="6856" width="11.42578125" style="5"/>
    <col min="6857" max="6857" width="6.42578125" style="5" customWidth="1"/>
    <col min="6858" max="7098" width="11.42578125" style="5"/>
    <col min="7099" max="7099" width="10.28515625" style="5" customWidth="1"/>
    <col min="7100" max="7100" width="55.85546875" style="5" bestFit="1" customWidth="1"/>
    <col min="7101" max="7101" width="12.85546875" style="5" bestFit="1" customWidth="1"/>
    <col min="7102" max="7102" width="9.140625" style="5" bestFit="1" customWidth="1"/>
    <col min="7103" max="7103" width="4.7109375" style="5" bestFit="1" customWidth="1"/>
    <col min="7104" max="7104" width="8.140625" style="5" bestFit="1" customWidth="1"/>
    <col min="7105" max="7105" width="12.85546875" style="5" bestFit="1" customWidth="1"/>
    <col min="7106" max="7106" width="10.85546875" style="5" bestFit="1" customWidth="1"/>
    <col min="7107" max="7107" width="35" style="5" bestFit="1" customWidth="1"/>
    <col min="7108" max="7108" width="12.28515625" style="5" customWidth="1"/>
    <col min="7109" max="7109" width="13.85546875" style="5" customWidth="1"/>
    <col min="7110" max="7110" width="12.85546875" style="5" customWidth="1"/>
    <col min="7111" max="7112" width="11.42578125" style="5"/>
    <col min="7113" max="7113" width="6.42578125" style="5" customWidth="1"/>
    <col min="7114" max="7354" width="11.42578125" style="5"/>
    <col min="7355" max="7355" width="10.28515625" style="5" customWidth="1"/>
    <col min="7356" max="7356" width="55.85546875" style="5" bestFit="1" customWidth="1"/>
    <col min="7357" max="7357" width="12.85546875" style="5" bestFit="1" customWidth="1"/>
    <col min="7358" max="7358" width="9.140625" style="5" bestFit="1" customWidth="1"/>
    <col min="7359" max="7359" width="4.7109375" style="5" bestFit="1" customWidth="1"/>
    <col min="7360" max="7360" width="8.140625" style="5" bestFit="1" customWidth="1"/>
    <col min="7361" max="7361" width="12.85546875" style="5" bestFit="1" customWidth="1"/>
    <col min="7362" max="7362" width="10.85546875" style="5" bestFit="1" customWidth="1"/>
    <col min="7363" max="7363" width="35" style="5" bestFit="1" customWidth="1"/>
    <col min="7364" max="7364" width="12.28515625" style="5" customWidth="1"/>
    <col min="7365" max="7365" width="13.85546875" style="5" customWidth="1"/>
    <col min="7366" max="7366" width="12.85546875" style="5" customWidth="1"/>
    <col min="7367" max="7368" width="11.42578125" style="5"/>
    <col min="7369" max="7369" width="6.42578125" style="5" customWidth="1"/>
    <col min="7370" max="7610" width="11.42578125" style="5"/>
    <col min="7611" max="7611" width="10.28515625" style="5" customWidth="1"/>
    <col min="7612" max="7612" width="55.85546875" style="5" bestFit="1" customWidth="1"/>
    <col min="7613" max="7613" width="12.85546875" style="5" bestFit="1" customWidth="1"/>
    <col min="7614" max="7614" width="9.140625" style="5" bestFit="1" customWidth="1"/>
    <col min="7615" max="7615" width="4.7109375" style="5" bestFit="1" customWidth="1"/>
    <col min="7616" max="7616" width="8.140625" style="5" bestFit="1" customWidth="1"/>
    <col min="7617" max="7617" width="12.85546875" style="5" bestFit="1" customWidth="1"/>
    <col min="7618" max="7618" width="10.85546875" style="5" bestFit="1" customWidth="1"/>
    <col min="7619" max="7619" width="35" style="5" bestFit="1" customWidth="1"/>
    <col min="7620" max="7620" width="12.28515625" style="5" customWidth="1"/>
    <col min="7621" max="7621" width="13.85546875" style="5" customWidth="1"/>
    <col min="7622" max="7622" width="12.85546875" style="5" customWidth="1"/>
    <col min="7623" max="7624" width="11.42578125" style="5"/>
    <col min="7625" max="7625" width="6.42578125" style="5" customWidth="1"/>
    <col min="7626" max="7866" width="11.42578125" style="5"/>
    <col min="7867" max="7867" width="10.28515625" style="5" customWidth="1"/>
    <col min="7868" max="7868" width="55.85546875" style="5" bestFit="1" customWidth="1"/>
    <col min="7869" max="7869" width="12.85546875" style="5" bestFit="1" customWidth="1"/>
    <col min="7870" max="7870" width="9.140625" style="5" bestFit="1" customWidth="1"/>
    <col min="7871" max="7871" width="4.7109375" style="5" bestFit="1" customWidth="1"/>
    <col min="7872" max="7872" width="8.140625" style="5" bestFit="1" customWidth="1"/>
    <col min="7873" max="7873" width="12.85546875" style="5" bestFit="1" customWidth="1"/>
    <col min="7874" max="7874" width="10.85546875" style="5" bestFit="1" customWidth="1"/>
    <col min="7875" max="7875" width="35" style="5" bestFit="1" customWidth="1"/>
    <col min="7876" max="7876" width="12.28515625" style="5" customWidth="1"/>
    <col min="7877" max="7877" width="13.85546875" style="5" customWidth="1"/>
    <col min="7878" max="7878" width="12.85546875" style="5" customWidth="1"/>
    <col min="7879" max="7880" width="11.42578125" style="5"/>
    <col min="7881" max="7881" width="6.42578125" style="5" customWidth="1"/>
    <col min="7882" max="8122" width="11.42578125" style="5"/>
    <col min="8123" max="8123" width="10.28515625" style="5" customWidth="1"/>
    <col min="8124" max="8124" width="55.85546875" style="5" bestFit="1" customWidth="1"/>
    <col min="8125" max="8125" width="12.85546875" style="5" bestFit="1" customWidth="1"/>
    <col min="8126" max="8126" width="9.140625" style="5" bestFit="1" customWidth="1"/>
    <col min="8127" max="8127" width="4.7109375" style="5" bestFit="1" customWidth="1"/>
    <col min="8128" max="8128" width="8.140625" style="5" bestFit="1" customWidth="1"/>
    <col min="8129" max="8129" width="12.85546875" style="5" bestFit="1" customWidth="1"/>
    <col min="8130" max="8130" width="10.85546875" style="5" bestFit="1" customWidth="1"/>
    <col min="8131" max="8131" width="35" style="5" bestFit="1" customWidth="1"/>
    <col min="8132" max="8132" width="12.28515625" style="5" customWidth="1"/>
    <col min="8133" max="8133" width="13.85546875" style="5" customWidth="1"/>
    <col min="8134" max="8134" width="12.85546875" style="5" customWidth="1"/>
    <col min="8135" max="8136" width="11.42578125" style="5"/>
    <col min="8137" max="8137" width="6.42578125" style="5" customWidth="1"/>
    <col min="8138" max="8378" width="11.42578125" style="5"/>
    <col min="8379" max="8379" width="10.28515625" style="5" customWidth="1"/>
    <col min="8380" max="8380" width="55.85546875" style="5" bestFit="1" customWidth="1"/>
    <col min="8381" max="8381" width="12.85546875" style="5" bestFit="1" customWidth="1"/>
    <col min="8382" max="8382" width="9.140625" style="5" bestFit="1" customWidth="1"/>
    <col min="8383" max="8383" width="4.7109375" style="5" bestFit="1" customWidth="1"/>
    <col min="8384" max="8384" width="8.140625" style="5" bestFit="1" customWidth="1"/>
    <col min="8385" max="8385" width="12.85546875" style="5" bestFit="1" customWidth="1"/>
    <col min="8386" max="8386" width="10.85546875" style="5" bestFit="1" customWidth="1"/>
    <col min="8387" max="8387" width="35" style="5" bestFit="1" customWidth="1"/>
    <col min="8388" max="8388" width="12.28515625" style="5" customWidth="1"/>
    <col min="8389" max="8389" width="13.85546875" style="5" customWidth="1"/>
    <col min="8390" max="8390" width="12.85546875" style="5" customWidth="1"/>
    <col min="8391" max="8392" width="11.42578125" style="5"/>
    <col min="8393" max="8393" width="6.42578125" style="5" customWidth="1"/>
    <col min="8394" max="8634" width="11.42578125" style="5"/>
    <col min="8635" max="8635" width="10.28515625" style="5" customWidth="1"/>
    <col min="8636" max="8636" width="55.85546875" style="5" bestFit="1" customWidth="1"/>
    <col min="8637" max="8637" width="12.85546875" style="5" bestFit="1" customWidth="1"/>
    <col min="8638" max="8638" width="9.140625" style="5" bestFit="1" customWidth="1"/>
    <col min="8639" max="8639" width="4.7109375" style="5" bestFit="1" customWidth="1"/>
    <col min="8640" max="8640" width="8.140625" style="5" bestFit="1" customWidth="1"/>
    <col min="8641" max="8641" width="12.85546875" style="5" bestFit="1" customWidth="1"/>
    <col min="8642" max="8642" width="10.85546875" style="5" bestFit="1" customWidth="1"/>
    <col min="8643" max="8643" width="35" style="5" bestFit="1" customWidth="1"/>
    <col min="8644" max="8644" width="12.28515625" style="5" customWidth="1"/>
    <col min="8645" max="8645" width="13.85546875" style="5" customWidth="1"/>
    <col min="8646" max="8646" width="12.85546875" style="5" customWidth="1"/>
    <col min="8647" max="8648" width="11.42578125" style="5"/>
    <col min="8649" max="8649" width="6.42578125" style="5" customWidth="1"/>
    <col min="8650" max="8890" width="11.42578125" style="5"/>
    <col min="8891" max="8891" width="10.28515625" style="5" customWidth="1"/>
    <col min="8892" max="8892" width="55.85546875" style="5" bestFit="1" customWidth="1"/>
    <col min="8893" max="8893" width="12.85546875" style="5" bestFit="1" customWidth="1"/>
    <col min="8894" max="8894" width="9.140625" style="5" bestFit="1" customWidth="1"/>
    <col min="8895" max="8895" width="4.7109375" style="5" bestFit="1" customWidth="1"/>
    <col min="8896" max="8896" width="8.140625" style="5" bestFit="1" customWidth="1"/>
    <col min="8897" max="8897" width="12.85546875" style="5" bestFit="1" customWidth="1"/>
    <col min="8898" max="8898" width="10.85546875" style="5" bestFit="1" customWidth="1"/>
    <col min="8899" max="8899" width="35" style="5" bestFit="1" customWidth="1"/>
    <col min="8900" max="8900" width="12.28515625" style="5" customWidth="1"/>
    <col min="8901" max="8901" width="13.85546875" style="5" customWidth="1"/>
    <col min="8902" max="8902" width="12.85546875" style="5" customWidth="1"/>
    <col min="8903" max="8904" width="11.42578125" style="5"/>
    <col min="8905" max="8905" width="6.42578125" style="5" customWidth="1"/>
    <col min="8906" max="9146" width="11.42578125" style="5"/>
    <col min="9147" max="9147" width="10.28515625" style="5" customWidth="1"/>
    <col min="9148" max="9148" width="55.85546875" style="5" bestFit="1" customWidth="1"/>
    <col min="9149" max="9149" width="12.85546875" style="5" bestFit="1" customWidth="1"/>
    <col min="9150" max="9150" width="9.140625" style="5" bestFit="1" customWidth="1"/>
    <col min="9151" max="9151" width="4.7109375" style="5" bestFit="1" customWidth="1"/>
    <col min="9152" max="9152" width="8.140625" style="5" bestFit="1" customWidth="1"/>
    <col min="9153" max="9153" width="12.85546875" style="5" bestFit="1" customWidth="1"/>
    <col min="9154" max="9154" width="10.85546875" style="5" bestFit="1" customWidth="1"/>
    <col min="9155" max="9155" width="35" style="5" bestFit="1" customWidth="1"/>
    <col min="9156" max="9156" width="12.28515625" style="5" customWidth="1"/>
    <col min="9157" max="9157" width="13.85546875" style="5" customWidth="1"/>
    <col min="9158" max="9158" width="12.85546875" style="5" customWidth="1"/>
    <col min="9159" max="9160" width="11.42578125" style="5"/>
    <col min="9161" max="9161" width="6.42578125" style="5" customWidth="1"/>
    <col min="9162" max="9402" width="11.42578125" style="5"/>
    <col min="9403" max="9403" width="10.28515625" style="5" customWidth="1"/>
    <col min="9404" max="9404" width="55.85546875" style="5" bestFit="1" customWidth="1"/>
    <col min="9405" max="9405" width="12.85546875" style="5" bestFit="1" customWidth="1"/>
    <col min="9406" max="9406" width="9.140625" style="5" bestFit="1" customWidth="1"/>
    <col min="9407" max="9407" width="4.7109375" style="5" bestFit="1" customWidth="1"/>
    <col min="9408" max="9408" width="8.140625" style="5" bestFit="1" customWidth="1"/>
    <col min="9409" max="9409" width="12.85546875" style="5" bestFit="1" customWidth="1"/>
    <col min="9410" max="9410" width="10.85546875" style="5" bestFit="1" customWidth="1"/>
    <col min="9411" max="9411" width="35" style="5" bestFit="1" customWidth="1"/>
    <col min="9412" max="9412" width="12.28515625" style="5" customWidth="1"/>
    <col min="9413" max="9413" width="13.85546875" style="5" customWidth="1"/>
    <col min="9414" max="9414" width="12.85546875" style="5" customWidth="1"/>
    <col min="9415" max="9416" width="11.42578125" style="5"/>
    <col min="9417" max="9417" width="6.42578125" style="5" customWidth="1"/>
    <col min="9418" max="9658" width="11.42578125" style="5"/>
    <col min="9659" max="9659" width="10.28515625" style="5" customWidth="1"/>
    <col min="9660" max="9660" width="55.85546875" style="5" bestFit="1" customWidth="1"/>
    <col min="9661" max="9661" width="12.85546875" style="5" bestFit="1" customWidth="1"/>
    <col min="9662" max="9662" width="9.140625" style="5" bestFit="1" customWidth="1"/>
    <col min="9663" max="9663" width="4.7109375" style="5" bestFit="1" customWidth="1"/>
    <col min="9664" max="9664" width="8.140625" style="5" bestFit="1" customWidth="1"/>
    <col min="9665" max="9665" width="12.85546875" style="5" bestFit="1" customWidth="1"/>
    <col min="9666" max="9666" width="10.85546875" style="5" bestFit="1" customWidth="1"/>
    <col min="9667" max="9667" width="35" style="5" bestFit="1" customWidth="1"/>
    <col min="9668" max="9668" width="12.28515625" style="5" customWidth="1"/>
    <col min="9669" max="9669" width="13.85546875" style="5" customWidth="1"/>
    <col min="9670" max="9670" width="12.85546875" style="5" customWidth="1"/>
    <col min="9671" max="9672" width="11.42578125" style="5"/>
    <col min="9673" max="9673" width="6.42578125" style="5" customWidth="1"/>
    <col min="9674" max="9914" width="11.42578125" style="5"/>
    <col min="9915" max="9915" width="10.28515625" style="5" customWidth="1"/>
    <col min="9916" max="9916" width="55.85546875" style="5" bestFit="1" customWidth="1"/>
    <col min="9917" max="9917" width="12.85546875" style="5" bestFit="1" customWidth="1"/>
    <col min="9918" max="9918" width="9.140625" style="5" bestFit="1" customWidth="1"/>
    <col min="9919" max="9919" width="4.7109375" style="5" bestFit="1" customWidth="1"/>
    <col min="9920" max="9920" width="8.140625" style="5" bestFit="1" customWidth="1"/>
    <col min="9921" max="9921" width="12.85546875" style="5" bestFit="1" customWidth="1"/>
    <col min="9922" max="9922" width="10.85546875" style="5" bestFit="1" customWidth="1"/>
    <col min="9923" max="9923" width="35" style="5" bestFit="1" customWidth="1"/>
    <col min="9924" max="9924" width="12.28515625" style="5" customWidth="1"/>
    <col min="9925" max="9925" width="13.85546875" style="5" customWidth="1"/>
    <col min="9926" max="9926" width="12.85546875" style="5" customWidth="1"/>
    <col min="9927" max="9928" width="11.42578125" style="5"/>
    <col min="9929" max="9929" width="6.42578125" style="5" customWidth="1"/>
    <col min="9930" max="10170" width="11.42578125" style="5"/>
    <col min="10171" max="10171" width="10.28515625" style="5" customWidth="1"/>
    <col min="10172" max="10172" width="55.85546875" style="5" bestFit="1" customWidth="1"/>
    <col min="10173" max="10173" width="12.85546875" style="5" bestFit="1" customWidth="1"/>
    <col min="10174" max="10174" width="9.140625" style="5" bestFit="1" customWidth="1"/>
    <col min="10175" max="10175" width="4.7109375" style="5" bestFit="1" customWidth="1"/>
    <col min="10176" max="10176" width="8.140625" style="5" bestFit="1" customWidth="1"/>
    <col min="10177" max="10177" width="12.85546875" style="5" bestFit="1" customWidth="1"/>
    <col min="10178" max="10178" width="10.85546875" style="5" bestFit="1" customWidth="1"/>
    <col min="10179" max="10179" width="35" style="5" bestFit="1" customWidth="1"/>
    <col min="10180" max="10180" width="12.28515625" style="5" customWidth="1"/>
    <col min="10181" max="10181" width="13.85546875" style="5" customWidth="1"/>
    <col min="10182" max="10182" width="12.85546875" style="5" customWidth="1"/>
    <col min="10183" max="10184" width="11.42578125" style="5"/>
    <col min="10185" max="10185" width="6.42578125" style="5" customWidth="1"/>
    <col min="10186" max="10426" width="11.42578125" style="5"/>
    <col min="10427" max="10427" width="10.28515625" style="5" customWidth="1"/>
    <col min="10428" max="10428" width="55.85546875" style="5" bestFit="1" customWidth="1"/>
    <col min="10429" max="10429" width="12.85546875" style="5" bestFit="1" customWidth="1"/>
    <col min="10430" max="10430" width="9.140625" style="5" bestFit="1" customWidth="1"/>
    <col min="10431" max="10431" width="4.7109375" style="5" bestFit="1" customWidth="1"/>
    <col min="10432" max="10432" width="8.140625" style="5" bestFit="1" customWidth="1"/>
    <col min="10433" max="10433" width="12.85546875" style="5" bestFit="1" customWidth="1"/>
    <col min="10434" max="10434" width="10.85546875" style="5" bestFit="1" customWidth="1"/>
    <col min="10435" max="10435" width="35" style="5" bestFit="1" customWidth="1"/>
    <col min="10436" max="10436" width="12.28515625" style="5" customWidth="1"/>
    <col min="10437" max="10437" width="13.85546875" style="5" customWidth="1"/>
    <col min="10438" max="10438" width="12.85546875" style="5" customWidth="1"/>
    <col min="10439" max="10440" width="11.42578125" style="5"/>
    <col min="10441" max="10441" width="6.42578125" style="5" customWidth="1"/>
    <col min="10442" max="10682" width="11.42578125" style="5"/>
    <col min="10683" max="10683" width="10.28515625" style="5" customWidth="1"/>
    <col min="10684" max="10684" width="55.85546875" style="5" bestFit="1" customWidth="1"/>
    <col min="10685" max="10685" width="12.85546875" style="5" bestFit="1" customWidth="1"/>
    <col min="10686" max="10686" width="9.140625" style="5" bestFit="1" customWidth="1"/>
    <col min="10687" max="10687" width="4.7109375" style="5" bestFit="1" customWidth="1"/>
    <col min="10688" max="10688" width="8.140625" style="5" bestFit="1" customWidth="1"/>
    <col min="10689" max="10689" width="12.85546875" style="5" bestFit="1" customWidth="1"/>
    <col min="10690" max="10690" width="10.85546875" style="5" bestFit="1" customWidth="1"/>
    <col min="10691" max="10691" width="35" style="5" bestFit="1" customWidth="1"/>
    <col min="10692" max="10692" width="12.28515625" style="5" customWidth="1"/>
    <col min="10693" max="10693" width="13.85546875" style="5" customWidth="1"/>
    <col min="10694" max="10694" width="12.85546875" style="5" customWidth="1"/>
    <col min="10695" max="10696" width="11.42578125" style="5"/>
    <col min="10697" max="10697" width="6.42578125" style="5" customWidth="1"/>
    <col min="10698" max="10938" width="11.42578125" style="5"/>
    <col min="10939" max="10939" width="10.28515625" style="5" customWidth="1"/>
    <col min="10940" max="10940" width="55.85546875" style="5" bestFit="1" customWidth="1"/>
    <col min="10941" max="10941" width="12.85546875" style="5" bestFit="1" customWidth="1"/>
    <col min="10942" max="10942" width="9.140625" style="5" bestFit="1" customWidth="1"/>
    <col min="10943" max="10943" width="4.7109375" style="5" bestFit="1" customWidth="1"/>
    <col min="10944" max="10944" width="8.140625" style="5" bestFit="1" customWidth="1"/>
    <col min="10945" max="10945" width="12.85546875" style="5" bestFit="1" customWidth="1"/>
    <col min="10946" max="10946" width="10.85546875" style="5" bestFit="1" customWidth="1"/>
    <col min="10947" max="10947" width="35" style="5" bestFit="1" customWidth="1"/>
    <col min="10948" max="10948" width="12.28515625" style="5" customWidth="1"/>
    <col min="10949" max="10949" width="13.85546875" style="5" customWidth="1"/>
    <col min="10950" max="10950" width="12.85546875" style="5" customWidth="1"/>
    <col min="10951" max="10952" width="11.42578125" style="5"/>
    <col min="10953" max="10953" width="6.42578125" style="5" customWidth="1"/>
    <col min="10954" max="11194" width="11.42578125" style="5"/>
    <col min="11195" max="11195" width="10.28515625" style="5" customWidth="1"/>
    <col min="11196" max="11196" width="55.85546875" style="5" bestFit="1" customWidth="1"/>
    <col min="11197" max="11197" width="12.85546875" style="5" bestFit="1" customWidth="1"/>
    <col min="11198" max="11198" width="9.140625" style="5" bestFit="1" customWidth="1"/>
    <col min="11199" max="11199" width="4.7109375" style="5" bestFit="1" customWidth="1"/>
    <col min="11200" max="11200" width="8.140625" style="5" bestFit="1" customWidth="1"/>
    <col min="11201" max="11201" width="12.85546875" style="5" bestFit="1" customWidth="1"/>
    <col min="11202" max="11202" width="10.85546875" style="5" bestFit="1" customWidth="1"/>
    <col min="11203" max="11203" width="35" style="5" bestFit="1" customWidth="1"/>
    <col min="11204" max="11204" width="12.28515625" style="5" customWidth="1"/>
    <col min="11205" max="11205" width="13.85546875" style="5" customWidth="1"/>
    <col min="11206" max="11206" width="12.85546875" style="5" customWidth="1"/>
    <col min="11207" max="11208" width="11.42578125" style="5"/>
    <col min="11209" max="11209" width="6.42578125" style="5" customWidth="1"/>
    <col min="11210" max="11450" width="11.42578125" style="5"/>
    <col min="11451" max="11451" width="10.28515625" style="5" customWidth="1"/>
    <col min="11452" max="11452" width="55.85546875" style="5" bestFit="1" customWidth="1"/>
    <col min="11453" max="11453" width="12.85546875" style="5" bestFit="1" customWidth="1"/>
    <col min="11454" max="11454" width="9.140625" style="5" bestFit="1" customWidth="1"/>
    <col min="11455" max="11455" width="4.7109375" style="5" bestFit="1" customWidth="1"/>
    <col min="11456" max="11456" width="8.140625" style="5" bestFit="1" customWidth="1"/>
    <col min="11457" max="11457" width="12.85546875" style="5" bestFit="1" customWidth="1"/>
    <col min="11458" max="11458" width="10.85546875" style="5" bestFit="1" customWidth="1"/>
    <col min="11459" max="11459" width="35" style="5" bestFit="1" customWidth="1"/>
    <col min="11460" max="11460" width="12.28515625" style="5" customWidth="1"/>
    <col min="11461" max="11461" width="13.85546875" style="5" customWidth="1"/>
    <col min="11462" max="11462" width="12.85546875" style="5" customWidth="1"/>
    <col min="11463" max="11464" width="11.42578125" style="5"/>
    <col min="11465" max="11465" width="6.42578125" style="5" customWidth="1"/>
    <col min="11466" max="11706" width="11.42578125" style="5"/>
    <col min="11707" max="11707" width="10.28515625" style="5" customWidth="1"/>
    <col min="11708" max="11708" width="55.85546875" style="5" bestFit="1" customWidth="1"/>
    <col min="11709" max="11709" width="12.85546875" style="5" bestFit="1" customWidth="1"/>
    <col min="11710" max="11710" width="9.140625" style="5" bestFit="1" customWidth="1"/>
    <col min="11711" max="11711" width="4.7109375" style="5" bestFit="1" customWidth="1"/>
    <col min="11712" max="11712" width="8.140625" style="5" bestFit="1" customWidth="1"/>
    <col min="11713" max="11713" width="12.85546875" style="5" bestFit="1" customWidth="1"/>
    <col min="11714" max="11714" width="10.85546875" style="5" bestFit="1" customWidth="1"/>
    <col min="11715" max="11715" width="35" style="5" bestFit="1" customWidth="1"/>
    <col min="11716" max="11716" width="12.28515625" style="5" customWidth="1"/>
    <col min="11717" max="11717" width="13.85546875" style="5" customWidth="1"/>
    <col min="11718" max="11718" width="12.85546875" style="5" customWidth="1"/>
    <col min="11719" max="11720" width="11.42578125" style="5"/>
    <col min="11721" max="11721" width="6.42578125" style="5" customWidth="1"/>
    <col min="11722" max="11962" width="11.42578125" style="5"/>
    <col min="11963" max="11963" width="10.28515625" style="5" customWidth="1"/>
    <col min="11964" max="11964" width="55.85546875" style="5" bestFit="1" customWidth="1"/>
    <col min="11965" max="11965" width="12.85546875" style="5" bestFit="1" customWidth="1"/>
    <col min="11966" max="11966" width="9.140625" style="5" bestFit="1" customWidth="1"/>
    <col min="11967" max="11967" width="4.7109375" style="5" bestFit="1" customWidth="1"/>
    <col min="11968" max="11968" width="8.140625" style="5" bestFit="1" customWidth="1"/>
    <col min="11969" max="11969" width="12.85546875" style="5" bestFit="1" customWidth="1"/>
    <col min="11970" max="11970" width="10.85546875" style="5" bestFit="1" customWidth="1"/>
    <col min="11971" max="11971" width="35" style="5" bestFit="1" customWidth="1"/>
    <col min="11972" max="11972" width="12.28515625" style="5" customWidth="1"/>
    <col min="11973" max="11973" width="13.85546875" style="5" customWidth="1"/>
    <col min="11974" max="11974" width="12.85546875" style="5" customWidth="1"/>
    <col min="11975" max="11976" width="11.42578125" style="5"/>
    <col min="11977" max="11977" width="6.42578125" style="5" customWidth="1"/>
    <col min="11978" max="12218" width="11.42578125" style="5"/>
    <col min="12219" max="12219" width="10.28515625" style="5" customWidth="1"/>
    <col min="12220" max="12220" width="55.85546875" style="5" bestFit="1" customWidth="1"/>
    <col min="12221" max="12221" width="12.85546875" style="5" bestFit="1" customWidth="1"/>
    <col min="12222" max="12222" width="9.140625" style="5" bestFit="1" customWidth="1"/>
    <col min="12223" max="12223" width="4.7109375" style="5" bestFit="1" customWidth="1"/>
    <col min="12224" max="12224" width="8.140625" style="5" bestFit="1" customWidth="1"/>
    <col min="12225" max="12225" width="12.85546875" style="5" bestFit="1" customWidth="1"/>
    <col min="12226" max="12226" width="10.85546875" style="5" bestFit="1" customWidth="1"/>
    <col min="12227" max="12227" width="35" style="5" bestFit="1" customWidth="1"/>
    <col min="12228" max="12228" width="12.28515625" style="5" customWidth="1"/>
    <col min="12229" max="12229" width="13.85546875" style="5" customWidth="1"/>
    <col min="12230" max="12230" width="12.85546875" style="5" customWidth="1"/>
    <col min="12231" max="12232" width="11.42578125" style="5"/>
    <col min="12233" max="12233" width="6.42578125" style="5" customWidth="1"/>
    <col min="12234" max="12474" width="11.42578125" style="5"/>
    <col min="12475" max="12475" width="10.28515625" style="5" customWidth="1"/>
    <col min="12476" max="12476" width="55.85546875" style="5" bestFit="1" customWidth="1"/>
    <col min="12477" max="12477" width="12.85546875" style="5" bestFit="1" customWidth="1"/>
    <col min="12478" max="12478" width="9.140625" style="5" bestFit="1" customWidth="1"/>
    <col min="12479" max="12479" width="4.7109375" style="5" bestFit="1" customWidth="1"/>
    <col min="12480" max="12480" width="8.140625" style="5" bestFit="1" customWidth="1"/>
    <col min="12481" max="12481" width="12.85546875" style="5" bestFit="1" customWidth="1"/>
    <col min="12482" max="12482" width="10.85546875" style="5" bestFit="1" customWidth="1"/>
    <col min="12483" max="12483" width="35" style="5" bestFit="1" customWidth="1"/>
    <col min="12484" max="12484" width="12.28515625" style="5" customWidth="1"/>
    <col min="12485" max="12485" width="13.85546875" style="5" customWidth="1"/>
    <col min="12486" max="12486" width="12.85546875" style="5" customWidth="1"/>
    <col min="12487" max="12488" width="11.42578125" style="5"/>
    <col min="12489" max="12489" width="6.42578125" style="5" customWidth="1"/>
    <col min="12490" max="12730" width="11.42578125" style="5"/>
    <col min="12731" max="12731" width="10.28515625" style="5" customWidth="1"/>
    <col min="12732" max="12732" width="55.85546875" style="5" bestFit="1" customWidth="1"/>
    <col min="12733" max="12733" width="12.85546875" style="5" bestFit="1" customWidth="1"/>
    <col min="12734" max="12734" width="9.140625" style="5" bestFit="1" customWidth="1"/>
    <col min="12735" max="12735" width="4.7109375" style="5" bestFit="1" customWidth="1"/>
    <col min="12736" max="12736" width="8.140625" style="5" bestFit="1" customWidth="1"/>
    <col min="12737" max="12737" width="12.85546875" style="5" bestFit="1" customWidth="1"/>
    <col min="12738" max="12738" width="10.85546875" style="5" bestFit="1" customWidth="1"/>
    <col min="12739" max="12739" width="35" style="5" bestFit="1" customWidth="1"/>
    <col min="12740" max="12740" width="12.28515625" style="5" customWidth="1"/>
    <col min="12741" max="12741" width="13.85546875" style="5" customWidth="1"/>
    <col min="12742" max="12742" width="12.85546875" style="5" customWidth="1"/>
    <col min="12743" max="12744" width="11.42578125" style="5"/>
    <col min="12745" max="12745" width="6.42578125" style="5" customWidth="1"/>
    <col min="12746" max="12986" width="11.42578125" style="5"/>
    <col min="12987" max="12987" width="10.28515625" style="5" customWidth="1"/>
    <col min="12988" max="12988" width="55.85546875" style="5" bestFit="1" customWidth="1"/>
    <col min="12989" max="12989" width="12.85546875" style="5" bestFit="1" customWidth="1"/>
    <col min="12990" max="12990" width="9.140625" style="5" bestFit="1" customWidth="1"/>
    <col min="12991" max="12991" width="4.7109375" style="5" bestFit="1" customWidth="1"/>
    <col min="12992" max="12992" width="8.140625" style="5" bestFit="1" customWidth="1"/>
    <col min="12993" max="12993" width="12.85546875" style="5" bestFit="1" customWidth="1"/>
    <col min="12994" max="12994" width="10.85546875" style="5" bestFit="1" customWidth="1"/>
    <col min="12995" max="12995" width="35" style="5" bestFit="1" customWidth="1"/>
    <col min="12996" max="12996" width="12.28515625" style="5" customWidth="1"/>
    <col min="12997" max="12997" width="13.85546875" style="5" customWidth="1"/>
    <col min="12998" max="12998" width="12.85546875" style="5" customWidth="1"/>
    <col min="12999" max="13000" width="11.42578125" style="5"/>
    <col min="13001" max="13001" width="6.42578125" style="5" customWidth="1"/>
    <col min="13002" max="13242" width="11.42578125" style="5"/>
    <col min="13243" max="13243" width="10.28515625" style="5" customWidth="1"/>
    <col min="13244" max="13244" width="55.85546875" style="5" bestFit="1" customWidth="1"/>
    <col min="13245" max="13245" width="12.85546875" style="5" bestFit="1" customWidth="1"/>
    <col min="13246" max="13246" width="9.140625" style="5" bestFit="1" customWidth="1"/>
    <col min="13247" max="13247" width="4.7109375" style="5" bestFit="1" customWidth="1"/>
    <col min="13248" max="13248" width="8.140625" style="5" bestFit="1" customWidth="1"/>
    <col min="13249" max="13249" width="12.85546875" style="5" bestFit="1" customWidth="1"/>
    <col min="13250" max="13250" width="10.85546875" style="5" bestFit="1" customWidth="1"/>
    <col min="13251" max="13251" width="35" style="5" bestFit="1" customWidth="1"/>
    <col min="13252" max="13252" width="12.28515625" style="5" customWidth="1"/>
    <col min="13253" max="13253" width="13.85546875" style="5" customWidth="1"/>
    <col min="13254" max="13254" width="12.85546875" style="5" customWidth="1"/>
    <col min="13255" max="13256" width="11.42578125" style="5"/>
    <col min="13257" max="13257" width="6.42578125" style="5" customWidth="1"/>
    <col min="13258" max="13498" width="11.42578125" style="5"/>
    <col min="13499" max="13499" width="10.28515625" style="5" customWidth="1"/>
    <col min="13500" max="13500" width="55.85546875" style="5" bestFit="1" customWidth="1"/>
    <col min="13501" max="13501" width="12.85546875" style="5" bestFit="1" customWidth="1"/>
    <col min="13502" max="13502" width="9.140625" style="5" bestFit="1" customWidth="1"/>
    <col min="13503" max="13503" width="4.7109375" style="5" bestFit="1" customWidth="1"/>
    <col min="13504" max="13504" width="8.140625" style="5" bestFit="1" customWidth="1"/>
    <col min="13505" max="13505" width="12.85546875" style="5" bestFit="1" customWidth="1"/>
    <col min="13506" max="13506" width="10.85546875" style="5" bestFit="1" customWidth="1"/>
    <col min="13507" max="13507" width="35" style="5" bestFit="1" customWidth="1"/>
    <col min="13508" max="13508" width="12.28515625" style="5" customWidth="1"/>
    <col min="13509" max="13509" width="13.85546875" style="5" customWidth="1"/>
    <col min="13510" max="13510" width="12.85546875" style="5" customWidth="1"/>
    <col min="13511" max="13512" width="11.42578125" style="5"/>
    <col min="13513" max="13513" width="6.42578125" style="5" customWidth="1"/>
    <col min="13514" max="13754" width="11.42578125" style="5"/>
    <col min="13755" max="13755" width="10.28515625" style="5" customWidth="1"/>
    <col min="13756" max="13756" width="55.85546875" style="5" bestFit="1" customWidth="1"/>
    <col min="13757" max="13757" width="12.85546875" style="5" bestFit="1" customWidth="1"/>
    <col min="13758" max="13758" width="9.140625" style="5" bestFit="1" customWidth="1"/>
    <col min="13759" max="13759" width="4.7109375" style="5" bestFit="1" customWidth="1"/>
    <col min="13760" max="13760" width="8.140625" style="5" bestFit="1" customWidth="1"/>
    <col min="13761" max="13761" width="12.85546875" style="5" bestFit="1" customWidth="1"/>
    <col min="13762" max="13762" width="10.85546875" style="5" bestFit="1" customWidth="1"/>
    <col min="13763" max="13763" width="35" style="5" bestFit="1" customWidth="1"/>
    <col min="13764" max="13764" width="12.28515625" style="5" customWidth="1"/>
    <col min="13765" max="13765" width="13.85546875" style="5" customWidth="1"/>
    <col min="13766" max="13766" width="12.85546875" style="5" customWidth="1"/>
    <col min="13767" max="13768" width="11.42578125" style="5"/>
    <col min="13769" max="13769" width="6.42578125" style="5" customWidth="1"/>
    <col min="13770" max="14010" width="11.42578125" style="5"/>
    <col min="14011" max="14011" width="10.28515625" style="5" customWidth="1"/>
    <col min="14012" max="14012" width="55.85546875" style="5" bestFit="1" customWidth="1"/>
    <col min="14013" max="14013" width="12.85546875" style="5" bestFit="1" customWidth="1"/>
    <col min="14014" max="14014" width="9.140625" style="5" bestFit="1" customWidth="1"/>
    <col min="14015" max="14015" width="4.7109375" style="5" bestFit="1" customWidth="1"/>
    <col min="14016" max="14016" width="8.140625" style="5" bestFit="1" customWidth="1"/>
    <col min="14017" max="14017" width="12.85546875" style="5" bestFit="1" customWidth="1"/>
    <col min="14018" max="14018" width="10.85546875" style="5" bestFit="1" customWidth="1"/>
    <col min="14019" max="14019" width="35" style="5" bestFit="1" customWidth="1"/>
    <col min="14020" max="14020" width="12.28515625" style="5" customWidth="1"/>
    <col min="14021" max="14021" width="13.85546875" style="5" customWidth="1"/>
    <col min="14022" max="14022" width="12.85546875" style="5" customWidth="1"/>
    <col min="14023" max="14024" width="11.42578125" style="5"/>
    <col min="14025" max="14025" width="6.42578125" style="5" customWidth="1"/>
    <col min="14026" max="14266" width="11.42578125" style="5"/>
    <col min="14267" max="14267" width="10.28515625" style="5" customWidth="1"/>
    <col min="14268" max="14268" width="55.85546875" style="5" bestFit="1" customWidth="1"/>
    <col min="14269" max="14269" width="12.85546875" style="5" bestFit="1" customWidth="1"/>
    <col min="14270" max="14270" width="9.140625" style="5" bestFit="1" customWidth="1"/>
    <col min="14271" max="14271" width="4.7109375" style="5" bestFit="1" customWidth="1"/>
    <col min="14272" max="14272" width="8.140625" style="5" bestFit="1" customWidth="1"/>
    <col min="14273" max="14273" width="12.85546875" style="5" bestFit="1" customWidth="1"/>
    <col min="14274" max="14274" width="10.85546875" style="5" bestFit="1" customWidth="1"/>
    <col min="14275" max="14275" width="35" style="5" bestFit="1" customWidth="1"/>
    <col min="14276" max="14276" width="12.28515625" style="5" customWidth="1"/>
    <col min="14277" max="14277" width="13.85546875" style="5" customWidth="1"/>
    <col min="14278" max="14278" width="12.85546875" style="5" customWidth="1"/>
    <col min="14279" max="14280" width="11.42578125" style="5"/>
    <col min="14281" max="14281" width="6.42578125" style="5" customWidth="1"/>
    <col min="14282" max="14522" width="11.42578125" style="5"/>
    <col min="14523" max="14523" width="10.28515625" style="5" customWidth="1"/>
    <col min="14524" max="14524" width="55.85546875" style="5" bestFit="1" customWidth="1"/>
    <col min="14525" max="14525" width="12.85546875" style="5" bestFit="1" customWidth="1"/>
    <col min="14526" max="14526" width="9.140625" style="5" bestFit="1" customWidth="1"/>
    <col min="14527" max="14527" width="4.7109375" style="5" bestFit="1" customWidth="1"/>
    <col min="14528" max="14528" width="8.140625" style="5" bestFit="1" customWidth="1"/>
    <col min="14529" max="14529" width="12.85546875" style="5" bestFit="1" customWidth="1"/>
    <col min="14530" max="14530" width="10.85546875" style="5" bestFit="1" customWidth="1"/>
    <col min="14531" max="14531" width="35" style="5" bestFit="1" customWidth="1"/>
    <col min="14532" max="14532" width="12.28515625" style="5" customWidth="1"/>
    <col min="14533" max="14533" width="13.85546875" style="5" customWidth="1"/>
    <col min="14534" max="14534" width="12.85546875" style="5" customWidth="1"/>
    <col min="14535" max="14536" width="11.42578125" style="5"/>
    <col min="14537" max="14537" width="6.42578125" style="5" customWidth="1"/>
    <col min="14538" max="14778" width="11.42578125" style="5"/>
    <col min="14779" max="14779" width="10.28515625" style="5" customWidth="1"/>
    <col min="14780" max="14780" width="55.85546875" style="5" bestFit="1" customWidth="1"/>
    <col min="14781" max="14781" width="12.85546875" style="5" bestFit="1" customWidth="1"/>
    <col min="14782" max="14782" width="9.140625" style="5" bestFit="1" customWidth="1"/>
    <col min="14783" max="14783" width="4.7109375" style="5" bestFit="1" customWidth="1"/>
    <col min="14784" max="14784" width="8.140625" style="5" bestFit="1" customWidth="1"/>
    <col min="14785" max="14785" width="12.85546875" style="5" bestFit="1" customWidth="1"/>
    <col min="14786" max="14786" width="10.85546875" style="5" bestFit="1" customWidth="1"/>
    <col min="14787" max="14787" width="35" style="5" bestFit="1" customWidth="1"/>
    <col min="14788" max="14788" width="12.28515625" style="5" customWidth="1"/>
    <col min="14789" max="14789" width="13.85546875" style="5" customWidth="1"/>
    <col min="14790" max="14790" width="12.85546875" style="5" customWidth="1"/>
    <col min="14791" max="14792" width="11.42578125" style="5"/>
    <col min="14793" max="14793" width="6.42578125" style="5" customWidth="1"/>
    <col min="14794" max="15034" width="11.42578125" style="5"/>
    <col min="15035" max="15035" width="10.28515625" style="5" customWidth="1"/>
    <col min="15036" max="15036" width="55.85546875" style="5" bestFit="1" customWidth="1"/>
    <col min="15037" max="15037" width="12.85546875" style="5" bestFit="1" customWidth="1"/>
    <col min="15038" max="15038" width="9.140625" style="5" bestFit="1" customWidth="1"/>
    <col min="15039" max="15039" width="4.7109375" style="5" bestFit="1" customWidth="1"/>
    <col min="15040" max="15040" width="8.140625" style="5" bestFit="1" customWidth="1"/>
    <col min="15041" max="15041" width="12.85546875" style="5" bestFit="1" customWidth="1"/>
    <col min="15042" max="15042" width="10.85546875" style="5" bestFit="1" customWidth="1"/>
    <col min="15043" max="15043" width="35" style="5" bestFit="1" customWidth="1"/>
    <col min="15044" max="15044" width="12.28515625" style="5" customWidth="1"/>
    <col min="15045" max="15045" width="13.85546875" style="5" customWidth="1"/>
    <col min="15046" max="15046" width="12.85546875" style="5" customWidth="1"/>
    <col min="15047" max="15048" width="11.42578125" style="5"/>
    <col min="15049" max="15049" width="6.42578125" style="5" customWidth="1"/>
    <col min="15050" max="15290" width="11.42578125" style="5"/>
    <col min="15291" max="15291" width="10.28515625" style="5" customWidth="1"/>
    <col min="15292" max="15292" width="55.85546875" style="5" bestFit="1" customWidth="1"/>
    <col min="15293" max="15293" width="12.85546875" style="5" bestFit="1" customWidth="1"/>
    <col min="15294" max="15294" width="9.140625" style="5" bestFit="1" customWidth="1"/>
    <col min="15295" max="15295" width="4.7109375" style="5" bestFit="1" customWidth="1"/>
    <col min="15296" max="15296" width="8.140625" style="5" bestFit="1" customWidth="1"/>
    <col min="15297" max="15297" width="12.85546875" style="5" bestFit="1" customWidth="1"/>
    <col min="15298" max="15298" width="10.85546875" style="5" bestFit="1" customWidth="1"/>
    <col min="15299" max="15299" width="35" style="5" bestFit="1" customWidth="1"/>
    <col min="15300" max="15300" width="12.28515625" style="5" customWidth="1"/>
    <col min="15301" max="15301" width="13.85546875" style="5" customWidth="1"/>
    <col min="15302" max="15302" width="12.85546875" style="5" customWidth="1"/>
    <col min="15303" max="15304" width="11.42578125" style="5"/>
    <col min="15305" max="15305" width="6.42578125" style="5" customWidth="1"/>
    <col min="15306" max="15546" width="11.42578125" style="5"/>
    <col min="15547" max="15547" width="10.28515625" style="5" customWidth="1"/>
    <col min="15548" max="15548" width="55.85546875" style="5" bestFit="1" customWidth="1"/>
    <col min="15549" max="15549" width="12.85546875" style="5" bestFit="1" customWidth="1"/>
    <col min="15550" max="15550" width="9.140625" style="5" bestFit="1" customWidth="1"/>
    <col min="15551" max="15551" width="4.7109375" style="5" bestFit="1" customWidth="1"/>
    <col min="15552" max="15552" width="8.140625" style="5" bestFit="1" customWidth="1"/>
    <col min="15553" max="15553" width="12.85546875" style="5" bestFit="1" customWidth="1"/>
    <col min="15554" max="15554" width="10.85546875" style="5" bestFit="1" customWidth="1"/>
    <col min="15555" max="15555" width="35" style="5" bestFit="1" customWidth="1"/>
    <col min="15556" max="15556" width="12.28515625" style="5" customWidth="1"/>
    <col min="15557" max="15557" width="13.85546875" style="5" customWidth="1"/>
    <col min="15558" max="15558" width="12.85546875" style="5" customWidth="1"/>
    <col min="15559" max="15560" width="11.42578125" style="5"/>
    <col min="15561" max="15561" width="6.42578125" style="5" customWidth="1"/>
    <col min="15562" max="15802" width="11.42578125" style="5"/>
    <col min="15803" max="15803" width="10.28515625" style="5" customWidth="1"/>
    <col min="15804" max="15804" width="55.85546875" style="5" bestFit="1" customWidth="1"/>
    <col min="15805" max="15805" width="12.85546875" style="5" bestFit="1" customWidth="1"/>
    <col min="15806" max="15806" width="9.140625" style="5" bestFit="1" customWidth="1"/>
    <col min="15807" max="15807" width="4.7109375" style="5" bestFit="1" customWidth="1"/>
    <col min="15808" max="15808" width="8.140625" style="5" bestFit="1" customWidth="1"/>
    <col min="15809" max="15809" width="12.85546875" style="5" bestFit="1" customWidth="1"/>
    <col min="15810" max="15810" width="10.85546875" style="5" bestFit="1" customWidth="1"/>
    <col min="15811" max="15811" width="35" style="5" bestFit="1" customWidth="1"/>
    <col min="15812" max="15812" width="12.28515625" style="5" customWidth="1"/>
    <col min="15813" max="15813" width="13.85546875" style="5" customWidth="1"/>
    <col min="15814" max="15814" width="12.85546875" style="5" customWidth="1"/>
    <col min="15815" max="15816" width="11.42578125" style="5"/>
    <col min="15817" max="15817" width="6.42578125" style="5" customWidth="1"/>
    <col min="15818" max="16058" width="11.42578125" style="5"/>
    <col min="16059" max="16059" width="10.28515625" style="5" customWidth="1"/>
    <col min="16060" max="16060" width="55.85546875" style="5" bestFit="1" customWidth="1"/>
    <col min="16061" max="16061" width="12.85546875" style="5" bestFit="1" customWidth="1"/>
    <col min="16062" max="16062" width="9.140625" style="5" bestFit="1" customWidth="1"/>
    <col min="16063" max="16063" width="4.7109375" style="5" bestFit="1" customWidth="1"/>
    <col min="16064" max="16064" width="8.140625" style="5" bestFit="1" customWidth="1"/>
    <col min="16065" max="16065" width="12.85546875" style="5" bestFit="1" customWidth="1"/>
    <col min="16066" max="16066" width="10.85546875" style="5" bestFit="1" customWidth="1"/>
    <col min="16067" max="16067" width="35" style="5" bestFit="1" customWidth="1"/>
    <col min="16068" max="16068" width="12.28515625" style="5" customWidth="1"/>
    <col min="16069" max="16069" width="13.85546875" style="5" customWidth="1"/>
    <col min="16070" max="16070" width="12.85546875" style="5" customWidth="1"/>
    <col min="16071" max="16072" width="11.42578125" style="5"/>
    <col min="16073" max="16073" width="6.42578125" style="5" customWidth="1"/>
    <col min="16074" max="16384" width="11.42578125" style="5"/>
  </cols>
  <sheetData>
    <row r="1" spans="1:4" x14ac:dyDescent="0.2">
      <c r="A1" s="1" t="s">
        <v>3687</v>
      </c>
      <c r="B1" s="2" t="s">
        <v>3688</v>
      </c>
      <c r="C1" s="3" t="s">
        <v>3689</v>
      </c>
      <c r="D1" s="4" t="s">
        <v>3690</v>
      </c>
    </row>
    <row r="2" spans="1:4" x14ac:dyDescent="0.2">
      <c r="A2" s="6">
        <v>1</v>
      </c>
      <c r="B2" s="5" t="s">
        <v>0</v>
      </c>
      <c r="C2" s="7" t="s">
        <v>1</v>
      </c>
      <c r="D2" s="8">
        <v>2240.5</v>
      </c>
    </row>
    <row r="3" spans="1:4" x14ac:dyDescent="0.2">
      <c r="A3" s="6">
        <v>2</v>
      </c>
      <c r="B3" s="5" t="s">
        <v>2</v>
      </c>
      <c r="C3" s="7" t="s">
        <v>3</v>
      </c>
      <c r="D3" s="8"/>
    </row>
    <row r="4" spans="1:4" x14ac:dyDescent="0.2">
      <c r="A4" s="6">
        <v>8</v>
      </c>
      <c r="B4" s="5" t="s">
        <v>5</v>
      </c>
      <c r="C4" s="7" t="s">
        <v>6</v>
      </c>
      <c r="D4" s="8">
        <v>142.86000000000001</v>
      </c>
    </row>
    <row r="5" spans="1:4" x14ac:dyDescent="0.2">
      <c r="A5" s="6">
        <v>9</v>
      </c>
      <c r="B5" s="5" t="s">
        <v>7</v>
      </c>
      <c r="C5" s="7" t="s">
        <v>8</v>
      </c>
      <c r="D5" s="8">
        <v>85.71</v>
      </c>
    </row>
    <row r="6" spans="1:4" x14ac:dyDescent="0.2">
      <c r="A6" s="6">
        <v>12</v>
      </c>
      <c r="B6" s="5" t="s">
        <v>9</v>
      </c>
      <c r="C6" s="7" t="s">
        <v>10</v>
      </c>
      <c r="D6" s="8">
        <v>369.63</v>
      </c>
    </row>
    <row r="7" spans="1:4" x14ac:dyDescent="0.2">
      <c r="A7" s="6">
        <v>20</v>
      </c>
      <c r="B7" s="5" t="s">
        <v>11</v>
      </c>
      <c r="C7" s="7" t="s">
        <v>12</v>
      </c>
      <c r="D7" s="8">
        <v>766.79</v>
      </c>
    </row>
    <row r="8" spans="1:4" x14ac:dyDescent="0.2">
      <c r="A8" s="6">
        <v>27</v>
      </c>
      <c r="B8" s="5" t="s">
        <v>13</v>
      </c>
      <c r="C8" s="7" t="s">
        <v>1</v>
      </c>
      <c r="D8" s="8">
        <v>2465.1799999999998</v>
      </c>
    </row>
    <row r="9" spans="1:4" x14ac:dyDescent="0.2">
      <c r="A9" s="6">
        <v>29</v>
      </c>
      <c r="B9" s="5" t="s">
        <v>14</v>
      </c>
      <c r="C9" s="7" t="s">
        <v>15</v>
      </c>
      <c r="D9" s="8">
        <v>560</v>
      </c>
    </row>
    <row r="10" spans="1:4" x14ac:dyDescent="0.2">
      <c r="A10" s="6">
        <v>30</v>
      </c>
      <c r="B10" s="5" t="s">
        <v>16</v>
      </c>
      <c r="C10" s="7" t="s">
        <v>12</v>
      </c>
      <c r="D10" s="8">
        <v>449.72</v>
      </c>
    </row>
    <row r="11" spans="1:4" x14ac:dyDescent="0.2">
      <c r="A11" s="6">
        <v>34</v>
      </c>
      <c r="B11" s="5" t="s">
        <v>17</v>
      </c>
      <c r="C11" s="7" t="s">
        <v>18</v>
      </c>
      <c r="D11" s="8"/>
    </row>
    <row r="12" spans="1:4" x14ac:dyDescent="0.2">
      <c r="A12" s="6">
        <v>35</v>
      </c>
      <c r="B12" s="5" t="s">
        <v>19</v>
      </c>
      <c r="C12" s="7" t="s">
        <v>20</v>
      </c>
      <c r="D12" s="8">
        <f>68000/30</f>
        <v>2266.6666666666665</v>
      </c>
    </row>
    <row r="13" spans="1:4" x14ac:dyDescent="0.2">
      <c r="A13" s="6">
        <v>50</v>
      </c>
      <c r="B13" s="5" t="s">
        <v>21</v>
      </c>
      <c r="C13" s="7" t="s">
        <v>12</v>
      </c>
      <c r="D13" s="8"/>
    </row>
    <row r="14" spans="1:4" x14ac:dyDescent="0.2">
      <c r="A14" s="6">
        <v>51</v>
      </c>
      <c r="B14" s="5" t="s">
        <v>22</v>
      </c>
      <c r="C14" s="7" t="s">
        <v>23</v>
      </c>
      <c r="D14" s="8">
        <v>2405.5</v>
      </c>
    </row>
    <row r="15" spans="1:4" x14ac:dyDescent="0.2">
      <c r="A15" s="6">
        <v>53</v>
      </c>
      <c r="B15" s="5" t="s">
        <v>24</v>
      </c>
      <c r="C15" s="7" t="s">
        <v>25</v>
      </c>
      <c r="D15" s="8">
        <v>702.69</v>
      </c>
    </row>
    <row r="16" spans="1:4" x14ac:dyDescent="0.2">
      <c r="A16" s="6">
        <v>54</v>
      </c>
      <c r="B16" s="5" t="s">
        <v>26</v>
      </c>
      <c r="C16" s="7" t="s">
        <v>12</v>
      </c>
      <c r="D16" s="8"/>
    </row>
    <row r="17" spans="1:4" x14ac:dyDescent="0.2">
      <c r="A17" s="6">
        <v>55</v>
      </c>
      <c r="B17" s="5" t="s">
        <v>27</v>
      </c>
      <c r="C17" s="7" t="s">
        <v>12</v>
      </c>
      <c r="D17" s="8"/>
    </row>
    <row r="18" spans="1:4" x14ac:dyDescent="0.2">
      <c r="A18" s="6">
        <v>56</v>
      </c>
      <c r="B18" s="5" t="s">
        <v>28</v>
      </c>
      <c r="C18" s="7" t="s">
        <v>12</v>
      </c>
      <c r="D18" s="8">
        <v>656.79</v>
      </c>
    </row>
    <row r="19" spans="1:4" x14ac:dyDescent="0.2">
      <c r="A19" s="6">
        <v>57</v>
      </c>
      <c r="B19" s="5" t="s">
        <v>29</v>
      </c>
      <c r="C19" s="7" t="s">
        <v>30</v>
      </c>
      <c r="D19" s="8"/>
    </row>
    <row r="20" spans="1:4" x14ac:dyDescent="0.2">
      <c r="A20" s="6">
        <v>58</v>
      </c>
      <c r="B20" s="5" t="s">
        <v>31</v>
      </c>
      <c r="C20" s="7" t="s">
        <v>32</v>
      </c>
      <c r="D20" s="8">
        <v>428.49</v>
      </c>
    </row>
    <row r="21" spans="1:4" x14ac:dyDescent="0.2">
      <c r="A21" s="6">
        <v>59</v>
      </c>
      <c r="B21" s="5" t="s">
        <v>33</v>
      </c>
      <c r="C21" s="7" t="s">
        <v>30</v>
      </c>
      <c r="D21" s="8"/>
    </row>
    <row r="22" spans="1:4" x14ac:dyDescent="0.2">
      <c r="A22" s="6">
        <v>60</v>
      </c>
      <c r="B22" s="5" t="s">
        <v>34</v>
      </c>
      <c r="C22" s="7" t="s">
        <v>35</v>
      </c>
      <c r="D22" s="8">
        <v>1874.14</v>
      </c>
    </row>
    <row r="23" spans="1:4" x14ac:dyDescent="0.2">
      <c r="A23" s="6">
        <v>61</v>
      </c>
      <c r="B23" s="5" t="s">
        <v>36</v>
      </c>
      <c r="C23" s="7" t="s">
        <v>30</v>
      </c>
      <c r="D23" s="8"/>
    </row>
    <row r="24" spans="1:4" x14ac:dyDescent="0.2">
      <c r="A24" s="6">
        <v>62</v>
      </c>
      <c r="B24" s="5" t="s">
        <v>37</v>
      </c>
      <c r="C24" s="7" t="s">
        <v>15</v>
      </c>
      <c r="D24" s="8">
        <v>1645.91</v>
      </c>
    </row>
    <row r="25" spans="1:4" x14ac:dyDescent="0.2">
      <c r="A25" s="6">
        <v>63</v>
      </c>
      <c r="B25" s="5" t="s">
        <v>38</v>
      </c>
      <c r="C25" s="7" t="s">
        <v>39</v>
      </c>
      <c r="D25" s="8">
        <v>200</v>
      </c>
    </row>
    <row r="26" spans="1:4" x14ac:dyDescent="0.2">
      <c r="A26" s="6">
        <v>64</v>
      </c>
      <c r="B26" s="5" t="s">
        <v>40</v>
      </c>
      <c r="C26" s="7" t="s">
        <v>1</v>
      </c>
      <c r="D26" s="8">
        <v>1721.36</v>
      </c>
    </row>
    <row r="27" spans="1:4" x14ac:dyDescent="0.2">
      <c r="A27" s="6">
        <v>65</v>
      </c>
      <c r="B27" s="5" t="s">
        <v>41</v>
      </c>
      <c r="C27" s="7" t="s">
        <v>30</v>
      </c>
      <c r="D27" s="8">
        <v>200</v>
      </c>
    </row>
    <row r="28" spans="1:4" x14ac:dyDescent="0.2">
      <c r="A28" s="6">
        <v>66</v>
      </c>
      <c r="B28" s="5" t="s">
        <v>42</v>
      </c>
      <c r="C28" s="7" t="s">
        <v>43</v>
      </c>
      <c r="D28" s="8">
        <v>214.28571428571428</v>
      </c>
    </row>
    <row r="29" spans="1:4" x14ac:dyDescent="0.2">
      <c r="A29" s="6">
        <v>67</v>
      </c>
      <c r="B29" s="5" t="s">
        <v>44</v>
      </c>
      <c r="C29" s="7" t="s">
        <v>1</v>
      </c>
      <c r="D29" s="8">
        <v>2477.3200000000002</v>
      </c>
    </row>
    <row r="30" spans="1:4" x14ac:dyDescent="0.2">
      <c r="A30" s="6">
        <v>68</v>
      </c>
      <c r="B30" s="5" t="s">
        <v>45</v>
      </c>
      <c r="C30" s="7" t="s">
        <v>12</v>
      </c>
      <c r="D30" s="8"/>
    </row>
    <row r="31" spans="1:4" x14ac:dyDescent="0.2">
      <c r="A31" s="6">
        <v>69</v>
      </c>
      <c r="B31" s="5" t="s">
        <v>46</v>
      </c>
      <c r="C31" s="7" t="s">
        <v>15</v>
      </c>
      <c r="D31" s="8">
        <v>133.33333333333334</v>
      </c>
    </row>
    <row r="32" spans="1:4" x14ac:dyDescent="0.2">
      <c r="A32" s="6">
        <v>70</v>
      </c>
      <c r="B32" s="5" t="s">
        <v>47</v>
      </c>
      <c r="C32" s="7" t="s">
        <v>39</v>
      </c>
      <c r="D32" s="8">
        <v>266.66666666666669</v>
      </c>
    </row>
    <row r="33" spans="1:4" x14ac:dyDescent="0.2">
      <c r="A33" s="6">
        <v>71</v>
      </c>
      <c r="B33" s="5" t="s">
        <v>48</v>
      </c>
      <c r="C33" s="7" t="s">
        <v>15</v>
      </c>
      <c r="D33" s="8">
        <v>266.66666666666669</v>
      </c>
    </row>
    <row r="34" spans="1:4" x14ac:dyDescent="0.2">
      <c r="A34" s="6">
        <v>72</v>
      </c>
      <c r="B34" s="5" t="s">
        <v>49</v>
      </c>
      <c r="C34" s="7" t="s">
        <v>50</v>
      </c>
      <c r="D34" s="8">
        <v>300</v>
      </c>
    </row>
    <row r="35" spans="1:4" x14ac:dyDescent="0.2">
      <c r="A35" s="6">
        <v>73</v>
      </c>
      <c r="B35" s="5" t="s">
        <v>51</v>
      </c>
      <c r="C35" s="7" t="s">
        <v>52</v>
      </c>
      <c r="D35" s="8">
        <f>175*0.428571428571429</f>
        <v>75.000000000000071</v>
      </c>
    </row>
    <row r="36" spans="1:4" x14ac:dyDescent="0.2">
      <c r="A36" s="6">
        <v>74</v>
      </c>
      <c r="B36" s="5" t="s">
        <v>53</v>
      </c>
      <c r="C36" s="7" t="s">
        <v>12</v>
      </c>
      <c r="D36" s="8">
        <v>133.33333333333334</v>
      </c>
    </row>
    <row r="37" spans="1:4" x14ac:dyDescent="0.2">
      <c r="A37" s="6">
        <v>75</v>
      </c>
      <c r="B37" s="5" t="s">
        <v>54</v>
      </c>
      <c r="C37" s="7" t="s">
        <v>1</v>
      </c>
      <c r="D37" s="8">
        <v>1399.36</v>
      </c>
    </row>
    <row r="38" spans="1:4" x14ac:dyDescent="0.2">
      <c r="A38" s="6">
        <v>76</v>
      </c>
      <c r="B38" s="5" t="s">
        <v>55</v>
      </c>
      <c r="C38" s="7" t="s">
        <v>52</v>
      </c>
      <c r="D38" s="8">
        <v>75</v>
      </c>
    </row>
    <row r="39" spans="1:4" x14ac:dyDescent="0.2">
      <c r="A39" s="6">
        <v>77</v>
      </c>
      <c r="B39" s="5" t="s">
        <v>56</v>
      </c>
      <c r="C39" s="7" t="s">
        <v>15</v>
      </c>
      <c r="D39" s="8">
        <v>216.66666666666666</v>
      </c>
    </row>
    <row r="40" spans="1:4" x14ac:dyDescent="0.2">
      <c r="A40" s="6">
        <v>78</v>
      </c>
      <c r="B40" s="5" t="s">
        <v>57</v>
      </c>
      <c r="C40" s="7" t="s">
        <v>58</v>
      </c>
      <c r="D40" s="8">
        <v>742.9</v>
      </c>
    </row>
    <row r="41" spans="1:4" x14ac:dyDescent="0.2">
      <c r="A41" s="6">
        <v>79</v>
      </c>
      <c r="B41" s="5" t="s">
        <v>59</v>
      </c>
      <c r="C41" s="7" t="s">
        <v>58</v>
      </c>
      <c r="D41" s="8">
        <v>165</v>
      </c>
    </row>
    <row r="42" spans="1:4" x14ac:dyDescent="0.2">
      <c r="A42" s="6">
        <v>80</v>
      </c>
      <c r="B42" s="5" t="s">
        <v>60</v>
      </c>
      <c r="C42" s="7" t="s">
        <v>1</v>
      </c>
      <c r="D42" s="8">
        <v>644.26</v>
      </c>
    </row>
    <row r="43" spans="1:4" x14ac:dyDescent="0.2">
      <c r="A43" s="6">
        <v>81</v>
      </c>
      <c r="B43" s="5" t="s">
        <v>61</v>
      </c>
      <c r="C43" s="7" t="s">
        <v>58</v>
      </c>
      <c r="D43" s="8"/>
    </row>
    <row r="44" spans="1:4" x14ac:dyDescent="0.2">
      <c r="A44" s="6">
        <v>82</v>
      </c>
      <c r="B44" s="5" t="s">
        <v>62</v>
      </c>
      <c r="C44" s="7" t="s">
        <v>50</v>
      </c>
      <c r="D44" s="8">
        <f>10000/(30.4)</f>
        <v>328.94736842105266</v>
      </c>
    </row>
    <row r="45" spans="1:4" x14ac:dyDescent="0.2">
      <c r="A45" s="6">
        <v>83</v>
      </c>
      <c r="B45" s="5" t="s">
        <v>63</v>
      </c>
      <c r="C45" s="7" t="s">
        <v>64</v>
      </c>
      <c r="D45" s="8">
        <v>553.07000000000005</v>
      </c>
    </row>
    <row r="46" spans="1:4" x14ac:dyDescent="0.2">
      <c r="A46" s="6">
        <v>84</v>
      </c>
      <c r="B46" s="5" t="s">
        <v>65</v>
      </c>
      <c r="C46" s="7" t="s">
        <v>50</v>
      </c>
      <c r="D46" s="8">
        <v>1000</v>
      </c>
    </row>
    <row r="47" spans="1:4" x14ac:dyDescent="0.2">
      <c r="A47" s="6">
        <v>85</v>
      </c>
      <c r="B47" s="5" t="s">
        <v>66</v>
      </c>
      <c r="C47" s="7" t="s">
        <v>1</v>
      </c>
      <c r="D47" s="8">
        <v>630</v>
      </c>
    </row>
    <row r="48" spans="1:4" x14ac:dyDescent="0.2">
      <c r="A48" s="6">
        <v>86</v>
      </c>
      <c r="B48" s="5" t="s">
        <v>67</v>
      </c>
      <c r="C48" s="7" t="s">
        <v>68</v>
      </c>
      <c r="D48" s="8">
        <v>195.35</v>
      </c>
    </row>
    <row r="49" spans="1:4" x14ac:dyDescent="0.2">
      <c r="A49" s="6">
        <v>87</v>
      </c>
      <c r="B49" s="5" t="s">
        <v>69</v>
      </c>
      <c r="C49" s="7" t="s">
        <v>1</v>
      </c>
      <c r="D49" s="8">
        <v>400</v>
      </c>
    </row>
    <row r="50" spans="1:4" x14ac:dyDescent="0.2">
      <c r="A50" s="6">
        <v>88</v>
      </c>
      <c r="B50" s="5" t="s">
        <v>70</v>
      </c>
      <c r="C50" s="7" t="s">
        <v>52</v>
      </c>
      <c r="D50" s="8">
        <v>500</v>
      </c>
    </row>
    <row r="51" spans="1:4" x14ac:dyDescent="0.2">
      <c r="A51" s="6">
        <v>89</v>
      </c>
      <c r="B51" s="5" t="s">
        <v>71</v>
      </c>
      <c r="C51" s="7" t="s">
        <v>64</v>
      </c>
      <c r="D51" s="8">
        <v>553.07000000000005</v>
      </c>
    </row>
    <row r="52" spans="1:4" x14ac:dyDescent="0.2">
      <c r="A52" s="6">
        <v>90</v>
      </c>
      <c r="B52" s="5" t="s">
        <v>72</v>
      </c>
      <c r="C52" s="7" t="s">
        <v>68</v>
      </c>
      <c r="D52" s="8">
        <v>614.79999999999995</v>
      </c>
    </row>
    <row r="53" spans="1:4" x14ac:dyDescent="0.2">
      <c r="A53" s="6">
        <v>91</v>
      </c>
      <c r="B53" s="5" t="s">
        <v>73</v>
      </c>
      <c r="C53" s="7" t="s">
        <v>52</v>
      </c>
      <c r="D53" s="8">
        <v>257.97000000000003</v>
      </c>
    </row>
    <row r="54" spans="1:4" x14ac:dyDescent="0.2">
      <c r="A54" s="6">
        <v>92</v>
      </c>
      <c r="B54" s="5" t="s">
        <v>74</v>
      </c>
      <c r="C54" s="7" t="s">
        <v>1</v>
      </c>
      <c r="D54" s="8">
        <v>571.42999999999995</v>
      </c>
    </row>
    <row r="55" spans="1:4" x14ac:dyDescent="0.2">
      <c r="A55" s="6">
        <v>93</v>
      </c>
      <c r="B55" s="5" t="s">
        <v>75</v>
      </c>
      <c r="C55" s="7" t="s">
        <v>58</v>
      </c>
      <c r="D55" s="8">
        <v>1125.93</v>
      </c>
    </row>
    <row r="56" spans="1:4" x14ac:dyDescent="0.2">
      <c r="A56" s="6">
        <v>94</v>
      </c>
      <c r="B56" s="5" t="s">
        <v>76</v>
      </c>
      <c r="C56" s="7" t="s">
        <v>77</v>
      </c>
      <c r="D56" s="8">
        <v>1399.3</v>
      </c>
    </row>
    <row r="57" spans="1:4" x14ac:dyDescent="0.2">
      <c r="A57" s="6">
        <v>95</v>
      </c>
      <c r="B57" s="5" t="s">
        <v>78</v>
      </c>
      <c r="C57" s="7" t="s">
        <v>50</v>
      </c>
      <c r="D57" s="8"/>
    </row>
    <row r="58" spans="1:4" x14ac:dyDescent="0.2">
      <c r="A58" s="6">
        <v>96</v>
      </c>
      <c r="B58" s="5" t="s">
        <v>79</v>
      </c>
      <c r="C58" s="7" t="s">
        <v>80</v>
      </c>
      <c r="D58" s="8"/>
    </row>
    <row r="59" spans="1:4" x14ac:dyDescent="0.2">
      <c r="A59" s="6">
        <v>97</v>
      </c>
      <c r="B59" s="5" t="s">
        <v>81</v>
      </c>
      <c r="C59" s="7" t="s">
        <v>82</v>
      </c>
      <c r="D59" s="8"/>
    </row>
    <row r="60" spans="1:4" x14ac:dyDescent="0.2">
      <c r="A60" s="6">
        <v>98</v>
      </c>
      <c r="B60" s="5" t="s">
        <v>83</v>
      </c>
      <c r="C60" s="7" t="s">
        <v>25</v>
      </c>
      <c r="D60" s="8"/>
    </row>
    <row r="61" spans="1:4" x14ac:dyDescent="0.2">
      <c r="A61" s="6">
        <v>99</v>
      </c>
      <c r="B61" s="5" t="s">
        <v>84</v>
      </c>
      <c r="C61" s="7" t="s">
        <v>82</v>
      </c>
      <c r="D61" s="8">
        <v>480.9</v>
      </c>
    </row>
    <row r="62" spans="1:4" x14ac:dyDescent="0.2">
      <c r="A62" s="6">
        <v>100</v>
      </c>
      <c r="B62" s="5" t="s">
        <v>85</v>
      </c>
      <c r="C62" s="7" t="s">
        <v>50</v>
      </c>
      <c r="D62" s="8">
        <v>1029.74</v>
      </c>
    </row>
    <row r="63" spans="1:4" x14ac:dyDescent="0.2">
      <c r="A63" s="6">
        <v>101</v>
      </c>
      <c r="B63" s="5" t="s">
        <v>86</v>
      </c>
      <c r="C63" s="7" t="s">
        <v>64</v>
      </c>
      <c r="D63" s="8">
        <v>553.07000000000005</v>
      </c>
    </row>
    <row r="64" spans="1:4" x14ac:dyDescent="0.2">
      <c r="A64" s="6">
        <v>102</v>
      </c>
      <c r="B64" s="5" t="s">
        <v>87</v>
      </c>
      <c r="C64" s="7" t="s">
        <v>10</v>
      </c>
      <c r="D64" s="8">
        <v>307.25</v>
      </c>
    </row>
    <row r="65" spans="1:4" x14ac:dyDescent="0.2">
      <c r="A65" s="6">
        <v>103</v>
      </c>
      <c r="B65" s="5" t="s">
        <v>88</v>
      </c>
      <c r="C65" s="7" t="s">
        <v>64</v>
      </c>
      <c r="D65" s="8">
        <v>553.07000000000005</v>
      </c>
    </row>
    <row r="66" spans="1:4" x14ac:dyDescent="0.2">
      <c r="A66" s="6">
        <v>104</v>
      </c>
      <c r="B66" s="5" t="s">
        <v>89</v>
      </c>
      <c r="C66" s="7" t="s">
        <v>10</v>
      </c>
      <c r="D66" s="8">
        <v>307.25</v>
      </c>
    </row>
    <row r="67" spans="1:4" x14ac:dyDescent="0.2">
      <c r="A67" s="6">
        <v>106</v>
      </c>
      <c r="B67" s="5" t="s">
        <v>90</v>
      </c>
      <c r="C67" s="7" t="s">
        <v>64</v>
      </c>
      <c r="D67" s="8">
        <v>553.07000000000005</v>
      </c>
    </row>
    <row r="68" spans="1:4" x14ac:dyDescent="0.2">
      <c r="A68" s="6">
        <v>107</v>
      </c>
      <c r="B68" s="5" t="s">
        <v>91</v>
      </c>
      <c r="C68" s="7" t="s">
        <v>92</v>
      </c>
      <c r="D68" s="8">
        <v>126.5</v>
      </c>
    </row>
    <row r="69" spans="1:4" x14ac:dyDescent="0.2">
      <c r="A69" s="6">
        <v>108</v>
      </c>
      <c r="B69" s="5" t="s">
        <v>93</v>
      </c>
      <c r="C69" s="7" t="s">
        <v>94</v>
      </c>
      <c r="D69" s="8"/>
    </row>
    <row r="70" spans="1:4" x14ac:dyDescent="0.2">
      <c r="A70" s="6">
        <v>110</v>
      </c>
      <c r="B70" s="5" t="s">
        <v>95</v>
      </c>
      <c r="C70" s="7" t="s">
        <v>25</v>
      </c>
      <c r="D70" s="8">
        <v>635</v>
      </c>
    </row>
    <row r="71" spans="1:4" x14ac:dyDescent="0.2">
      <c r="A71" s="6">
        <v>111</v>
      </c>
      <c r="B71" s="5" t="s">
        <v>96</v>
      </c>
      <c r="C71" s="7" t="s">
        <v>30</v>
      </c>
      <c r="D71" s="8">
        <v>1064.58</v>
      </c>
    </row>
    <row r="72" spans="1:4" x14ac:dyDescent="0.2">
      <c r="A72" s="6">
        <v>112</v>
      </c>
      <c r="B72" s="5" t="s">
        <v>97</v>
      </c>
      <c r="C72" s="7" t="s">
        <v>25</v>
      </c>
      <c r="D72" s="8"/>
    </row>
    <row r="73" spans="1:4" x14ac:dyDescent="0.2">
      <c r="A73" s="6">
        <v>113</v>
      </c>
      <c r="B73" s="5" t="s">
        <v>98</v>
      </c>
      <c r="C73" s="7" t="s">
        <v>99</v>
      </c>
      <c r="D73" s="8">
        <v>242.09899999999999</v>
      </c>
    </row>
    <row r="74" spans="1:4" x14ac:dyDescent="0.2">
      <c r="A74" s="6">
        <v>114</v>
      </c>
      <c r="B74" s="5" t="s">
        <v>100</v>
      </c>
      <c r="C74" s="7" t="s">
        <v>25</v>
      </c>
      <c r="D74" s="8">
        <v>600</v>
      </c>
    </row>
    <row r="75" spans="1:4" x14ac:dyDescent="0.2">
      <c r="A75" s="6">
        <v>115</v>
      </c>
      <c r="B75" s="5" t="s">
        <v>101</v>
      </c>
      <c r="C75" s="7" t="s">
        <v>99</v>
      </c>
      <c r="D75" s="8">
        <v>242.09899999999999</v>
      </c>
    </row>
    <row r="76" spans="1:4" x14ac:dyDescent="0.2">
      <c r="A76" s="6">
        <v>116</v>
      </c>
      <c r="B76" s="5" t="s">
        <v>102</v>
      </c>
      <c r="C76" s="7" t="s">
        <v>25</v>
      </c>
      <c r="D76" s="8"/>
    </row>
    <row r="77" spans="1:4" x14ac:dyDescent="0.2">
      <c r="A77" s="6">
        <v>117</v>
      </c>
      <c r="B77" s="5" t="s">
        <v>103</v>
      </c>
      <c r="C77" s="7" t="s">
        <v>104</v>
      </c>
      <c r="D77" s="8">
        <v>183.75</v>
      </c>
    </row>
    <row r="78" spans="1:4" x14ac:dyDescent="0.2">
      <c r="A78" s="6">
        <v>118</v>
      </c>
      <c r="B78" s="5" t="s">
        <v>105</v>
      </c>
      <c r="C78" s="7" t="s">
        <v>99</v>
      </c>
      <c r="D78" s="8">
        <v>786.38</v>
      </c>
    </row>
    <row r="79" spans="1:4" x14ac:dyDescent="0.2">
      <c r="A79" s="6">
        <v>119</v>
      </c>
      <c r="B79" s="5" t="s">
        <v>106</v>
      </c>
      <c r="C79" s="7" t="s">
        <v>1</v>
      </c>
      <c r="D79" s="8">
        <v>1809.21</v>
      </c>
    </row>
    <row r="80" spans="1:4" x14ac:dyDescent="0.2">
      <c r="A80" s="6">
        <v>120</v>
      </c>
      <c r="B80" s="5" t="s">
        <v>107</v>
      </c>
      <c r="C80" s="7" t="s">
        <v>1</v>
      </c>
      <c r="D80" s="8">
        <v>548.73</v>
      </c>
    </row>
    <row r="81" spans="1:4" x14ac:dyDescent="0.2">
      <c r="A81" s="6">
        <v>121</v>
      </c>
      <c r="B81" s="5" t="s">
        <v>108</v>
      </c>
      <c r="C81" s="7" t="s">
        <v>25</v>
      </c>
      <c r="D81" s="8">
        <f>166.666666666667*0.5</f>
        <v>83.333333333333499</v>
      </c>
    </row>
    <row r="82" spans="1:4" x14ac:dyDescent="0.2">
      <c r="A82" s="6">
        <v>122</v>
      </c>
      <c r="B82" s="5" t="s">
        <v>109</v>
      </c>
      <c r="C82" s="7" t="s">
        <v>25</v>
      </c>
      <c r="D82" s="8">
        <v>254.81</v>
      </c>
    </row>
    <row r="83" spans="1:4" x14ac:dyDescent="0.2">
      <c r="A83" s="6">
        <v>123</v>
      </c>
      <c r="B83" s="5" t="s">
        <v>110</v>
      </c>
      <c r="C83" s="7" t="s">
        <v>25</v>
      </c>
      <c r="D83" s="8">
        <v>151.96</v>
      </c>
    </row>
    <row r="84" spans="1:4" x14ac:dyDescent="0.2">
      <c r="A84" s="6">
        <v>124</v>
      </c>
      <c r="B84" s="5" t="s">
        <v>111</v>
      </c>
      <c r="C84" s="7" t="s">
        <v>99</v>
      </c>
      <c r="D84" s="8">
        <v>242.09899999999999</v>
      </c>
    </row>
    <row r="85" spans="1:4" x14ac:dyDescent="0.2">
      <c r="A85" s="6">
        <v>125</v>
      </c>
      <c r="B85" s="5" t="s">
        <v>112</v>
      </c>
      <c r="C85" s="7" t="s">
        <v>99</v>
      </c>
      <c r="D85" s="8">
        <v>802.65</v>
      </c>
    </row>
    <row r="86" spans="1:4" x14ac:dyDescent="0.2">
      <c r="A86" s="6">
        <v>126</v>
      </c>
      <c r="B86" s="5" t="s">
        <v>113</v>
      </c>
      <c r="C86" s="7" t="s">
        <v>68</v>
      </c>
      <c r="D86" s="8">
        <f>307*1.05</f>
        <v>322.35000000000002</v>
      </c>
    </row>
    <row r="87" spans="1:4" x14ac:dyDescent="0.2">
      <c r="A87" s="6">
        <v>127</v>
      </c>
      <c r="B87" s="5" t="s">
        <v>114</v>
      </c>
      <c r="C87" s="7" t="s">
        <v>50</v>
      </c>
      <c r="D87" s="8">
        <v>816.09</v>
      </c>
    </row>
    <row r="88" spans="1:4" x14ac:dyDescent="0.2">
      <c r="A88" s="6">
        <v>128</v>
      </c>
      <c r="B88" s="5" t="s">
        <v>115</v>
      </c>
      <c r="C88" s="7" t="s">
        <v>116</v>
      </c>
      <c r="D88" s="8"/>
    </row>
    <row r="89" spans="1:4" x14ac:dyDescent="0.2">
      <c r="A89" s="6">
        <v>129</v>
      </c>
      <c r="B89" s="5" t="s">
        <v>117</v>
      </c>
      <c r="C89" s="7" t="s">
        <v>118</v>
      </c>
      <c r="D89" s="8">
        <v>513.6</v>
      </c>
    </row>
    <row r="90" spans="1:4" x14ac:dyDescent="0.2">
      <c r="A90" s="6">
        <v>130</v>
      </c>
      <c r="B90" s="5" t="s">
        <v>119</v>
      </c>
      <c r="D90" s="8"/>
    </row>
    <row r="91" spans="1:4" x14ac:dyDescent="0.2">
      <c r="A91" s="6">
        <v>131</v>
      </c>
      <c r="B91" s="5" t="s">
        <v>120</v>
      </c>
      <c r="C91" s="7" t="s">
        <v>121</v>
      </c>
      <c r="D91" s="8">
        <v>633.84</v>
      </c>
    </row>
    <row r="92" spans="1:4" x14ac:dyDescent="0.2">
      <c r="A92" s="6">
        <v>132</v>
      </c>
      <c r="B92" s="5" t="s">
        <v>122</v>
      </c>
      <c r="C92" s="7" t="s">
        <v>82</v>
      </c>
      <c r="D92" s="8">
        <v>390.9</v>
      </c>
    </row>
    <row r="93" spans="1:4" x14ac:dyDescent="0.2">
      <c r="A93" s="6">
        <v>133</v>
      </c>
      <c r="B93" s="5" t="s">
        <v>123</v>
      </c>
      <c r="C93" s="7" t="s">
        <v>10</v>
      </c>
      <c r="D93" s="8">
        <v>307.25</v>
      </c>
    </row>
    <row r="94" spans="1:4" x14ac:dyDescent="0.2">
      <c r="A94" s="6">
        <v>134</v>
      </c>
      <c r="B94" s="5" t="s">
        <v>124</v>
      </c>
      <c r="C94" s="7" t="s">
        <v>10</v>
      </c>
      <c r="D94" s="8">
        <v>307.25</v>
      </c>
    </row>
    <row r="95" spans="1:4" x14ac:dyDescent="0.2">
      <c r="A95" s="6">
        <v>135</v>
      </c>
      <c r="B95" s="5" t="s">
        <v>125</v>
      </c>
      <c r="C95" s="7" t="s">
        <v>64</v>
      </c>
      <c r="D95" s="8">
        <v>553.07000000000005</v>
      </c>
    </row>
    <row r="96" spans="1:4" x14ac:dyDescent="0.2">
      <c r="A96" s="6">
        <v>136</v>
      </c>
      <c r="B96" s="5" t="s">
        <v>126</v>
      </c>
      <c r="C96" s="7" t="s">
        <v>1</v>
      </c>
      <c r="D96" s="8">
        <v>1136.03</v>
      </c>
    </row>
    <row r="97" spans="1:4" x14ac:dyDescent="0.2">
      <c r="A97" s="6">
        <v>137</v>
      </c>
      <c r="B97" s="5" t="s">
        <v>127</v>
      </c>
      <c r="C97" s="7" t="s">
        <v>104</v>
      </c>
      <c r="D97" s="8">
        <v>173</v>
      </c>
    </row>
    <row r="98" spans="1:4" x14ac:dyDescent="0.2">
      <c r="A98" s="6">
        <v>138</v>
      </c>
      <c r="B98" s="5" t="s">
        <v>128</v>
      </c>
      <c r="C98" s="7" t="s">
        <v>1</v>
      </c>
      <c r="D98" s="8">
        <v>938.92</v>
      </c>
    </row>
    <row r="99" spans="1:4" x14ac:dyDescent="0.2">
      <c r="A99" s="6">
        <v>139</v>
      </c>
      <c r="B99" s="5" t="s">
        <v>129</v>
      </c>
      <c r="C99" s="7" t="s">
        <v>130</v>
      </c>
      <c r="D99" s="8">
        <v>192.94</v>
      </c>
    </row>
    <row r="100" spans="1:4" x14ac:dyDescent="0.2">
      <c r="A100" s="6">
        <v>140</v>
      </c>
      <c r="B100" s="5" t="s">
        <v>131</v>
      </c>
      <c r="C100" s="7" t="s">
        <v>99</v>
      </c>
      <c r="D100" s="8">
        <v>395.71</v>
      </c>
    </row>
    <row r="101" spans="1:4" x14ac:dyDescent="0.2">
      <c r="A101" s="6">
        <v>141</v>
      </c>
      <c r="B101" s="5" t="s">
        <v>132</v>
      </c>
      <c r="C101" s="7" t="s">
        <v>64</v>
      </c>
      <c r="D101" s="8">
        <v>553.07000000000005</v>
      </c>
    </row>
    <row r="102" spans="1:4" x14ac:dyDescent="0.2">
      <c r="A102" s="6">
        <v>142</v>
      </c>
      <c r="B102" s="5" t="s">
        <v>133</v>
      </c>
      <c r="C102" s="7" t="s">
        <v>25</v>
      </c>
      <c r="D102" s="8">
        <v>246.44</v>
      </c>
    </row>
    <row r="103" spans="1:4" x14ac:dyDescent="0.2">
      <c r="A103" s="6">
        <v>143</v>
      </c>
      <c r="B103" s="5" t="s">
        <v>134</v>
      </c>
      <c r="C103" s="7" t="s">
        <v>64</v>
      </c>
      <c r="D103" s="8">
        <v>553.07000000000005</v>
      </c>
    </row>
    <row r="104" spans="1:4" x14ac:dyDescent="0.2">
      <c r="A104" s="6">
        <v>144</v>
      </c>
      <c r="B104" s="5" t="s">
        <v>135</v>
      </c>
      <c r="C104" s="7" t="s">
        <v>136</v>
      </c>
      <c r="D104" s="8">
        <v>302.64</v>
      </c>
    </row>
    <row r="105" spans="1:4" x14ac:dyDescent="0.2">
      <c r="A105" s="6">
        <v>145</v>
      </c>
      <c r="B105" s="5" t="s">
        <v>137</v>
      </c>
      <c r="C105" s="7" t="s">
        <v>99</v>
      </c>
      <c r="D105" s="8">
        <v>842.78</v>
      </c>
    </row>
    <row r="106" spans="1:4" x14ac:dyDescent="0.2">
      <c r="A106" s="6">
        <v>146</v>
      </c>
      <c r="B106" s="5" t="s">
        <v>138</v>
      </c>
      <c r="C106" s="7" t="s">
        <v>25</v>
      </c>
      <c r="D106" s="8">
        <v>566.66666666666663</v>
      </c>
    </row>
    <row r="107" spans="1:4" x14ac:dyDescent="0.2">
      <c r="A107" s="6">
        <v>147</v>
      </c>
      <c r="B107" s="5" t="s">
        <v>139</v>
      </c>
      <c r="C107" s="7" t="s">
        <v>140</v>
      </c>
      <c r="D107" s="8" t="s">
        <v>4</v>
      </c>
    </row>
    <row r="108" spans="1:4" x14ac:dyDescent="0.2">
      <c r="A108" s="6">
        <v>148</v>
      </c>
      <c r="B108" s="5" t="s">
        <v>141</v>
      </c>
      <c r="C108" s="7" t="s">
        <v>10</v>
      </c>
      <c r="D108" s="8">
        <v>307.25</v>
      </c>
    </row>
    <row r="109" spans="1:4" x14ac:dyDescent="0.2">
      <c r="A109" s="6">
        <v>149</v>
      </c>
      <c r="B109" s="5" t="s">
        <v>142</v>
      </c>
      <c r="C109" s="7" t="s">
        <v>82</v>
      </c>
      <c r="D109" s="8">
        <v>732.07</v>
      </c>
    </row>
    <row r="110" spans="1:4" x14ac:dyDescent="0.2">
      <c r="A110" s="6">
        <v>150</v>
      </c>
      <c r="B110" s="5" t="s">
        <v>143</v>
      </c>
      <c r="C110" s="7" t="s">
        <v>1</v>
      </c>
      <c r="D110" s="8">
        <v>1672.85</v>
      </c>
    </row>
    <row r="111" spans="1:4" x14ac:dyDescent="0.2">
      <c r="A111" s="6">
        <v>151</v>
      </c>
      <c r="B111" s="5" t="s">
        <v>144</v>
      </c>
      <c r="C111" s="7" t="s">
        <v>82</v>
      </c>
      <c r="D111" s="8">
        <v>555.66999999999996</v>
      </c>
    </row>
    <row r="112" spans="1:4" x14ac:dyDescent="0.2">
      <c r="A112" s="6">
        <v>152</v>
      </c>
      <c r="B112" s="5" t="s">
        <v>145</v>
      </c>
      <c r="C112" s="7" t="s">
        <v>1</v>
      </c>
      <c r="D112" s="8">
        <v>1059.46</v>
      </c>
    </row>
    <row r="113" spans="1:4" x14ac:dyDescent="0.2">
      <c r="A113" s="6">
        <v>153</v>
      </c>
      <c r="B113" s="5" t="s">
        <v>146</v>
      </c>
      <c r="C113" s="7" t="s">
        <v>68</v>
      </c>
      <c r="D113" s="8">
        <v>685.45</v>
      </c>
    </row>
    <row r="114" spans="1:4" x14ac:dyDescent="0.2">
      <c r="A114" s="6">
        <v>154</v>
      </c>
      <c r="B114" s="5" t="s">
        <v>147</v>
      </c>
      <c r="C114" s="7" t="s">
        <v>25</v>
      </c>
      <c r="D114" s="8">
        <v>223.22</v>
      </c>
    </row>
    <row r="115" spans="1:4" x14ac:dyDescent="0.2">
      <c r="A115" s="6">
        <v>155</v>
      </c>
      <c r="B115" s="5" t="s">
        <v>148</v>
      </c>
      <c r="C115" s="7" t="s">
        <v>32</v>
      </c>
      <c r="D115" s="8">
        <v>797.61</v>
      </c>
    </row>
    <row r="116" spans="1:4" x14ac:dyDescent="0.2">
      <c r="A116" s="6">
        <v>156</v>
      </c>
      <c r="B116" s="5" t="s">
        <v>149</v>
      </c>
      <c r="C116" s="7" t="s">
        <v>1</v>
      </c>
      <c r="D116" s="8">
        <v>659.34</v>
      </c>
    </row>
    <row r="117" spans="1:4" x14ac:dyDescent="0.2">
      <c r="A117" s="6">
        <v>157</v>
      </c>
      <c r="B117" s="5" t="s">
        <v>150</v>
      </c>
      <c r="C117" s="7" t="s">
        <v>136</v>
      </c>
      <c r="D117" s="8">
        <v>420.31</v>
      </c>
    </row>
    <row r="118" spans="1:4" x14ac:dyDescent="0.2">
      <c r="A118" s="6">
        <v>158</v>
      </c>
      <c r="B118" s="5" t="s">
        <v>151</v>
      </c>
      <c r="C118" s="7" t="s">
        <v>25</v>
      </c>
      <c r="D118" s="8">
        <v>782</v>
      </c>
    </row>
    <row r="119" spans="1:4" x14ac:dyDescent="0.2">
      <c r="A119" s="6">
        <v>159</v>
      </c>
      <c r="B119" s="5" t="s">
        <v>152</v>
      </c>
      <c r="C119" s="7" t="s">
        <v>1</v>
      </c>
      <c r="D119" s="8">
        <v>782.9</v>
      </c>
    </row>
    <row r="120" spans="1:4" x14ac:dyDescent="0.2">
      <c r="A120" s="6">
        <v>160</v>
      </c>
      <c r="B120" s="5" t="s">
        <v>153</v>
      </c>
      <c r="C120" s="7" t="s">
        <v>154</v>
      </c>
      <c r="D120" s="8">
        <v>251.12</v>
      </c>
    </row>
    <row r="121" spans="1:4" x14ac:dyDescent="0.2">
      <c r="A121" s="6">
        <v>161</v>
      </c>
      <c r="B121" s="5" t="s">
        <v>155</v>
      </c>
      <c r="C121" s="7" t="s">
        <v>82</v>
      </c>
      <c r="D121" s="8"/>
    </row>
    <row r="122" spans="1:4" x14ac:dyDescent="0.2">
      <c r="A122" s="6">
        <v>162</v>
      </c>
      <c r="B122" s="5" t="s">
        <v>156</v>
      </c>
      <c r="C122" s="7" t="s">
        <v>1</v>
      </c>
      <c r="D122" s="8">
        <v>1592.92</v>
      </c>
    </row>
    <row r="123" spans="1:4" x14ac:dyDescent="0.2">
      <c r="A123" s="6">
        <v>163</v>
      </c>
      <c r="B123" s="5" t="s">
        <v>157</v>
      </c>
      <c r="C123" s="7" t="s">
        <v>99</v>
      </c>
      <c r="D123" s="8">
        <v>908.25</v>
      </c>
    </row>
    <row r="124" spans="1:4" x14ac:dyDescent="0.2">
      <c r="A124" s="6">
        <v>164</v>
      </c>
      <c r="B124" s="5" t="s">
        <v>158</v>
      </c>
      <c r="C124" s="7" t="s">
        <v>68</v>
      </c>
      <c r="D124" s="8">
        <v>262.97000000000003</v>
      </c>
    </row>
    <row r="125" spans="1:4" x14ac:dyDescent="0.2">
      <c r="A125" s="6">
        <v>165</v>
      </c>
      <c r="B125" s="5" t="s">
        <v>159</v>
      </c>
      <c r="C125" s="7" t="s">
        <v>25</v>
      </c>
      <c r="D125" s="8">
        <v>411.1</v>
      </c>
    </row>
    <row r="126" spans="1:4" x14ac:dyDescent="0.2">
      <c r="A126" s="6">
        <v>166</v>
      </c>
      <c r="B126" s="5" t="s">
        <v>160</v>
      </c>
      <c r="C126" s="7" t="s">
        <v>50</v>
      </c>
      <c r="D126" s="8">
        <v>601.14</v>
      </c>
    </row>
    <row r="127" spans="1:4" x14ac:dyDescent="0.2">
      <c r="A127" s="6">
        <v>167</v>
      </c>
      <c r="B127" s="5" t="s">
        <v>161</v>
      </c>
      <c r="C127" s="7" t="s">
        <v>25</v>
      </c>
      <c r="D127" s="8">
        <v>402.35</v>
      </c>
    </row>
    <row r="128" spans="1:4" x14ac:dyDescent="0.2">
      <c r="A128" s="6">
        <v>168</v>
      </c>
      <c r="B128" s="5" t="s">
        <v>162</v>
      </c>
      <c r="C128" s="7" t="s">
        <v>64</v>
      </c>
      <c r="D128" s="8">
        <v>638.79999999999995</v>
      </c>
    </row>
    <row r="129" spans="1:4" x14ac:dyDescent="0.2">
      <c r="A129" s="6">
        <v>169</v>
      </c>
      <c r="B129" s="5" t="s">
        <v>163</v>
      </c>
      <c r="C129" s="7" t="s">
        <v>154</v>
      </c>
      <c r="D129" s="8">
        <v>400</v>
      </c>
    </row>
    <row r="130" spans="1:4" x14ac:dyDescent="0.2">
      <c r="A130" s="6">
        <v>170</v>
      </c>
      <c r="B130" s="5" t="s">
        <v>164</v>
      </c>
      <c r="C130" s="7" t="s">
        <v>52</v>
      </c>
      <c r="D130" s="8"/>
    </row>
    <row r="131" spans="1:4" x14ac:dyDescent="0.2">
      <c r="A131" s="6">
        <v>178</v>
      </c>
      <c r="B131" s="5" t="s">
        <v>165</v>
      </c>
      <c r="C131" s="7" t="s">
        <v>10</v>
      </c>
      <c r="D131" s="8">
        <v>273.48</v>
      </c>
    </row>
    <row r="132" spans="1:4" x14ac:dyDescent="0.2">
      <c r="A132" s="6">
        <v>179</v>
      </c>
      <c r="B132" s="5" t="s">
        <v>166</v>
      </c>
      <c r="C132" s="7" t="s">
        <v>99</v>
      </c>
      <c r="D132" s="8">
        <v>906.59</v>
      </c>
    </row>
    <row r="133" spans="1:4" x14ac:dyDescent="0.2">
      <c r="A133" s="6">
        <v>180</v>
      </c>
      <c r="B133" s="5" t="s">
        <v>167</v>
      </c>
      <c r="C133" s="7" t="s">
        <v>168</v>
      </c>
      <c r="D133" s="8">
        <v>496.13</v>
      </c>
    </row>
    <row r="134" spans="1:4" x14ac:dyDescent="0.2">
      <c r="A134" s="6">
        <v>181</v>
      </c>
      <c r="B134" s="5" t="s">
        <v>169</v>
      </c>
      <c r="C134" s="7" t="s">
        <v>52</v>
      </c>
      <c r="D134" s="8"/>
    </row>
    <row r="135" spans="1:4" x14ac:dyDescent="0.2">
      <c r="A135" s="6">
        <v>182</v>
      </c>
      <c r="B135" s="5" t="s">
        <v>170</v>
      </c>
      <c r="C135" s="7" t="s">
        <v>82</v>
      </c>
      <c r="D135" s="8">
        <v>383.13</v>
      </c>
    </row>
    <row r="136" spans="1:4" x14ac:dyDescent="0.2">
      <c r="A136" s="6">
        <v>183</v>
      </c>
      <c r="B136" s="5" t="s">
        <v>171</v>
      </c>
      <c r="C136" s="7" t="s">
        <v>99</v>
      </c>
      <c r="D136" s="8">
        <v>561.75</v>
      </c>
    </row>
    <row r="137" spans="1:4" x14ac:dyDescent="0.2">
      <c r="A137" s="6">
        <v>184</v>
      </c>
      <c r="B137" s="5" t="s">
        <v>172</v>
      </c>
      <c r="C137" s="7" t="s">
        <v>99</v>
      </c>
      <c r="D137" s="8">
        <v>1142.8571428571429</v>
      </c>
    </row>
    <row r="138" spans="1:4" x14ac:dyDescent="0.2">
      <c r="A138" s="6">
        <v>185</v>
      </c>
      <c r="B138" s="5" t="s">
        <v>173</v>
      </c>
      <c r="C138" s="7" t="s">
        <v>99</v>
      </c>
      <c r="D138" s="8">
        <v>524.85</v>
      </c>
    </row>
    <row r="139" spans="1:4" x14ac:dyDescent="0.2">
      <c r="A139" s="6">
        <v>186</v>
      </c>
      <c r="B139" s="5" t="s">
        <v>174</v>
      </c>
      <c r="C139" s="7" t="s">
        <v>52</v>
      </c>
      <c r="D139" s="8">
        <v>239.97</v>
      </c>
    </row>
    <row r="140" spans="1:4" x14ac:dyDescent="0.2">
      <c r="A140" s="6">
        <v>187</v>
      </c>
      <c r="B140" s="5" t="s">
        <v>175</v>
      </c>
      <c r="C140" s="7" t="s">
        <v>99</v>
      </c>
      <c r="D140" s="8">
        <v>481.5</v>
      </c>
    </row>
    <row r="141" spans="1:4" x14ac:dyDescent="0.2">
      <c r="A141" s="6">
        <v>188</v>
      </c>
      <c r="B141" s="5" t="s">
        <v>176</v>
      </c>
      <c r="C141" s="7" t="s">
        <v>99</v>
      </c>
      <c r="D141" s="8">
        <v>623.07000000000005</v>
      </c>
    </row>
    <row r="142" spans="1:4" x14ac:dyDescent="0.2">
      <c r="A142" s="6">
        <v>189</v>
      </c>
      <c r="B142" s="5" t="s">
        <v>177</v>
      </c>
      <c r="C142" s="7" t="s">
        <v>52</v>
      </c>
      <c r="D142" s="8">
        <v>323.12</v>
      </c>
    </row>
    <row r="143" spans="1:4" x14ac:dyDescent="0.2">
      <c r="A143" s="6">
        <v>190</v>
      </c>
      <c r="B143" s="5" t="s">
        <v>178</v>
      </c>
      <c r="C143" s="7" t="s">
        <v>50</v>
      </c>
      <c r="D143" s="8">
        <v>516.1</v>
      </c>
    </row>
    <row r="144" spans="1:4" x14ac:dyDescent="0.2">
      <c r="A144" s="6">
        <v>191</v>
      </c>
      <c r="B144" s="5" t="s">
        <v>179</v>
      </c>
      <c r="C144" s="7" t="s">
        <v>52</v>
      </c>
      <c r="D144" s="8">
        <v>239.97</v>
      </c>
    </row>
    <row r="145" spans="1:4" x14ac:dyDescent="0.2">
      <c r="A145" s="6">
        <v>192</v>
      </c>
      <c r="B145" s="5" t="s">
        <v>180</v>
      </c>
      <c r="C145" s="7" t="s">
        <v>52</v>
      </c>
      <c r="D145" s="8">
        <v>323.12</v>
      </c>
    </row>
    <row r="146" spans="1:4" x14ac:dyDescent="0.2">
      <c r="A146" s="6">
        <v>193</v>
      </c>
      <c r="B146" s="5" t="s">
        <v>181</v>
      </c>
      <c r="C146" s="7" t="s">
        <v>52</v>
      </c>
      <c r="D146" s="8">
        <v>286.02999999999997</v>
      </c>
    </row>
    <row r="147" spans="1:4" x14ac:dyDescent="0.2">
      <c r="A147" s="6">
        <v>194</v>
      </c>
      <c r="B147" s="5" t="s">
        <v>182</v>
      </c>
      <c r="C147" s="7" t="s">
        <v>52</v>
      </c>
      <c r="D147" s="8">
        <v>323.57142857142856</v>
      </c>
    </row>
    <row r="148" spans="1:4" x14ac:dyDescent="0.2">
      <c r="A148" s="6">
        <v>195</v>
      </c>
      <c r="B148" s="5" t="s">
        <v>183</v>
      </c>
      <c r="C148" s="7" t="s">
        <v>99</v>
      </c>
      <c r="D148" s="8">
        <v>428.57142857142856</v>
      </c>
    </row>
    <row r="149" spans="1:4" x14ac:dyDescent="0.2">
      <c r="A149" s="6">
        <v>196</v>
      </c>
      <c r="B149" s="5" t="s">
        <v>184</v>
      </c>
      <c r="C149" s="7" t="s">
        <v>185</v>
      </c>
      <c r="D149" s="8">
        <v>592.19000000000005</v>
      </c>
    </row>
    <row r="150" spans="1:4" x14ac:dyDescent="0.2">
      <c r="A150" s="6">
        <v>197</v>
      </c>
      <c r="B150" s="5" t="s">
        <v>186</v>
      </c>
      <c r="C150" s="7" t="s">
        <v>185</v>
      </c>
      <c r="D150" s="8">
        <v>563.94000000000005</v>
      </c>
    </row>
    <row r="151" spans="1:4" x14ac:dyDescent="0.2">
      <c r="A151" s="6">
        <v>198</v>
      </c>
      <c r="B151" s="5" t="s">
        <v>187</v>
      </c>
      <c r="C151" s="7" t="s">
        <v>185</v>
      </c>
      <c r="D151" s="8">
        <v>554.53</v>
      </c>
    </row>
    <row r="152" spans="1:4" x14ac:dyDescent="0.2">
      <c r="A152" s="6">
        <v>199</v>
      </c>
      <c r="B152" s="5" t="s">
        <v>188</v>
      </c>
      <c r="C152" s="7" t="s">
        <v>185</v>
      </c>
      <c r="D152" s="8">
        <v>479.21</v>
      </c>
    </row>
    <row r="153" spans="1:4" x14ac:dyDescent="0.2">
      <c r="A153" s="6">
        <v>200</v>
      </c>
      <c r="B153" s="5" t="s">
        <v>189</v>
      </c>
      <c r="C153" s="7" t="s">
        <v>52</v>
      </c>
      <c r="D153" s="8">
        <v>347.62</v>
      </c>
    </row>
    <row r="154" spans="1:4" x14ac:dyDescent="0.2">
      <c r="A154" s="6">
        <v>201</v>
      </c>
      <c r="B154" s="5" t="s">
        <v>190</v>
      </c>
      <c r="C154" s="7" t="s">
        <v>1</v>
      </c>
      <c r="D154" s="8">
        <v>573.21</v>
      </c>
    </row>
    <row r="155" spans="1:4" x14ac:dyDescent="0.2">
      <c r="A155" s="6">
        <v>202</v>
      </c>
      <c r="B155" s="5" t="s">
        <v>191</v>
      </c>
      <c r="C155" s="7" t="s">
        <v>118</v>
      </c>
      <c r="D155" s="8">
        <v>319.04000000000002</v>
      </c>
    </row>
    <row r="156" spans="1:4" x14ac:dyDescent="0.2">
      <c r="A156" s="6">
        <v>203</v>
      </c>
      <c r="B156" s="5" t="s">
        <v>192</v>
      </c>
      <c r="C156" s="7" t="s">
        <v>25</v>
      </c>
      <c r="D156" s="8">
        <v>530</v>
      </c>
    </row>
    <row r="157" spans="1:4" x14ac:dyDescent="0.2">
      <c r="A157" s="6">
        <v>204</v>
      </c>
      <c r="B157" s="5" t="s">
        <v>193</v>
      </c>
      <c r="C157" s="7" t="s">
        <v>25</v>
      </c>
      <c r="D157" s="8">
        <v>530</v>
      </c>
    </row>
    <row r="158" spans="1:4" x14ac:dyDescent="0.2">
      <c r="A158" s="6">
        <v>205</v>
      </c>
      <c r="B158" s="5" t="s">
        <v>194</v>
      </c>
      <c r="D158" s="8"/>
    </row>
    <row r="159" spans="1:4" x14ac:dyDescent="0.2">
      <c r="A159" s="6">
        <v>206</v>
      </c>
      <c r="B159" s="5" t="s">
        <v>195</v>
      </c>
      <c r="C159" s="7" t="s">
        <v>82</v>
      </c>
      <c r="D159" s="8">
        <v>464.11</v>
      </c>
    </row>
    <row r="160" spans="1:4" x14ac:dyDescent="0.2">
      <c r="A160" s="6">
        <v>207</v>
      </c>
      <c r="B160" s="5" t="s">
        <v>196</v>
      </c>
      <c r="C160" s="7" t="s">
        <v>52</v>
      </c>
      <c r="D160" s="8">
        <v>398.33</v>
      </c>
    </row>
    <row r="161" spans="1:4" x14ac:dyDescent="0.2">
      <c r="A161" s="6">
        <v>208</v>
      </c>
      <c r="B161" s="5" t="s">
        <v>197</v>
      </c>
      <c r="C161" s="7" t="s">
        <v>82</v>
      </c>
      <c r="D161" s="8">
        <v>496.6</v>
      </c>
    </row>
    <row r="162" spans="1:4" x14ac:dyDescent="0.2">
      <c r="A162" s="6">
        <v>209</v>
      </c>
      <c r="B162" s="5" t="s">
        <v>198</v>
      </c>
      <c r="C162" s="7" t="s">
        <v>64</v>
      </c>
      <c r="D162" s="8">
        <v>638.79999999999995</v>
      </c>
    </row>
    <row r="163" spans="1:4" x14ac:dyDescent="0.2">
      <c r="A163" s="6">
        <v>210</v>
      </c>
      <c r="B163" s="5" t="s">
        <v>199</v>
      </c>
      <c r="C163" s="7" t="s">
        <v>92</v>
      </c>
      <c r="D163" s="8"/>
    </row>
    <row r="164" spans="1:4" x14ac:dyDescent="0.2">
      <c r="A164" s="6">
        <v>211</v>
      </c>
      <c r="B164" s="5" t="s">
        <v>200</v>
      </c>
      <c r="C164" s="7" t="s">
        <v>50</v>
      </c>
      <c r="D164" s="8">
        <v>552.23</v>
      </c>
    </row>
    <row r="165" spans="1:4" x14ac:dyDescent="0.2">
      <c r="A165" s="6">
        <v>212</v>
      </c>
      <c r="B165" s="5" t="s">
        <v>201</v>
      </c>
      <c r="C165" s="7" t="s">
        <v>10</v>
      </c>
      <c r="D165" s="8">
        <v>307.25</v>
      </c>
    </row>
    <row r="166" spans="1:4" x14ac:dyDescent="0.2">
      <c r="A166" s="6">
        <v>213</v>
      </c>
      <c r="B166" s="5" t="s">
        <v>202</v>
      </c>
      <c r="C166" s="7" t="s">
        <v>10</v>
      </c>
      <c r="D166" s="8">
        <v>307.25</v>
      </c>
    </row>
    <row r="167" spans="1:4" x14ac:dyDescent="0.2">
      <c r="A167" s="6">
        <v>214</v>
      </c>
      <c r="B167" s="5" t="s">
        <v>203</v>
      </c>
      <c r="C167" s="7" t="s">
        <v>10</v>
      </c>
      <c r="D167" s="8">
        <v>307.25</v>
      </c>
    </row>
    <row r="168" spans="1:4" x14ac:dyDescent="0.2">
      <c r="A168" s="6">
        <v>215</v>
      </c>
      <c r="B168" s="5" t="s">
        <v>204</v>
      </c>
      <c r="C168" s="7" t="s">
        <v>64</v>
      </c>
      <c r="D168" s="8">
        <v>553.07000000000005</v>
      </c>
    </row>
    <row r="169" spans="1:4" x14ac:dyDescent="0.2">
      <c r="A169" s="6">
        <v>216</v>
      </c>
      <c r="B169" s="5" t="s">
        <v>205</v>
      </c>
      <c r="C169" s="7" t="s">
        <v>10</v>
      </c>
      <c r="D169" s="8">
        <v>307.25</v>
      </c>
    </row>
    <row r="170" spans="1:4" x14ac:dyDescent="0.2">
      <c r="A170" s="6">
        <v>217</v>
      </c>
      <c r="B170" s="5" t="s">
        <v>206</v>
      </c>
      <c r="C170" s="7" t="s">
        <v>10</v>
      </c>
      <c r="D170" s="8">
        <v>307.25</v>
      </c>
    </row>
    <row r="171" spans="1:4" x14ac:dyDescent="0.2">
      <c r="A171" s="6">
        <v>218</v>
      </c>
      <c r="B171" s="5" t="s">
        <v>207</v>
      </c>
      <c r="C171" s="7" t="s">
        <v>99</v>
      </c>
      <c r="D171" s="8">
        <v>484.7</v>
      </c>
    </row>
    <row r="172" spans="1:4" x14ac:dyDescent="0.2">
      <c r="A172" s="6">
        <v>219</v>
      </c>
      <c r="B172" s="5" t="s">
        <v>208</v>
      </c>
      <c r="C172" s="7" t="s">
        <v>82</v>
      </c>
      <c r="D172" s="8">
        <v>496.6</v>
      </c>
    </row>
    <row r="173" spans="1:4" x14ac:dyDescent="0.2">
      <c r="A173" s="6">
        <v>220</v>
      </c>
      <c r="B173" s="5" t="s">
        <v>209</v>
      </c>
      <c r="C173" s="7" t="s">
        <v>99</v>
      </c>
      <c r="D173" s="8">
        <v>714.28571428571433</v>
      </c>
    </row>
    <row r="174" spans="1:4" x14ac:dyDescent="0.2">
      <c r="A174" s="6">
        <v>221</v>
      </c>
      <c r="B174" s="5" t="s">
        <v>210</v>
      </c>
      <c r="C174" s="7" t="s">
        <v>64</v>
      </c>
      <c r="D174" s="8">
        <v>553.07000000000005</v>
      </c>
    </row>
    <row r="175" spans="1:4" x14ac:dyDescent="0.2">
      <c r="A175" s="6">
        <v>222</v>
      </c>
      <c r="B175" s="5" t="s">
        <v>211</v>
      </c>
      <c r="C175" s="7" t="s">
        <v>212</v>
      </c>
      <c r="D175" s="8">
        <v>982.34</v>
      </c>
    </row>
    <row r="176" spans="1:4" x14ac:dyDescent="0.2">
      <c r="A176" s="6">
        <v>223</v>
      </c>
      <c r="B176" s="5" t="s">
        <v>213</v>
      </c>
      <c r="C176" s="7" t="s">
        <v>82</v>
      </c>
      <c r="D176" s="8">
        <v>464.11</v>
      </c>
    </row>
    <row r="177" spans="1:4" x14ac:dyDescent="0.2">
      <c r="A177" s="6">
        <v>224</v>
      </c>
      <c r="B177" s="5" t="s">
        <v>214</v>
      </c>
      <c r="C177" s="7" t="s">
        <v>215</v>
      </c>
      <c r="D177" s="8">
        <v>731.47</v>
      </c>
    </row>
    <row r="178" spans="1:4" x14ac:dyDescent="0.2">
      <c r="A178" s="6">
        <v>225</v>
      </c>
      <c r="B178" s="5" t="s">
        <v>216</v>
      </c>
      <c r="C178" s="7" t="s">
        <v>99</v>
      </c>
      <c r="D178" s="8">
        <v>1142.8571428571429</v>
      </c>
    </row>
    <row r="179" spans="1:4" x14ac:dyDescent="0.2">
      <c r="A179" s="6">
        <v>226</v>
      </c>
      <c r="B179" s="5" t="s">
        <v>217</v>
      </c>
      <c r="C179" s="7" t="s">
        <v>154</v>
      </c>
      <c r="D179" s="8">
        <v>334</v>
      </c>
    </row>
    <row r="180" spans="1:4" x14ac:dyDescent="0.2">
      <c r="A180" s="6">
        <v>227</v>
      </c>
      <c r="B180" s="5" t="s">
        <v>218</v>
      </c>
      <c r="C180" s="7" t="s">
        <v>82</v>
      </c>
      <c r="D180" s="8">
        <v>640.04</v>
      </c>
    </row>
    <row r="181" spans="1:4" x14ac:dyDescent="0.2">
      <c r="A181" s="6">
        <v>228</v>
      </c>
      <c r="B181" s="5" t="s">
        <v>219</v>
      </c>
      <c r="C181" s="7" t="s">
        <v>99</v>
      </c>
      <c r="D181" s="8">
        <v>806.17</v>
      </c>
    </row>
    <row r="182" spans="1:4" x14ac:dyDescent="0.2">
      <c r="A182" s="6">
        <v>229</v>
      </c>
      <c r="B182" s="5" t="s">
        <v>220</v>
      </c>
      <c r="C182" s="7" t="s">
        <v>99</v>
      </c>
      <c r="D182" s="8">
        <v>714.28571428571433</v>
      </c>
    </row>
    <row r="183" spans="1:4" x14ac:dyDescent="0.2">
      <c r="A183" s="6">
        <v>230</v>
      </c>
      <c r="B183" s="5" t="s">
        <v>221</v>
      </c>
      <c r="C183" s="7" t="s">
        <v>50</v>
      </c>
      <c r="D183" s="8">
        <v>607.24</v>
      </c>
    </row>
    <row r="184" spans="1:4" x14ac:dyDescent="0.2">
      <c r="A184" s="6">
        <v>231</v>
      </c>
      <c r="B184" s="5" t="s">
        <v>222</v>
      </c>
      <c r="C184" s="7" t="s">
        <v>52</v>
      </c>
      <c r="D184" s="8">
        <v>490.52</v>
      </c>
    </row>
    <row r="185" spans="1:4" x14ac:dyDescent="0.2">
      <c r="A185" s="6">
        <v>234</v>
      </c>
      <c r="B185" s="5" t="s">
        <v>223</v>
      </c>
      <c r="C185" s="7" t="s">
        <v>82</v>
      </c>
      <c r="D185" s="8">
        <v>456.51</v>
      </c>
    </row>
    <row r="186" spans="1:4" x14ac:dyDescent="0.2">
      <c r="A186" s="6">
        <v>235</v>
      </c>
      <c r="B186" s="5" t="s">
        <v>224</v>
      </c>
      <c r="C186" s="7" t="s">
        <v>225</v>
      </c>
      <c r="D186" s="8">
        <v>477.75</v>
      </c>
    </row>
    <row r="187" spans="1:4" x14ac:dyDescent="0.2">
      <c r="A187" s="6">
        <v>236</v>
      </c>
      <c r="B187" s="5" t="s">
        <v>226</v>
      </c>
      <c r="C187" s="7" t="s">
        <v>82</v>
      </c>
      <c r="D187" s="8">
        <v>456.51</v>
      </c>
    </row>
    <row r="188" spans="1:4" x14ac:dyDescent="0.2">
      <c r="A188" s="6">
        <v>237</v>
      </c>
      <c r="B188" s="5" t="s">
        <v>227</v>
      </c>
      <c r="C188" s="7" t="s">
        <v>99</v>
      </c>
      <c r="D188" s="8">
        <v>892.87</v>
      </c>
    </row>
    <row r="189" spans="1:4" x14ac:dyDescent="0.2">
      <c r="A189" s="6">
        <v>238</v>
      </c>
      <c r="B189" s="5" t="s">
        <v>228</v>
      </c>
      <c r="C189" s="7" t="s">
        <v>229</v>
      </c>
      <c r="D189" s="8">
        <v>661.5</v>
      </c>
    </row>
    <row r="190" spans="1:4" x14ac:dyDescent="0.2">
      <c r="A190" s="6">
        <v>239</v>
      </c>
      <c r="B190" s="5" t="s">
        <v>230</v>
      </c>
      <c r="C190" s="7" t="s">
        <v>82</v>
      </c>
      <c r="D190" s="8">
        <v>892.75</v>
      </c>
    </row>
    <row r="191" spans="1:4" x14ac:dyDescent="0.2">
      <c r="A191" s="6">
        <v>240</v>
      </c>
      <c r="B191" s="5" t="s">
        <v>231</v>
      </c>
      <c r="C191" s="7" t="s">
        <v>50</v>
      </c>
      <c r="D191" s="8">
        <v>899.59</v>
      </c>
    </row>
    <row r="192" spans="1:4" x14ac:dyDescent="0.2">
      <c r="A192" s="6">
        <v>241</v>
      </c>
      <c r="B192" s="5" t="s">
        <v>232</v>
      </c>
      <c r="C192" s="7" t="s">
        <v>99</v>
      </c>
      <c r="D192" s="8">
        <v>1155.82</v>
      </c>
    </row>
    <row r="193" spans="1:4" x14ac:dyDescent="0.2">
      <c r="A193" s="6">
        <v>242</v>
      </c>
      <c r="B193" s="5" t="s">
        <v>233</v>
      </c>
      <c r="C193" s="7" t="s">
        <v>99</v>
      </c>
      <c r="D193" s="8">
        <f>41500*0.230769230769231/7</f>
        <v>1368.1318681318696</v>
      </c>
    </row>
    <row r="194" spans="1:4" x14ac:dyDescent="0.2">
      <c r="A194" s="6">
        <v>243</v>
      </c>
      <c r="B194" s="5" t="s">
        <v>234</v>
      </c>
      <c r="C194" s="7" t="s">
        <v>82</v>
      </c>
      <c r="D194" s="8">
        <v>718.13</v>
      </c>
    </row>
    <row r="195" spans="1:4" x14ac:dyDescent="0.2">
      <c r="A195" s="6">
        <v>244</v>
      </c>
      <c r="B195" s="5" t="s">
        <v>235</v>
      </c>
      <c r="C195" s="7" t="s">
        <v>1</v>
      </c>
      <c r="D195" s="8">
        <v>830</v>
      </c>
    </row>
    <row r="196" spans="1:4" x14ac:dyDescent="0.2">
      <c r="A196" s="6">
        <v>245</v>
      </c>
      <c r="B196" s="5" t="s">
        <v>236</v>
      </c>
      <c r="C196" s="7" t="s">
        <v>99</v>
      </c>
      <c r="D196" s="8">
        <v>913</v>
      </c>
    </row>
    <row r="197" spans="1:4" x14ac:dyDescent="0.2">
      <c r="A197" s="6">
        <v>246</v>
      </c>
      <c r="B197" s="5" t="s">
        <v>237</v>
      </c>
      <c r="C197" s="7" t="s">
        <v>99</v>
      </c>
      <c r="D197" s="8">
        <v>753.15</v>
      </c>
    </row>
    <row r="198" spans="1:4" x14ac:dyDescent="0.2">
      <c r="A198" s="6">
        <v>247</v>
      </c>
      <c r="B198" s="5" t="s">
        <v>238</v>
      </c>
      <c r="C198" s="7" t="s">
        <v>52</v>
      </c>
      <c r="D198" s="8">
        <v>428.64</v>
      </c>
    </row>
    <row r="199" spans="1:4" x14ac:dyDescent="0.2">
      <c r="A199" s="6">
        <v>248</v>
      </c>
      <c r="B199" s="5" t="s">
        <v>239</v>
      </c>
      <c r="C199" s="7" t="s">
        <v>99</v>
      </c>
      <c r="D199" s="8">
        <v>913</v>
      </c>
    </row>
    <row r="200" spans="1:4" x14ac:dyDescent="0.2">
      <c r="A200" s="6">
        <v>249</v>
      </c>
      <c r="B200" s="5" t="s">
        <v>240</v>
      </c>
      <c r="C200" s="7" t="s">
        <v>99</v>
      </c>
      <c r="D200" s="8">
        <v>741.78</v>
      </c>
    </row>
    <row r="201" spans="1:4" x14ac:dyDescent="0.2">
      <c r="A201" s="6">
        <v>250</v>
      </c>
      <c r="B201" s="5" t="s">
        <v>241</v>
      </c>
      <c r="C201" s="7" t="s">
        <v>215</v>
      </c>
      <c r="D201" s="8">
        <v>846.47</v>
      </c>
    </row>
    <row r="202" spans="1:4" x14ac:dyDescent="0.2">
      <c r="A202" s="6">
        <v>251</v>
      </c>
      <c r="B202" s="5" t="s">
        <v>242</v>
      </c>
      <c r="C202" s="7" t="s">
        <v>154</v>
      </c>
      <c r="D202" s="8">
        <v>315.04000000000002</v>
      </c>
    </row>
    <row r="203" spans="1:4" x14ac:dyDescent="0.2">
      <c r="A203" s="6">
        <v>252</v>
      </c>
      <c r="B203" s="5" t="s">
        <v>243</v>
      </c>
      <c r="C203" s="7" t="s">
        <v>99</v>
      </c>
      <c r="D203" s="8">
        <v>747.97</v>
      </c>
    </row>
    <row r="204" spans="1:4" x14ac:dyDescent="0.2">
      <c r="A204" s="6">
        <v>253</v>
      </c>
      <c r="B204" s="5" t="s">
        <v>244</v>
      </c>
      <c r="C204" s="7" t="s">
        <v>212</v>
      </c>
      <c r="D204" s="8">
        <v>806.11</v>
      </c>
    </row>
    <row r="205" spans="1:4" x14ac:dyDescent="0.2">
      <c r="A205" s="6">
        <v>254</v>
      </c>
      <c r="B205" s="5" t="s">
        <v>245</v>
      </c>
      <c r="C205" s="7" t="s">
        <v>99</v>
      </c>
      <c r="D205" s="8">
        <v>709.5</v>
      </c>
    </row>
    <row r="206" spans="1:4" x14ac:dyDescent="0.2">
      <c r="A206" s="6">
        <v>255</v>
      </c>
      <c r="B206" s="5" t="s">
        <v>246</v>
      </c>
      <c r="C206" s="7" t="s">
        <v>50</v>
      </c>
      <c r="D206" s="8">
        <v>820.95</v>
      </c>
    </row>
    <row r="207" spans="1:4" x14ac:dyDescent="0.2">
      <c r="A207" s="6">
        <v>256</v>
      </c>
      <c r="B207" s="5" t="s">
        <v>247</v>
      </c>
      <c r="C207" s="7" t="s">
        <v>99</v>
      </c>
      <c r="D207" s="8">
        <v>709.5</v>
      </c>
    </row>
    <row r="208" spans="1:4" x14ac:dyDescent="0.2">
      <c r="A208" s="6">
        <v>257</v>
      </c>
      <c r="B208" s="5" t="s">
        <v>248</v>
      </c>
      <c r="C208" s="7" t="s">
        <v>212</v>
      </c>
      <c r="D208" s="8">
        <v>1162</v>
      </c>
    </row>
    <row r="209" spans="1:4" x14ac:dyDescent="0.2">
      <c r="A209" s="6">
        <v>258</v>
      </c>
      <c r="B209" s="5" t="s">
        <v>249</v>
      </c>
      <c r="C209" s="7" t="s">
        <v>68</v>
      </c>
      <c r="D209" s="8">
        <v>774.85</v>
      </c>
    </row>
    <row r="210" spans="1:4" x14ac:dyDescent="0.2">
      <c r="A210" s="6">
        <v>259</v>
      </c>
      <c r="B210" s="5" t="s">
        <v>250</v>
      </c>
      <c r="C210" s="7" t="s">
        <v>25</v>
      </c>
      <c r="D210" s="8"/>
    </row>
    <row r="211" spans="1:4" x14ac:dyDescent="0.2">
      <c r="A211" s="6">
        <v>332</v>
      </c>
      <c r="B211" s="5" t="s">
        <v>251</v>
      </c>
      <c r="C211" s="7" t="s">
        <v>64</v>
      </c>
      <c r="D211" s="8">
        <v>553.07000000000005</v>
      </c>
    </row>
    <row r="212" spans="1:4" x14ac:dyDescent="0.2">
      <c r="A212" s="6">
        <v>459</v>
      </c>
      <c r="B212" s="5" t="s">
        <v>252</v>
      </c>
      <c r="C212" s="7" t="s">
        <v>64</v>
      </c>
      <c r="D212" s="8">
        <v>553.07000000000005</v>
      </c>
    </row>
    <row r="213" spans="1:4" x14ac:dyDescent="0.2">
      <c r="A213" s="6">
        <v>501</v>
      </c>
      <c r="B213" s="5" t="s">
        <v>253</v>
      </c>
      <c r="C213" s="7" t="s">
        <v>254</v>
      </c>
      <c r="D213" s="8"/>
    </row>
    <row r="214" spans="1:4" x14ac:dyDescent="0.2">
      <c r="A214" s="6">
        <v>502</v>
      </c>
      <c r="B214" s="5" t="s">
        <v>255</v>
      </c>
      <c r="C214" s="7" t="s">
        <v>64</v>
      </c>
      <c r="D214" s="8">
        <v>553.07000000000005</v>
      </c>
    </row>
    <row r="215" spans="1:4" x14ac:dyDescent="0.2">
      <c r="A215" s="6">
        <v>503</v>
      </c>
      <c r="B215" s="5" t="s">
        <v>256</v>
      </c>
      <c r="C215" s="7" t="s">
        <v>64</v>
      </c>
      <c r="D215" s="8">
        <v>553.07000000000005</v>
      </c>
    </row>
    <row r="216" spans="1:4" x14ac:dyDescent="0.2">
      <c r="A216" s="6">
        <v>524</v>
      </c>
      <c r="B216" s="5" t="s">
        <v>257</v>
      </c>
      <c r="C216" s="7" t="s">
        <v>64</v>
      </c>
      <c r="D216" s="8">
        <v>553.07000000000005</v>
      </c>
    </row>
    <row r="217" spans="1:4" x14ac:dyDescent="0.2">
      <c r="A217" s="6">
        <v>598</v>
      </c>
      <c r="B217" s="5" t="s">
        <v>258</v>
      </c>
      <c r="C217" s="7" t="s">
        <v>64</v>
      </c>
      <c r="D217" s="8">
        <v>553.07000000000005</v>
      </c>
    </row>
    <row r="218" spans="1:4" x14ac:dyDescent="0.2">
      <c r="A218" s="6">
        <v>600</v>
      </c>
      <c r="B218" s="5" t="s">
        <v>259</v>
      </c>
      <c r="C218" s="7" t="s">
        <v>260</v>
      </c>
      <c r="D218" s="8"/>
    </row>
    <row r="219" spans="1:4" x14ac:dyDescent="0.2">
      <c r="A219" s="6">
        <v>604</v>
      </c>
      <c r="B219" s="5" t="s">
        <v>261</v>
      </c>
      <c r="C219" s="7" t="s">
        <v>64</v>
      </c>
      <c r="D219" s="8">
        <v>553.07000000000005</v>
      </c>
    </row>
    <row r="220" spans="1:4" x14ac:dyDescent="0.2">
      <c r="A220" s="6">
        <v>641</v>
      </c>
      <c r="B220" s="5" t="s">
        <v>262</v>
      </c>
      <c r="C220" s="7" t="s">
        <v>92</v>
      </c>
      <c r="D220" s="8">
        <v>126.5</v>
      </c>
    </row>
    <row r="221" spans="1:4" x14ac:dyDescent="0.2">
      <c r="A221" s="6">
        <v>648</v>
      </c>
      <c r="B221" s="5" t="s">
        <v>263</v>
      </c>
      <c r="C221" s="7" t="s">
        <v>10</v>
      </c>
      <c r="D221" s="8">
        <v>307.25</v>
      </c>
    </row>
    <row r="222" spans="1:4" x14ac:dyDescent="0.2">
      <c r="A222" s="6">
        <v>672</v>
      </c>
      <c r="B222" s="5" t="s">
        <v>264</v>
      </c>
      <c r="C222" s="7" t="s">
        <v>265</v>
      </c>
      <c r="D222" s="8"/>
    </row>
    <row r="223" spans="1:4" x14ac:dyDescent="0.2">
      <c r="A223" s="6">
        <v>674</v>
      </c>
      <c r="B223" s="5" t="s">
        <v>266</v>
      </c>
      <c r="C223" s="7" t="s">
        <v>35</v>
      </c>
      <c r="D223" s="8">
        <v>0</v>
      </c>
    </row>
    <row r="224" spans="1:4" x14ac:dyDescent="0.2">
      <c r="A224" s="6">
        <v>684</v>
      </c>
      <c r="B224" s="5" t="s">
        <v>267</v>
      </c>
      <c r="C224" s="7" t="s">
        <v>64</v>
      </c>
      <c r="D224" s="8">
        <v>553.07000000000005</v>
      </c>
    </row>
    <row r="225" spans="1:4" x14ac:dyDescent="0.2">
      <c r="A225" s="6">
        <v>700</v>
      </c>
      <c r="B225" s="5" t="s">
        <v>268</v>
      </c>
      <c r="C225" s="7" t="s">
        <v>185</v>
      </c>
      <c r="D225" s="8">
        <v>69</v>
      </c>
    </row>
    <row r="226" spans="1:4" x14ac:dyDescent="0.2">
      <c r="A226" s="6">
        <v>706</v>
      </c>
      <c r="B226" s="5" t="s">
        <v>269</v>
      </c>
      <c r="C226" s="7" t="s">
        <v>10</v>
      </c>
      <c r="D226" s="8">
        <v>470</v>
      </c>
    </row>
    <row r="227" spans="1:4" x14ac:dyDescent="0.2">
      <c r="A227" s="6">
        <v>712</v>
      </c>
      <c r="B227" s="5" t="s">
        <v>270</v>
      </c>
      <c r="C227" s="7" t="s">
        <v>64</v>
      </c>
      <c r="D227" s="8">
        <v>553.07000000000005</v>
      </c>
    </row>
    <row r="228" spans="1:4" x14ac:dyDescent="0.2">
      <c r="A228" s="6">
        <v>713</v>
      </c>
      <c r="B228" s="5" t="s">
        <v>271</v>
      </c>
      <c r="C228" s="7" t="s">
        <v>254</v>
      </c>
      <c r="D228" s="8"/>
    </row>
    <row r="229" spans="1:4" x14ac:dyDescent="0.2">
      <c r="A229" s="6">
        <v>765</v>
      </c>
      <c r="B229" s="5" t="s">
        <v>272</v>
      </c>
      <c r="C229" s="7" t="s">
        <v>185</v>
      </c>
      <c r="D229" s="8">
        <v>288</v>
      </c>
    </row>
    <row r="230" spans="1:4" x14ac:dyDescent="0.2">
      <c r="A230" s="6">
        <v>788</v>
      </c>
      <c r="B230" s="5" t="s">
        <v>273</v>
      </c>
      <c r="C230" s="7" t="s">
        <v>10</v>
      </c>
      <c r="D230" s="8">
        <v>307.25</v>
      </c>
    </row>
    <row r="231" spans="1:4" x14ac:dyDescent="0.2">
      <c r="A231" s="6">
        <v>809</v>
      </c>
      <c r="B231" s="5" t="s">
        <v>274</v>
      </c>
      <c r="C231" s="7" t="s">
        <v>64</v>
      </c>
      <c r="D231" s="8">
        <v>553.07000000000005</v>
      </c>
    </row>
    <row r="232" spans="1:4" x14ac:dyDescent="0.2">
      <c r="A232" s="6">
        <v>821</v>
      </c>
      <c r="B232" s="5" t="s">
        <v>275</v>
      </c>
      <c r="C232" s="7" t="s">
        <v>64</v>
      </c>
      <c r="D232" s="8">
        <v>553.07000000000005</v>
      </c>
    </row>
    <row r="233" spans="1:4" x14ac:dyDescent="0.2">
      <c r="A233" s="6">
        <v>825</v>
      </c>
      <c r="B233" s="5" t="s">
        <v>276</v>
      </c>
      <c r="C233" s="7" t="s">
        <v>64</v>
      </c>
      <c r="D233" s="8">
        <v>638.79999999999995</v>
      </c>
    </row>
    <row r="234" spans="1:4" x14ac:dyDescent="0.2">
      <c r="A234" s="6">
        <v>827</v>
      </c>
      <c r="B234" s="5" t="s">
        <v>277</v>
      </c>
      <c r="C234" s="7" t="s">
        <v>30</v>
      </c>
      <c r="D234" s="8">
        <v>0</v>
      </c>
    </row>
    <row r="235" spans="1:4" x14ac:dyDescent="0.2">
      <c r="A235" s="6">
        <v>839</v>
      </c>
      <c r="B235" s="5" t="s">
        <v>278</v>
      </c>
      <c r="C235" s="7" t="s">
        <v>68</v>
      </c>
      <c r="D235" s="8"/>
    </row>
    <row r="236" spans="1:4" x14ac:dyDescent="0.2">
      <c r="A236" s="6">
        <v>840</v>
      </c>
      <c r="B236" s="5" t="s">
        <v>279</v>
      </c>
      <c r="C236" s="7" t="s">
        <v>280</v>
      </c>
      <c r="D236" s="8"/>
    </row>
    <row r="237" spans="1:4" x14ac:dyDescent="0.2">
      <c r="A237" s="6">
        <v>870</v>
      </c>
      <c r="B237" s="5" t="s">
        <v>281</v>
      </c>
      <c r="C237" s="7" t="s">
        <v>282</v>
      </c>
      <c r="D237" s="8">
        <v>126.5</v>
      </c>
    </row>
    <row r="238" spans="1:4" x14ac:dyDescent="0.2">
      <c r="A238" s="6">
        <v>917</v>
      </c>
      <c r="B238" s="5" t="s">
        <v>283</v>
      </c>
      <c r="C238" s="7" t="s">
        <v>10</v>
      </c>
      <c r="D238" s="8">
        <v>307.25</v>
      </c>
    </row>
    <row r="239" spans="1:4" x14ac:dyDescent="0.2">
      <c r="A239" s="6">
        <v>926</v>
      </c>
      <c r="B239" s="5" t="s">
        <v>284</v>
      </c>
      <c r="C239" s="7" t="s">
        <v>265</v>
      </c>
      <c r="D239" s="8">
        <f>1051.05/7</f>
        <v>150.15</v>
      </c>
    </row>
    <row r="240" spans="1:4" x14ac:dyDescent="0.2">
      <c r="A240" s="6">
        <v>929</v>
      </c>
      <c r="B240" s="5" t="s">
        <v>285</v>
      </c>
      <c r="C240" s="7" t="s">
        <v>10</v>
      </c>
      <c r="D240" s="8">
        <v>307.25</v>
      </c>
    </row>
    <row r="241" spans="1:4" x14ac:dyDescent="0.2">
      <c r="A241" s="6">
        <v>961</v>
      </c>
      <c r="B241" s="5" t="s">
        <v>286</v>
      </c>
      <c r="C241" s="7" t="s">
        <v>64</v>
      </c>
      <c r="D241" s="8">
        <v>553.07000000000005</v>
      </c>
    </row>
    <row r="242" spans="1:4" x14ac:dyDescent="0.2">
      <c r="A242" s="6">
        <v>964</v>
      </c>
      <c r="B242" s="5" t="s">
        <v>287</v>
      </c>
      <c r="C242" s="7" t="s">
        <v>64</v>
      </c>
      <c r="D242" s="8">
        <v>663.69</v>
      </c>
    </row>
    <row r="243" spans="1:4" x14ac:dyDescent="0.2">
      <c r="A243" s="6">
        <v>991</v>
      </c>
      <c r="B243" s="5" t="s">
        <v>288</v>
      </c>
      <c r="C243" s="7" t="s">
        <v>92</v>
      </c>
      <c r="D243" s="8">
        <v>126.5</v>
      </c>
    </row>
    <row r="244" spans="1:4" x14ac:dyDescent="0.2">
      <c r="A244" s="6">
        <v>994</v>
      </c>
      <c r="B244" s="5" t="s">
        <v>289</v>
      </c>
      <c r="C244" s="7" t="s">
        <v>10</v>
      </c>
      <c r="D244" s="8">
        <v>307.25</v>
      </c>
    </row>
    <row r="245" spans="1:4" x14ac:dyDescent="0.2">
      <c r="A245" s="6">
        <v>997</v>
      </c>
      <c r="B245" s="5" t="s">
        <v>290</v>
      </c>
      <c r="C245" s="7" t="s">
        <v>64</v>
      </c>
      <c r="D245" s="8">
        <v>553.07000000000005</v>
      </c>
    </row>
    <row r="246" spans="1:4" x14ac:dyDescent="0.2">
      <c r="A246" s="6">
        <v>998</v>
      </c>
      <c r="B246" s="5" t="s">
        <v>291</v>
      </c>
      <c r="C246" s="7" t="s">
        <v>64</v>
      </c>
      <c r="D246" s="8">
        <v>553.07000000000005</v>
      </c>
    </row>
    <row r="247" spans="1:4" x14ac:dyDescent="0.2">
      <c r="A247" s="6">
        <v>999</v>
      </c>
      <c r="B247" s="5" t="s">
        <v>292</v>
      </c>
      <c r="C247" s="7" t="s">
        <v>64</v>
      </c>
      <c r="D247" s="8">
        <v>553.07000000000005</v>
      </c>
    </row>
    <row r="248" spans="1:4" x14ac:dyDescent="0.2">
      <c r="A248" s="6">
        <v>1009</v>
      </c>
      <c r="B248" s="5" t="s">
        <v>293</v>
      </c>
      <c r="C248" s="7" t="s">
        <v>265</v>
      </c>
      <c r="D248" s="8">
        <v>307.25</v>
      </c>
    </row>
    <row r="249" spans="1:4" x14ac:dyDescent="0.2">
      <c r="A249" s="6">
        <v>1048</v>
      </c>
      <c r="B249" s="5" t="s">
        <v>294</v>
      </c>
      <c r="C249" s="7" t="s">
        <v>10</v>
      </c>
      <c r="D249" s="8">
        <v>307.25</v>
      </c>
    </row>
    <row r="250" spans="1:4" x14ac:dyDescent="0.2">
      <c r="A250" s="6">
        <v>1059</v>
      </c>
      <c r="B250" s="5" t="s">
        <v>295</v>
      </c>
      <c r="C250" s="7" t="s">
        <v>280</v>
      </c>
      <c r="D250" s="8"/>
    </row>
    <row r="251" spans="1:4" x14ac:dyDescent="0.2">
      <c r="A251" s="6">
        <v>1070</v>
      </c>
      <c r="B251" s="5" t="s">
        <v>296</v>
      </c>
      <c r="C251" s="7" t="s">
        <v>297</v>
      </c>
      <c r="D251" s="8">
        <f>215.28*1.05</f>
        <v>226.04400000000001</v>
      </c>
    </row>
    <row r="252" spans="1:4" x14ac:dyDescent="0.2">
      <c r="A252" s="6">
        <v>1100</v>
      </c>
      <c r="B252" s="5" t="s">
        <v>298</v>
      </c>
      <c r="C252" s="7" t="s">
        <v>10</v>
      </c>
      <c r="D252" s="8">
        <v>307.25</v>
      </c>
    </row>
    <row r="253" spans="1:4" x14ac:dyDescent="0.2">
      <c r="A253" s="6">
        <v>1106</v>
      </c>
      <c r="B253" s="5" t="s">
        <v>299</v>
      </c>
      <c r="C253" s="7" t="s">
        <v>280</v>
      </c>
      <c r="D253" s="8"/>
    </row>
    <row r="254" spans="1:4" x14ac:dyDescent="0.2">
      <c r="A254" s="6">
        <v>1113</v>
      </c>
      <c r="B254" s="5" t="s">
        <v>300</v>
      </c>
      <c r="C254" s="7" t="s">
        <v>64</v>
      </c>
      <c r="D254" s="8">
        <v>553.07000000000005</v>
      </c>
    </row>
    <row r="255" spans="1:4" x14ac:dyDescent="0.2">
      <c r="A255" s="6">
        <v>1116</v>
      </c>
      <c r="B255" s="5" t="s">
        <v>301</v>
      </c>
      <c r="C255" s="7" t="s">
        <v>10</v>
      </c>
      <c r="D255" s="8">
        <v>307.25</v>
      </c>
    </row>
    <row r="256" spans="1:4" x14ac:dyDescent="0.2">
      <c r="A256" s="6">
        <v>1119</v>
      </c>
      <c r="B256" s="5" t="s">
        <v>302</v>
      </c>
      <c r="C256" s="7" t="s">
        <v>64</v>
      </c>
      <c r="D256" s="8">
        <v>638.79999999999995</v>
      </c>
    </row>
    <row r="257" spans="1:4" x14ac:dyDescent="0.2">
      <c r="A257" s="6">
        <v>1126</v>
      </c>
      <c r="B257" s="5" t="s">
        <v>303</v>
      </c>
      <c r="C257" s="7" t="s">
        <v>64</v>
      </c>
      <c r="D257" s="8">
        <v>553.07000000000005</v>
      </c>
    </row>
    <row r="258" spans="1:4" x14ac:dyDescent="0.2">
      <c r="A258" s="6">
        <v>1131</v>
      </c>
      <c r="B258" s="5" t="s">
        <v>304</v>
      </c>
      <c r="C258" s="7" t="s">
        <v>10</v>
      </c>
      <c r="D258" s="8">
        <v>307.25</v>
      </c>
    </row>
    <row r="259" spans="1:4" x14ac:dyDescent="0.2">
      <c r="A259" s="6">
        <v>1137</v>
      </c>
      <c r="B259" s="5" t="s">
        <v>305</v>
      </c>
      <c r="C259" s="7" t="s">
        <v>10</v>
      </c>
      <c r="D259" s="8">
        <v>307.25</v>
      </c>
    </row>
    <row r="260" spans="1:4" x14ac:dyDescent="0.2">
      <c r="A260" s="6">
        <v>1151</v>
      </c>
      <c r="B260" s="5" t="s">
        <v>306</v>
      </c>
      <c r="C260" s="7" t="s">
        <v>52</v>
      </c>
      <c r="D260" s="8">
        <v>126.5</v>
      </c>
    </row>
    <row r="261" spans="1:4" x14ac:dyDescent="0.2">
      <c r="A261" s="6">
        <v>1169</v>
      </c>
      <c r="B261" s="5" t="s">
        <v>307</v>
      </c>
      <c r="C261" s="7" t="s">
        <v>64</v>
      </c>
      <c r="D261" s="8">
        <v>553.07000000000005</v>
      </c>
    </row>
    <row r="262" spans="1:4" x14ac:dyDescent="0.2">
      <c r="A262" s="6">
        <v>1170</v>
      </c>
      <c r="B262" s="5" t="s">
        <v>308</v>
      </c>
      <c r="C262" s="7" t="s">
        <v>10</v>
      </c>
      <c r="D262" s="8">
        <v>307.25</v>
      </c>
    </row>
    <row r="263" spans="1:4" x14ac:dyDescent="0.2">
      <c r="A263" s="6">
        <v>1173</v>
      </c>
      <c r="B263" s="5" t="s">
        <v>309</v>
      </c>
      <c r="C263" s="7" t="s">
        <v>64</v>
      </c>
      <c r="D263" s="8">
        <v>553.07000000000005</v>
      </c>
    </row>
    <row r="264" spans="1:4" x14ac:dyDescent="0.2">
      <c r="A264" s="6">
        <v>1178</v>
      </c>
      <c r="B264" s="5" t="s">
        <v>310</v>
      </c>
      <c r="C264" s="7" t="s">
        <v>311</v>
      </c>
      <c r="D264" s="8"/>
    </row>
    <row r="265" spans="1:4" x14ac:dyDescent="0.2">
      <c r="A265" s="6">
        <v>1194</v>
      </c>
      <c r="B265" s="5" t="s">
        <v>312</v>
      </c>
      <c r="C265" s="7" t="s">
        <v>64</v>
      </c>
      <c r="D265" s="8">
        <v>553.07000000000005</v>
      </c>
    </row>
    <row r="266" spans="1:4" x14ac:dyDescent="0.2">
      <c r="A266" s="6">
        <v>1201</v>
      </c>
      <c r="B266" s="5" t="s">
        <v>313</v>
      </c>
      <c r="C266" s="7" t="s">
        <v>64</v>
      </c>
      <c r="D266" s="8">
        <v>553.07000000000005</v>
      </c>
    </row>
    <row r="267" spans="1:4" x14ac:dyDescent="0.2">
      <c r="A267" s="6">
        <v>1204</v>
      </c>
      <c r="B267" s="5" t="s">
        <v>314</v>
      </c>
      <c r="C267" s="7" t="s">
        <v>92</v>
      </c>
      <c r="D267" s="8">
        <v>126.5</v>
      </c>
    </row>
    <row r="268" spans="1:4" x14ac:dyDescent="0.2">
      <c r="A268" s="6">
        <v>1238</v>
      </c>
      <c r="B268" s="5" t="s">
        <v>315</v>
      </c>
      <c r="C268" s="7" t="s">
        <v>92</v>
      </c>
      <c r="D268" s="8">
        <v>126.5</v>
      </c>
    </row>
    <row r="269" spans="1:4" x14ac:dyDescent="0.2">
      <c r="A269" s="6">
        <v>1260</v>
      </c>
      <c r="B269" s="5" t="s">
        <v>316</v>
      </c>
      <c r="C269" s="7" t="s">
        <v>68</v>
      </c>
      <c r="D269" s="8"/>
    </row>
    <row r="270" spans="1:4" x14ac:dyDescent="0.2">
      <c r="A270" s="6">
        <v>1264</v>
      </c>
      <c r="B270" s="5" t="s">
        <v>317</v>
      </c>
      <c r="C270" s="7" t="s">
        <v>92</v>
      </c>
      <c r="D270" s="8">
        <v>126.5</v>
      </c>
    </row>
    <row r="271" spans="1:4" x14ac:dyDescent="0.2">
      <c r="A271" s="6">
        <v>1276</v>
      </c>
      <c r="B271" s="5" t="s">
        <v>318</v>
      </c>
      <c r="C271" s="7" t="s">
        <v>311</v>
      </c>
      <c r="D271" s="8"/>
    </row>
    <row r="272" spans="1:4" x14ac:dyDescent="0.2">
      <c r="A272" s="6">
        <v>1282</v>
      </c>
      <c r="B272" s="5" t="s">
        <v>319</v>
      </c>
      <c r="C272" s="7" t="s">
        <v>64</v>
      </c>
      <c r="D272" s="8">
        <v>553.07000000000005</v>
      </c>
    </row>
    <row r="273" spans="1:4" x14ac:dyDescent="0.2">
      <c r="A273" s="6">
        <v>1283</v>
      </c>
      <c r="B273" s="5" t="s">
        <v>320</v>
      </c>
      <c r="C273" s="7" t="s">
        <v>64</v>
      </c>
      <c r="D273" s="8">
        <v>446.51</v>
      </c>
    </row>
    <row r="274" spans="1:4" x14ac:dyDescent="0.2">
      <c r="A274" s="6">
        <v>1294</v>
      </c>
      <c r="B274" s="5" t="s">
        <v>321</v>
      </c>
      <c r="C274" s="7" t="s">
        <v>10</v>
      </c>
      <c r="D274" s="8">
        <v>307.25</v>
      </c>
    </row>
    <row r="275" spans="1:4" x14ac:dyDescent="0.2">
      <c r="A275" s="6">
        <v>1296</v>
      </c>
      <c r="B275" s="5" t="s">
        <v>322</v>
      </c>
      <c r="C275" s="7" t="s">
        <v>265</v>
      </c>
      <c r="D275" s="8"/>
    </row>
    <row r="276" spans="1:4" x14ac:dyDescent="0.2">
      <c r="A276" s="6">
        <v>1306</v>
      </c>
      <c r="B276" s="5" t="s">
        <v>323</v>
      </c>
      <c r="C276" s="7" t="s">
        <v>64</v>
      </c>
      <c r="D276" s="8">
        <v>553.07000000000005</v>
      </c>
    </row>
    <row r="277" spans="1:4" x14ac:dyDescent="0.2">
      <c r="A277" s="6">
        <v>1311</v>
      </c>
      <c r="B277" s="5" t="s">
        <v>324</v>
      </c>
      <c r="C277" s="7" t="s">
        <v>10</v>
      </c>
      <c r="D277" s="8">
        <v>307.25</v>
      </c>
    </row>
    <row r="278" spans="1:4" x14ac:dyDescent="0.2">
      <c r="A278" s="6">
        <v>1316</v>
      </c>
      <c r="B278" s="5" t="s">
        <v>325</v>
      </c>
      <c r="C278" s="7" t="s">
        <v>64</v>
      </c>
      <c r="D278" s="8">
        <v>553.07000000000005</v>
      </c>
    </row>
    <row r="279" spans="1:4" x14ac:dyDescent="0.2">
      <c r="A279" s="6">
        <v>1329</v>
      </c>
      <c r="B279" s="5" t="s">
        <v>326</v>
      </c>
      <c r="C279" s="7" t="s">
        <v>10</v>
      </c>
      <c r="D279" s="8">
        <v>307.25</v>
      </c>
    </row>
    <row r="280" spans="1:4" x14ac:dyDescent="0.2">
      <c r="A280" s="6">
        <v>1335</v>
      </c>
      <c r="B280" s="5" t="s">
        <v>327</v>
      </c>
      <c r="C280" s="7" t="s">
        <v>10</v>
      </c>
      <c r="D280" s="8">
        <v>307.25</v>
      </c>
    </row>
    <row r="281" spans="1:4" x14ac:dyDescent="0.2">
      <c r="A281" s="6">
        <v>1336</v>
      </c>
      <c r="B281" s="5" t="s">
        <v>328</v>
      </c>
      <c r="C281" s="7" t="s">
        <v>10</v>
      </c>
      <c r="D281" s="8">
        <v>307.25</v>
      </c>
    </row>
    <row r="282" spans="1:4" x14ac:dyDescent="0.2">
      <c r="A282" s="6">
        <v>1343</v>
      </c>
      <c r="B282" s="5" t="s">
        <v>329</v>
      </c>
      <c r="C282" s="7" t="s">
        <v>311</v>
      </c>
      <c r="D282" s="8"/>
    </row>
    <row r="283" spans="1:4" x14ac:dyDescent="0.2">
      <c r="A283" s="6">
        <v>1345</v>
      </c>
      <c r="B283" s="5" t="s">
        <v>330</v>
      </c>
      <c r="C283" s="7" t="s">
        <v>64</v>
      </c>
      <c r="D283" s="8">
        <v>553.07000000000005</v>
      </c>
    </row>
    <row r="284" spans="1:4" x14ac:dyDescent="0.2">
      <c r="A284" s="6">
        <v>1353</v>
      </c>
      <c r="B284" s="5" t="s">
        <v>331</v>
      </c>
      <c r="C284" s="7" t="s">
        <v>10</v>
      </c>
      <c r="D284" s="8">
        <v>307.25</v>
      </c>
    </row>
    <row r="285" spans="1:4" x14ac:dyDescent="0.2">
      <c r="A285" s="6">
        <v>1355</v>
      </c>
      <c r="B285" s="5" t="s">
        <v>332</v>
      </c>
      <c r="C285" s="7" t="s">
        <v>10</v>
      </c>
      <c r="D285" s="8">
        <v>307.25</v>
      </c>
    </row>
    <row r="286" spans="1:4" x14ac:dyDescent="0.2">
      <c r="A286" s="6">
        <v>1357</v>
      </c>
      <c r="B286" s="5" t="s">
        <v>333</v>
      </c>
      <c r="C286" s="7" t="s">
        <v>185</v>
      </c>
      <c r="D286" s="8">
        <v>155</v>
      </c>
    </row>
    <row r="287" spans="1:4" x14ac:dyDescent="0.2">
      <c r="A287" s="6">
        <v>1359</v>
      </c>
      <c r="B287" s="5" t="s">
        <v>334</v>
      </c>
      <c r="C287" s="7" t="s">
        <v>64</v>
      </c>
      <c r="D287" s="8">
        <v>553.07000000000005</v>
      </c>
    </row>
    <row r="288" spans="1:4" x14ac:dyDescent="0.2">
      <c r="A288" s="6">
        <v>1361</v>
      </c>
      <c r="B288" s="5" t="s">
        <v>335</v>
      </c>
      <c r="C288" s="7" t="s">
        <v>64</v>
      </c>
      <c r="D288" s="8">
        <v>553.07000000000005</v>
      </c>
    </row>
    <row r="289" spans="1:4" x14ac:dyDescent="0.2">
      <c r="A289" s="6">
        <v>1362</v>
      </c>
      <c r="B289" s="5" t="s">
        <v>336</v>
      </c>
      <c r="C289" s="7" t="s">
        <v>10</v>
      </c>
      <c r="D289" s="8">
        <v>307.25</v>
      </c>
    </row>
    <row r="290" spans="1:4" x14ac:dyDescent="0.2">
      <c r="A290" s="6">
        <v>1364</v>
      </c>
      <c r="B290" s="5" t="s">
        <v>337</v>
      </c>
      <c r="C290" s="7" t="s">
        <v>64</v>
      </c>
      <c r="D290" s="8">
        <v>553.07000000000005</v>
      </c>
    </row>
    <row r="291" spans="1:4" x14ac:dyDescent="0.2">
      <c r="A291" s="6">
        <v>1365</v>
      </c>
      <c r="B291" s="5" t="s">
        <v>338</v>
      </c>
      <c r="C291" s="7" t="s">
        <v>64</v>
      </c>
      <c r="D291" s="8">
        <v>553.07000000000005</v>
      </c>
    </row>
    <row r="292" spans="1:4" x14ac:dyDescent="0.2">
      <c r="A292" s="6">
        <v>1370</v>
      </c>
      <c r="B292" s="5" t="s">
        <v>339</v>
      </c>
      <c r="C292" s="7" t="s">
        <v>10</v>
      </c>
      <c r="D292" s="8">
        <v>307.25</v>
      </c>
    </row>
    <row r="293" spans="1:4" x14ac:dyDescent="0.2">
      <c r="A293" s="6">
        <v>1371</v>
      </c>
      <c r="B293" s="5" t="s">
        <v>340</v>
      </c>
      <c r="C293" s="7" t="s">
        <v>10</v>
      </c>
      <c r="D293" s="8">
        <v>307.25</v>
      </c>
    </row>
    <row r="294" spans="1:4" x14ac:dyDescent="0.2">
      <c r="A294" s="6">
        <v>1374</v>
      </c>
      <c r="B294" s="5" t="s">
        <v>341</v>
      </c>
      <c r="C294" s="7" t="s">
        <v>10</v>
      </c>
      <c r="D294" s="8">
        <v>273.48</v>
      </c>
    </row>
    <row r="295" spans="1:4" x14ac:dyDescent="0.2">
      <c r="A295" s="6">
        <v>1376</v>
      </c>
      <c r="B295" s="5" t="s">
        <v>342</v>
      </c>
      <c r="C295" s="7" t="s">
        <v>311</v>
      </c>
      <c r="D295" s="8"/>
    </row>
    <row r="296" spans="1:4" x14ac:dyDescent="0.2">
      <c r="A296" s="6">
        <v>1383</v>
      </c>
      <c r="B296" s="5" t="s">
        <v>343</v>
      </c>
      <c r="C296" s="7" t="s">
        <v>10</v>
      </c>
      <c r="D296" s="8">
        <v>307.25</v>
      </c>
    </row>
    <row r="297" spans="1:4" x14ac:dyDescent="0.2">
      <c r="A297" s="6">
        <v>1385</v>
      </c>
      <c r="B297" s="5" t="s">
        <v>344</v>
      </c>
      <c r="C297" s="7" t="s">
        <v>64</v>
      </c>
      <c r="D297" s="8">
        <v>553.07000000000005</v>
      </c>
    </row>
    <row r="298" spans="1:4" x14ac:dyDescent="0.2">
      <c r="A298" s="6">
        <v>1386</v>
      </c>
      <c r="B298" s="5" t="s">
        <v>345</v>
      </c>
      <c r="C298" s="7" t="s">
        <v>10</v>
      </c>
      <c r="D298" s="8">
        <v>307.25</v>
      </c>
    </row>
    <row r="299" spans="1:4" x14ac:dyDescent="0.2">
      <c r="A299" s="6">
        <v>1397</v>
      </c>
      <c r="B299" s="5" t="s">
        <v>346</v>
      </c>
      <c r="C299" s="7" t="s">
        <v>347</v>
      </c>
      <c r="D299" s="8"/>
    </row>
    <row r="300" spans="1:4" x14ac:dyDescent="0.2">
      <c r="A300" s="6">
        <v>1398</v>
      </c>
      <c r="B300" s="5" t="s">
        <v>348</v>
      </c>
      <c r="C300" s="7" t="s">
        <v>10</v>
      </c>
      <c r="D300" s="8">
        <v>307.25</v>
      </c>
    </row>
    <row r="301" spans="1:4" x14ac:dyDescent="0.2">
      <c r="A301" s="6">
        <v>1400</v>
      </c>
      <c r="B301" s="5" t="s">
        <v>349</v>
      </c>
      <c r="C301" s="7" t="s">
        <v>347</v>
      </c>
      <c r="D301" s="8"/>
    </row>
    <row r="302" spans="1:4" x14ac:dyDescent="0.2">
      <c r="A302" s="6">
        <v>1407</v>
      </c>
      <c r="B302" s="5" t="s">
        <v>350</v>
      </c>
      <c r="C302" s="7" t="s">
        <v>30</v>
      </c>
      <c r="D302" s="8">
        <v>0</v>
      </c>
    </row>
    <row r="303" spans="1:4" x14ac:dyDescent="0.2">
      <c r="A303" s="6">
        <v>1408</v>
      </c>
      <c r="B303" s="5" t="s">
        <v>351</v>
      </c>
      <c r="C303" s="7" t="s">
        <v>10</v>
      </c>
      <c r="D303" s="8">
        <v>307.25</v>
      </c>
    </row>
    <row r="304" spans="1:4" x14ac:dyDescent="0.2">
      <c r="A304" s="6">
        <v>1409</v>
      </c>
      <c r="B304" s="5" t="s">
        <v>352</v>
      </c>
      <c r="C304" s="7" t="s">
        <v>347</v>
      </c>
      <c r="D304" s="8"/>
    </row>
    <row r="305" spans="1:4" x14ac:dyDescent="0.2">
      <c r="A305" s="6">
        <v>1410</v>
      </c>
      <c r="B305" s="5" t="s">
        <v>353</v>
      </c>
      <c r="C305" s="7" t="s">
        <v>347</v>
      </c>
      <c r="D305" s="8">
        <v>260.45999999999998</v>
      </c>
    </row>
    <row r="306" spans="1:4" x14ac:dyDescent="0.2">
      <c r="A306" s="6">
        <v>1413</v>
      </c>
      <c r="B306" s="5" t="s">
        <v>354</v>
      </c>
      <c r="C306" s="7" t="s">
        <v>10</v>
      </c>
      <c r="D306" s="8">
        <v>307.25</v>
      </c>
    </row>
    <row r="307" spans="1:4" x14ac:dyDescent="0.2">
      <c r="A307" s="6">
        <v>1414</v>
      </c>
      <c r="B307" s="5" t="s">
        <v>355</v>
      </c>
      <c r="C307" s="7" t="s">
        <v>10</v>
      </c>
      <c r="D307" s="8">
        <v>307.25</v>
      </c>
    </row>
    <row r="308" spans="1:4" x14ac:dyDescent="0.2">
      <c r="A308" s="6">
        <v>1415</v>
      </c>
      <c r="B308" s="5" t="s">
        <v>356</v>
      </c>
      <c r="C308" s="7" t="s">
        <v>64</v>
      </c>
      <c r="D308" s="8">
        <v>553.07000000000005</v>
      </c>
    </row>
    <row r="309" spans="1:4" x14ac:dyDescent="0.2">
      <c r="A309" s="6">
        <v>1416</v>
      </c>
      <c r="B309" s="5" t="s">
        <v>357</v>
      </c>
      <c r="C309" s="7" t="s">
        <v>64</v>
      </c>
      <c r="D309" s="8">
        <v>553.07000000000005</v>
      </c>
    </row>
    <row r="310" spans="1:4" x14ac:dyDescent="0.2">
      <c r="A310" s="6">
        <v>1417</v>
      </c>
      <c r="B310" s="5" t="s">
        <v>358</v>
      </c>
      <c r="C310" s="7" t="s">
        <v>64</v>
      </c>
      <c r="D310" s="8">
        <v>553.07000000000005</v>
      </c>
    </row>
    <row r="311" spans="1:4" x14ac:dyDescent="0.2">
      <c r="A311" s="6">
        <v>1418</v>
      </c>
      <c r="B311" s="5" t="s">
        <v>359</v>
      </c>
      <c r="C311" s="7" t="s">
        <v>64</v>
      </c>
      <c r="D311" s="8">
        <v>553.07000000000005</v>
      </c>
    </row>
    <row r="312" spans="1:4" x14ac:dyDescent="0.2">
      <c r="A312" s="6">
        <v>1422</v>
      </c>
      <c r="B312" s="5" t="s">
        <v>360</v>
      </c>
      <c r="C312" s="7" t="s">
        <v>10</v>
      </c>
      <c r="D312" s="8">
        <v>307.25</v>
      </c>
    </row>
    <row r="313" spans="1:4" x14ac:dyDescent="0.2">
      <c r="A313" s="6">
        <v>1424</v>
      </c>
      <c r="B313" s="5" t="s">
        <v>361</v>
      </c>
      <c r="C313" s="7" t="s">
        <v>64</v>
      </c>
      <c r="D313" s="8">
        <v>553.07000000000005</v>
      </c>
    </row>
    <row r="314" spans="1:4" x14ac:dyDescent="0.2">
      <c r="A314" s="6">
        <v>1426</v>
      </c>
      <c r="B314" s="5" t="s">
        <v>362</v>
      </c>
      <c r="C314" s="7" t="s">
        <v>64</v>
      </c>
      <c r="D314" s="8">
        <v>553.07000000000005</v>
      </c>
    </row>
    <row r="315" spans="1:4" x14ac:dyDescent="0.2">
      <c r="A315" s="6">
        <v>1433</v>
      </c>
      <c r="B315" s="5" t="s">
        <v>363</v>
      </c>
      <c r="C315" s="7" t="s">
        <v>10</v>
      </c>
      <c r="D315" s="8">
        <v>307.25</v>
      </c>
    </row>
    <row r="316" spans="1:4" x14ac:dyDescent="0.2">
      <c r="A316" s="6">
        <v>1443</v>
      </c>
      <c r="B316" s="5" t="s">
        <v>364</v>
      </c>
      <c r="C316" s="7" t="s">
        <v>68</v>
      </c>
      <c r="D316" s="8"/>
    </row>
    <row r="317" spans="1:4" x14ac:dyDescent="0.2">
      <c r="A317" s="6">
        <v>1446</v>
      </c>
      <c r="B317" s="5" t="s">
        <v>365</v>
      </c>
      <c r="C317" s="7" t="s">
        <v>10</v>
      </c>
      <c r="D317" s="8">
        <v>307.25</v>
      </c>
    </row>
    <row r="318" spans="1:4" x14ac:dyDescent="0.2">
      <c r="A318" s="6">
        <v>1448</v>
      </c>
      <c r="B318" s="5" t="s">
        <v>366</v>
      </c>
      <c r="C318" s="7" t="s">
        <v>64</v>
      </c>
      <c r="D318" s="8">
        <v>553.07000000000005</v>
      </c>
    </row>
    <row r="319" spans="1:4" x14ac:dyDescent="0.2">
      <c r="A319" s="6">
        <v>1455</v>
      </c>
      <c r="B319" s="5" t="s">
        <v>367</v>
      </c>
      <c r="C319" s="7" t="s">
        <v>64</v>
      </c>
      <c r="D319" s="8">
        <v>553.07000000000005</v>
      </c>
    </row>
    <row r="320" spans="1:4" x14ac:dyDescent="0.2">
      <c r="A320" s="6">
        <v>1460</v>
      </c>
      <c r="B320" s="5" t="s">
        <v>368</v>
      </c>
      <c r="C320" s="7" t="s">
        <v>265</v>
      </c>
      <c r="D320" s="8"/>
    </row>
    <row r="321" spans="1:4" x14ac:dyDescent="0.2">
      <c r="A321" s="6">
        <v>1464</v>
      </c>
      <c r="B321" s="5" t="s">
        <v>369</v>
      </c>
      <c r="C321" s="7" t="s">
        <v>10</v>
      </c>
      <c r="D321" s="8">
        <v>307.25</v>
      </c>
    </row>
    <row r="322" spans="1:4" x14ac:dyDescent="0.2">
      <c r="A322" s="6">
        <v>1471</v>
      </c>
      <c r="B322" s="5" t="s">
        <v>370</v>
      </c>
      <c r="C322" s="7" t="s">
        <v>10</v>
      </c>
      <c r="D322" s="8">
        <v>307.25</v>
      </c>
    </row>
    <row r="323" spans="1:4" x14ac:dyDescent="0.2">
      <c r="A323" s="6">
        <v>1473</v>
      </c>
      <c r="B323" s="5" t="s">
        <v>371</v>
      </c>
      <c r="C323" s="7" t="s">
        <v>64</v>
      </c>
      <c r="D323" s="8">
        <v>553.07000000000005</v>
      </c>
    </row>
    <row r="324" spans="1:4" x14ac:dyDescent="0.2">
      <c r="A324" s="6">
        <v>1474</v>
      </c>
      <c r="B324" s="5" t="s">
        <v>372</v>
      </c>
      <c r="C324" s="7" t="s">
        <v>10</v>
      </c>
      <c r="D324" s="8">
        <v>307.25</v>
      </c>
    </row>
    <row r="325" spans="1:4" x14ac:dyDescent="0.2">
      <c r="A325" s="6">
        <v>1475</v>
      </c>
      <c r="B325" s="5" t="s">
        <v>373</v>
      </c>
      <c r="C325" s="7" t="s">
        <v>64</v>
      </c>
      <c r="D325" s="8">
        <v>553.07000000000005</v>
      </c>
    </row>
    <row r="326" spans="1:4" x14ac:dyDescent="0.2">
      <c r="A326" s="6">
        <v>1477</v>
      </c>
      <c r="B326" s="5" t="s">
        <v>374</v>
      </c>
      <c r="C326" s="7" t="s">
        <v>64</v>
      </c>
      <c r="D326" s="8">
        <v>553.07000000000005</v>
      </c>
    </row>
    <row r="327" spans="1:4" x14ac:dyDescent="0.2">
      <c r="A327" s="6">
        <v>1481</v>
      </c>
      <c r="B327" s="5" t="s">
        <v>375</v>
      </c>
      <c r="C327" s="7" t="s">
        <v>10</v>
      </c>
      <c r="D327" s="8">
        <v>307.25</v>
      </c>
    </row>
    <row r="328" spans="1:4" x14ac:dyDescent="0.2">
      <c r="A328" s="6">
        <v>1484</v>
      </c>
      <c r="B328" s="5" t="s">
        <v>376</v>
      </c>
      <c r="C328" s="7" t="s">
        <v>10</v>
      </c>
      <c r="D328" s="8">
        <v>307.25</v>
      </c>
    </row>
    <row r="329" spans="1:4" x14ac:dyDescent="0.2">
      <c r="A329" s="6">
        <v>1487</v>
      </c>
      <c r="B329" s="5" t="s">
        <v>377</v>
      </c>
      <c r="C329" s="7" t="s">
        <v>10</v>
      </c>
      <c r="D329" s="8">
        <v>307.25</v>
      </c>
    </row>
    <row r="330" spans="1:4" x14ac:dyDescent="0.2">
      <c r="A330" s="6">
        <v>1490</v>
      </c>
      <c r="B330" s="5" t="s">
        <v>378</v>
      </c>
      <c r="C330" s="7" t="s">
        <v>10</v>
      </c>
      <c r="D330" s="8">
        <v>307.25</v>
      </c>
    </row>
    <row r="331" spans="1:4" x14ac:dyDescent="0.2">
      <c r="A331" s="6">
        <v>1491</v>
      </c>
      <c r="B331" s="5" t="s">
        <v>379</v>
      </c>
      <c r="C331" s="7" t="s">
        <v>10</v>
      </c>
      <c r="D331" s="8">
        <v>307.25</v>
      </c>
    </row>
    <row r="332" spans="1:4" x14ac:dyDescent="0.2">
      <c r="A332" s="6">
        <v>1492</v>
      </c>
      <c r="B332" s="5" t="s">
        <v>380</v>
      </c>
      <c r="C332" s="7" t="s">
        <v>10</v>
      </c>
      <c r="D332" s="8">
        <v>307.25</v>
      </c>
    </row>
    <row r="333" spans="1:4" x14ac:dyDescent="0.2">
      <c r="A333" s="6">
        <v>1493</v>
      </c>
      <c r="B333" s="5" t="s">
        <v>381</v>
      </c>
      <c r="C333" s="7" t="s">
        <v>10</v>
      </c>
      <c r="D333" s="8">
        <v>307.25</v>
      </c>
    </row>
    <row r="334" spans="1:4" x14ac:dyDescent="0.2">
      <c r="A334" s="6">
        <v>1494</v>
      </c>
      <c r="B334" s="5" t="s">
        <v>382</v>
      </c>
      <c r="C334" s="7" t="s">
        <v>185</v>
      </c>
      <c r="D334" s="8">
        <v>128.57142857142858</v>
      </c>
    </row>
    <row r="335" spans="1:4" x14ac:dyDescent="0.2">
      <c r="A335" s="6">
        <v>1497</v>
      </c>
      <c r="B335" s="5" t="s">
        <v>383</v>
      </c>
      <c r="C335" s="7" t="s">
        <v>10</v>
      </c>
      <c r="D335" s="8">
        <v>307.25</v>
      </c>
    </row>
    <row r="336" spans="1:4" x14ac:dyDescent="0.2">
      <c r="A336" s="6">
        <v>1498</v>
      </c>
      <c r="B336" s="5" t="s">
        <v>384</v>
      </c>
      <c r="C336" s="7" t="s">
        <v>64</v>
      </c>
      <c r="D336" s="8">
        <v>553.07000000000005</v>
      </c>
    </row>
    <row r="337" spans="1:4" x14ac:dyDescent="0.2">
      <c r="A337" s="6">
        <v>1499</v>
      </c>
      <c r="B337" s="5" t="s">
        <v>385</v>
      </c>
      <c r="C337" s="7" t="s">
        <v>64</v>
      </c>
      <c r="D337" s="8">
        <v>553.07000000000005</v>
      </c>
    </row>
    <row r="338" spans="1:4" x14ac:dyDescent="0.2">
      <c r="A338" s="6">
        <v>1501</v>
      </c>
      <c r="B338" s="5" t="s">
        <v>386</v>
      </c>
      <c r="C338" s="7" t="s">
        <v>64</v>
      </c>
      <c r="D338" s="8">
        <v>553.07000000000005</v>
      </c>
    </row>
    <row r="339" spans="1:4" x14ac:dyDescent="0.2">
      <c r="A339" s="6">
        <v>1502</v>
      </c>
      <c r="B339" s="5" t="s">
        <v>387</v>
      </c>
      <c r="C339" s="7" t="s">
        <v>64</v>
      </c>
      <c r="D339" s="8">
        <v>553.07000000000005</v>
      </c>
    </row>
    <row r="340" spans="1:4" x14ac:dyDescent="0.2">
      <c r="A340" s="6">
        <v>1504</v>
      </c>
      <c r="B340" s="5" t="s">
        <v>388</v>
      </c>
      <c r="C340" s="7" t="s">
        <v>64</v>
      </c>
      <c r="D340" s="8">
        <v>553.07000000000005</v>
      </c>
    </row>
    <row r="341" spans="1:4" x14ac:dyDescent="0.2">
      <c r="A341" s="6">
        <v>1505</v>
      </c>
      <c r="B341" s="5" t="s">
        <v>389</v>
      </c>
      <c r="C341" s="7" t="s">
        <v>10</v>
      </c>
      <c r="D341" s="8">
        <v>307.25</v>
      </c>
    </row>
    <row r="342" spans="1:4" x14ac:dyDescent="0.2">
      <c r="A342" s="6">
        <v>1508</v>
      </c>
      <c r="B342" s="5" t="s">
        <v>390</v>
      </c>
      <c r="C342" s="7" t="s">
        <v>64</v>
      </c>
      <c r="D342" s="8">
        <v>553.07000000000005</v>
      </c>
    </row>
    <row r="343" spans="1:4" x14ac:dyDescent="0.2">
      <c r="A343" s="6">
        <v>1510</v>
      </c>
      <c r="B343" s="5" t="s">
        <v>391</v>
      </c>
      <c r="C343" s="7" t="s">
        <v>10</v>
      </c>
      <c r="D343" s="8">
        <v>307.25</v>
      </c>
    </row>
    <row r="344" spans="1:4" x14ac:dyDescent="0.2">
      <c r="A344" s="6">
        <v>1511</v>
      </c>
      <c r="B344" s="5" t="s">
        <v>392</v>
      </c>
      <c r="C344" s="7" t="s">
        <v>64</v>
      </c>
      <c r="D344" s="8">
        <v>553.07000000000005</v>
      </c>
    </row>
    <row r="345" spans="1:4" x14ac:dyDescent="0.2">
      <c r="A345" s="6">
        <v>1512</v>
      </c>
      <c r="B345" s="5" t="s">
        <v>393</v>
      </c>
      <c r="C345" s="7" t="s">
        <v>10</v>
      </c>
      <c r="D345" s="8">
        <v>307.25</v>
      </c>
    </row>
    <row r="346" spans="1:4" x14ac:dyDescent="0.2">
      <c r="A346" s="6">
        <v>1517</v>
      </c>
      <c r="B346" s="5" t="s">
        <v>394</v>
      </c>
      <c r="C346" s="7" t="s">
        <v>64</v>
      </c>
      <c r="D346" s="8">
        <v>553.07000000000005</v>
      </c>
    </row>
    <row r="347" spans="1:4" x14ac:dyDescent="0.2">
      <c r="A347" s="6">
        <v>1519</v>
      </c>
      <c r="B347" s="5" t="s">
        <v>395</v>
      </c>
      <c r="C347" s="7" t="s">
        <v>64</v>
      </c>
      <c r="D347" s="8">
        <v>553.07000000000005</v>
      </c>
    </row>
    <row r="348" spans="1:4" x14ac:dyDescent="0.2">
      <c r="A348" s="6">
        <v>1520</v>
      </c>
      <c r="B348" s="5" t="s">
        <v>396</v>
      </c>
      <c r="C348" s="7" t="s">
        <v>10</v>
      </c>
      <c r="D348" s="8">
        <v>307.25</v>
      </c>
    </row>
    <row r="349" spans="1:4" x14ac:dyDescent="0.2">
      <c r="A349" s="6">
        <v>1522</v>
      </c>
      <c r="B349" s="5" t="s">
        <v>397</v>
      </c>
      <c r="C349" s="7" t="s">
        <v>64</v>
      </c>
      <c r="D349" s="8">
        <v>553.07000000000005</v>
      </c>
    </row>
    <row r="350" spans="1:4" x14ac:dyDescent="0.2">
      <c r="A350" s="6">
        <v>1523</v>
      </c>
      <c r="B350" s="5" t="s">
        <v>398</v>
      </c>
      <c r="C350" s="7" t="s">
        <v>64</v>
      </c>
      <c r="D350" s="8">
        <v>553.07000000000005</v>
      </c>
    </row>
    <row r="351" spans="1:4" x14ac:dyDescent="0.2">
      <c r="A351" s="6">
        <v>1526</v>
      </c>
      <c r="B351" s="5" t="s">
        <v>399</v>
      </c>
      <c r="C351" s="7" t="s">
        <v>10</v>
      </c>
      <c r="D351" s="8">
        <v>307.25</v>
      </c>
    </row>
    <row r="352" spans="1:4" x14ac:dyDescent="0.2">
      <c r="A352" s="6">
        <v>1527</v>
      </c>
      <c r="B352" s="5" t="s">
        <v>400</v>
      </c>
      <c r="C352" s="7" t="s">
        <v>10</v>
      </c>
      <c r="D352" s="8">
        <v>307.25</v>
      </c>
    </row>
    <row r="353" spans="1:4" x14ac:dyDescent="0.2">
      <c r="A353" s="6">
        <v>1529</v>
      </c>
      <c r="B353" s="5" t="s">
        <v>401</v>
      </c>
      <c r="C353" s="7" t="s">
        <v>64</v>
      </c>
      <c r="D353" s="8">
        <v>553.07000000000005</v>
      </c>
    </row>
    <row r="354" spans="1:4" x14ac:dyDescent="0.2">
      <c r="A354" s="6">
        <v>1530</v>
      </c>
      <c r="B354" s="5" t="s">
        <v>402</v>
      </c>
      <c r="C354" s="7" t="s">
        <v>64</v>
      </c>
      <c r="D354" s="8">
        <v>553.07000000000005</v>
      </c>
    </row>
    <row r="355" spans="1:4" x14ac:dyDescent="0.2">
      <c r="A355" s="6">
        <v>1532</v>
      </c>
      <c r="B355" s="5" t="s">
        <v>403</v>
      </c>
      <c r="C355" s="7" t="s">
        <v>10</v>
      </c>
      <c r="D355" s="8">
        <v>307.25</v>
      </c>
    </row>
    <row r="356" spans="1:4" x14ac:dyDescent="0.2">
      <c r="A356" s="6">
        <v>1533</v>
      </c>
      <c r="B356" s="5" t="s">
        <v>404</v>
      </c>
      <c r="C356" s="7" t="s">
        <v>64</v>
      </c>
      <c r="D356" s="8">
        <v>553.07000000000005</v>
      </c>
    </row>
    <row r="357" spans="1:4" x14ac:dyDescent="0.2">
      <c r="A357" s="6">
        <v>1534</v>
      </c>
      <c r="B357" s="5" t="s">
        <v>405</v>
      </c>
      <c r="C357" s="7" t="s">
        <v>10</v>
      </c>
      <c r="D357" s="8">
        <v>307.25</v>
      </c>
    </row>
    <row r="358" spans="1:4" x14ac:dyDescent="0.2">
      <c r="A358" s="6">
        <v>1535</v>
      </c>
      <c r="B358" s="5" t="s">
        <v>406</v>
      </c>
      <c r="C358" s="7" t="s">
        <v>10</v>
      </c>
      <c r="D358" s="8">
        <v>307.25</v>
      </c>
    </row>
    <row r="359" spans="1:4" x14ac:dyDescent="0.2">
      <c r="A359" s="6">
        <v>1536</v>
      </c>
      <c r="B359" s="5" t="s">
        <v>407</v>
      </c>
      <c r="C359" s="7" t="s">
        <v>10</v>
      </c>
      <c r="D359" s="8">
        <v>307.25</v>
      </c>
    </row>
    <row r="360" spans="1:4" x14ac:dyDescent="0.2">
      <c r="A360" s="6">
        <v>1538</v>
      </c>
      <c r="B360" s="5" t="s">
        <v>408</v>
      </c>
      <c r="C360" s="7" t="s">
        <v>10</v>
      </c>
      <c r="D360" s="8">
        <v>307.25</v>
      </c>
    </row>
    <row r="361" spans="1:4" x14ac:dyDescent="0.2">
      <c r="A361" s="6">
        <v>1540</v>
      </c>
      <c r="B361" s="5" t="s">
        <v>409</v>
      </c>
      <c r="C361" s="7" t="s">
        <v>10</v>
      </c>
      <c r="D361" s="8">
        <v>307.25</v>
      </c>
    </row>
    <row r="362" spans="1:4" x14ac:dyDescent="0.2">
      <c r="A362" s="6">
        <v>1544</v>
      </c>
      <c r="B362" s="5" t="s">
        <v>410</v>
      </c>
      <c r="C362" s="7" t="s">
        <v>64</v>
      </c>
      <c r="D362" s="8">
        <v>553.07000000000005</v>
      </c>
    </row>
    <row r="363" spans="1:4" x14ac:dyDescent="0.2">
      <c r="A363" s="6">
        <v>1545</v>
      </c>
      <c r="B363" s="5" t="s">
        <v>411</v>
      </c>
      <c r="C363" s="7" t="s">
        <v>64</v>
      </c>
      <c r="D363" s="8">
        <v>553.07000000000005</v>
      </c>
    </row>
    <row r="364" spans="1:4" x14ac:dyDescent="0.2">
      <c r="A364" s="6">
        <v>1547</v>
      </c>
      <c r="B364" s="5" t="s">
        <v>412</v>
      </c>
      <c r="C364" s="7" t="s">
        <v>64</v>
      </c>
      <c r="D364" s="8">
        <v>553.07000000000005</v>
      </c>
    </row>
    <row r="365" spans="1:4" x14ac:dyDescent="0.2">
      <c r="A365" s="6">
        <v>1550</v>
      </c>
      <c r="B365" s="5" t="s">
        <v>413</v>
      </c>
      <c r="C365" s="7" t="s">
        <v>64</v>
      </c>
      <c r="D365" s="8">
        <v>553.07000000000005</v>
      </c>
    </row>
    <row r="366" spans="1:4" x14ac:dyDescent="0.2">
      <c r="A366" s="6">
        <v>1552</v>
      </c>
      <c r="B366" s="5" t="s">
        <v>414</v>
      </c>
      <c r="C366" s="7" t="s">
        <v>64</v>
      </c>
      <c r="D366" s="8">
        <v>553.07000000000005</v>
      </c>
    </row>
    <row r="367" spans="1:4" x14ac:dyDescent="0.2">
      <c r="A367" s="6">
        <v>1556</v>
      </c>
      <c r="B367" s="5" t="s">
        <v>415</v>
      </c>
      <c r="C367" s="7" t="s">
        <v>64</v>
      </c>
      <c r="D367" s="8">
        <v>553.07000000000005</v>
      </c>
    </row>
    <row r="368" spans="1:4" x14ac:dyDescent="0.2">
      <c r="A368" s="6">
        <v>1557</v>
      </c>
      <c r="B368" s="5" t="s">
        <v>416</v>
      </c>
      <c r="C368" s="7" t="s">
        <v>10</v>
      </c>
      <c r="D368" s="8">
        <v>307.25</v>
      </c>
    </row>
    <row r="369" spans="1:4" x14ac:dyDescent="0.2">
      <c r="A369" s="6">
        <v>1558</v>
      </c>
      <c r="B369" s="5" t="s">
        <v>417</v>
      </c>
      <c r="C369" s="7" t="s">
        <v>64</v>
      </c>
      <c r="D369" s="8">
        <v>553.07000000000005</v>
      </c>
    </row>
    <row r="370" spans="1:4" x14ac:dyDescent="0.2">
      <c r="A370" s="6">
        <v>1559</v>
      </c>
      <c r="B370" s="5" t="s">
        <v>418</v>
      </c>
      <c r="C370" s="7" t="s">
        <v>10</v>
      </c>
      <c r="D370" s="8">
        <v>307.25</v>
      </c>
    </row>
    <row r="371" spans="1:4" x14ac:dyDescent="0.2">
      <c r="A371" s="6">
        <v>1560</v>
      </c>
      <c r="B371" s="5" t="s">
        <v>419</v>
      </c>
      <c r="C371" s="7" t="s">
        <v>64</v>
      </c>
      <c r="D371" s="8">
        <v>663.69</v>
      </c>
    </row>
    <row r="372" spans="1:4" x14ac:dyDescent="0.2">
      <c r="A372" s="6">
        <v>1561</v>
      </c>
      <c r="B372" s="5" t="s">
        <v>420</v>
      </c>
      <c r="C372" s="7" t="s">
        <v>421</v>
      </c>
      <c r="D372" s="8">
        <v>126.5</v>
      </c>
    </row>
    <row r="373" spans="1:4" x14ac:dyDescent="0.2">
      <c r="A373" s="6">
        <v>1562</v>
      </c>
      <c r="B373" s="5" t="s">
        <v>422</v>
      </c>
      <c r="C373" s="7" t="s">
        <v>10</v>
      </c>
      <c r="D373" s="8">
        <v>307.25</v>
      </c>
    </row>
    <row r="374" spans="1:4" x14ac:dyDescent="0.2">
      <c r="A374" s="6">
        <v>1564</v>
      </c>
      <c r="B374" s="5" t="s">
        <v>423</v>
      </c>
      <c r="C374" s="7" t="s">
        <v>265</v>
      </c>
      <c r="D374" s="8"/>
    </row>
    <row r="375" spans="1:4" x14ac:dyDescent="0.2">
      <c r="A375" s="6">
        <v>1565</v>
      </c>
      <c r="B375" s="5" t="s">
        <v>424</v>
      </c>
      <c r="C375" s="7" t="s">
        <v>68</v>
      </c>
      <c r="D375" s="8"/>
    </row>
    <row r="376" spans="1:4" x14ac:dyDescent="0.2">
      <c r="A376" s="6">
        <v>1566</v>
      </c>
      <c r="B376" s="5" t="s">
        <v>425</v>
      </c>
      <c r="C376" s="7" t="s">
        <v>10</v>
      </c>
      <c r="D376" s="8">
        <v>307.25</v>
      </c>
    </row>
    <row r="377" spans="1:4" x14ac:dyDescent="0.2">
      <c r="A377" s="6">
        <v>1567</v>
      </c>
      <c r="B377" s="5" t="s">
        <v>426</v>
      </c>
      <c r="C377" s="7" t="s">
        <v>421</v>
      </c>
      <c r="D377" s="8">
        <v>126.5</v>
      </c>
    </row>
    <row r="378" spans="1:4" x14ac:dyDescent="0.2">
      <c r="A378" s="6">
        <v>1568</v>
      </c>
      <c r="B378" s="5" t="s">
        <v>427</v>
      </c>
      <c r="C378" s="7" t="s">
        <v>10</v>
      </c>
      <c r="D378" s="8">
        <v>307.25</v>
      </c>
    </row>
    <row r="379" spans="1:4" x14ac:dyDescent="0.2">
      <c r="A379" s="6">
        <v>1569</v>
      </c>
      <c r="B379" s="5" t="s">
        <v>428</v>
      </c>
      <c r="C379" s="7" t="s">
        <v>421</v>
      </c>
      <c r="D379" s="8">
        <v>126.5</v>
      </c>
    </row>
    <row r="380" spans="1:4" x14ac:dyDescent="0.2">
      <c r="A380" s="6">
        <v>1572</v>
      </c>
      <c r="B380" s="5" t="s">
        <v>429</v>
      </c>
      <c r="C380" s="7" t="s">
        <v>10</v>
      </c>
      <c r="D380" s="8">
        <v>307.25</v>
      </c>
    </row>
    <row r="381" spans="1:4" x14ac:dyDescent="0.2">
      <c r="A381" s="6">
        <v>1576</v>
      </c>
      <c r="B381" s="5" t="s">
        <v>430</v>
      </c>
      <c r="C381" s="7" t="s">
        <v>10</v>
      </c>
      <c r="D381" s="8">
        <v>307.25</v>
      </c>
    </row>
    <row r="382" spans="1:4" x14ac:dyDescent="0.2">
      <c r="A382" s="6">
        <v>1579</v>
      </c>
      <c r="B382" s="5" t="s">
        <v>431</v>
      </c>
      <c r="C382" s="7" t="s">
        <v>10</v>
      </c>
      <c r="D382" s="8">
        <v>307.25</v>
      </c>
    </row>
    <row r="383" spans="1:4" x14ac:dyDescent="0.2">
      <c r="A383" s="6">
        <v>1580</v>
      </c>
      <c r="B383" s="5" t="s">
        <v>432</v>
      </c>
      <c r="C383" s="7" t="s">
        <v>10</v>
      </c>
      <c r="D383" s="8">
        <v>307.25</v>
      </c>
    </row>
    <row r="384" spans="1:4" x14ac:dyDescent="0.2">
      <c r="A384" s="6">
        <v>1581</v>
      </c>
      <c r="B384" s="5" t="s">
        <v>433</v>
      </c>
      <c r="C384" s="7" t="s">
        <v>64</v>
      </c>
      <c r="D384" s="8">
        <v>553.07000000000005</v>
      </c>
    </row>
    <row r="385" spans="1:4" x14ac:dyDescent="0.2">
      <c r="A385" s="6">
        <v>1582</v>
      </c>
      <c r="B385" s="5" t="s">
        <v>434</v>
      </c>
      <c r="C385" s="7" t="s">
        <v>64</v>
      </c>
      <c r="D385" s="8">
        <v>553.07000000000005</v>
      </c>
    </row>
    <row r="386" spans="1:4" x14ac:dyDescent="0.2">
      <c r="A386" s="6">
        <v>1584</v>
      </c>
      <c r="B386" s="5" t="s">
        <v>435</v>
      </c>
      <c r="C386" s="7" t="s">
        <v>10</v>
      </c>
      <c r="D386" s="8">
        <v>307.25</v>
      </c>
    </row>
    <row r="387" spans="1:4" x14ac:dyDescent="0.2">
      <c r="A387" s="6">
        <v>1585</v>
      </c>
      <c r="B387" s="5" t="s">
        <v>436</v>
      </c>
      <c r="C387" s="7" t="s">
        <v>64</v>
      </c>
      <c r="D387" s="8">
        <v>553.07000000000005</v>
      </c>
    </row>
    <row r="388" spans="1:4" x14ac:dyDescent="0.2">
      <c r="A388" s="6">
        <v>1586</v>
      </c>
      <c r="B388" s="5" t="s">
        <v>437</v>
      </c>
      <c r="C388" s="7" t="s">
        <v>10</v>
      </c>
      <c r="D388" s="8">
        <v>307.25</v>
      </c>
    </row>
    <row r="389" spans="1:4" x14ac:dyDescent="0.2">
      <c r="A389" s="6">
        <v>1587</v>
      </c>
      <c r="B389" s="5" t="s">
        <v>438</v>
      </c>
      <c r="C389" s="7" t="s">
        <v>64</v>
      </c>
      <c r="D389" s="8">
        <v>553.07000000000005</v>
      </c>
    </row>
    <row r="390" spans="1:4" x14ac:dyDescent="0.2">
      <c r="A390" s="6">
        <v>1588</v>
      </c>
      <c r="B390" s="5" t="s">
        <v>439</v>
      </c>
      <c r="C390" s="7" t="s">
        <v>64</v>
      </c>
      <c r="D390" s="8">
        <v>553.07000000000005</v>
      </c>
    </row>
    <row r="391" spans="1:4" x14ac:dyDescent="0.2">
      <c r="A391" s="6">
        <v>1589</v>
      </c>
      <c r="B391" s="5" t="s">
        <v>440</v>
      </c>
      <c r="C391" s="7" t="s">
        <v>10</v>
      </c>
      <c r="D391" s="8">
        <v>307.25</v>
      </c>
    </row>
    <row r="392" spans="1:4" x14ac:dyDescent="0.2">
      <c r="A392" s="6">
        <v>1590</v>
      </c>
      <c r="B392" s="5" t="s">
        <v>441</v>
      </c>
      <c r="C392" s="7" t="s">
        <v>10</v>
      </c>
      <c r="D392" s="8">
        <v>307.25</v>
      </c>
    </row>
    <row r="393" spans="1:4" x14ac:dyDescent="0.2">
      <c r="A393" s="6">
        <v>1591</v>
      </c>
      <c r="B393" s="5" t="s">
        <v>442</v>
      </c>
      <c r="C393" s="7" t="s">
        <v>10</v>
      </c>
      <c r="D393" s="8">
        <v>307.25</v>
      </c>
    </row>
    <row r="394" spans="1:4" x14ac:dyDescent="0.2">
      <c r="A394" s="6">
        <v>1593</v>
      </c>
      <c r="B394" s="5" t="s">
        <v>443</v>
      </c>
      <c r="C394" s="7" t="s">
        <v>10</v>
      </c>
      <c r="D394" s="8">
        <v>307.25</v>
      </c>
    </row>
    <row r="395" spans="1:4" x14ac:dyDescent="0.2">
      <c r="A395" s="6">
        <v>1594</v>
      </c>
      <c r="B395" s="5" t="s">
        <v>444</v>
      </c>
      <c r="C395" s="7" t="s">
        <v>10</v>
      </c>
      <c r="D395" s="8">
        <v>307.25</v>
      </c>
    </row>
    <row r="396" spans="1:4" x14ac:dyDescent="0.2">
      <c r="A396" s="6">
        <v>1595</v>
      </c>
      <c r="B396" s="5" t="s">
        <v>445</v>
      </c>
      <c r="C396" s="7" t="s">
        <v>10</v>
      </c>
      <c r="D396" s="8">
        <v>307.25</v>
      </c>
    </row>
    <row r="397" spans="1:4" x14ac:dyDescent="0.2">
      <c r="A397" s="6">
        <v>1596</v>
      </c>
      <c r="B397" s="5" t="s">
        <v>446</v>
      </c>
      <c r="C397" s="7" t="s">
        <v>64</v>
      </c>
      <c r="D397" s="8">
        <v>553.07000000000005</v>
      </c>
    </row>
    <row r="398" spans="1:4" x14ac:dyDescent="0.2">
      <c r="A398" s="6">
        <v>1597</v>
      </c>
      <c r="B398" s="5" t="s">
        <v>447</v>
      </c>
      <c r="C398" s="7" t="s">
        <v>10</v>
      </c>
      <c r="D398" s="8">
        <v>307.25</v>
      </c>
    </row>
    <row r="399" spans="1:4" x14ac:dyDescent="0.2">
      <c r="A399" s="6">
        <v>1598</v>
      </c>
      <c r="B399" s="5" t="s">
        <v>448</v>
      </c>
      <c r="C399" s="7" t="s">
        <v>64</v>
      </c>
      <c r="D399" s="8">
        <v>553.07000000000005</v>
      </c>
    </row>
    <row r="400" spans="1:4" x14ac:dyDescent="0.2">
      <c r="A400" s="6">
        <v>1599</v>
      </c>
      <c r="B400" s="5" t="s">
        <v>449</v>
      </c>
      <c r="C400" s="7" t="s">
        <v>10</v>
      </c>
      <c r="D400" s="8">
        <v>307.25</v>
      </c>
    </row>
    <row r="401" spans="1:4" x14ac:dyDescent="0.2">
      <c r="A401" s="6">
        <v>1600</v>
      </c>
      <c r="B401" s="5" t="s">
        <v>450</v>
      </c>
      <c r="C401" s="7" t="s">
        <v>64</v>
      </c>
      <c r="D401" s="8">
        <v>553.07000000000005</v>
      </c>
    </row>
    <row r="402" spans="1:4" x14ac:dyDescent="0.2">
      <c r="A402" s="6">
        <v>1601</v>
      </c>
      <c r="B402" s="5" t="s">
        <v>451</v>
      </c>
      <c r="C402" s="7" t="s">
        <v>10</v>
      </c>
      <c r="D402" s="8">
        <v>307.25</v>
      </c>
    </row>
    <row r="403" spans="1:4" x14ac:dyDescent="0.2">
      <c r="A403" s="6">
        <v>1602</v>
      </c>
      <c r="B403" s="5" t="s">
        <v>452</v>
      </c>
      <c r="C403" s="7" t="s">
        <v>64</v>
      </c>
      <c r="D403" s="8">
        <v>553.07000000000005</v>
      </c>
    </row>
    <row r="404" spans="1:4" x14ac:dyDescent="0.2">
      <c r="A404" s="6">
        <v>1603</v>
      </c>
      <c r="B404" s="5" t="s">
        <v>453</v>
      </c>
      <c r="C404" s="7" t="s">
        <v>10</v>
      </c>
      <c r="D404" s="8">
        <v>307.25</v>
      </c>
    </row>
    <row r="405" spans="1:4" x14ac:dyDescent="0.2">
      <c r="A405" s="6">
        <v>1604</v>
      </c>
      <c r="B405" s="5" t="s">
        <v>454</v>
      </c>
      <c r="C405" s="7" t="s">
        <v>10</v>
      </c>
      <c r="D405" s="8">
        <v>307.25</v>
      </c>
    </row>
    <row r="406" spans="1:4" x14ac:dyDescent="0.2">
      <c r="A406" s="6">
        <v>1605</v>
      </c>
      <c r="B406" s="5" t="s">
        <v>455</v>
      </c>
      <c r="C406" s="7" t="s">
        <v>64</v>
      </c>
      <c r="D406" s="8">
        <v>553.07000000000005</v>
      </c>
    </row>
    <row r="407" spans="1:4" x14ac:dyDescent="0.2">
      <c r="A407" s="6">
        <v>1607</v>
      </c>
      <c r="B407" s="5" t="s">
        <v>456</v>
      </c>
      <c r="C407" s="7" t="s">
        <v>64</v>
      </c>
      <c r="D407" s="8">
        <v>553.07000000000005</v>
      </c>
    </row>
    <row r="408" spans="1:4" x14ac:dyDescent="0.2">
      <c r="A408" s="6">
        <v>1610</v>
      </c>
      <c r="B408" s="5" t="s">
        <v>457</v>
      </c>
      <c r="C408" s="7" t="s">
        <v>10</v>
      </c>
      <c r="D408" s="8">
        <v>307.25</v>
      </c>
    </row>
    <row r="409" spans="1:4" x14ac:dyDescent="0.2">
      <c r="A409" s="6">
        <v>1611</v>
      </c>
      <c r="B409" s="5" t="s">
        <v>458</v>
      </c>
      <c r="C409" s="7" t="s">
        <v>64</v>
      </c>
      <c r="D409" s="8">
        <v>553.07000000000005</v>
      </c>
    </row>
    <row r="410" spans="1:4" x14ac:dyDescent="0.2">
      <c r="A410" s="6">
        <v>1612</v>
      </c>
      <c r="B410" s="5" t="s">
        <v>459</v>
      </c>
      <c r="C410" s="7" t="s">
        <v>10</v>
      </c>
      <c r="D410" s="8">
        <v>307.25</v>
      </c>
    </row>
    <row r="411" spans="1:4" x14ac:dyDescent="0.2">
      <c r="A411" s="6">
        <v>1613</v>
      </c>
      <c r="B411" s="5" t="s">
        <v>460</v>
      </c>
      <c r="C411" s="7" t="s">
        <v>10</v>
      </c>
      <c r="D411" s="8">
        <v>307.25</v>
      </c>
    </row>
    <row r="412" spans="1:4" x14ac:dyDescent="0.2">
      <c r="A412" s="6">
        <v>1614</v>
      </c>
      <c r="B412" s="5" t="s">
        <v>461</v>
      </c>
      <c r="C412" s="7" t="s">
        <v>10</v>
      </c>
      <c r="D412" s="8">
        <v>307.25</v>
      </c>
    </row>
    <row r="413" spans="1:4" x14ac:dyDescent="0.2">
      <c r="A413" s="6">
        <v>1617</v>
      </c>
      <c r="B413" s="5" t="s">
        <v>462</v>
      </c>
      <c r="C413" s="7" t="s">
        <v>64</v>
      </c>
      <c r="D413" s="8">
        <v>553.07000000000005</v>
      </c>
    </row>
    <row r="414" spans="1:4" x14ac:dyDescent="0.2">
      <c r="A414" s="6">
        <v>1618</v>
      </c>
      <c r="B414" s="5" t="s">
        <v>463</v>
      </c>
      <c r="C414" s="7" t="s">
        <v>10</v>
      </c>
      <c r="D414" s="8">
        <v>307.25</v>
      </c>
    </row>
    <row r="415" spans="1:4" x14ac:dyDescent="0.2">
      <c r="A415" s="6">
        <v>1619</v>
      </c>
      <c r="B415" s="5" t="s">
        <v>464</v>
      </c>
      <c r="C415" s="7" t="s">
        <v>10</v>
      </c>
      <c r="D415" s="8">
        <v>307.25</v>
      </c>
    </row>
    <row r="416" spans="1:4" x14ac:dyDescent="0.2">
      <c r="A416" s="6">
        <v>1620</v>
      </c>
      <c r="B416" s="5" t="s">
        <v>465</v>
      </c>
      <c r="C416" s="7" t="s">
        <v>10</v>
      </c>
      <c r="D416" s="8">
        <v>307.25</v>
      </c>
    </row>
    <row r="417" spans="1:4" x14ac:dyDescent="0.2">
      <c r="A417" s="6">
        <v>1621</v>
      </c>
      <c r="B417" s="5" t="s">
        <v>466</v>
      </c>
      <c r="C417" s="7" t="s">
        <v>68</v>
      </c>
      <c r="D417" s="8"/>
    </row>
    <row r="418" spans="1:4" x14ac:dyDescent="0.2">
      <c r="A418" s="6">
        <v>1622</v>
      </c>
      <c r="B418" s="5" t="s">
        <v>467</v>
      </c>
      <c r="C418" s="7" t="s">
        <v>10</v>
      </c>
      <c r="D418" s="8">
        <v>307.25</v>
      </c>
    </row>
    <row r="419" spans="1:4" x14ac:dyDescent="0.2">
      <c r="A419" s="6">
        <v>1623</v>
      </c>
      <c r="B419" s="5" t="s">
        <v>468</v>
      </c>
      <c r="C419" s="7" t="s">
        <v>64</v>
      </c>
      <c r="D419" s="8">
        <v>553.07000000000005</v>
      </c>
    </row>
    <row r="420" spans="1:4" x14ac:dyDescent="0.2">
      <c r="A420" s="6">
        <v>1624</v>
      </c>
      <c r="B420" s="5" t="s">
        <v>469</v>
      </c>
      <c r="C420" s="7" t="s">
        <v>10</v>
      </c>
      <c r="D420" s="8">
        <v>307.25</v>
      </c>
    </row>
    <row r="421" spans="1:4" x14ac:dyDescent="0.2">
      <c r="A421" s="6">
        <v>1625</v>
      </c>
      <c r="B421" s="5" t="s">
        <v>470</v>
      </c>
      <c r="C421" s="7" t="s">
        <v>64</v>
      </c>
      <c r="D421" s="8">
        <v>553.07000000000005</v>
      </c>
    </row>
    <row r="422" spans="1:4" x14ac:dyDescent="0.2">
      <c r="A422" s="6">
        <v>1626</v>
      </c>
      <c r="B422" s="5" t="s">
        <v>471</v>
      </c>
      <c r="C422" s="7" t="s">
        <v>64</v>
      </c>
      <c r="D422" s="8">
        <v>553.07000000000005</v>
      </c>
    </row>
    <row r="423" spans="1:4" x14ac:dyDescent="0.2">
      <c r="A423" s="6">
        <v>1627</v>
      </c>
      <c r="B423" s="5" t="s">
        <v>472</v>
      </c>
      <c r="C423" s="7" t="s">
        <v>64</v>
      </c>
      <c r="D423" s="8">
        <v>553.07000000000005</v>
      </c>
    </row>
    <row r="424" spans="1:4" x14ac:dyDescent="0.2">
      <c r="A424" s="6">
        <v>1628</v>
      </c>
      <c r="B424" s="5" t="s">
        <v>473</v>
      </c>
      <c r="C424" s="7" t="s">
        <v>64</v>
      </c>
      <c r="D424" s="8">
        <v>553.07000000000005</v>
      </c>
    </row>
    <row r="425" spans="1:4" x14ac:dyDescent="0.2">
      <c r="A425" s="6">
        <v>1629</v>
      </c>
      <c r="B425" s="5" t="s">
        <v>474</v>
      </c>
      <c r="C425" s="7" t="s">
        <v>10</v>
      </c>
      <c r="D425" s="8">
        <v>307.25</v>
      </c>
    </row>
    <row r="426" spans="1:4" x14ac:dyDescent="0.2">
      <c r="A426" s="6">
        <v>1630</v>
      </c>
      <c r="B426" s="5" t="s">
        <v>475</v>
      </c>
      <c r="C426" s="7" t="s">
        <v>64</v>
      </c>
      <c r="D426" s="8">
        <v>553.07000000000005</v>
      </c>
    </row>
    <row r="427" spans="1:4" x14ac:dyDescent="0.2">
      <c r="A427" s="6">
        <v>1631</v>
      </c>
      <c r="B427" s="5" t="s">
        <v>476</v>
      </c>
      <c r="C427" s="7" t="s">
        <v>64</v>
      </c>
      <c r="D427" s="8">
        <v>553.07000000000005</v>
      </c>
    </row>
    <row r="428" spans="1:4" x14ac:dyDescent="0.2">
      <c r="A428" s="6">
        <v>1632</v>
      </c>
      <c r="B428" s="5" t="s">
        <v>477</v>
      </c>
      <c r="C428" s="7" t="s">
        <v>254</v>
      </c>
      <c r="D428" s="8">
        <v>904.24</v>
      </c>
    </row>
    <row r="429" spans="1:4" x14ac:dyDescent="0.2">
      <c r="A429" s="6">
        <v>1634</v>
      </c>
      <c r="B429" s="5" t="s">
        <v>478</v>
      </c>
      <c r="C429" s="7" t="s">
        <v>10</v>
      </c>
      <c r="D429" s="8">
        <v>307.25</v>
      </c>
    </row>
    <row r="430" spans="1:4" x14ac:dyDescent="0.2">
      <c r="A430" s="6">
        <v>1635</v>
      </c>
      <c r="B430" s="5" t="s">
        <v>479</v>
      </c>
      <c r="C430" s="7" t="s">
        <v>64</v>
      </c>
      <c r="D430" s="8">
        <v>553.07000000000005</v>
      </c>
    </row>
    <row r="431" spans="1:4" x14ac:dyDescent="0.2">
      <c r="A431" s="6">
        <v>1636</v>
      </c>
      <c r="B431" s="5" t="s">
        <v>480</v>
      </c>
      <c r="C431" s="7" t="s">
        <v>10</v>
      </c>
      <c r="D431" s="8">
        <v>307.25</v>
      </c>
    </row>
    <row r="432" spans="1:4" x14ac:dyDescent="0.2">
      <c r="A432" s="6">
        <v>1637</v>
      </c>
      <c r="B432" s="5" t="s">
        <v>481</v>
      </c>
      <c r="C432" s="7" t="s">
        <v>10</v>
      </c>
      <c r="D432" s="8">
        <v>307.25</v>
      </c>
    </row>
    <row r="433" spans="1:4" x14ac:dyDescent="0.2">
      <c r="A433" s="6">
        <v>1638</v>
      </c>
      <c r="B433" s="5" t="s">
        <v>482</v>
      </c>
      <c r="C433" s="7" t="s">
        <v>10</v>
      </c>
      <c r="D433" s="8">
        <v>307.25</v>
      </c>
    </row>
    <row r="434" spans="1:4" x14ac:dyDescent="0.2">
      <c r="A434" s="6">
        <v>1639</v>
      </c>
      <c r="B434" s="5" t="s">
        <v>483</v>
      </c>
      <c r="C434" s="7" t="s">
        <v>10</v>
      </c>
      <c r="D434" s="8">
        <v>307.25</v>
      </c>
    </row>
    <row r="435" spans="1:4" x14ac:dyDescent="0.2">
      <c r="A435" s="6">
        <v>1640</v>
      </c>
      <c r="B435" s="5" t="s">
        <v>484</v>
      </c>
      <c r="C435" s="7" t="s">
        <v>10</v>
      </c>
      <c r="D435" s="8">
        <v>307.25</v>
      </c>
    </row>
    <row r="436" spans="1:4" x14ac:dyDescent="0.2">
      <c r="A436" s="6">
        <v>1641</v>
      </c>
      <c r="B436" s="5" t="s">
        <v>485</v>
      </c>
      <c r="C436" s="7" t="s">
        <v>10</v>
      </c>
      <c r="D436" s="8">
        <v>307.25</v>
      </c>
    </row>
    <row r="437" spans="1:4" x14ac:dyDescent="0.2">
      <c r="A437" s="6">
        <v>1642</v>
      </c>
      <c r="B437" s="5" t="s">
        <v>486</v>
      </c>
      <c r="C437" s="7" t="s">
        <v>64</v>
      </c>
      <c r="D437" s="8">
        <v>553.07000000000005</v>
      </c>
    </row>
    <row r="438" spans="1:4" x14ac:dyDescent="0.2">
      <c r="A438" s="6">
        <v>1643</v>
      </c>
      <c r="B438" s="5" t="s">
        <v>487</v>
      </c>
      <c r="C438" s="7" t="s">
        <v>68</v>
      </c>
      <c r="D438" s="8">
        <v>501.15</v>
      </c>
    </row>
    <row r="439" spans="1:4" x14ac:dyDescent="0.2">
      <c r="A439" s="6">
        <v>1644</v>
      </c>
      <c r="B439" s="5" t="s">
        <v>488</v>
      </c>
      <c r="C439" s="7" t="s">
        <v>64</v>
      </c>
      <c r="D439" s="8">
        <v>553.07000000000005</v>
      </c>
    </row>
    <row r="440" spans="1:4" x14ac:dyDescent="0.2">
      <c r="A440" s="6">
        <v>1645</v>
      </c>
      <c r="B440" s="5" t="s">
        <v>489</v>
      </c>
      <c r="C440" s="7" t="s">
        <v>64</v>
      </c>
      <c r="D440" s="8">
        <v>553.07000000000005</v>
      </c>
    </row>
    <row r="441" spans="1:4" x14ac:dyDescent="0.2">
      <c r="A441" s="6">
        <v>1646</v>
      </c>
      <c r="B441" s="5" t="s">
        <v>490</v>
      </c>
      <c r="C441" s="7" t="s">
        <v>10</v>
      </c>
      <c r="D441" s="8">
        <v>307.25</v>
      </c>
    </row>
    <row r="442" spans="1:4" x14ac:dyDescent="0.2">
      <c r="A442" s="6">
        <v>1647</v>
      </c>
      <c r="B442" s="5" t="s">
        <v>491</v>
      </c>
      <c r="C442" s="7" t="s">
        <v>52</v>
      </c>
      <c r="D442" s="8">
        <v>126.5</v>
      </c>
    </row>
    <row r="443" spans="1:4" x14ac:dyDescent="0.2">
      <c r="A443" s="6">
        <v>1664</v>
      </c>
      <c r="B443" s="5" t="s">
        <v>492</v>
      </c>
      <c r="C443" s="7" t="s">
        <v>64</v>
      </c>
      <c r="D443" s="8">
        <v>553.07000000000005</v>
      </c>
    </row>
    <row r="444" spans="1:4" x14ac:dyDescent="0.2">
      <c r="A444" s="6">
        <v>1666</v>
      </c>
      <c r="B444" s="5" t="s">
        <v>493</v>
      </c>
      <c r="C444" s="7" t="s">
        <v>64</v>
      </c>
      <c r="D444" s="8">
        <v>553.07000000000005</v>
      </c>
    </row>
    <row r="445" spans="1:4" x14ac:dyDescent="0.2">
      <c r="A445" s="6">
        <v>1672</v>
      </c>
      <c r="B445" s="5" t="s">
        <v>494</v>
      </c>
      <c r="C445" s="7" t="s">
        <v>64</v>
      </c>
      <c r="D445" s="8">
        <v>553.07000000000005</v>
      </c>
    </row>
    <row r="446" spans="1:4" x14ac:dyDescent="0.2">
      <c r="A446" s="6">
        <v>1673</v>
      </c>
      <c r="B446" s="5" t="s">
        <v>495</v>
      </c>
      <c r="C446" s="7" t="s">
        <v>52</v>
      </c>
      <c r="D446" s="8">
        <v>208.37</v>
      </c>
    </row>
    <row r="447" spans="1:4" x14ac:dyDescent="0.2">
      <c r="A447" s="6">
        <v>1676</v>
      </c>
      <c r="B447" s="5" t="s">
        <v>496</v>
      </c>
      <c r="C447" s="7" t="s">
        <v>64</v>
      </c>
      <c r="D447" s="8">
        <v>553.07000000000005</v>
      </c>
    </row>
    <row r="448" spans="1:4" x14ac:dyDescent="0.2">
      <c r="A448" s="6">
        <v>1688</v>
      </c>
      <c r="B448" s="5" t="s">
        <v>497</v>
      </c>
      <c r="C448" s="7" t="s">
        <v>64</v>
      </c>
      <c r="D448" s="8">
        <v>638.79999999999995</v>
      </c>
    </row>
    <row r="449" spans="1:4" x14ac:dyDescent="0.2">
      <c r="A449" s="6">
        <v>1689</v>
      </c>
      <c r="B449" s="5" t="s">
        <v>498</v>
      </c>
      <c r="C449" s="7" t="s">
        <v>64</v>
      </c>
      <c r="D449" s="8">
        <v>553.07000000000005</v>
      </c>
    </row>
    <row r="450" spans="1:4" x14ac:dyDescent="0.2">
      <c r="A450" s="6">
        <v>1692</v>
      </c>
      <c r="B450" s="5" t="s">
        <v>499</v>
      </c>
      <c r="C450" s="7" t="s">
        <v>10</v>
      </c>
      <c r="D450" s="8">
        <v>307.25</v>
      </c>
    </row>
    <row r="451" spans="1:4" x14ac:dyDescent="0.2">
      <c r="A451" s="6">
        <v>1694</v>
      </c>
      <c r="B451" s="5" t="s">
        <v>500</v>
      </c>
      <c r="C451" s="7" t="s">
        <v>52</v>
      </c>
      <c r="D451" s="8">
        <v>126.5</v>
      </c>
    </row>
    <row r="452" spans="1:4" x14ac:dyDescent="0.2">
      <c r="A452" s="6">
        <v>1695</v>
      </c>
      <c r="B452" s="5" t="s">
        <v>501</v>
      </c>
      <c r="C452" s="7" t="s">
        <v>10</v>
      </c>
      <c r="D452" s="8">
        <v>307.25</v>
      </c>
    </row>
    <row r="453" spans="1:4" x14ac:dyDescent="0.2">
      <c r="A453" s="6">
        <v>1697</v>
      </c>
      <c r="B453" s="5" t="s">
        <v>502</v>
      </c>
      <c r="C453" s="7" t="s">
        <v>10</v>
      </c>
      <c r="D453" s="8">
        <v>307.25</v>
      </c>
    </row>
    <row r="454" spans="1:4" x14ac:dyDescent="0.2">
      <c r="A454" s="6">
        <v>1698</v>
      </c>
      <c r="B454" s="5" t="s">
        <v>503</v>
      </c>
      <c r="C454" s="7" t="s">
        <v>10</v>
      </c>
      <c r="D454" s="8">
        <v>307.25</v>
      </c>
    </row>
    <row r="455" spans="1:4" x14ac:dyDescent="0.2">
      <c r="A455" s="6">
        <v>1702</v>
      </c>
      <c r="B455" s="5" t="s">
        <v>504</v>
      </c>
      <c r="C455" s="7" t="s">
        <v>10</v>
      </c>
      <c r="D455" s="8">
        <v>307.25</v>
      </c>
    </row>
    <row r="456" spans="1:4" x14ac:dyDescent="0.2">
      <c r="A456" s="6">
        <v>1712</v>
      </c>
      <c r="B456" s="5" t="s">
        <v>505</v>
      </c>
      <c r="C456" s="7" t="s">
        <v>347</v>
      </c>
      <c r="D456" s="8"/>
    </row>
    <row r="457" spans="1:4" x14ac:dyDescent="0.2">
      <c r="A457" s="6">
        <v>1714</v>
      </c>
      <c r="B457" s="5" t="s">
        <v>506</v>
      </c>
      <c r="C457" s="7" t="s">
        <v>10</v>
      </c>
      <c r="D457" s="8">
        <v>307.25</v>
      </c>
    </row>
    <row r="458" spans="1:4" x14ac:dyDescent="0.2">
      <c r="A458" s="6">
        <v>1716</v>
      </c>
      <c r="B458" s="5" t="s">
        <v>507</v>
      </c>
      <c r="C458" s="7" t="s">
        <v>10</v>
      </c>
      <c r="D458" s="8">
        <v>307.25</v>
      </c>
    </row>
    <row r="459" spans="1:4" x14ac:dyDescent="0.2">
      <c r="A459" s="6">
        <v>1717</v>
      </c>
      <c r="B459" s="5" t="s">
        <v>508</v>
      </c>
      <c r="C459" s="7" t="s">
        <v>10</v>
      </c>
      <c r="D459" s="8">
        <v>307.25</v>
      </c>
    </row>
    <row r="460" spans="1:4" x14ac:dyDescent="0.2">
      <c r="A460" s="6">
        <v>1718</v>
      </c>
      <c r="B460" s="5" t="s">
        <v>509</v>
      </c>
      <c r="C460" s="7" t="s">
        <v>10</v>
      </c>
      <c r="D460" s="8">
        <v>307.25</v>
      </c>
    </row>
    <row r="461" spans="1:4" x14ac:dyDescent="0.2">
      <c r="A461" s="6">
        <v>1722</v>
      </c>
      <c r="B461" s="5" t="s">
        <v>510</v>
      </c>
      <c r="C461" s="7" t="s">
        <v>10</v>
      </c>
      <c r="D461" s="8">
        <v>307.25</v>
      </c>
    </row>
    <row r="462" spans="1:4" x14ac:dyDescent="0.2">
      <c r="A462" s="6">
        <v>1725</v>
      </c>
      <c r="B462" s="5" t="s">
        <v>511</v>
      </c>
      <c r="C462" s="7" t="s">
        <v>64</v>
      </c>
      <c r="D462" s="8">
        <v>553.07000000000005</v>
      </c>
    </row>
    <row r="463" spans="1:4" x14ac:dyDescent="0.2">
      <c r="A463" s="6">
        <v>1730</v>
      </c>
      <c r="B463" s="5" t="s">
        <v>512</v>
      </c>
      <c r="C463" s="7" t="s">
        <v>64</v>
      </c>
      <c r="D463" s="8">
        <v>553.07000000000005</v>
      </c>
    </row>
    <row r="464" spans="1:4" x14ac:dyDescent="0.2">
      <c r="A464" s="6">
        <v>1734</v>
      </c>
      <c r="B464" s="5" t="s">
        <v>513</v>
      </c>
      <c r="C464" s="7" t="s">
        <v>10</v>
      </c>
      <c r="D464" s="8">
        <v>307.25</v>
      </c>
    </row>
    <row r="465" spans="1:4" x14ac:dyDescent="0.2">
      <c r="A465" s="6">
        <v>1735</v>
      </c>
      <c r="B465" s="5" t="s">
        <v>514</v>
      </c>
      <c r="C465" s="7" t="s">
        <v>64</v>
      </c>
      <c r="D465" s="8">
        <v>553.07000000000005</v>
      </c>
    </row>
    <row r="466" spans="1:4" x14ac:dyDescent="0.2">
      <c r="A466" s="6">
        <v>1736</v>
      </c>
      <c r="B466" s="5" t="s">
        <v>515</v>
      </c>
      <c r="C466" s="7" t="s">
        <v>64</v>
      </c>
      <c r="D466" s="8">
        <v>553.07000000000005</v>
      </c>
    </row>
    <row r="467" spans="1:4" x14ac:dyDescent="0.2">
      <c r="A467" s="6">
        <v>1739</v>
      </c>
      <c r="B467" s="5" t="s">
        <v>516</v>
      </c>
      <c r="C467" s="7" t="s">
        <v>64</v>
      </c>
      <c r="D467" s="8">
        <v>553.07000000000005</v>
      </c>
    </row>
    <row r="468" spans="1:4" x14ac:dyDescent="0.2">
      <c r="A468" s="6">
        <v>1745</v>
      </c>
      <c r="B468" s="5" t="s">
        <v>517</v>
      </c>
      <c r="C468" s="7" t="s">
        <v>64</v>
      </c>
      <c r="D468" s="8">
        <v>553.07000000000005</v>
      </c>
    </row>
    <row r="469" spans="1:4" x14ac:dyDescent="0.2">
      <c r="A469" s="6">
        <v>1749</v>
      </c>
      <c r="B469" s="5" t="s">
        <v>518</v>
      </c>
      <c r="C469" s="7" t="s">
        <v>1</v>
      </c>
      <c r="D469" s="8"/>
    </row>
    <row r="470" spans="1:4" x14ac:dyDescent="0.2">
      <c r="A470" s="6">
        <v>1759</v>
      </c>
      <c r="B470" s="5" t="s">
        <v>519</v>
      </c>
      <c r="C470" s="7" t="s">
        <v>10</v>
      </c>
      <c r="D470" s="8">
        <v>307.25</v>
      </c>
    </row>
    <row r="471" spans="1:4" x14ac:dyDescent="0.2">
      <c r="A471" s="6">
        <v>1766</v>
      </c>
      <c r="B471" s="5" t="s">
        <v>520</v>
      </c>
      <c r="C471" s="7" t="s">
        <v>64</v>
      </c>
      <c r="D471" s="8">
        <v>553.07000000000005</v>
      </c>
    </row>
    <row r="472" spans="1:4" x14ac:dyDescent="0.2">
      <c r="A472" s="6">
        <v>1783</v>
      </c>
      <c r="B472" s="5" t="s">
        <v>521</v>
      </c>
      <c r="C472" s="7" t="s">
        <v>10</v>
      </c>
      <c r="D472" s="8">
        <v>307.25</v>
      </c>
    </row>
    <row r="473" spans="1:4" x14ac:dyDescent="0.2">
      <c r="A473" s="6">
        <v>1788</v>
      </c>
      <c r="B473" s="5" t="s">
        <v>522</v>
      </c>
      <c r="C473" s="7" t="s">
        <v>64</v>
      </c>
      <c r="D473" s="8">
        <v>553.07000000000005</v>
      </c>
    </row>
    <row r="474" spans="1:4" x14ac:dyDescent="0.2">
      <c r="A474" s="6">
        <v>1789</v>
      </c>
      <c r="B474" s="5" t="s">
        <v>523</v>
      </c>
      <c r="C474" s="7" t="s">
        <v>10</v>
      </c>
      <c r="D474" s="8">
        <v>307.25</v>
      </c>
    </row>
    <row r="475" spans="1:4" x14ac:dyDescent="0.2">
      <c r="A475" s="6">
        <v>1790</v>
      </c>
      <c r="B475" s="5" t="s">
        <v>524</v>
      </c>
      <c r="C475" s="7" t="s">
        <v>10</v>
      </c>
      <c r="D475" s="8">
        <v>307.25</v>
      </c>
    </row>
    <row r="476" spans="1:4" x14ac:dyDescent="0.2">
      <c r="A476" s="6">
        <v>1791</v>
      </c>
      <c r="B476" s="5" t="s">
        <v>525</v>
      </c>
      <c r="C476" s="7" t="s">
        <v>10</v>
      </c>
      <c r="D476" s="8">
        <v>307.25</v>
      </c>
    </row>
    <row r="477" spans="1:4" x14ac:dyDescent="0.2">
      <c r="A477" s="6">
        <v>1792</v>
      </c>
      <c r="B477" s="5" t="s">
        <v>526</v>
      </c>
      <c r="C477" s="7" t="s">
        <v>10</v>
      </c>
      <c r="D477" s="8">
        <v>307.25</v>
      </c>
    </row>
    <row r="478" spans="1:4" x14ac:dyDescent="0.2">
      <c r="A478" s="6">
        <v>1797</v>
      </c>
      <c r="B478" s="5" t="s">
        <v>527</v>
      </c>
      <c r="C478" s="7" t="s">
        <v>10</v>
      </c>
      <c r="D478" s="8">
        <v>307.25</v>
      </c>
    </row>
    <row r="479" spans="1:4" x14ac:dyDescent="0.2">
      <c r="A479" s="6">
        <v>1799</v>
      </c>
      <c r="B479" s="5" t="s">
        <v>528</v>
      </c>
      <c r="C479" s="7" t="s">
        <v>10</v>
      </c>
      <c r="D479" s="8">
        <v>307.25</v>
      </c>
    </row>
    <row r="480" spans="1:4" x14ac:dyDescent="0.2">
      <c r="A480" s="6">
        <v>1801</v>
      </c>
      <c r="B480" s="5" t="s">
        <v>529</v>
      </c>
      <c r="C480" s="7" t="s">
        <v>64</v>
      </c>
      <c r="D480" s="8">
        <v>553.07000000000005</v>
      </c>
    </row>
    <row r="481" spans="1:4" x14ac:dyDescent="0.2">
      <c r="A481" s="6">
        <v>1812</v>
      </c>
      <c r="B481" s="5" t="s">
        <v>530</v>
      </c>
      <c r="C481" s="7" t="s">
        <v>297</v>
      </c>
      <c r="D481" s="8">
        <v>405</v>
      </c>
    </row>
    <row r="482" spans="1:4" x14ac:dyDescent="0.2">
      <c r="A482" s="6">
        <v>1815</v>
      </c>
      <c r="B482" s="5" t="s">
        <v>531</v>
      </c>
      <c r="C482" s="7" t="s">
        <v>297</v>
      </c>
      <c r="D482" s="8"/>
    </row>
    <row r="483" spans="1:4" x14ac:dyDescent="0.2">
      <c r="A483" s="6">
        <v>1816</v>
      </c>
      <c r="B483" s="5" t="s">
        <v>532</v>
      </c>
      <c r="C483" s="7" t="s">
        <v>297</v>
      </c>
      <c r="D483" s="8"/>
    </row>
    <row r="484" spans="1:4" x14ac:dyDescent="0.2">
      <c r="A484" s="6">
        <v>1817</v>
      </c>
      <c r="B484" s="5" t="s">
        <v>533</v>
      </c>
      <c r="C484" s="7" t="s">
        <v>297</v>
      </c>
      <c r="D484" s="8">
        <f>323.98*1.042</f>
        <v>337.58716000000004</v>
      </c>
    </row>
    <row r="485" spans="1:4" x14ac:dyDescent="0.2">
      <c r="A485" s="6">
        <v>1818</v>
      </c>
      <c r="B485" s="5" t="s">
        <v>534</v>
      </c>
      <c r="C485" s="7" t="s">
        <v>297</v>
      </c>
      <c r="D485" s="8"/>
    </row>
    <row r="486" spans="1:4" x14ac:dyDescent="0.2">
      <c r="A486" s="6">
        <v>1820</v>
      </c>
      <c r="B486" s="5" t="s">
        <v>535</v>
      </c>
      <c r="C486" s="7" t="s">
        <v>297</v>
      </c>
      <c r="D486" s="8"/>
    </row>
    <row r="487" spans="1:4" x14ac:dyDescent="0.2">
      <c r="A487" s="6">
        <v>1823</v>
      </c>
      <c r="B487" s="5" t="s">
        <v>536</v>
      </c>
      <c r="C487" s="7" t="s">
        <v>297</v>
      </c>
      <c r="D487" s="8"/>
    </row>
    <row r="488" spans="1:4" x14ac:dyDescent="0.2">
      <c r="A488" s="6">
        <v>1824</v>
      </c>
      <c r="B488" s="5" t="s">
        <v>537</v>
      </c>
      <c r="C488" s="7" t="s">
        <v>297</v>
      </c>
      <c r="D488" s="8"/>
    </row>
    <row r="489" spans="1:4" x14ac:dyDescent="0.2">
      <c r="A489" s="6">
        <v>1825</v>
      </c>
      <c r="B489" s="5" t="s">
        <v>538</v>
      </c>
      <c r="C489" s="7" t="s">
        <v>297</v>
      </c>
      <c r="D489" s="8"/>
    </row>
    <row r="490" spans="1:4" x14ac:dyDescent="0.2">
      <c r="A490" s="6">
        <v>1826</v>
      </c>
      <c r="B490" s="5" t="s">
        <v>539</v>
      </c>
      <c r="C490" s="7" t="s">
        <v>297</v>
      </c>
      <c r="D490" s="8">
        <v>516.89</v>
      </c>
    </row>
    <row r="491" spans="1:4" x14ac:dyDescent="0.2">
      <c r="A491" s="6">
        <v>1827</v>
      </c>
      <c r="B491" s="5" t="s">
        <v>540</v>
      </c>
      <c r="C491" s="7" t="s">
        <v>297</v>
      </c>
      <c r="D491" s="8"/>
    </row>
    <row r="492" spans="1:4" x14ac:dyDescent="0.2">
      <c r="A492" s="6">
        <v>1836</v>
      </c>
      <c r="B492" s="5" t="s">
        <v>541</v>
      </c>
      <c r="C492" s="7" t="s">
        <v>297</v>
      </c>
      <c r="D492" s="8"/>
    </row>
    <row r="493" spans="1:4" x14ac:dyDescent="0.2">
      <c r="A493" s="6">
        <v>1840</v>
      </c>
      <c r="B493" s="5" t="s">
        <v>542</v>
      </c>
      <c r="C493" s="7" t="s">
        <v>64</v>
      </c>
      <c r="D493" s="8">
        <v>553.07000000000005</v>
      </c>
    </row>
    <row r="494" spans="1:4" x14ac:dyDescent="0.2">
      <c r="A494" s="6">
        <v>1841</v>
      </c>
      <c r="B494" s="5" t="s">
        <v>543</v>
      </c>
      <c r="C494" s="7" t="s">
        <v>10</v>
      </c>
      <c r="D494" s="8">
        <v>307.25</v>
      </c>
    </row>
    <row r="495" spans="1:4" x14ac:dyDescent="0.2">
      <c r="A495" s="6">
        <v>1842</v>
      </c>
      <c r="B495" s="5" t="s">
        <v>544</v>
      </c>
      <c r="C495" s="7" t="s">
        <v>10</v>
      </c>
      <c r="D495" s="8">
        <v>307.25</v>
      </c>
    </row>
    <row r="496" spans="1:4" x14ac:dyDescent="0.2">
      <c r="A496" s="6">
        <v>1843</v>
      </c>
      <c r="B496" s="5" t="s">
        <v>545</v>
      </c>
      <c r="C496" s="7" t="s">
        <v>297</v>
      </c>
      <c r="D496" s="8"/>
    </row>
    <row r="497" spans="1:4" x14ac:dyDescent="0.2">
      <c r="A497" s="6">
        <v>1845</v>
      </c>
      <c r="B497" s="5" t="s">
        <v>546</v>
      </c>
      <c r="C497" s="7" t="s">
        <v>10</v>
      </c>
      <c r="D497" s="8">
        <v>307.25</v>
      </c>
    </row>
    <row r="498" spans="1:4" x14ac:dyDescent="0.2">
      <c r="A498" s="6">
        <v>1847</v>
      </c>
      <c r="B498" s="5" t="s">
        <v>547</v>
      </c>
      <c r="C498" s="7" t="s">
        <v>64</v>
      </c>
      <c r="D498" s="8">
        <v>553.07000000000005</v>
      </c>
    </row>
    <row r="499" spans="1:4" x14ac:dyDescent="0.2">
      <c r="A499" s="6">
        <v>1850</v>
      </c>
      <c r="B499" s="5" t="s">
        <v>548</v>
      </c>
      <c r="C499" s="7" t="s">
        <v>10</v>
      </c>
      <c r="D499" s="8">
        <v>307.25</v>
      </c>
    </row>
    <row r="500" spans="1:4" x14ac:dyDescent="0.2">
      <c r="A500" s="6">
        <v>1851</v>
      </c>
      <c r="B500" s="5" t="s">
        <v>549</v>
      </c>
      <c r="C500" s="7" t="s">
        <v>297</v>
      </c>
      <c r="D500" s="8"/>
    </row>
    <row r="501" spans="1:4" x14ac:dyDescent="0.2">
      <c r="A501" s="6">
        <v>1855</v>
      </c>
      <c r="B501" s="5" t="s">
        <v>550</v>
      </c>
      <c r="C501" s="7" t="s">
        <v>297</v>
      </c>
      <c r="D501" s="8">
        <v>405</v>
      </c>
    </row>
    <row r="502" spans="1:4" x14ac:dyDescent="0.2">
      <c r="A502" s="6">
        <v>1856</v>
      </c>
      <c r="B502" s="5" t="s">
        <v>551</v>
      </c>
      <c r="C502" s="7" t="s">
        <v>10</v>
      </c>
      <c r="D502" s="8">
        <v>307.25</v>
      </c>
    </row>
    <row r="503" spans="1:4" x14ac:dyDescent="0.2">
      <c r="A503" s="6">
        <v>1860</v>
      </c>
      <c r="B503" s="5" t="s">
        <v>552</v>
      </c>
      <c r="C503" s="7" t="s">
        <v>10</v>
      </c>
      <c r="D503" s="8">
        <v>307.25</v>
      </c>
    </row>
    <row r="504" spans="1:4" x14ac:dyDescent="0.2">
      <c r="A504" s="6">
        <v>1863</v>
      </c>
      <c r="B504" s="5" t="s">
        <v>553</v>
      </c>
      <c r="C504" s="7" t="s">
        <v>10</v>
      </c>
      <c r="D504" s="8">
        <v>307.25</v>
      </c>
    </row>
    <row r="505" spans="1:4" x14ac:dyDescent="0.2">
      <c r="A505" s="6">
        <v>1869</v>
      </c>
      <c r="B505" s="5" t="s">
        <v>554</v>
      </c>
      <c r="C505" s="7" t="s">
        <v>64</v>
      </c>
      <c r="D505" s="8">
        <v>608.38</v>
      </c>
    </row>
    <row r="506" spans="1:4" x14ac:dyDescent="0.2">
      <c r="A506" s="6">
        <v>1870</v>
      </c>
      <c r="B506" s="5" t="s">
        <v>555</v>
      </c>
      <c r="C506" s="7" t="s">
        <v>10</v>
      </c>
      <c r="D506" s="8">
        <v>307.25</v>
      </c>
    </row>
    <row r="507" spans="1:4" x14ac:dyDescent="0.2">
      <c r="A507" s="6">
        <v>1872</v>
      </c>
      <c r="B507" s="5" t="s">
        <v>556</v>
      </c>
      <c r="C507" s="7" t="s">
        <v>64</v>
      </c>
      <c r="D507" s="8">
        <v>553.07000000000005</v>
      </c>
    </row>
    <row r="508" spans="1:4" x14ac:dyDescent="0.2">
      <c r="A508" s="6">
        <v>1876</v>
      </c>
      <c r="B508" s="5" t="s">
        <v>557</v>
      </c>
      <c r="C508" s="7" t="s">
        <v>64</v>
      </c>
      <c r="D508" s="8">
        <v>553.07000000000005</v>
      </c>
    </row>
    <row r="509" spans="1:4" x14ac:dyDescent="0.2">
      <c r="A509" s="6">
        <v>1878</v>
      </c>
      <c r="B509" s="5" t="s">
        <v>558</v>
      </c>
      <c r="C509" s="7" t="s">
        <v>10</v>
      </c>
      <c r="D509" s="8">
        <v>307.25</v>
      </c>
    </row>
    <row r="510" spans="1:4" x14ac:dyDescent="0.2">
      <c r="A510" s="6">
        <v>1888</v>
      </c>
      <c r="B510" s="5" t="s">
        <v>559</v>
      </c>
      <c r="C510" s="7" t="s">
        <v>10</v>
      </c>
      <c r="D510" s="8">
        <v>307.25</v>
      </c>
    </row>
    <row r="511" spans="1:4" x14ac:dyDescent="0.2">
      <c r="A511" s="6">
        <v>1889</v>
      </c>
      <c r="B511" s="5" t="s">
        <v>560</v>
      </c>
      <c r="C511" s="7" t="s">
        <v>64</v>
      </c>
      <c r="D511" s="8">
        <v>553.07000000000005</v>
      </c>
    </row>
    <row r="512" spans="1:4" x14ac:dyDescent="0.2">
      <c r="A512" s="6">
        <v>1894</v>
      </c>
      <c r="B512" s="5" t="s">
        <v>561</v>
      </c>
      <c r="C512" s="7" t="s">
        <v>64</v>
      </c>
      <c r="D512" s="8">
        <v>553.07000000000005</v>
      </c>
    </row>
    <row r="513" spans="1:4" x14ac:dyDescent="0.2">
      <c r="A513" s="6">
        <v>1895</v>
      </c>
      <c r="B513" s="5" t="s">
        <v>562</v>
      </c>
      <c r="C513" s="7" t="s">
        <v>92</v>
      </c>
      <c r="D513" s="8">
        <v>126.5</v>
      </c>
    </row>
    <row r="514" spans="1:4" x14ac:dyDescent="0.2">
      <c r="A514" s="6">
        <v>1897</v>
      </c>
      <c r="B514" s="5" t="s">
        <v>563</v>
      </c>
      <c r="C514" s="7" t="s">
        <v>64</v>
      </c>
      <c r="D514" s="8">
        <v>553.07000000000005</v>
      </c>
    </row>
    <row r="515" spans="1:4" x14ac:dyDescent="0.2">
      <c r="A515" s="6">
        <v>1899</v>
      </c>
      <c r="B515" s="5" t="s">
        <v>564</v>
      </c>
      <c r="C515" s="7" t="s">
        <v>10</v>
      </c>
      <c r="D515" s="8">
        <v>307.25</v>
      </c>
    </row>
    <row r="516" spans="1:4" x14ac:dyDescent="0.2">
      <c r="A516" s="6">
        <v>1900</v>
      </c>
      <c r="B516" s="5" t="s">
        <v>565</v>
      </c>
      <c r="C516" s="7" t="s">
        <v>10</v>
      </c>
      <c r="D516" s="8">
        <v>307.25</v>
      </c>
    </row>
    <row r="517" spans="1:4" x14ac:dyDescent="0.2">
      <c r="A517" s="6">
        <v>1904</v>
      </c>
      <c r="B517" s="5" t="s">
        <v>566</v>
      </c>
      <c r="C517" s="7" t="s">
        <v>10</v>
      </c>
      <c r="D517" s="8">
        <v>307.25</v>
      </c>
    </row>
    <row r="518" spans="1:4" x14ac:dyDescent="0.2">
      <c r="A518" s="6">
        <v>1909</v>
      </c>
      <c r="B518" s="5" t="s">
        <v>567</v>
      </c>
      <c r="C518" s="7" t="s">
        <v>10</v>
      </c>
      <c r="D518" s="8">
        <v>307.25</v>
      </c>
    </row>
    <row r="519" spans="1:4" x14ac:dyDescent="0.2">
      <c r="A519" s="6">
        <v>1912</v>
      </c>
      <c r="B519" s="5" t="s">
        <v>568</v>
      </c>
      <c r="C519" s="7" t="s">
        <v>297</v>
      </c>
      <c r="D519" s="8"/>
    </row>
    <row r="520" spans="1:4" x14ac:dyDescent="0.2">
      <c r="A520" s="6">
        <v>1917</v>
      </c>
      <c r="B520" s="5" t="s">
        <v>569</v>
      </c>
      <c r="C520" s="7" t="s">
        <v>10</v>
      </c>
      <c r="D520" s="8">
        <v>307.25</v>
      </c>
    </row>
    <row r="521" spans="1:4" x14ac:dyDescent="0.2">
      <c r="A521" s="6">
        <v>1918</v>
      </c>
      <c r="B521" s="5" t="s">
        <v>570</v>
      </c>
      <c r="C521" s="7" t="s">
        <v>10</v>
      </c>
      <c r="D521" s="8">
        <v>307.25</v>
      </c>
    </row>
    <row r="522" spans="1:4" x14ac:dyDescent="0.2">
      <c r="A522" s="6">
        <v>1919</v>
      </c>
      <c r="B522" s="5" t="s">
        <v>571</v>
      </c>
      <c r="C522" s="7" t="s">
        <v>52</v>
      </c>
      <c r="D522" s="8">
        <v>126.5</v>
      </c>
    </row>
    <row r="523" spans="1:4" x14ac:dyDescent="0.2">
      <c r="A523" s="6">
        <v>1920</v>
      </c>
      <c r="B523" s="5" t="s">
        <v>572</v>
      </c>
      <c r="C523" s="7" t="s">
        <v>64</v>
      </c>
      <c r="D523" s="8">
        <v>553.07000000000005</v>
      </c>
    </row>
    <row r="524" spans="1:4" x14ac:dyDescent="0.2">
      <c r="A524" s="6">
        <v>1921</v>
      </c>
      <c r="B524" s="5" t="s">
        <v>573</v>
      </c>
      <c r="C524" s="7" t="s">
        <v>10</v>
      </c>
      <c r="D524" s="8">
        <v>307.25</v>
      </c>
    </row>
    <row r="525" spans="1:4" x14ac:dyDescent="0.2">
      <c r="A525" s="6">
        <v>1925</v>
      </c>
      <c r="B525" s="5" t="s">
        <v>574</v>
      </c>
      <c r="C525" s="7" t="s">
        <v>52</v>
      </c>
      <c r="D525" s="8">
        <v>126.5</v>
      </c>
    </row>
    <row r="526" spans="1:4" x14ac:dyDescent="0.2">
      <c r="A526" s="6">
        <v>1939</v>
      </c>
      <c r="B526" s="5" t="s">
        <v>575</v>
      </c>
      <c r="C526" s="7" t="s">
        <v>10</v>
      </c>
      <c r="D526" s="8">
        <v>307.25</v>
      </c>
    </row>
    <row r="527" spans="1:4" x14ac:dyDescent="0.2">
      <c r="A527" s="6">
        <v>1942</v>
      </c>
      <c r="B527" s="5" t="s">
        <v>576</v>
      </c>
      <c r="C527" s="7" t="s">
        <v>10</v>
      </c>
      <c r="D527" s="8">
        <v>307.25</v>
      </c>
    </row>
    <row r="528" spans="1:4" x14ac:dyDescent="0.2">
      <c r="A528" s="6">
        <v>1943</v>
      </c>
      <c r="B528" s="5" t="s">
        <v>577</v>
      </c>
      <c r="C528" s="7" t="s">
        <v>10</v>
      </c>
      <c r="D528" s="8">
        <v>307.25</v>
      </c>
    </row>
    <row r="529" spans="1:4" x14ac:dyDescent="0.2">
      <c r="A529" s="6">
        <v>1944</v>
      </c>
      <c r="B529" s="5" t="s">
        <v>578</v>
      </c>
      <c r="C529" s="7" t="s">
        <v>579</v>
      </c>
      <c r="D529" s="8"/>
    </row>
    <row r="530" spans="1:4" x14ac:dyDescent="0.2">
      <c r="A530" s="6">
        <v>1945</v>
      </c>
      <c r="B530" s="5" t="s">
        <v>580</v>
      </c>
      <c r="C530" s="7" t="s">
        <v>64</v>
      </c>
      <c r="D530" s="8">
        <v>553.07000000000005</v>
      </c>
    </row>
    <row r="531" spans="1:4" x14ac:dyDescent="0.2">
      <c r="A531" s="6">
        <v>1949</v>
      </c>
      <c r="B531" s="5" t="s">
        <v>581</v>
      </c>
      <c r="C531" s="7" t="s">
        <v>92</v>
      </c>
      <c r="D531" s="8">
        <v>126.5</v>
      </c>
    </row>
    <row r="532" spans="1:4" x14ac:dyDescent="0.2">
      <c r="A532" s="6">
        <v>1950</v>
      </c>
      <c r="B532" s="5" t="s">
        <v>582</v>
      </c>
      <c r="C532" s="7" t="s">
        <v>10</v>
      </c>
      <c r="D532" s="8">
        <v>307.25</v>
      </c>
    </row>
    <row r="533" spans="1:4" x14ac:dyDescent="0.2">
      <c r="A533" s="6">
        <v>1951</v>
      </c>
      <c r="B533" s="5" t="s">
        <v>583</v>
      </c>
      <c r="C533" s="7" t="s">
        <v>64</v>
      </c>
      <c r="D533" s="8">
        <v>553.07000000000005</v>
      </c>
    </row>
    <row r="534" spans="1:4" x14ac:dyDescent="0.2">
      <c r="A534" s="6">
        <v>1952</v>
      </c>
      <c r="B534" s="5" t="s">
        <v>584</v>
      </c>
      <c r="C534" s="7" t="s">
        <v>10</v>
      </c>
      <c r="D534" s="8">
        <v>307.25</v>
      </c>
    </row>
    <row r="535" spans="1:4" x14ac:dyDescent="0.2">
      <c r="A535" s="6">
        <v>1953</v>
      </c>
      <c r="B535" s="5" t="s">
        <v>585</v>
      </c>
      <c r="C535" s="7" t="s">
        <v>64</v>
      </c>
      <c r="D535" s="8">
        <v>553.07000000000005</v>
      </c>
    </row>
    <row r="536" spans="1:4" x14ac:dyDescent="0.2">
      <c r="A536" s="6">
        <v>1954</v>
      </c>
      <c r="B536" s="5" t="s">
        <v>586</v>
      </c>
      <c r="C536" s="7" t="s">
        <v>10</v>
      </c>
      <c r="D536" s="8">
        <v>307.25</v>
      </c>
    </row>
    <row r="537" spans="1:4" x14ac:dyDescent="0.2">
      <c r="A537" s="6">
        <v>1955</v>
      </c>
      <c r="B537" s="5" t="s">
        <v>587</v>
      </c>
      <c r="C537" s="7" t="s">
        <v>297</v>
      </c>
      <c r="D537" s="8"/>
    </row>
    <row r="538" spans="1:4" x14ac:dyDescent="0.2">
      <c r="A538" s="6">
        <v>1956</v>
      </c>
      <c r="B538" s="5" t="s">
        <v>588</v>
      </c>
      <c r="C538" s="7" t="s">
        <v>579</v>
      </c>
      <c r="D538" s="8"/>
    </row>
    <row r="539" spans="1:4" x14ac:dyDescent="0.2">
      <c r="A539" s="6">
        <v>1960</v>
      </c>
      <c r="B539" s="5" t="s">
        <v>589</v>
      </c>
      <c r="C539" s="7" t="s">
        <v>64</v>
      </c>
      <c r="D539" s="8">
        <v>553.07000000000005</v>
      </c>
    </row>
    <row r="540" spans="1:4" x14ac:dyDescent="0.2">
      <c r="A540" s="6">
        <v>1962</v>
      </c>
      <c r="B540" s="5" t="s">
        <v>590</v>
      </c>
      <c r="C540" s="7" t="s">
        <v>10</v>
      </c>
      <c r="D540" s="8">
        <v>307.25</v>
      </c>
    </row>
    <row r="541" spans="1:4" x14ac:dyDescent="0.2">
      <c r="A541" s="6">
        <v>1963</v>
      </c>
      <c r="B541" s="5" t="s">
        <v>591</v>
      </c>
      <c r="C541" s="7" t="s">
        <v>185</v>
      </c>
      <c r="D541" s="8">
        <v>115</v>
      </c>
    </row>
    <row r="542" spans="1:4" x14ac:dyDescent="0.2">
      <c r="A542" s="6">
        <v>1964</v>
      </c>
      <c r="B542" s="5" t="s">
        <v>592</v>
      </c>
      <c r="C542" s="7" t="s">
        <v>10</v>
      </c>
      <c r="D542" s="8">
        <v>307.25</v>
      </c>
    </row>
    <row r="543" spans="1:4" x14ac:dyDescent="0.2">
      <c r="A543" s="6">
        <v>1965</v>
      </c>
      <c r="B543" s="5" t="s">
        <v>593</v>
      </c>
      <c r="C543" s="7" t="s">
        <v>10</v>
      </c>
      <c r="D543" s="8">
        <v>307.25</v>
      </c>
    </row>
    <row r="544" spans="1:4" x14ac:dyDescent="0.2">
      <c r="A544" s="6">
        <v>1966</v>
      </c>
      <c r="B544" s="5" t="s">
        <v>594</v>
      </c>
      <c r="C544" s="7" t="s">
        <v>10</v>
      </c>
      <c r="D544" s="8">
        <v>307.25</v>
      </c>
    </row>
    <row r="545" spans="1:4" x14ac:dyDescent="0.2">
      <c r="A545" s="6">
        <v>1967</v>
      </c>
      <c r="B545" s="5" t="s">
        <v>595</v>
      </c>
      <c r="C545" s="7" t="s">
        <v>10</v>
      </c>
      <c r="D545" s="8">
        <v>307.25</v>
      </c>
    </row>
    <row r="546" spans="1:4" x14ac:dyDescent="0.2">
      <c r="A546" s="6">
        <v>1968</v>
      </c>
      <c r="B546" s="5" t="s">
        <v>596</v>
      </c>
      <c r="C546" s="7" t="s">
        <v>10</v>
      </c>
      <c r="D546" s="8">
        <v>307.25</v>
      </c>
    </row>
    <row r="547" spans="1:4" x14ac:dyDescent="0.2">
      <c r="A547" s="6">
        <v>1969</v>
      </c>
      <c r="B547" s="5" t="s">
        <v>597</v>
      </c>
      <c r="C547" s="7" t="s">
        <v>92</v>
      </c>
      <c r="D547" s="8">
        <v>126.5</v>
      </c>
    </row>
    <row r="548" spans="1:4" x14ac:dyDescent="0.2">
      <c r="A548" s="6">
        <v>1970</v>
      </c>
      <c r="B548" s="5" t="s">
        <v>598</v>
      </c>
      <c r="C548" s="7" t="s">
        <v>10</v>
      </c>
      <c r="D548" s="8">
        <v>307.25</v>
      </c>
    </row>
    <row r="549" spans="1:4" x14ac:dyDescent="0.2">
      <c r="A549" s="6">
        <v>1971</v>
      </c>
      <c r="B549" s="5" t="s">
        <v>599</v>
      </c>
      <c r="C549" s="7" t="s">
        <v>10</v>
      </c>
      <c r="D549" s="8">
        <v>307.25</v>
      </c>
    </row>
    <row r="550" spans="1:4" x14ac:dyDescent="0.2">
      <c r="A550" s="6">
        <v>1972</v>
      </c>
      <c r="B550" s="5" t="s">
        <v>600</v>
      </c>
      <c r="C550" s="7" t="s">
        <v>10</v>
      </c>
      <c r="D550" s="8">
        <v>307.25</v>
      </c>
    </row>
    <row r="551" spans="1:4" x14ac:dyDescent="0.2">
      <c r="A551" s="6">
        <v>1973</v>
      </c>
      <c r="B551" s="5" t="s">
        <v>601</v>
      </c>
      <c r="C551" s="7" t="s">
        <v>10</v>
      </c>
      <c r="D551" s="8">
        <v>307.25</v>
      </c>
    </row>
    <row r="552" spans="1:4" x14ac:dyDescent="0.2">
      <c r="A552" s="6">
        <v>1974</v>
      </c>
      <c r="B552" s="5" t="s">
        <v>602</v>
      </c>
      <c r="C552" s="7" t="s">
        <v>10</v>
      </c>
      <c r="D552" s="8">
        <v>307.25</v>
      </c>
    </row>
    <row r="553" spans="1:4" x14ac:dyDescent="0.2">
      <c r="A553" s="6">
        <v>1977</v>
      </c>
      <c r="B553" s="5" t="s">
        <v>603</v>
      </c>
      <c r="C553" s="7" t="s">
        <v>64</v>
      </c>
      <c r="D553" s="8">
        <v>553.07000000000005</v>
      </c>
    </row>
    <row r="554" spans="1:4" x14ac:dyDescent="0.2">
      <c r="A554" s="6">
        <v>1978</v>
      </c>
      <c r="B554" s="5" t="s">
        <v>604</v>
      </c>
      <c r="C554" s="7" t="s">
        <v>10</v>
      </c>
      <c r="D554" s="8">
        <v>307.25</v>
      </c>
    </row>
    <row r="555" spans="1:4" x14ac:dyDescent="0.2">
      <c r="A555" s="6">
        <v>1979</v>
      </c>
      <c r="B555" s="5" t="s">
        <v>605</v>
      </c>
      <c r="C555" s="7" t="s">
        <v>64</v>
      </c>
      <c r="D555" s="8">
        <v>553.07000000000005</v>
      </c>
    </row>
    <row r="556" spans="1:4" x14ac:dyDescent="0.2">
      <c r="A556" s="6">
        <v>1980</v>
      </c>
      <c r="B556" s="5" t="s">
        <v>606</v>
      </c>
      <c r="C556" s="7" t="s">
        <v>297</v>
      </c>
      <c r="D556" s="8"/>
    </row>
    <row r="557" spans="1:4" x14ac:dyDescent="0.2">
      <c r="A557" s="6">
        <v>1982</v>
      </c>
      <c r="B557" s="5" t="s">
        <v>607</v>
      </c>
      <c r="C557" s="7" t="s">
        <v>1</v>
      </c>
      <c r="D557" s="8"/>
    </row>
    <row r="558" spans="1:4" x14ac:dyDescent="0.2">
      <c r="A558" s="6">
        <v>1983</v>
      </c>
      <c r="B558" s="5" t="s">
        <v>608</v>
      </c>
      <c r="C558" s="7" t="s">
        <v>10</v>
      </c>
      <c r="D558" s="8">
        <v>307.25</v>
      </c>
    </row>
    <row r="559" spans="1:4" x14ac:dyDescent="0.2">
      <c r="A559" s="6">
        <v>1984</v>
      </c>
      <c r="B559" s="5" t="s">
        <v>609</v>
      </c>
      <c r="C559" s="7" t="s">
        <v>64</v>
      </c>
      <c r="D559" s="8">
        <v>553.07000000000005</v>
      </c>
    </row>
    <row r="560" spans="1:4" x14ac:dyDescent="0.2">
      <c r="A560" s="6">
        <v>1985</v>
      </c>
      <c r="B560" s="5" t="s">
        <v>610</v>
      </c>
      <c r="C560" s="7" t="s">
        <v>10</v>
      </c>
      <c r="D560" s="8">
        <v>307.25</v>
      </c>
    </row>
    <row r="561" spans="1:4" x14ac:dyDescent="0.2">
      <c r="A561" s="6">
        <v>1986</v>
      </c>
      <c r="B561" s="5" t="s">
        <v>611</v>
      </c>
      <c r="C561" s="7" t="s">
        <v>10</v>
      </c>
      <c r="D561" s="8">
        <v>307.25</v>
      </c>
    </row>
    <row r="562" spans="1:4" x14ac:dyDescent="0.2">
      <c r="A562" s="6">
        <v>1987</v>
      </c>
      <c r="B562" s="5" t="s">
        <v>612</v>
      </c>
      <c r="C562" s="7" t="s">
        <v>64</v>
      </c>
      <c r="D562" s="8">
        <v>553.07000000000005</v>
      </c>
    </row>
    <row r="563" spans="1:4" x14ac:dyDescent="0.2">
      <c r="A563" s="6">
        <v>1988</v>
      </c>
      <c r="B563" s="5" t="s">
        <v>613</v>
      </c>
      <c r="C563" s="7" t="s">
        <v>10</v>
      </c>
      <c r="D563" s="8">
        <v>307.25</v>
      </c>
    </row>
    <row r="564" spans="1:4" x14ac:dyDescent="0.2">
      <c r="A564" s="6">
        <v>1989</v>
      </c>
      <c r="B564" s="5" t="s">
        <v>614</v>
      </c>
      <c r="C564" s="7" t="s">
        <v>10</v>
      </c>
      <c r="D564" s="8">
        <v>307.25</v>
      </c>
    </row>
    <row r="565" spans="1:4" x14ac:dyDescent="0.2">
      <c r="A565" s="6">
        <v>1990</v>
      </c>
      <c r="B565" s="5" t="s">
        <v>615</v>
      </c>
      <c r="C565" s="7" t="s">
        <v>10</v>
      </c>
      <c r="D565" s="8">
        <v>307.25</v>
      </c>
    </row>
    <row r="566" spans="1:4" x14ac:dyDescent="0.2">
      <c r="A566" s="6">
        <v>1991</v>
      </c>
      <c r="B566" s="5" t="s">
        <v>616</v>
      </c>
      <c r="C566" s="7" t="s">
        <v>10</v>
      </c>
      <c r="D566" s="8">
        <v>307.25</v>
      </c>
    </row>
    <row r="567" spans="1:4" x14ac:dyDescent="0.2">
      <c r="A567" s="6">
        <v>1992</v>
      </c>
      <c r="B567" s="5" t="s">
        <v>617</v>
      </c>
      <c r="C567" s="7" t="s">
        <v>64</v>
      </c>
      <c r="D567" s="8">
        <v>553.07000000000005</v>
      </c>
    </row>
    <row r="568" spans="1:4" x14ac:dyDescent="0.2">
      <c r="A568" s="6">
        <v>1993</v>
      </c>
      <c r="B568" s="5" t="s">
        <v>618</v>
      </c>
      <c r="C568" s="7" t="s">
        <v>10</v>
      </c>
      <c r="D568" s="8">
        <v>307.25</v>
      </c>
    </row>
    <row r="569" spans="1:4" x14ac:dyDescent="0.2">
      <c r="A569" s="6">
        <v>1994</v>
      </c>
      <c r="B569" s="5" t="s">
        <v>619</v>
      </c>
      <c r="C569" s="7" t="s">
        <v>10</v>
      </c>
      <c r="D569" s="8">
        <v>307.25</v>
      </c>
    </row>
    <row r="570" spans="1:4" x14ac:dyDescent="0.2">
      <c r="A570" s="6">
        <v>1995</v>
      </c>
      <c r="B570" s="5" t="s">
        <v>620</v>
      </c>
      <c r="C570" s="7" t="s">
        <v>10</v>
      </c>
      <c r="D570" s="8">
        <v>307.25</v>
      </c>
    </row>
    <row r="571" spans="1:4" x14ac:dyDescent="0.2">
      <c r="A571" s="6">
        <v>1997</v>
      </c>
      <c r="B571" s="5" t="s">
        <v>621</v>
      </c>
      <c r="C571" s="7" t="s">
        <v>10</v>
      </c>
      <c r="D571" s="8">
        <v>307.25</v>
      </c>
    </row>
    <row r="572" spans="1:4" x14ac:dyDescent="0.2">
      <c r="A572" s="6">
        <v>1998</v>
      </c>
      <c r="B572" s="5" t="s">
        <v>622</v>
      </c>
      <c r="C572" s="7" t="s">
        <v>10</v>
      </c>
      <c r="D572" s="8">
        <v>307.25</v>
      </c>
    </row>
    <row r="573" spans="1:4" x14ac:dyDescent="0.2">
      <c r="A573" s="6">
        <v>1999</v>
      </c>
      <c r="B573" s="5" t="s">
        <v>623</v>
      </c>
      <c r="C573" s="7" t="s">
        <v>10</v>
      </c>
      <c r="D573" s="8">
        <v>307.25</v>
      </c>
    </row>
    <row r="574" spans="1:4" x14ac:dyDescent="0.2">
      <c r="A574" s="6">
        <v>2000</v>
      </c>
      <c r="B574" s="5" t="s">
        <v>624</v>
      </c>
      <c r="C574" s="7" t="s">
        <v>10</v>
      </c>
      <c r="D574" s="8">
        <v>307.25</v>
      </c>
    </row>
    <row r="575" spans="1:4" x14ac:dyDescent="0.2">
      <c r="A575" s="6">
        <v>2001</v>
      </c>
      <c r="B575" s="5" t="s">
        <v>625</v>
      </c>
      <c r="C575" s="7" t="s">
        <v>64</v>
      </c>
      <c r="D575" s="8">
        <v>638.79999999999995</v>
      </c>
    </row>
    <row r="576" spans="1:4" x14ac:dyDescent="0.2">
      <c r="A576" s="6">
        <v>2002</v>
      </c>
      <c r="B576" s="5" t="s">
        <v>626</v>
      </c>
      <c r="C576" s="7" t="s">
        <v>10</v>
      </c>
      <c r="D576" s="8">
        <v>307.25</v>
      </c>
    </row>
    <row r="577" spans="1:4" x14ac:dyDescent="0.2">
      <c r="A577" s="6">
        <v>2003</v>
      </c>
      <c r="B577" s="5" t="s">
        <v>627</v>
      </c>
      <c r="C577" s="7" t="s">
        <v>10</v>
      </c>
      <c r="D577" s="8">
        <v>307.25</v>
      </c>
    </row>
    <row r="578" spans="1:4" x14ac:dyDescent="0.2">
      <c r="A578" s="6">
        <v>2004</v>
      </c>
      <c r="B578" s="5" t="s">
        <v>628</v>
      </c>
      <c r="C578" s="7" t="s">
        <v>10</v>
      </c>
      <c r="D578" s="8">
        <v>307.25</v>
      </c>
    </row>
    <row r="579" spans="1:4" x14ac:dyDescent="0.2">
      <c r="A579" s="6">
        <v>2005</v>
      </c>
      <c r="B579" s="5" t="s">
        <v>629</v>
      </c>
      <c r="C579" s="7" t="s">
        <v>10</v>
      </c>
      <c r="D579" s="8">
        <v>307.25</v>
      </c>
    </row>
    <row r="580" spans="1:4" x14ac:dyDescent="0.2">
      <c r="A580" s="6">
        <v>2006</v>
      </c>
      <c r="B580" s="5" t="s">
        <v>630</v>
      </c>
      <c r="C580" s="7" t="s">
        <v>10</v>
      </c>
      <c r="D580" s="8">
        <v>307.25</v>
      </c>
    </row>
    <row r="581" spans="1:4" x14ac:dyDescent="0.2">
      <c r="A581" s="6">
        <v>2007</v>
      </c>
      <c r="B581" s="5" t="s">
        <v>631</v>
      </c>
      <c r="C581" s="7" t="s">
        <v>10</v>
      </c>
      <c r="D581" s="8">
        <v>307.25</v>
      </c>
    </row>
    <row r="582" spans="1:4" x14ac:dyDescent="0.2">
      <c r="A582" s="6">
        <v>2008</v>
      </c>
      <c r="B582" s="5" t="s">
        <v>632</v>
      </c>
      <c r="C582" s="7" t="s">
        <v>10</v>
      </c>
      <c r="D582" s="8">
        <v>307.25</v>
      </c>
    </row>
    <row r="583" spans="1:4" x14ac:dyDescent="0.2">
      <c r="A583" s="6">
        <v>2009</v>
      </c>
      <c r="B583" s="5" t="s">
        <v>633</v>
      </c>
      <c r="C583" s="7" t="s">
        <v>64</v>
      </c>
      <c r="D583" s="8">
        <v>553.07000000000005</v>
      </c>
    </row>
    <row r="584" spans="1:4" x14ac:dyDescent="0.2">
      <c r="A584" s="6">
        <v>2010</v>
      </c>
      <c r="B584" s="5" t="s">
        <v>634</v>
      </c>
      <c r="C584" s="7" t="s">
        <v>10</v>
      </c>
      <c r="D584" s="8">
        <v>307.25</v>
      </c>
    </row>
    <row r="585" spans="1:4" x14ac:dyDescent="0.2">
      <c r="A585" s="6">
        <v>2011</v>
      </c>
      <c r="B585" s="5" t="s">
        <v>482</v>
      </c>
      <c r="C585" s="7" t="s">
        <v>10</v>
      </c>
      <c r="D585" s="8">
        <v>307.25</v>
      </c>
    </row>
    <row r="586" spans="1:4" x14ac:dyDescent="0.2">
      <c r="A586" s="6">
        <v>2012</v>
      </c>
      <c r="B586" s="5" t="s">
        <v>635</v>
      </c>
      <c r="C586" s="7" t="s">
        <v>10</v>
      </c>
      <c r="D586" s="8">
        <v>307.25</v>
      </c>
    </row>
    <row r="587" spans="1:4" x14ac:dyDescent="0.2">
      <c r="A587" s="6">
        <v>2013</v>
      </c>
      <c r="B587" s="5" t="s">
        <v>636</v>
      </c>
      <c r="C587" s="7" t="s">
        <v>10</v>
      </c>
      <c r="D587" s="8">
        <v>307.25</v>
      </c>
    </row>
    <row r="588" spans="1:4" x14ac:dyDescent="0.2">
      <c r="A588" s="6">
        <v>2014</v>
      </c>
      <c r="B588" s="5" t="s">
        <v>637</v>
      </c>
      <c r="C588" s="7" t="s">
        <v>10</v>
      </c>
      <c r="D588" s="8">
        <v>307.25</v>
      </c>
    </row>
    <row r="589" spans="1:4" x14ac:dyDescent="0.2">
      <c r="A589" s="6">
        <v>2015</v>
      </c>
      <c r="B589" s="5" t="s">
        <v>638</v>
      </c>
      <c r="C589" s="7" t="s">
        <v>10</v>
      </c>
      <c r="D589" s="8">
        <v>307.25</v>
      </c>
    </row>
    <row r="590" spans="1:4" x14ac:dyDescent="0.2">
      <c r="A590" s="6">
        <v>2016</v>
      </c>
      <c r="B590" s="5" t="s">
        <v>639</v>
      </c>
      <c r="C590" s="7" t="s">
        <v>10</v>
      </c>
      <c r="D590" s="8">
        <v>307.25</v>
      </c>
    </row>
    <row r="591" spans="1:4" x14ac:dyDescent="0.2">
      <c r="A591" s="6">
        <v>2017</v>
      </c>
      <c r="B591" s="5" t="s">
        <v>640</v>
      </c>
      <c r="C591" s="7" t="s">
        <v>10</v>
      </c>
      <c r="D591" s="8">
        <v>307.25</v>
      </c>
    </row>
    <row r="592" spans="1:4" x14ac:dyDescent="0.2">
      <c r="A592" s="6">
        <v>2018</v>
      </c>
      <c r="B592" s="5" t="s">
        <v>641</v>
      </c>
      <c r="C592" s="7" t="s">
        <v>10</v>
      </c>
      <c r="D592" s="8">
        <v>307.25</v>
      </c>
    </row>
    <row r="593" spans="1:4" x14ac:dyDescent="0.2">
      <c r="A593" s="6">
        <v>2019</v>
      </c>
      <c r="B593" s="5" t="s">
        <v>642</v>
      </c>
      <c r="C593" s="7" t="s">
        <v>10</v>
      </c>
      <c r="D593" s="8">
        <v>307.25</v>
      </c>
    </row>
    <row r="594" spans="1:4" x14ac:dyDescent="0.2">
      <c r="A594" s="6">
        <v>2021</v>
      </c>
      <c r="B594" s="5" t="s">
        <v>643</v>
      </c>
      <c r="C594" s="7" t="s">
        <v>10</v>
      </c>
      <c r="D594" s="8">
        <v>307.25</v>
      </c>
    </row>
    <row r="595" spans="1:4" x14ac:dyDescent="0.2">
      <c r="A595" s="6">
        <v>2022</v>
      </c>
      <c r="B595" s="5" t="s">
        <v>644</v>
      </c>
      <c r="C595" s="7" t="s">
        <v>64</v>
      </c>
      <c r="D595" s="8">
        <v>553.07000000000005</v>
      </c>
    </row>
    <row r="596" spans="1:4" x14ac:dyDescent="0.2">
      <c r="A596" s="6">
        <v>2024</v>
      </c>
      <c r="B596" s="5" t="s">
        <v>645</v>
      </c>
      <c r="C596" s="7" t="s">
        <v>10</v>
      </c>
      <c r="D596" s="8">
        <v>307.25</v>
      </c>
    </row>
    <row r="597" spans="1:4" x14ac:dyDescent="0.2">
      <c r="A597" s="6">
        <v>2025</v>
      </c>
      <c r="B597" s="5" t="s">
        <v>646</v>
      </c>
      <c r="C597" s="7" t="s">
        <v>10</v>
      </c>
      <c r="D597" s="8">
        <v>307.25</v>
      </c>
    </row>
    <row r="598" spans="1:4" x14ac:dyDescent="0.2">
      <c r="A598" s="6">
        <v>2026</v>
      </c>
      <c r="B598" s="5" t="s">
        <v>647</v>
      </c>
      <c r="C598" s="7" t="s">
        <v>92</v>
      </c>
      <c r="D598" s="8">
        <v>126.5</v>
      </c>
    </row>
    <row r="599" spans="1:4" x14ac:dyDescent="0.2">
      <c r="A599" s="6">
        <v>2027</v>
      </c>
      <c r="B599" s="5" t="s">
        <v>648</v>
      </c>
      <c r="C599" s="7" t="s">
        <v>10</v>
      </c>
      <c r="D599" s="8">
        <v>307.25</v>
      </c>
    </row>
    <row r="600" spans="1:4" x14ac:dyDescent="0.2">
      <c r="A600" s="6">
        <v>2028</v>
      </c>
      <c r="B600" s="5" t="s">
        <v>649</v>
      </c>
      <c r="C600" s="7" t="s">
        <v>10</v>
      </c>
      <c r="D600" s="8">
        <v>307.25</v>
      </c>
    </row>
    <row r="601" spans="1:4" x14ac:dyDescent="0.2">
      <c r="A601" s="6">
        <v>2029</v>
      </c>
      <c r="B601" s="5" t="s">
        <v>650</v>
      </c>
      <c r="C601" s="7" t="s">
        <v>10</v>
      </c>
      <c r="D601" s="8">
        <v>307.25</v>
      </c>
    </row>
    <row r="602" spans="1:4" x14ac:dyDescent="0.2">
      <c r="A602" s="6">
        <v>2030</v>
      </c>
      <c r="B602" s="5" t="s">
        <v>651</v>
      </c>
      <c r="C602" s="7" t="s">
        <v>10</v>
      </c>
      <c r="D602" s="8">
        <v>307.25</v>
      </c>
    </row>
    <row r="603" spans="1:4" x14ac:dyDescent="0.2">
      <c r="A603" s="6">
        <v>2031</v>
      </c>
      <c r="B603" s="5" t="s">
        <v>652</v>
      </c>
      <c r="C603" s="7" t="s">
        <v>10</v>
      </c>
      <c r="D603" s="8">
        <v>307.25</v>
      </c>
    </row>
    <row r="604" spans="1:4" x14ac:dyDescent="0.2">
      <c r="A604" s="6">
        <v>2032</v>
      </c>
      <c r="B604" s="5" t="s">
        <v>653</v>
      </c>
      <c r="C604" s="7" t="s">
        <v>64</v>
      </c>
      <c r="D604" s="8">
        <v>553.07000000000005</v>
      </c>
    </row>
    <row r="605" spans="1:4" x14ac:dyDescent="0.2">
      <c r="A605" s="6">
        <v>2033</v>
      </c>
      <c r="B605" s="5" t="s">
        <v>654</v>
      </c>
      <c r="C605" s="7" t="s">
        <v>185</v>
      </c>
      <c r="D605" s="8">
        <v>142.85714285714286</v>
      </c>
    </row>
    <row r="606" spans="1:4" x14ac:dyDescent="0.2">
      <c r="A606" s="6">
        <v>2034</v>
      </c>
      <c r="B606" s="5" t="s">
        <v>655</v>
      </c>
      <c r="C606" s="7" t="s">
        <v>185</v>
      </c>
      <c r="D606" s="8">
        <v>84</v>
      </c>
    </row>
    <row r="607" spans="1:4" x14ac:dyDescent="0.2">
      <c r="A607" s="6">
        <v>2035</v>
      </c>
      <c r="B607" s="5" t="s">
        <v>656</v>
      </c>
      <c r="C607" s="7" t="s">
        <v>10</v>
      </c>
      <c r="D607" s="8">
        <v>307.25</v>
      </c>
    </row>
    <row r="608" spans="1:4" x14ac:dyDescent="0.2">
      <c r="A608" s="6">
        <v>2036</v>
      </c>
      <c r="B608" s="5" t="s">
        <v>657</v>
      </c>
      <c r="C608" s="7" t="s">
        <v>10</v>
      </c>
      <c r="D608" s="8">
        <v>307.25</v>
      </c>
    </row>
    <row r="609" spans="1:4" x14ac:dyDescent="0.2">
      <c r="A609" s="6">
        <v>2037</v>
      </c>
      <c r="B609" s="5" t="s">
        <v>658</v>
      </c>
      <c r="C609" s="7" t="s">
        <v>10</v>
      </c>
      <c r="D609" s="8">
        <v>307.25</v>
      </c>
    </row>
    <row r="610" spans="1:4" x14ac:dyDescent="0.2">
      <c r="A610" s="6">
        <v>2038</v>
      </c>
      <c r="B610" s="5" t="s">
        <v>659</v>
      </c>
      <c r="C610" s="7" t="s">
        <v>64</v>
      </c>
      <c r="D610" s="8">
        <v>553.07000000000005</v>
      </c>
    </row>
    <row r="611" spans="1:4" x14ac:dyDescent="0.2">
      <c r="A611" s="6">
        <v>2039</v>
      </c>
      <c r="B611" s="5" t="s">
        <v>660</v>
      </c>
      <c r="C611" s="7" t="s">
        <v>10</v>
      </c>
      <c r="D611" s="8">
        <v>307.25</v>
      </c>
    </row>
    <row r="612" spans="1:4" x14ac:dyDescent="0.2">
      <c r="A612" s="6">
        <v>2040</v>
      </c>
      <c r="B612" s="5" t="s">
        <v>661</v>
      </c>
      <c r="C612" s="7" t="s">
        <v>10</v>
      </c>
      <c r="D612" s="8">
        <v>307.25</v>
      </c>
    </row>
    <row r="613" spans="1:4" x14ac:dyDescent="0.2">
      <c r="A613" s="6">
        <v>2041</v>
      </c>
      <c r="B613" s="5" t="s">
        <v>662</v>
      </c>
      <c r="C613" s="7" t="s">
        <v>10</v>
      </c>
      <c r="D613" s="8">
        <v>307.25</v>
      </c>
    </row>
    <row r="614" spans="1:4" x14ac:dyDescent="0.2">
      <c r="A614" s="6">
        <v>2042</v>
      </c>
      <c r="B614" s="5" t="s">
        <v>663</v>
      </c>
      <c r="C614" s="7" t="s">
        <v>35</v>
      </c>
      <c r="D614" s="8">
        <v>400</v>
      </c>
    </row>
    <row r="615" spans="1:4" x14ac:dyDescent="0.2">
      <c r="A615" s="6">
        <v>2043</v>
      </c>
      <c r="B615" s="5" t="s">
        <v>664</v>
      </c>
      <c r="C615" s="7" t="s">
        <v>64</v>
      </c>
      <c r="D615" s="8">
        <v>553.07000000000005</v>
      </c>
    </row>
    <row r="616" spans="1:4" x14ac:dyDescent="0.2">
      <c r="A616" s="6">
        <v>2045</v>
      </c>
      <c r="B616" s="5" t="s">
        <v>665</v>
      </c>
      <c r="C616" s="7" t="s">
        <v>68</v>
      </c>
      <c r="D616" s="8">
        <v>695.95</v>
      </c>
    </row>
    <row r="617" spans="1:4" x14ac:dyDescent="0.2">
      <c r="A617" s="6">
        <v>2046</v>
      </c>
      <c r="B617" s="5" t="s">
        <v>666</v>
      </c>
      <c r="C617" s="7" t="s">
        <v>10</v>
      </c>
      <c r="D617" s="8">
        <v>307.25</v>
      </c>
    </row>
    <row r="618" spans="1:4" x14ac:dyDescent="0.2">
      <c r="A618" s="6">
        <v>2047</v>
      </c>
      <c r="B618" s="5" t="s">
        <v>667</v>
      </c>
      <c r="C618" s="7" t="s">
        <v>185</v>
      </c>
      <c r="D618" s="8">
        <v>139.64285714285714</v>
      </c>
    </row>
    <row r="619" spans="1:4" x14ac:dyDescent="0.2">
      <c r="A619" s="6">
        <v>2048</v>
      </c>
      <c r="B619" s="5" t="s">
        <v>668</v>
      </c>
      <c r="C619" s="7" t="s">
        <v>10</v>
      </c>
      <c r="D619" s="8">
        <v>307.25</v>
      </c>
    </row>
    <row r="620" spans="1:4" x14ac:dyDescent="0.2">
      <c r="A620" s="6">
        <v>2049</v>
      </c>
      <c r="B620" s="5" t="s">
        <v>669</v>
      </c>
      <c r="C620" s="7" t="s">
        <v>10</v>
      </c>
      <c r="D620" s="8">
        <v>307.25</v>
      </c>
    </row>
    <row r="621" spans="1:4" x14ac:dyDescent="0.2">
      <c r="A621" s="6">
        <v>2050</v>
      </c>
      <c r="B621" s="5" t="s">
        <v>670</v>
      </c>
      <c r="C621" s="7" t="s">
        <v>10</v>
      </c>
      <c r="D621" s="8">
        <v>307.25</v>
      </c>
    </row>
    <row r="622" spans="1:4" x14ac:dyDescent="0.2">
      <c r="A622" s="6">
        <v>2051</v>
      </c>
      <c r="B622" s="5" t="s">
        <v>671</v>
      </c>
      <c r="C622" s="7" t="s">
        <v>10</v>
      </c>
      <c r="D622" s="8">
        <v>307.25</v>
      </c>
    </row>
    <row r="623" spans="1:4" x14ac:dyDescent="0.2">
      <c r="A623" s="6">
        <v>2052</v>
      </c>
      <c r="B623" s="5" t="s">
        <v>672</v>
      </c>
      <c r="C623" s="7" t="s">
        <v>10</v>
      </c>
      <c r="D623" s="8">
        <v>307.25</v>
      </c>
    </row>
    <row r="624" spans="1:4" x14ac:dyDescent="0.2">
      <c r="A624" s="6">
        <v>2053</v>
      </c>
      <c r="B624" s="5" t="s">
        <v>673</v>
      </c>
      <c r="C624" s="7" t="s">
        <v>64</v>
      </c>
      <c r="D624" s="8">
        <v>553.07000000000005</v>
      </c>
    </row>
    <row r="625" spans="1:4" x14ac:dyDescent="0.2">
      <c r="A625" s="6">
        <v>2054</v>
      </c>
      <c r="B625" s="5" t="s">
        <v>674</v>
      </c>
      <c r="C625" s="7" t="s">
        <v>64</v>
      </c>
      <c r="D625" s="8">
        <v>553.07000000000005</v>
      </c>
    </row>
    <row r="626" spans="1:4" x14ac:dyDescent="0.2">
      <c r="A626" s="6">
        <v>2055</v>
      </c>
      <c r="B626" s="5" t="s">
        <v>675</v>
      </c>
      <c r="C626" s="7" t="s">
        <v>10</v>
      </c>
      <c r="D626" s="8">
        <v>307.25</v>
      </c>
    </row>
    <row r="627" spans="1:4" x14ac:dyDescent="0.2">
      <c r="A627" s="6">
        <v>2056</v>
      </c>
      <c r="B627" s="5" t="s">
        <v>676</v>
      </c>
      <c r="C627" s="7" t="s">
        <v>10</v>
      </c>
      <c r="D627" s="8">
        <v>307.25</v>
      </c>
    </row>
    <row r="628" spans="1:4" x14ac:dyDescent="0.2">
      <c r="A628" s="6">
        <v>2057</v>
      </c>
      <c r="B628" s="5" t="s">
        <v>677</v>
      </c>
      <c r="C628" s="7" t="s">
        <v>10</v>
      </c>
      <c r="D628" s="8">
        <v>307.25</v>
      </c>
    </row>
    <row r="629" spans="1:4" x14ac:dyDescent="0.2">
      <c r="A629" s="6">
        <v>2058</v>
      </c>
      <c r="B629" s="5" t="s">
        <v>678</v>
      </c>
      <c r="C629" s="7" t="s">
        <v>64</v>
      </c>
      <c r="D629" s="8">
        <v>553.07000000000005</v>
      </c>
    </row>
    <row r="630" spans="1:4" x14ac:dyDescent="0.2">
      <c r="A630" s="6">
        <v>2059</v>
      </c>
      <c r="B630" s="5" t="s">
        <v>679</v>
      </c>
      <c r="C630" s="7" t="s">
        <v>10</v>
      </c>
      <c r="D630" s="8">
        <v>307.25</v>
      </c>
    </row>
    <row r="631" spans="1:4" x14ac:dyDescent="0.2">
      <c r="A631" s="6">
        <v>2060</v>
      </c>
      <c r="B631" s="5" t="s">
        <v>680</v>
      </c>
      <c r="C631" s="7" t="s">
        <v>52</v>
      </c>
      <c r="D631" s="8">
        <v>126.5</v>
      </c>
    </row>
    <row r="632" spans="1:4" x14ac:dyDescent="0.2">
      <c r="A632" s="6">
        <v>2061</v>
      </c>
      <c r="B632" s="5" t="s">
        <v>681</v>
      </c>
      <c r="C632" s="7" t="s">
        <v>10</v>
      </c>
      <c r="D632" s="8">
        <v>307.25</v>
      </c>
    </row>
    <row r="633" spans="1:4" x14ac:dyDescent="0.2">
      <c r="A633" s="6">
        <v>2062</v>
      </c>
      <c r="B633" s="5" t="s">
        <v>682</v>
      </c>
      <c r="C633" s="7" t="s">
        <v>185</v>
      </c>
      <c r="D633" s="8">
        <v>121.42857142857143</v>
      </c>
    </row>
    <row r="634" spans="1:4" x14ac:dyDescent="0.2">
      <c r="A634" s="6">
        <v>2064</v>
      </c>
      <c r="B634" s="5" t="s">
        <v>683</v>
      </c>
      <c r="C634" s="7" t="s">
        <v>64</v>
      </c>
      <c r="D634" s="8">
        <v>553.07000000000005</v>
      </c>
    </row>
    <row r="635" spans="1:4" x14ac:dyDescent="0.2">
      <c r="A635" s="6">
        <v>2065</v>
      </c>
      <c r="B635" s="5" t="s">
        <v>684</v>
      </c>
      <c r="C635" s="7" t="s">
        <v>10</v>
      </c>
      <c r="D635" s="8">
        <v>307.25</v>
      </c>
    </row>
    <row r="636" spans="1:4" x14ac:dyDescent="0.2">
      <c r="A636" s="6">
        <v>2066</v>
      </c>
      <c r="B636" s="5" t="s">
        <v>685</v>
      </c>
      <c r="C636" s="7" t="s">
        <v>10</v>
      </c>
      <c r="D636" s="8">
        <v>307.25</v>
      </c>
    </row>
    <row r="637" spans="1:4" x14ac:dyDescent="0.2">
      <c r="A637" s="6">
        <v>2067</v>
      </c>
      <c r="B637" s="5" t="s">
        <v>686</v>
      </c>
      <c r="C637" s="7" t="s">
        <v>185</v>
      </c>
      <c r="D637" s="8">
        <v>257.14285714285717</v>
      </c>
    </row>
    <row r="638" spans="1:4" x14ac:dyDescent="0.2">
      <c r="A638" s="6">
        <v>2068</v>
      </c>
      <c r="B638" s="5" t="s">
        <v>687</v>
      </c>
      <c r="C638" s="7" t="s">
        <v>10</v>
      </c>
      <c r="D638" s="8">
        <v>307.25</v>
      </c>
    </row>
    <row r="639" spans="1:4" x14ac:dyDescent="0.2">
      <c r="A639" s="6">
        <v>2069</v>
      </c>
      <c r="B639" s="5" t="s">
        <v>688</v>
      </c>
      <c r="C639" s="7" t="s">
        <v>10</v>
      </c>
      <c r="D639" s="8">
        <v>307.25</v>
      </c>
    </row>
    <row r="640" spans="1:4" x14ac:dyDescent="0.2">
      <c r="A640" s="6">
        <v>2070</v>
      </c>
      <c r="B640" s="5" t="s">
        <v>689</v>
      </c>
      <c r="C640" s="7" t="s">
        <v>10</v>
      </c>
      <c r="D640" s="8">
        <v>307.25</v>
      </c>
    </row>
    <row r="641" spans="1:4" x14ac:dyDescent="0.2">
      <c r="A641" s="6">
        <v>2071</v>
      </c>
      <c r="B641" s="5" t="s">
        <v>690</v>
      </c>
      <c r="C641" s="7" t="s">
        <v>10</v>
      </c>
      <c r="D641" s="8">
        <v>307.25</v>
      </c>
    </row>
    <row r="642" spans="1:4" x14ac:dyDescent="0.2">
      <c r="A642" s="6">
        <v>2072</v>
      </c>
      <c r="B642" s="5" t="s">
        <v>691</v>
      </c>
      <c r="C642" s="7" t="s">
        <v>10</v>
      </c>
      <c r="D642" s="8">
        <v>307.25</v>
      </c>
    </row>
    <row r="643" spans="1:4" x14ac:dyDescent="0.2">
      <c r="A643" s="6">
        <v>2073</v>
      </c>
      <c r="B643" s="5" t="s">
        <v>692</v>
      </c>
      <c r="C643" s="7" t="s">
        <v>185</v>
      </c>
      <c r="D643" s="8">
        <v>114.28571428571429</v>
      </c>
    </row>
    <row r="644" spans="1:4" x14ac:dyDescent="0.2">
      <c r="A644" s="6">
        <v>2074</v>
      </c>
      <c r="B644" s="5" t="s">
        <v>693</v>
      </c>
      <c r="C644" s="7" t="s">
        <v>297</v>
      </c>
      <c r="D644" s="8"/>
    </row>
    <row r="645" spans="1:4" x14ac:dyDescent="0.2">
      <c r="A645" s="6">
        <v>2075</v>
      </c>
      <c r="B645" s="5" t="s">
        <v>694</v>
      </c>
      <c r="C645" s="7" t="s">
        <v>297</v>
      </c>
      <c r="D645" s="8"/>
    </row>
    <row r="646" spans="1:4" x14ac:dyDescent="0.2">
      <c r="A646" s="6">
        <v>2076</v>
      </c>
      <c r="B646" s="5" t="s">
        <v>695</v>
      </c>
      <c r="C646" s="7" t="s">
        <v>297</v>
      </c>
      <c r="D646" s="8"/>
    </row>
    <row r="647" spans="1:4" x14ac:dyDescent="0.2">
      <c r="A647" s="6">
        <v>2077</v>
      </c>
      <c r="B647" s="5" t="s">
        <v>696</v>
      </c>
      <c r="C647" s="7" t="s">
        <v>297</v>
      </c>
      <c r="D647" s="8"/>
    </row>
    <row r="648" spans="1:4" x14ac:dyDescent="0.2">
      <c r="A648" s="6">
        <v>2078</v>
      </c>
      <c r="B648" s="5" t="s">
        <v>697</v>
      </c>
      <c r="C648" s="7" t="s">
        <v>10</v>
      </c>
      <c r="D648" s="8">
        <v>497.23</v>
      </c>
    </row>
    <row r="649" spans="1:4" x14ac:dyDescent="0.2">
      <c r="A649" s="6">
        <v>2079</v>
      </c>
      <c r="B649" s="5" t="s">
        <v>698</v>
      </c>
      <c r="C649" s="7" t="s">
        <v>1</v>
      </c>
      <c r="D649" s="8"/>
    </row>
    <row r="650" spans="1:4" x14ac:dyDescent="0.2">
      <c r="A650" s="6">
        <v>2080</v>
      </c>
      <c r="B650" s="5" t="s">
        <v>699</v>
      </c>
      <c r="C650" s="7" t="s">
        <v>43</v>
      </c>
      <c r="D650" s="8"/>
    </row>
    <row r="651" spans="1:4" x14ac:dyDescent="0.2">
      <c r="A651" s="6">
        <v>2081</v>
      </c>
      <c r="B651" s="5" t="s">
        <v>700</v>
      </c>
      <c r="C651" s="7" t="s">
        <v>280</v>
      </c>
      <c r="D651" s="8"/>
    </row>
    <row r="652" spans="1:4" x14ac:dyDescent="0.2">
      <c r="A652" s="6">
        <v>2082</v>
      </c>
      <c r="B652" s="5" t="s">
        <v>701</v>
      </c>
      <c r="C652" s="7" t="s">
        <v>10</v>
      </c>
      <c r="D652" s="8">
        <v>307.25</v>
      </c>
    </row>
    <row r="653" spans="1:4" x14ac:dyDescent="0.2">
      <c r="A653" s="6">
        <v>2083</v>
      </c>
      <c r="B653" s="5" t="s">
        <v>702</v>
      </c>
      <c r="C653" s="7" t="s">
        <v>10</v>
      </c>
      <c r="D653" s="8">
        <v>307.25</v>
      </c>
    </row>
    <row r="654" spans="1:4" x14ac:dyDescent="0.2">
      <c r="A654" s="6">
        <v>2084</v>
      </c>
      <c r="B654" s="5" t="s">
        <v>703</v>
      </c>
      <c r="C654" s="7" t="s">
        <v>10</v>
      </c>
      <c r="D654" s="8">
        <v>307.25</v>
      </c>
    </row>
    <row r="655" spans="1:4" x14ac:dyDescent="0.2">
      <c r="A655" s="6">
        <v>2085</v>
      </c>
      <c r="B655" s="5" t="s">
        <v>704</v>
      </c>
      <c r="C655" s="7" t="s">
        <v>10</v>
      </c>
      <c r="D655" s="8">
        <v>307.25</v>
      </c>
    </row>
    <row r="656" spans="1:4" x14ac:dyDescent="0.2">
      <c r="A656" s="6">
        <v>2086</v>
      </c>
      <c r="B656" s="5" t="s">
        <v>705</v>
      </c>
      <c r="C656" s="7" t="s">
        <v>297</v>
      </c>
      <c r="D656" s="8"/>
    </row>
    <row r="657" spans="1:4" x14ac:dyDescent="0.2">
      <c r="A657" s="6">
        <v>2087</v>
      </c>
      <c r="B657" s="5" t="s">
        <v>706</v>
      </c>
      <c r="C657" s="7" t="s">
        <v>10</v>
      </c>
      <c r="D657" s="8">
        <v>307.25</v>
      </c>
    </row>
    <row r="658" spans="1:4" x14ac:dyDescent="0.2">
      <c r="A658" s="6">
        <v>2088</v>
      </c>
      <c r="B658" s="5" t="s">
        <v>707</v>
      </c>
      <c r="C658" s="7" t="s">
        <v>10</v>
      </c>
      <c r="D658" s="8">
        <v>307.25</v>
      </c>
    </row>
    <row r="659" spans="1:4" x14ac:dyDescent="0.2">
      <c r="A659" s="6">
        <v>2089</v>
      </c>
      <c r="B659" s="5" t="s">
        <v>708</v>
      </c>
      <c r="C659" s="7" t="s">
        <v>64</v>
      </c>
      <c r="D659" s="8">
        <v>553.07000000000005</v>
      </c>
    </row>
    <row r="660" spans="1:4" x14ac:dyDescent="0.2">
      <c r="A660" s="6">
        <v>2090</v>
      </c>
      <c r="B660" s="5" t="s">
        <v>709</v>
      </c>
      <c r="C660" s="7" t="s">
        <v>297</v>
      </c>
      <c r="D660" s="8"/>
    </row>
    <row r="661" spans="1:4" x14ac:dyDescent="0.2">
      <c r="A661" s="6">
        <v>2091</v>
      </c>
      <c r="B661" s="5" t="s">
        <v>710</v>
      </c>
      <c r="C661" s="7" t="s">
        <v>10</v>
      </c>
      <c r="D661" s="8">
        <v>307.25</v>
      </c>
    </row>
    <row r="662" spans="1:4" x14ac:dyDescent="0.2">
      <c r="A662" s="6">
        <v>2092</v>
      </c>
      <c r="B662" s="5" t="s">
        <v>711</v>
      </c>
      <c r="C662" s="7" t="s">
        <v>64</v>
      </c>
      <c r="D662" s="8">
        <v>553.07000000000005</v>
      </c>
    </row>
    <row r="663" spans="1:4" x14ac:dyDescent="0.2">
      <c r="A663" s="6">
        <v>2093</v>
      </c>
      <c r="B663" s="5" t="s">
        <v>712</v>
      </c>
      <c r="C663" s="7" t="s">
        <v>280</v>
      </c>
      <c r="D663" s="8"/>
    </row>
    <row r="664" spans="1:4" x14ac:dyDescent="0.2">
      <c r="A664" s="6">
        <v>2094</v>
      </c>
      <c r="B664" s="5" t="s">
        <v>713</v>
      </c>
      <c r="C664" s="7" t="s">
        <v>10</v>
      </c>
      <c r="D664" s="8">
        <v>307.25</v>
      </c>
    </row>
    <row r="665" spans="1:4" x14ac:dyDescent="0.2">
      <c r="A665" s="6">
        <v>2095</v>
      </c>
      <c r="B665" s="5" t="s">
        <v>714</v>
      </c>
      <c r="C665" s="7" t="s">
        <v>10</v>
      </c>
      <c r="D665" s="8">
        <v>307.25</v>
      </c>
    </row>
    <row r="666" spans="1:4" x14ac:dyDescent="0.2">
      <c r="A666" s="6">
        <v>2096</v>
      </c>
      <c r="B666" s="5" t="s">
        <v>715</v>
      </c>
      <c r="C666" s="7" t="s">
        <v>10</v>
      </c>
      <c r="D666" s="8">
        <v>307.25</v>
      </c>
    </row>
    <row r="667" spans="1:4" x14ac:dyDescent="0.2">
      <c r="A667" s="6">
        <v>2098</v>
      </c>
      <c r="B667" s="5" t="s">
        <v>716</v>
      </c>
      <c r="C667" s="7" t="s">
        <v>10</v>
      </c>
      <c r="D667" s="8">
        <v>307.25</v>
      </c>
    </row>
    <row r="668" spans="1:4" x14ac:dyDescent="0.2">
      <c r="A668" s="6">
        <v>2099</v>
      </c>
      <c r="B668" s="5" t="s">
        <v>717</v>
      </c>
      <c r="C668" s="7" t="s">
        <v>64</v>
      </c>
      <c r="D668" s="8">
        <v>553.07000000000005</v>
      </c>
    </row>
    <row r="669" spans="1:4" x14ac:dyDescent="0.2">
      <c r="A669" s="6">
        <v>2100</v>
      </c>
      <c r="B669" s="5" t="s">
        <v>718</v>
      </c>
      <c r="C669" s="7" t="s">
        <v>10</v>
      </c>
      <c r="D669" s="8">
        <v>307.25</v>
      </c>
    </row>
    <row r="670" spans="1:4" x14ac:dyDescent="0.2">
      <c r="A670" s="6">
        <v>2101</v>
      </c>
      <c r="B670" s="5" t="s">
        <v>719</v>
      </c>
      <c r="C670" s="7" t="s">
        <v>10</v>
      </c>
      <c r="D670" s="8">
        <v>307.25</v>
      </c>
    </row>
    <row r="671" spans="1:4" x14ac:dyDescent="0.2">
      <c r="A671" s="6">
        <v>2102</v>
      </c>
      <c r="B671" s="5" t="s">
        <v>720</v>
      </c>
      <c r="C671" s="7" t="s">
        <v>10</v>
      </c>
      <c r="D671" s="8">
        <v>307.25</v>
      </c>
    </row>
    <row r="672" spans="1:4" x14ac:dyDescent="0.2">
      <c r="A672" s="6">
        <v>2103</v>
      </c>
      <c r="B672" s="5" t="s">
        <v>721</v>
      </c>
      <c r="C672" s="7" t="s">
        <v>10</v>
      </c>
      <c r="D672" s="8">
        <v>307.25</v>
      </c>
    </row>
    <row r="673" spans="1:4" x14ac:dyDescent="0.2">
      <c r="A673" s="6">
        <v>2104</v>
      </c>
      <c r="B673" s="5" t="s">
        <v>722</v>
      </c>
      <c r="C673" s="7" t="s">
        <v>10</v>
      </c>
      <c r="D673" s="8">
        <v>307.25</v>
      </c>
    </row>
    <row r="674" spans="1:4" x14ac:dyDescent="0.2">
      <c r="A674" s="6">
        <v>2105</v>
      </c>
      <c r="B674" s="5" t="s">
        <v>723</v>
      </c>
      <c r="C674" s="7" t="s">
        <v>185</v>
      </c>
      <c r="D674" s="8">
        <v>152</v>
      </c>
    </row>
    <row r="675" spans="1:4" x14ac:dyDescent="0.2">
      <c r="A675" s="6">
        <v>2106</v>
      </c>
      <c r="B675" s="5" t="s">
        <v>724</v>
      </c>
      <c r="C675" s="7" t="s">
        <v>10</v>
      </c>
      <c r="D675" s="8">
        <v>307.25</v>
      </c>
    </row>
    <row r="676" spans="1:4" x14ac:dyDescent="0.2">
      <c r="A676" s="6">
        <v>2107</v>
      </c>
      <c r="B676" s="5" t="s">
        <v>725</v>
      </c>
      <c r="C676" s="7" t="s">
        <v>297</v>
      </c>
      <c r="D676" s="8"/>
    </row>
    <row r="677" spans="1:4" x14ac:dyDescent="0.2">
      <c r="A677" s="6">
        <v>2108</v>
      </c>
      <c r="B677" s="5" t="s">
        <v>726</v>
      </c>
      <c r="C677" s="7" t="s">
        <v>10</v>
      </c>
      <c r="D677" s="8">
        <v>307.25</v>
      </c>
    </row>
    <row r="678" spans="1:4" x14ac:dyDescent="0.2">
      <c r="A678" s="6">
        <v>2109</v>
      </c>
      <c r="B678" s="5" t="s">
        <v>727</v>
      </c>
      <c r="C678" s="7" t="s">
        <v>64</v>
      </c>
      <c r="D678" s="8">
        <v>553.07000000000005</v>
      </c>
    </row>
    <row r="679" spans="1:4" x14ac:dyDescent="0.2">
      <c r="A679" s="6">
        <v>2110</v>
      </c>
      <c r="B679" s="5" t="s">
        <v>728</v>
      </c>
      <c r="C679" s="7" t="s">
        <v>92</v>
      </c>
      <c r="D679" s="8">
        <v>126.5</v>
      </c>
    </row>
    <row r="680" spans="1:4" x14ac:dyDescent="0.2">
      <c r="A680" s="6">
        <v>2111</v>
      </c>
      <c r="B680" s="5" t="s">
        <v>729</v>
      </c>
      <c r="C680" s="7" t="s">
        <v>10</v>
      </c>
      <c r="D680" s="8">
        <v>307.25</v>
      </c>
    </row>
    <row r="681" spans="1:4" x14ac:dyDescent="0.2">
      <c r="A681" s="6">
        <v>2112</v>
      </c>
      <c r="B681" s="5" t="s">
        <v>730</v>
      </c>
      <c r="C681" s="7" t="s">
        <v>64</v>
      </c>
      <c r="D681" s="8">
        <v>553.07000000000005</v>
      </c>
    </row>
    <row r="682" spans="1:4" x14ac:dyDescent="0.2">
      <c r="A682" s="6">
        <v>2113</v>
      </c>
      <c r="B682" s="5" t="s">
        <v>731</v>
      </c>
      <c r="C682" s="7" t="s">
        <v>68</v>
      </c>
      <c r="D682" s="8"/>
    </row>
    <row r="683" spans="1:4" x14ac:dyDescent="0.2">
      <c r="A683" s="6">
        <v>2114</v>
      </c>
      <c r="B683" s="5" t="s">
        <v>732</v>
      </c>
      <c r="C683" s="7" t="s">
        <v>10</v>
      </c>
      <c r="D683" s="8">
        <v>307.25</v>
      </c>
    </row>
    <row r="684" spans="1:4" x14ac:dyDescent="0.2">
      <c r="A684" s="6">
        <v>2115</v>
      </c>
      <c r="B684" s="5" t="s">
        <v>733</v>
      </c>
      <c r="C684" s="7" t="s">
        <v>10</v>
      </c>
      <c r="D684" s="8">
        <v>307.25</v>
      </c>
    </row>
    <row r="685" spans="1:4" x14ac:dyDescent="0.2">
      <c r="A685" s="6">
        <v>2116</v>
      </c>
      <c r="B685" s="5" t="s">
        <v>734</v>
      </c>
      <c r="C685" s="7" t="s">
        <v>10</v>
      </c>
      <c r="D685" s="8">
        <v>307.25</v>
      </c>
    </row>
    <row r="686" spans="1:4" x14ac:dyDescent="0.2">
      <c r="A686" s="6">
        <v>2117</v>
      </c>
      <c r="B686" s="5" t="s">
        <v>735</v>
      </c>
      <c r="C686" s="7" t="s">
        <v>64</v>
      </c>
      <c r="D686" s="8">
        <v>553.07000000000005</v>
      </c>
    </row>
    <row r="687" spans="1:4" x14ac:dyDescent="0.2">
      <c r="A687" s="6">
        <v>2118</v>
      </c>
      <c r="B687" s="5" t="s">
        <v>736</v>
      </c>
      <c r="C687" s="7" t="s">
        <v>10</v>
      </c>
      <c r="D687" s="8">
        <v>307.25</v>
      </c>
    </row>
    <row r="688" spans="1:4" x14ac:dyDescent="0.2">
      <c r="A688" s="6">
        <v>2119</v>
      </c>
      <c r="B688" s="5" t="s">
        <v>737</v>
      </c>
      <c r="C688" s="7" t="s">
        <v>10</v>
      </c>
      <c r="D688" s="8">
        <v>307.25</v>
      </c>
    </row>
    <row r="689" spans="1:4" x14ac:dyDescent="0.2">
      <c r="A689" s="6">
        <v>2120</v>
      </c>
      <c r="B689" s="5" t="s">
        <v>738</v>
      </c>
      <c r="C689" s="7" t="s">
        <v>10</v>
      </c>
      <c r="D689" s="8">
        <v>307.25</v>
      </c>
    </row>
    <row r="690" spans="1:4" x14ac:dyDescent="0.2">
      <c r="A690" s="6">
        <v>2121</v>
      </c>
      <c r="B690" s="5" t="s">
        <v>739</v>
      </c>
      <c r="C690" s="7" t="s">
        <v>10</v>
      </c>
      <c r="D690" s="8">
        <v>307.25</v>
      </c>
    </row>
    <row r="691" spans="1:4" x14ac:dyDescent="0.2">
      <c r="A691" s="6">
        <v>2122</v>
      </c>
      <c r="B691" s="5" t="s">
        <v>740</v>
      </c>
      <c r="C691" s="7" t="s">
        <v>10</v>
      </c>
      <c r="D691" s="8">
        <v>307.25</v>
      </c>
    </row>
    <row r="692" spans="1:4" x14ac:dyDescent="0.2">
      <c r="A692" s="6">
        <v>2123</v>
      </c>
      <c r="B692" s="5" t="s">
        <v>741</v>
      </c>
      <c r="C692" s="7" t="s">
        <v>64</v>
      </c>
      <c r="D692" s="8">
        <v>553.07000000000005</v>
      </c>
    </row>
    <row r="693" spans="1:4" x14ac:dyDescent="0.2">
      <c r="A693" s="6">
        <v>2124</v>
      </c>
      <c r="B693" s="5" t="s">
        <v>742</v>
      </c>
      <c r="C693" s="7" t="s">
        <v>10</v>
      </c>
      <c r="D693" s="8">
        <v>307.25</v>
      </c>
    </row>
    <row r="694" spans="1:4" x14ac:dyDescent="0.2">
      <c r="A694" s="6">
        <v>2125</v>
      </c>
      <c r="B694" s="5" t="s">
        <v>743</v>
      </c>
      <c r="C694" s="7" t="s">
        <v>10</v>
      </c>
      <c r="D694" s="8">
        <v>307.25</v>
      </c>
    </row>
    <row r="695" spans="1:4" x14ac:dyDescent="0.2">
      <c r="A695" s="6">
        <v>2126</v>
      </c>
      <c r="B695" s="5" t="s">
        <v>744</v>
      </c>
      <c r="C695" s="7" t="s">
        <v>10</v>
      </c>
      <c r="D695" s="8">
        <v>307.25</v>
      </c>
    </row>
    <row r="696" spans="1:4" x14ac:dyDescent="0.2">
      <c r="A696" s="6">
        <v>2127</v>
      </c>
      <c r="B696" s="5" t="s">
        <v>745</v>
      </c>
      <c r="C696" s="7" t="s">
        <v>10</v>
      </c>
      <c r="D696" s="8">
        <v>307.25</v>
      </c>
    </row>
    <row r="697" spans="1:4" x14ac:dyDescent="0.2">
      <c r="A697" s="6">
        <v>2128</v>
      </c>
      <c r="B697" s="5" t="s">
        <v>746</v>
      </c>
      <c r="C697" s="7" t="s">
        <v>297</v>
      </c>
      <c r="D697" s="8"/>
    </row>
    <row r="698" spans="1:4" x14ac:dyDescent="0.2">
      <c r="A698" s="6">
        <v>2130</v>
      </c>
      <c r="B698" s="5" t="s">
        <v>747</v>
      </c>
      <c r="C698" s="7" t="s">
        <v>10</v>
      </c>
      <c r="D698" s="8">
        <v>307.25</v>
      </c>
    </row>
    <row r="699" spans="1:4" x14ac:dyDescent="0.2">
      <c r="A699" s="6">
        <v>2131</v>
      </c>
      <c r="B699" s="5" t="s">
        <v>748</v>
      </c>
      <c r="C699" s="7" t="s">
        <v>10</v>
      </c>
      <c r="D699" s="8">
        <v>307.25</v>
      </c>
    </row>
    <row r="700" spans="1:4" x14ac:dyDescent="0.2">
      <c r="A700" s="6">
        <v>2132</v>
      </c>
      <c r="B700" s="5" t="s">
        <v>749</v>
      </c>
      <c r="C700" s="7" t="s">
        <v>10</v>
      </c>
      <c r="D700" s="8">
        <v>307.25</v>
      </c>
    </row>
    <row r="701" spans="1:4" x14ac:dyDescent="0.2">
      <c r="A701" s="6">
        <v>2133</v>
      </c>
      <c r="B701" s="5" t="s">
        <v>750</v>
      </c>
      <c r="C701" s="7" t="s">
        <v>10</v>
      </c>
      <c r="D701" s="8">
        <v>307.25</v>
      </c>
    </row>
    <row r="702" spans="1:4" x14ac:dyDescent="0.2">
      <c r="A702" s="6">
        <v>2134</v>
      </c>
      <c r="B702" s="5" t="s">
        <v>751</v>
      </c>
      <c r="C702" s="7" t="s">
        <v>10</v>
      </c>
      <c r="D702" s="8">
        <v>307.25</v>
      </c>
    </row>
    <row r="703" spans="1:4" x14ac:dyDescent="0.2">
      <c r="A703" s="6">
        <v>2135</v>
      </c>
      <c r="B703" s="5" t="s">
        <v>752</v>
      </c>
      <c r="C703" s="7" t="s">
        <v>10</v>
      </c>
      <c r="D703" s="8">
        <v>307.25</v>
      </c>
    </row>
    <row r="704" spans="1:4" x14ac:dyDescent="0.2">
      <c r="A704" s="6">
        <v>2136</v>
      </c>
      <c r="B704" s="5" t="s">
        <v>753</v>
      </c>
      <c r="C704" s="7" t="s">
        <v>64</v>
      </c>
      <c r="D704" s="8">
        <v>553.07000000000005</v>
      </c>
    </row>
    <row r="705" spans="1:4" x14ac:dyDescent="0.2">
      <c r="A705" s="6">
        <v>2137</v>
      </c>
      <c r="B705" s="5" t="s">
        <v>754</v>
      </c>
      <c r="C705" s="7" t="s">
        <v>10</v>
      </c>
      <c r="D705" s="8">
        <v>307.25</v>
      </c>
    </row>
    <row r="706" spans="1:4" x14ac:dyDescent="0.2">
      <c r="A706" s="6">
        <v>2138</v>
      </c>
      <c r="B706" s="5" t="s">
        <v>755</v>
      </c>
      <c r="C706" s="7" t="s">
        <v>10</v>
      </c>
      <c r="D706" s="8">
        <v>307.25</v>
      </c>
    </row>
    <row r="707" spans="1:4" x14ac:dyDescent="0.2">
      <c r="A707" s="6">
        <v>2139</v>
      </c>
      <c r="B707" s="5" t="s">
        <v>756</v>
      </c>
      <c r="C707" s="7" t="s">
        <v>64</v>
      </c>
      <c r="D707" s="8">
        <v>553.07000000000005</v>
      </c>
    </row>
    <row r="708" spans="1:4" x14ac:dyDescent="0.2">
      <c r="A708" s="6">
        <v>2140</v>
      </c>
      <c r="B708" s="5" t="s">
        <v>757</v>
      </c>
      <c r="C708" s="7" t="s">
        <v>64</v>
      </c>
      <c r="D708" s="8">
        <v>553.07000000000005</v>
      </c>
    </row>
    <row r="709" spans="1:4" x14ac:dyDescent="0.2">
      <c r="A709" s="6">
        <v>2141</v>
      </c>
      <c r="B709" s="5" t="s">
        <v>758</v>
      </c>
      <c r="C709" s="7" t="s">
        <v>10</v>
      </c>
      <c r="D709" s="8">
        <v>307.25</v>
      </c>
    </row>
    <row r="710" spans="1:4" x14ac:dyDescent="0.2">
      <c r="A710" s="6">
        <v>2142</v>
      </c>
      <c r="B710" s="5" t="s">
        <v>759</v>
      </c>
      <c r="C710" s="7" t="s">
        <v>10</v>
      </c>
      <c r="D710" s="8">
        <v>307.25</v>
      </c>
    </row>
    <row r="711" spans="1:4" x14ac:dyDescent="0.2">
      <c r="A711" s="6">
        <v>2143</v>
      </c>
      <c r="B711" s="5" t="s">
        <v>760</v>
      </c>
      <c r="C711" s="7" t="s">
        <v>10</v>
      </c>
      <c r="D711" s="8">
        <v>307.25</v>
      </c>
    </row>
    <row r="712" spans="1:4" x14ac:dyDescent="0.2">
      <c r="A712" s="6">
        <v>2144</v>
      </c>
      <c r="B712" s="5" t="s">
        <v>761</v>
      </c>
      <c r="C712" s="7" t="s">
        <v>10</v>
      </c>
      <c r="D712" s="8">
        <v>307.25</v>
      </c>
    </row>
    <row r="713" spans="1:4" x14ac:dyDescent="0.2">
      <c r="A713" s="6">
        <v>2145</v>
      </c>
      <c r="B713" s="5" t="s">
        <v>762</v>
      </c>
      <c r="C713" s="7" t="s">
        <v>10</v>
      </c>
      <c r="D713" s="8">
        <v>307.25</v>
      </c>
    </row>
    <row r="714" spans="1:4" x14ac:dyDescent="0.2">
      <c r="A714" s="6">
        <v>2146</v>
      </c>
      <c r="B714" s="5" t="s">
        <v>763</v>
      </c>
      <c r="C714" s="7" t="s">
        <v>64</v>
      </c>
      <c r="D714" s="8">
        <v>553.07000000000005</v>
      </c>
    </row>
    <row r="715" spans="1:4" x14ac:dyDescent="0.2">
      <c r="A715" s="6">
        <v>2147</v>
      </c>
      <c r="B715" s="5" t="s">
        <v>764</v>
      </c>
      <c r="C715" s="7" t="s">
        <v>297</v>
      </c>
      <c r="D715" s="8"/>
    </row>
    <row r="716" spans="1:4" x14ac:dyDescent="0.2">
      <c r="A716" s="6">
        <v>2148</v>
      </c>
      <c r="B716" s="5" t="s">
        <v>765</v>
      </c>
      <c r="C716" s="7" t="s">
        <v>297</v>
      </c>
      <c r="D716" s="8"/>
    </row>
    <row r="717" spans="1:4" x14ac:dyDescent="0.2">
      <c r="A717" s="6">
        <v>2149</v>
      </c>
      <c r="B717" s="5" t="s">
        <v>766</v>
      </c>
      <c r="C717" s="7" t="s">
        <v>10</v>
      </c>
      <c r="D717" s="8">
        <v>307.25</v>
      </c>
    </row>
    <row r="718" spans="1:4" x14ac:dyDescent="0.2">
      <c r="A718" s="6">
        <v>2150</v>
      </c>
      <c r="B718" s="5" t="s">
        <v>767</v>
      </c>
      <c r="C718" s="7" t="s">
        <v>10</v>
      </c>
      <c r="D718" s="8">
        <v>307.25</v>
      </c>
    </row>
    <row r="719" spans="1:4" x14ac:dyDescent="0.2">
      <c r="A719" s="6">
        <v>2151</v>
      </c>
      <c r="B719" s="5" t="s">
        <v>768</v>
      </c>
      <c r="C719" s="7" t="s">
        <v>297</v>
      </c>
      <c r="D719" s="8"/>
    </row>
    <row r="720" spans="1:4" x14ac:dyDescent="0.2">
      <c r="A720" s="6">
        <v>2152</v>
      </c>
      <c r="B720" s="5" t="s">
        <v>769</v>
      </c>
      <c r="C720" s="7" t="s">
        <v>297</v>
      </c>
      <c r="D720" s="8"/>
    </row>
    <row r="721" spans="1:4" x14ac:dyDescent="0.2">
      <c r="A721" s="6">
        <v>2153</v>
      </c>
      <c r="B721" s="5" t="s">
        <v>770</v>
      </c>
      <c r="C721" s="7" t="s">
        <v>297</v>
      </c>
      <c r="D721" s="8"/>
    </row>
    <row r="722" spans="1:4" x14ac:dyDescent="0.2">
      <c r="A722" s="6">
        <v>2154</v>
      </c>
      <c r="B722" s="5" t="s">
        <v>771</v>
      </c>
      <c r="C722" s="7" t="s">
        <v>297</v>
      </c>
      <c r="D722" s="8"/>
    </row>
    <row r="723" spans="1:4" x14ac:dyDescent="0.2">
      <c r="A723" s="6">
        <v>2155</v>
      </c>
      <c r="B723" s="5" t="s">
        <v>772</v>
      </c>
      <c r="C723" s="7" t="s">
        <v>64</v>
      </c>
      <c r="D723" s="8">
        <v>553.07000000000005</v>
      </c>
    </row>
    <row r="724" spans="1:4" x14ac:dyDescent="0.2">
      <c r="A724" s="6">
        <v>2156</v>
      </c>
      <c r="B724" s="5" t="s">
        <v>773</v>
      </c>
      <c r="C724" s="7" t="s">
        <v>64</v>
      </c>
      <c r="D724" s="8">
        <v>553.07000000000005</v>
      </c>
    </row>
    <row r="725" spans="1:4" x14ac:dyDescent="0.2">
      <c r="A725" s="6">
        <v>2157</v>
      </c>
      <c r="B725" s="5" t="s">
        <v>774</v>
      </c>
      <c r="C725" s="7" t="s">
        <v>10</v>
      </c>
      <c r="D725" s="8">
        <v>307.25</v>
      </c>
    </row>
    <row r="726" spans="1:4" x14ac:dyDescent="0.2">
      <c r="A726" s="6">
        <v>2158</v>
      </c>
      <c r="B726" s="5" t="s">
        <v>775</v>
      </c>
      <c r="C726" s="7" t="s">
        <v>10</v>
      </c>
      <c r="D726" s="8">
        <v>307.25</v>
      </c>
    </row>
    <row r="727" spans="1:4" x14ac:dyDescent="0.2">
      <c r="A727" s="6">
        <v>2159</v>
      </c>
      <c r="B727" s="5" t="s">
        <v>776</v>
      </c>
      <c r="C727" s="7" t="s">
        <v>10</v>
      </c>
      <c r="D727" s="8">
        <v>307.25</v>
      </c>
    </row>
    <row r="728" spans="1:4" x14ac:dyDescent="0.2">
      <c r="A728" s="6">
        <v>2160</v>
      </c>
      <c r="B728" s="5" t="s">
        <v>777</v>
      </c>
      <c r="C728" s="7" t="s">
        <v>64</v>
      </c>
      <c r="D728" s="8">
        <v>553.07000000000005</v>
      </c>
    </row>
    <row r="729" spans="1:4" x14ac:dyDescent="0.2">
      <c r="A729" s="6">
        <v>2161</v>
      </c>
      <c r="B729" s="5" t="s">
        <v>778</v>
      </c>
      <c r="C729" s="7" t="s">
        <v>64</v>
      </c>
      <c r="D729" s="8">
        <v>553.07000000000005</v>
      </c>
    </row>
    <row r="730" spans="1:4" x14ac:dyDescent="0.2">
      <c r="A730" s="6">
        <v>2162</v>
      </c>
      <c r="B730" s="5" t="s">
        <v>779</v>
      </c>
      <c r="C730" s="7" t="s">
        <v>64</v>
      </c>
      <c r="D730" s="8">
        <v>553.07000000000005</v>
      </c>
    </row>
    <row r="731" spans="1:4" x14ac:dyDescent="0.2">
      <c r="A731" s="6">
        <v>2163</v>
      </c>
      <c r="B731" s="5" t="s">
        <v>780</v>
      </c>
      <c r="C731" s="7" t="s">
        <v>64</v>
      </c>
      <c r="D731" s="8">
        <v>553.07000000000005</v>
      </c>
    </row>
    <row r="732" spans="1:4" x14ac:dyDescent="0.2">
      <c r="A732" s="6">
        <v>2164</v>
      </c>
      <c r="B732" s="5" t="s">
        <v>781</v>
      </c>
      <c r="C732" s="7" t="s">
        <v>10</v>
      </c>
      <c r="D732" s="8">
        <v>307.25</v>
      </c>
    </row>
    <row r="733" spans="1:4" x14ac:dyDescent="0.2">
      <c r="A733" s="6">
        <v>2165</v>
      </c>
      <c r="B733" s="5" t="s">
        <v>782</v>
      </c>
      <c r="C733" s="7" t="s">
        <v>10</v>
      </c>
      <c r="D733" s="8">
        <v>307.25</v>
      </c>
    </row>
    <row r="734" spans="1:4" x14ac:dyDescent="0.2">
      <c r="A734" s="6">
        <v>2166</v>
      </c>
      <c r="B734" s="5" t="s">
        <v>783</v>
      </c>
      <c r="C734" s="7" t="s">
        <v>64</v>
      </c>
      <c r="D734" s="8">
        <v>553.07000000000005</v>
      </c>
    </row>
    <row r="735" spans="1:4" x14ac:dyDescent="0.2">
      <c r="A735" s="6">
        <v>2167</v>
      </c>
      <c r="B735" s="5" t="s">
        <v>784</v>
      </c>
      <c r="C735" s="7" t="s">
        <v>10</v>
      </c>
      <c r="D735" s="8">
        <v>307.25</v>
      </c>
    </row>
    <row r="736" spans="1:4" x14ac:dyDescent="0.2">
      <c r="A736" s="6">
        <v>2168</v>
      </c>
      <c r="B736" s="5" t="s">
        <v>785</v>
      </c>
      <c r="C736" s="7" t="s">
        <v>10</v>
      </c>
      <c r="D736" s="8">
        <v>307.25</v>
      </c>
    </row>
    <row r="737" spans="1:4" x14ac:dyDescent="0.2">
      <c r="A737" s="6">
        <v>2169</v>
      </c>
      <c r="B737" s="5" t="s">
        <v>786</v>
      </c>
      <c r="C737" s="7" t="s">
        <v>10</v>
      </c>
      <c r="D737" s="8">
        <v>307.25</v>
      </c>
    </row>
    <row r="738" spans="1:4" x14ac:dyDescent="0.2">
      <c r="A738" s="6">
        <v>2170</v>
      </c>
      <c r="B738" s="5" t="s">
        <v>787</v>
      </c>
      <c r="C738" s="7" t="s">
        <v>64</v>
      </c>
      <c r="D738" s="8">
        <v>553.07000000000005</v>
      </c>
    </row>
    <row r="739" spans="1:4" x14ac:dyDescent="0.2">
      <c r="A739" s="6">
        <v>2171</v>
      </c>
      <c r="B739" s="5" t="s">
        <v>788</v>
      </c>
      <c r="C739" s="7" t="s">
        <v>64</v>
      </c>
      <c r="D739" s="8">
        <v>553.07000000000005</v>
      </c>
    </row>
    <row r="740" spans="1:4" x14ac:dyDescent="0.2">
      <c r="A740" s="6">
        <v>2172</v>
      </c>
      <c r="B740" s="5" t="s">
        <v>789</v>
      </c>
      <c r="C740" s="7" t="s">
        <v>64</v>
      </c>
      <c r="D740" s="8">
        <v>553.07000000000005</v>
      </c>
    </row>
    <row r="741" spans="1:4" x14ac:dyDescent="0.2">
      <c r="A741" s="6">
        <v>2173</v>
      </c>
      <c r="B741" s="5" t="s">
        <v>790</v>
      </c>
      <c r="C741" s="7" t="s">
        <v>64</v>
      </c>
      <c r="D741" s="8">
        <v>553.07000000000005</v>
      </c>
    </row>
    <row r="742" spans="1:4" x14ac:dyDescent="0.2">
      <c r="A742" s="6">
        <v>2174</v>
      </c>
      <c r="B742" s="5" t="s">
        <v>791</v>
      </c>
      <c r="C742" s="7" t="s">
        <v>64</v>
      </c>
      <c r="D742" s="8">
        <v>553.07000000000005</v>
      </c>
    </row>
    <row r="743" spans="1:4" x14ac:dyDescent="0.2">
      <c r="A743" s="6">
        <v>2175</v>
      </c>
      <c r="B743" s="5" t="s">
        <v>792</v>
      </c>
      <c r="C743" s="7" t="s">
        <v>10</v>
      </c>
      <c r="D743" s="8">
        <v>307.25</v>
      </c>
    </row>
    <row r="744" spans="1:4" x14ac:dyDescent="0.2">
      <c r="A744" s="6">
        <v>2176</v>
      </c>
      <c r="B744" s="5" t="s">
        <v>793</v>
      </c>
      <c r="C744" s="7" t="s">
        <v>10</v>
      </c>
      <c r="D744" s="8">
        <v>307.25</v>
      </c>
    </row>
    <row r="745" spans="1:4" x14ac:dyDescent="0.2">
      <c r="A745" s="6">
        <v>2177</v>
      </c>
      <c r="B745" s="5" t="s">
        <v>794</v>
      </c>
      <c r="C745" s="7" t="s">
        <v>64</v>
      </c>
      <c r="D745" s="8">
        <v>553.07000000000005</v>
      </c>
    </row>
    <row r="746" spans="1:4" x14ac:dyDescent="0.2">
      <c r="A746" s="6">
        <v>2178</v>
      </c>
      <c r="B746" s="5" t="s">
        <v>795</v>
      </c>
      <c r="C746" s="7" t="s">
        <v>10</v>
      </c>
      <c r="D746" s="8">
        <v>307.25</v>
      </c>
    </row>
    <row r="747" spans="1:4" x14ac:dyDescent="0.2">
      <c r="A747" s="6">
        <v>2179</v>
      </c>
      <c r="B747" s="5" t="s">
        <v>796</v>
      </c>
      <c r="C747" s="7" t="s">
        <v>92</v>
      </c>
      <c r="D747" s="8">
        <v>126.5</v>
      </c>
    </row>
    <row r="748" spans="1:4" x14ac:dyDescent="0.2">
      <c r="A748" s="6">
        <v>2180</v>
      </c>
      <c r="B748" s="5" t="s">
        <v>797</v>
      </c>
      <c r="C748" s="7" t="s">
        <v>10</v>
      </c>
      <c r="D748" s="8">
        <v>307.25</v>
      </c>
    </row>
    <row r="749" spans="1:4" x14ac:dyDescent="0.2">
      <c r="A749" s="6">
        <v>2181</v>
      </c>
      <c r="B749" s="5" t="s">
        <v>798</v>
      </c>
      <c r="C749" s="7" t="s">
        <v>64</v>
      </c>
      <c r="D749" s="8">
        <v>553.07000000000005</v>
      </c>
    </row>
    <row r="750" spans="1:4" x14ac:dyDescent="0.2">
      <c r="A750" s="6">
        <v>2182</v>
      </c>
      <c r="B750" s="5" t="s">
        <v>799</v>
      </c>
      <c r="C750" s="7" t="s">
        <v>64</v>
      </c>
      <c r="D750" s="8">
        <v>553.07000000000005</v>
      </c>
    </row>
    <row r="751" spans="1:4" x14ac:dyDescent="0.2">
      <c r="A751" s="6">
        <v>2183</v>
      </c>
      <c r="B751" s="5" t="s">
        <v>800</v>
      </c>
      <c r="C751" s="7" t="s">
        <v>10</v>
      </c>
      <c r="D751" s="8">
        <v>307.25</v>
      </c>
    </row>
    <row r="752" spans="1:4" x14ac:dyDescent="0.2">
      <c r="A752" s="6">
        <v>2184</v>
      </c>
      <c r="B752" s="5" t="s">
        <v>801</v>
      </c>
      <c r="C752" s="7" t="s">
        <v>10</v>
      </c>
      <c r="D752" s="8">
        <v>307.25</v>
      </c>
    </row>
    <row r="753" spans="1:4" x14ac:dyDescent="0.2">
      <c r="A753" s="6">
        <v>2185</v>
      </c>
      <c r="B753" s="5" t="s">
        <v>802</v>
      </c>
      <c r="C753" s="7" t="s">
        <v>297</v>
      </c>
      <c r="D753" s="8"/>
    </row>
    <row r="754" spans="1:4" x14ac:dyDescent="0.2">
      <c r="A754" s="6">
        <v>2186</v>
      </c>
      <c r="B754" s="5" t="s">
        <v>803</v>
      </c>
      <c r="C754" s="7" t="s">
        <v>10</v>
      </c>
      <c r="D754" s="8">
        <v>307.25</v>
      </c>
    </row>
    <row r="755" spans="1:4" x14ac:dyDescent="0.2">
      <c r="A755" s="6">
        <v>2187</v>
      </c>
      <c r="B755" s="5" t="s">
        <v>804</v>
      </c>
      <c r="C755" s="7" t="s">
        <v>10</v>
      </c>
      <c r="D755" s="8">
        <v>307.25</v>
      </c>
    </row>
    <row r="756" spans="1:4" x14ac:dyDescent="0.2">
      <c r="A756" s="6">
        <v>2188</v>
      </c>
      <c r="B756" s="5" t="s">
        <v>805</v>
      </c>
      <c r="C756" s="7" t="s">
        <v>10</v>
      </c>
      <c r="D756" s="8">
        <v>307.25</v>
      </c>
    </row>
    <row r="757" spans="1:4" x14ac:dyDescent="0.2">
      <c r="A757" s="6">
        <v>2189</v>
      </c>
      <c r="B757" s="5" t="s">
        <v>806</v>
      </c>
      <c r="C757" s="7" t="s">
        <v>64</v>
      </c>
      <c r="D757" s="8">
        <v>553.07000000000005</v>
      </c>
    </row>
    <row r="758" spans="1:4" x14ac:dyDescent="0.2">
      <c r="A758" s="6">
        <v>2190</v>
      </c>
      <c r="B758" s="5" t="s">
        <v>807</v>
      </c>
      <c r="C758" s="7" t="s">
        <v>64</v>
      </c>
      <c r="D758" s="8">
        <v>553.07000000000005</v>
      </c>
    </row>
    <row r="759" spans="1:4" x14ac:dyDescent="0.2">
      <c r="A759" s="6">
        <v>2191</v>
      </c>
      <c r="B759" s="5" t="s">
        <v>808</v>
      </c>
      <c r="C759" s="7" t="s">
        <v>297</v>
      </c>
      <c r="D759" s="8"/>
    </row>
    <row r="760" spans="1:4" x14ac:dyDescent="0.2">
      <c r="A760" s="6">
        <v>2192</v>
      </c>
      <c r="B760" s="5" t="s">
        <v>809</v>
      </c>
      <c r="C760" s="7" t="s">
        <v>64</v>
      </c>
      <c r="D760" s="8">
        <v>553.07000000000005</v>
      </c>
    </row>
    <row r="761" spans="1:4" x14ac:dyDescent="0.2">
      <c r="A761" s="6">
        <v>2193</v>
      </c>
      <c r="B761" s="5" t="s">
        <v>810</v>
      </c>
      <c r="C761" s="7" t="s">
        <v>10</v>
      </c>
      <c r="D761" s="8">
        <v>307.25</v>
      </c>
    </row>
    <row r="762" spans="1:4" x14ac:dyDescent="0.2">
      <c r="A762" s="6">
        <v>2194</v>
      </c>
      <c r="B762" s="5" t="s">
        <v>811</v>
      </c>
      <c r="C762" s="7" t="s">
        <v>10</v>
      </c>
      <c r="D762" s="8">
        <v>307.25</v>
      </c>
    </row>
    <row r="763" spans="1:4" x14ac:dyDescent="0.2">
      <c r="A763" s="6">
        <v>2195</v>
      </c>
      <c r="B763" s="5" t="s">
        <v>812</v>
      </c>
      <c r="C763" s="7" t="s">
        <v>64</v>
      </c>
      <c r="D763" s="8">
        <v>638.79999999999995</v>
      </c>
    </row>
    <row r="764" spans="1:4" x14ac:dyDescent="0.2">
      <c r="A764" s="6">
        <v>2196</v>
      </c>
      <c r="B764" s="5" t="s">
        <v>813</v>
      </c>
      <c r="C764" s="7" t="s">
        <v>64</v>
      </c>
      <c r="D764" s="8">
        <v>638.79999999999995</v>
      </c>
    </row>
    <row r="765" spans="1:4" x14ac:dyDescent="0.2">
      <c r="A765" s="6">
        <v>2197</v>
      </c>
      <c r="B765" s="5" t="s">
        <v>814</v>
      </c>
      <c r="C765" s="7" t="s">
        <v>64</v>
      </c>
      <c r="D765" s="8">
        <v>553.07000000000005</v>
      </c>
    </row>
    <row r="766" spans="1:4" x14ac:dyDescent="0.2">
      <c r="A766" s="6">
        <v>2198</v>
      </c>
      <c r="B766" s="5" t="s">
        <v>815</v>
      </c>
      <c r="C766" s="7" t="s">
        <v>10</v>
      </c>
      <c r="D766" s="8">
        <v>307.25</v>
      </c>
    </row>
    <row r="767" spans="1:4" x14ac:dyDescent="0.2">
      <c r="A767" s="6">
        <v>2199</v>
      </c>
      <c r="B767" s="5" t="s">
        <v>816</v>
      </c>
      <c r="C767" s="7" t="s">
        <v>10</v>
      </c>
      <c r="D767" s="8">
        <v>307.25</v>
      </c>
    </row>
    <row r="768" spans="1:4" x14ac:dyDescent="0.2">
      <c r="A768" s="6">
        <v>2200</v>
      </c>
      <c r="B768" s="5" t="s">
        <v>817</v>
      </c>
      <c r="C768" s="7" t="s">
        <v>10</v>
      </c>
      <c r="D768" s="8">
        <v>307.25</v>
      </c>
    </row>
    <row r="769" spans="1:4" x14ac:dyDescent="0.2">
      <c r="A769" s="6">
        <v>2201</v>
      </c>
      <c r="B769" s="5" t="s">
        <v>818</v>
      </c>
      <c r="C769" s="7" t="s">
        <v>10</v>
      </c>
      <c r="D769" s="8">
        <v>307.25</v>
      </c>
    </row>
    <row r="770" spans="1:4" x14ac:dyDescent="0.2">
      <c r="A770" s="6">
        <v>2202</v>
      </c>
      <c r="B770" s="5" t="s">
        <v>819</v>
      </c>
      <c r="C770" s="7" t="s">
        <v>64</v>
      </c>
      <c r="D770" s="8">
        <v>553.07000000000005</v>
      </c>
    </row>
    <row r="771" spans="1:4" x14ac:dyDescent="0.2">
      <c r="A771" s="6">
        <v>2203</v>
      </c>
      <c r="B771" s="5" t="s">
        <v>820</v>
      </c>
      <c r="C771" s="7" t="s">
        <v>10</v>
      </c>
      <c r="D771" s="8">
        <v>307.25</v>
      </c>
    </row>
    <row r="772" spans="1:4" x14ac:dyDescent="0.2">
      <c r="A772" s="6">
        <v>2204</v>
      </c>
      <c r="B772" s="5" t="s">
        <v>821</v>
      </c>
      <c r="C772" s="7" t="s">
        <v>10</v>
      </c>
      <c r="D772" s="8">
        <v>307.25</v>
      </c>
    </row>
    <row r="773" spans="1:4" x14ac:dyDescent="0.2">
      <c r="A773" s="6">
        <v>2205</v>
      </c>
      <c r="B773" s="5" t="s">
        <v>822</v>
      </c>
      <c r="C773" s="7" t="s">
        <v>10</v>
      </c>
      <c r="D773" s="8">
        <v>307.25</v>
      </c>
    </row>
    <row r="774" spans="1:4" x14ac:dyDescent="0.2">
      <c r="A774" s="6">
        <v>2206</v>
      </c>
      <c r="B774" s="5" t="s">
        <v>823</v>
      </c>
      <c r="C774" s="7" t="s">
        <v>64</v>
      </c>
      <c r="D774" s="8">
        <v>553.07000000000005</v>
      </c>
    </row>
    <row r="775" spans="1:4" x14ac:dyDescent="0.2">
      <c r="A775" s="6">
        <v>2207</v>
      </c>
      <c r="B775" s="5" t="s">
        <v>824</v>
      </c>
      <c r="C775" s="7" t="s">
        <v>64</v>
      </c>
      <c r="D775" s="8">
        <v>553.07000000000005</v>
      </c>
    </row>
    <row r="776" spans="1:4" x14ac:dyDescent="0.2">
      <c r="A776" s="6">
        <v>2208</v>
      </c>
      <c r="B776" s="5" t="s">
        <v>825</v>
      </c>
      <c r="C776" s="7" t="s">
        <v>64</v>
      </c>
      <c r="D776" s="8">
        <v>553.07000000000005</v>
      </c>
    </row>
    <row r="777" spans="1:4" x14ac:dyDescent="0.2">
      <c r="A777" s="6">
        <v>2209</v>
      </c>
      <c r="B777" s="5" t="s">
        <v>826</v>
      </c>
      <c r="C777" s="7" t="s">
        <v>10</v>
      </c>
      <c r="D777" s="8">
        <v>307.25</v>
      </c>
    </row>
    <row r="778" spans="1:4" x14ac:dyDescent="0.2">
      <c r="A778" s="6">
        <v>2210</v>
      </c>
      <c r="B778" s="5" t="s">
        <v>827</v>
      </c>
      <c r="C778" s="7" t="s">
        <v>64</v>
      </c>
      <c r="D778" s="8">
        <v>553.07000000000005</v>
      </c>
    </row>
    <row r="779" spans="1:4" x14ac:dyDescent="0.2">
      <c r="A779" s="6">
        <v>2211</v>
      </c>
      <c r="B779" s="5" t="s">
        <v>828</v>
      </c>
      <c r="C779" s="7" t="s">
        <v>297</v>
      </c>
      <c r="D779" s="8"/>
    </row>
    <row r="780" spans="1:4" x14ac:dyDescent="0.2">
      <c r="A780" s="6">
        <v>2212</v>
      </c>
      <c r="B780" s="5" t="s">
        <v>829</v>
      </c>
      <c r="C780" s="7" t="s">
        <v>10</v>
      </c>
      <c r="D780" s="8">
        <v>307.25</v>
      </c>
    </row>
    <row r="781" spans="1:4" x14ac:dyDescent="0.2">
      <c r="A781" s="6">
        <v>2213</v>
      </c>
      <c r="B781" s="5" t="s">
        <v>830</v>
      </c>
      <c r="C781" s="7" t="s">
        <v>64</v>
      </c>
      <c r="D781" s="8">
        <v>553.07000000000005</v>
      </c>
    </row>
    <row r="782" spans="1:4" x14ac:dyDescent="0.2">
      <c r="A782" s="6">
        <v>2214</v>
      </c>
      <c r="B782" s="5" t="s">
        <v>831</v>
      </c>
      <c r="C782" s="7" t="s">
        <v>64</v>
      </c>
      <c r="D782" s="8">
        <v>553.07000000000005</v>
      </c>
    </row>
    <row r="783" spans="1:4" x14ac:dyDescent="0.2">
      <c r="A783" s="6">
        <v>2215</v>
      </c>
      <c r="B783" s="5" t="s">
        <v>832</v>
      </c>
      <c r="C783" s="7" t="s">
        <v>64</v>
      </c>
      <c r="D783" s="8">
        <v>553.07000000000005</v>
      </c>
    </row>
    <row r="784" spans="1:4" x14ac:dyDescent="0.2">
      <c r="A784" s="6">
        <v>2216</v>
      </c>
      <c r="B784" s="5" t="s">
        <v>833</v>
      </c>
      <c r="C784" s="7" t="s">
        <v>10</v>
      </c>
      <c r="D784" s="8">
        <v>307.25</v>
      </c>
    </row>
    <row r="785" spans="1:4" x14ac:dyDescent="0.2">
      <c r="A785" s="6">
        <v>2217</v>
      </c>
      <c r="B785" s="5" t="s">
        <v>834</v>
      </c>
      <c r="C785" s="7" t="s">
        <v>64</v>
      </c>
      <c r="D785" s="8">
        <v>553.07000000000005</v>
      </c>
    </row>
    <row r="786" spans="1:4" x14ac:dyDescent="0.2">
      <c r="A786" s="6">
        <v>2218</v>
      </c>
      <c r="B786" s="5" t="s">
        <v>835</v>
      </c>
      <c r="C786" s="7" t="s">
        <v>64</v>
      </c>
      <c r="D786" s="8">
        <v>553.07000000000005</v>
      </c>
    </row>
    <row r="787" spans="1:4" x14ac:dyDescent="0.2">
      <c r="A787" s="6">
        <v>2219</v>
      </c>
      <c r="B787" s="5" t="s">
        <v>836</v>
      </c>
      <c r="C787" s="7" t="s">
        <v>10</v>
      </c>
      <c r="D787" s="8">
        <v>307.25</v>
      </c>
    </row>
    <row r="788" spans="1:4" x14ac:dyDescent="0.2">
      <c r="A788" s="6">
        <v>2220</v>
      </c>
      <c r="B788" s="5" t="s">
        <v>837</v>
      </c>
      <c r="C788" s="7" t="s">
        <v>10</v>
      </c>
      <c r="D788" s="8">
        <v>307.25</v>
      </c>
    </row>
    <row r="789" spans="1:4" x14ac:dyDescent="0.2">
      <c r="A789" s="6">
        <v>2221</v>
      </c>
      <c r="B789" s="5" t="s">
        <v>838</v>
      </c>
      <c r="C789" s="7" t="s">
        <v>10</v>
      </c>
      <c r="D789" s="8">
        <v>307.25</v>
      </c>
    </row>
    <row r="790" spans="1:4" x14ac:dyDescent="0.2">
      <c r="A790" s="6">
        <v>2222</v>
      </c>
      <c r="B790" s="5" t="s">
        <v>839</v>
      </c>
      <c r="C790" s="7" t="s">
        <v>10</v>
      </c>
      <c r="D790" s="8">
        <v>307.25</v>
      </c>
    </row>
    <row r="791" spans="1:4" x14ac:dyDescent="0.2">
      <c r="A791" s="6">
        <v>2223</v>
      </c>
      <c r="B791" s="5" t="s">
        <v>840</v>
      </c>
      <c r="C791" s="7" t="s">
        <v>64</v>
      </c>
      <c r="D791" s="8">
        <v>553.07000000000005</v>
      </c>
    </row>
    <row r="792" spans="1:4" x14ac:dyDescent="0.2">
      <c r="A792" s="6">
        <v>2224</v>
      </c>
      <c r="B792" s="5" t="s">
        <v>841</v>
      </c>
      <c r="C792" s="7" t="s">
        <v>10</v>
      </c>
      <c r="D792" s="8">
        <v>307.25</v>
      </c>
    </row>
    <row r="793" spans="1:4" x14ac:dyDescent="0.2">
      <c r="A793" s="6">
        <v>2225</v>
      </c>
      <c r="B793" s="5" t="s">
        <v>842</v>
      </c>
      <c r="C793" s="7" t="s">
        <v>64</v>
      </c>
      <c r="D793" s="8">
        <v>553.07000000000005</v>
      </c>
    </row>
    <row r="794" spans="1:4" x14ac:dyDescent="0.2">
      <c r="A794" s="6">
        <v>2226</v>
      </c>
      <c r="B794" s="5" t="s">
        <v>843</v>
      </c>
      <c r="C794" s="7" t="s">
        <v>64</v>
      </c>
      <c r="D794" s="8">
        <v>553.07000000000005</v>
      </c>
    </row>
    <row r="795" spans="1:4" x14ac:dyDescent="0.2">
      <c r="A795" s="6">
        <v>2227</v>
      </c>
      <c r="B795" s="5" t="s">
        <v>844</v>
      </c>
      <c r="C795" s="7" t="s">
        <v>64</v>
      </c>
      <c r="D795" s="8">
        <v>553.07000000000005</v>
      </c>
    </row>
    <row r="796" spans="1:4" x14ac:dyDescent="0.2">
      <c r="A796" s="6">
        <v>2228</v>
      </c>
      <c r="B796" s="5" t="s">
        <v>845</v>
      </c>
      <c r="C796" s="7" t="s">
        <v>10</v>
      </c>
      <c r="D796" s="8">
        <v>307.25</v>
      </c>
    </row>
    <row r="797" spans="1:4" x14ac:dyDescent="0.2">
      <c r="A797" s="6">
        <v>2229</v>
      </c>
      <c r="B797" s="5" t="s">
        <v>846</v>
      </c>
      <c r="C797" s="7" t="s">
        <v>64</v>
      </c>
      <c r="D797" s="8">
        <v>553.07000000000005</v>
      </c>
    </row>
    <row r="798" spans="1:4" x14ac:dyDescent="0.2">
      <c r="A798" s="6">
        <v>2230</v>
      </c>
      <c r="B798" s="5" t="s">
        <v>847</v>
      </c>
      <c r="C798" s="7" t="s">
        <v>64</v>
      </c>
      <c r="D798" s="8">
        <v>553.07000000000005</v>
      </c>
    </row>
    <row r="799" spans="1:4" x14ac:dyDescent="0.2">
      <c r="A799" s="6">
        <v>2231</v>
      </c>
      <c r="B799" s="5" t="s">
        <v>848</v>
      </c>
      <c r="C799" s="7" t="s">
        <v>64</v>
      </c>
      <c r="D799" s="8">
        <v>553.07000000000005</v>
      </c>
    </row>
    <row r="800" spans="1:4" x14ac:dyDescent="0.2">
      <c r="A800" s="6">
        <v>2232</v>
      </c>
      <c r="B800" s="5" t="s">
        <v>849</v>
      </c>
      <c r="C800" s="7" t="s">
        <v>10</v>
      </c>
      <c r="D800" s="8">
        <v>307.25</v>
      </c>
    </row>
    <row r="801" spans="1:4" x14ac:dyDescent="0.2">
      <c r="A801" s="6">
        <v>2233</v>
      </c>
      <c r="B801" s="5" t="s">
        <v>850</v>
      </c>
      <c r="C801" s="7" t="s">
        <v>64</v>
      </c>
      <c r="D801" s="8">
        <v>553.07000000000005</v>
      </c>
    </row>
    <row r="802" spans="1:4" x14ac:dyDescent="0.2">
      <c r="A802" s="6">
        <v>2234</v>
      </c>
      <c r="B802" s="5" t="s">
        <v>851</v>
      </c>
      <c r="C802" s="7" t="s">
        <v>10</v>
      </c>
      <c r="D802" s="8">
        <v>307.25</v>
      </c>
    </row>
    <row r="803" spans="1:4" x14ac:dyDescent="0.2">
      <c r="A803" s="6">
        <v>2235</v>
      </c>
      <c r="B803" s="5" t="s">
        <v>852</v>
      </c>
      <c r="C803" s="7" t="s">
        <v>10</v>
      </c>
      <c r="D803" s="8">
        <v>307.25</v>
      </c>
    </row>
    <row r="804" spans="1:4" x14ac:dyDescent="0.2">
      <c r="A804" s="6">
        <v>2236</v>
      </c>
      <c r="B804" s="5" t="s">
        <v>853</v>
      </c>
      <c r="C804" s="7" t="s">
        <v>64</v>
      </c>
      <c r="D804" s="8">
        <v>553.07000000000005</v>
      </c>
    </row>
    <row r="805" spans="1:4" x14ac:dyDescent="0.2">
      <c r="A805" s="6">
        <v>2237</v>
      </c>
      <c r="B805" s="5" t="s">
        <v>854</v>
      </c>
      <c r="C805" s="7" t="s">
        <v>64</v>
      </c>
      <c r="D805" s="8">
        <v>553.07000000000005</v>
      </c>
    </row>
    <row r="806" spans="1:4" x14ac:dyDescent="0.2">
      <c r="A806" s="6">
        <v>2238</v>
      </c>
      <c r="B806" s="5" t="s">
        <v>855</v>
      </c>
      <c r="C806" s="7" t="s">
        <v>52</v>
      </c>
      <c r="D806" s="8">
        <v>126.5</v>
      </c>
    </row>
    <row r="807" spans="1:4" x14ac:dyDescent="0.2">
      <c r="A807" s="6">
        <v>2239</v>
      </c>
      <c r="B807" s="5" t="s">
        <v>856</v>
      </c>
      <c r="C807" s="7" t="s">
        <v>64</v>
      </c>
      <c r="D807" s="8">
        <v>553.07000000000005</v>
      </c>
    </row>
    <row r="808" spans="1:4" x14ac:dyDescent="0.2">
      <c r="A808" s="6">
        <v>2240</v>
      </c>
      <c r="B808" s="5" t="s">
        <v>857</v>
      </c>
      <c r="C808" s="7" t="s">
        <v>64</v>
      </c>
      <c r="D808" s="8">
        <v>553.07000000000005</v>
      </c>
    </row>
    <row r="809" spans="1:4" x14ac:dyDescent="0.2">
      <c r="A809" s="6">
        <v>2241</v>
      </c>
      <c r="B809" s="5" t="s">
        <v>858</v>
      </c>
      <c r="C809" s="7" t="s">
        <v>64</v>
      </c>
      <c r="D809" s="8">
        <v>553.07000000000005</v>
      </c>
    </row>
    <row r="810" spans="1:4" x14ac:dyDescent="0.2">
      <c r="A810" s="6">
        <v>2242</v>
      </c>
      <c r="B810" s="5" t="s">
        <v>859</v>
      </c>
      <c r="C810" s="7" t="s">
        <v>64</v>
      </c>
      <c r="D810" s="8">
        <v>553.07000000000005</v>
      </c>
    </row>
    <row r="811" spans="1:4" x14ac:dyDescent="0.2">
      <c r="A811" s="6">
        <v>2243</v>
      </c>
      <c r="B811" s="5" t="s">
        <v>860</v>
      </c>
      <c r="C811" s="7" t="s">
        <v>10</v>
      </c>
      <c r="D811" s="8">
        <v>307.25</v>
      </c>
    </row>
    <row r="812" spans="1:4" x14ac:dyDescent="0.2">
      <c r="A812" s="6">
        <v>2244</v>
      </c>
      <c r="B812" s="5" t="s">
        <v>861</v>
      </c>
      <c r="C812" s="7" t="s">
        <v>64</v>
      </c>
      <c r="D812" s="8">
        <v>553.07000000000005</v>
      </c>
    </row>
    <row r="813" spans="1:4" x14ac:dyDescent="0.2">
      <c r="A813" s="6">
        <v>2245</v>
      </c>
      <c r="B813" s="5" t="s">
        <v>862</v>
      </c>
      <c r="C813" s="7" t="s">
        <v>64</v>
      </c>
      <c r="D813" s="8">
        <v>553.07000000000005</v>
      </c>
    </row>
    <row r="814" spans="1:4" x14ac:dyDescent="0.2">
      <c r="A814" s="6">
        <v>2246</v>
      </c>
      <c r="B814" s="5" t="s">
        <v>863</v>
      </c>
      <c r="C814" s="7" t="s">
        <v>10</v>
      </c>
      <c r="D814" s="8">
        <v>307.25</v>
      </c>
    </row>
    <row r="815" spans="1:4" x14ac:dyDescent="0.2">
      <c r="A815" s="6">
        <v>2247</v>
      </c>
      <c r="B815" s="5" t="s">
        <v>864</v>
      </c>
      <c r="C815" s="7" t="s">
        <v>311</v>
      </c>
      <c r="D815" s="8"/>
    </row>
    <row r="816" spans="1:4" x14ac:dyDescent="0.2">
      <c r="A816" s="6">
        <v>2248</v>
      </c>
      <c r="B816" s="5" t="s">
        <v>865</v>
      </c>
      <c r="C816" s="7" t="s">
        <v>10</v>
      </c>
      <c r="D816" s="8">
        <v>307.25</v>
      </c>
    </row>
    <row r="817" spans="1:4" x14ac:dyDescent="0.2">
      <c r="A817" s="6">
        <v>2249</v>
      </c>
      <c r="B817" s="5" t="s">
        <v>866</v>
      </c>
      <c r="C817" s="7" t="s">
        <v>10</v>
      </c>
      <c r="D817" s="8">
        <v>307.25</v>
      </c>
    </row>
    <row r="818" spans="1:4" x14ac:dyDescent="0.2">
      <c r="A818" s="6">
        <v>2250</v>
      </c>
      <c r="B818" s="5" t="s">
        <v>867</v>
      </c>
      <c r="C818" s="7" t="s">
        <v>10</v>
      </c>
      <c r="D818" s="8">
        <v>307.25</v>
      </c>
    </row>
    <row r="819" spans="1:4" x14ac:dyDescent="0.2">
      <c r="A819" s="6">
        <v>2251</v>
      </c>
      <c r="B819" s="5" t="s">
        <v>868</v>
      </c>
      <c r="C819" s="7" t="s">
        <v>297</v>
      </c>
      <c r="D819" s="8"/>
    </row>
    <row r="820" spans="1:4" x14ac:dyDescent="0.2">
      <c r="A820" s="6">
        <v>2252</v>
      </c>
      <c r="B820" s="5" t="s">
        <v>869</v>
      </c>
      <c r="C820" s="7" t="s">
        <v>10</v>
      </c>
      <c r="D820" s="8">
        <v>307.25</v>
      </c>
    </row>
    <row r="821" spans="1:4" x14ac:dyDescent="0.2">
      <c r="A821" s="6">
        <v>2253</v>
      </c>
      <c r="B821" s="5" t="s">
        <v>870</v>
      </c>
      <c r="C821" s="7" t="s">
        <v>10</v>
      </c>
      <c r="D821" s="8">
        <v>307.25</v>
      </c>
    </row>
    <row r="822" spans="1:4" x14ac:dyDescent="0.2">
      <c r="A822" s="6">
        <v>2254</v>
      </c>
      <c r="B822" s="5" t="s">
        <v>871</v>
      </c>
      <c r="C822" s="7" t="s">
        <v>64</v>
      </c>
      <c r="D822" s="8">
        <v>553.07000000000005</v>
      </c>
    </row>
    <row r="823" spans="1:4" x14ac:dyDescent="0.2">
      <c r="A823" s="6">
        <v>2255</v>
      </c>
      <c r="B823" s="5" t="s">
        <v>872</v>
      </c>
      <c r="C823" s="7" t="s">
        <v>64</v>
      </c>
      <c r="D823" s="8">
        <v>553.07000000000005</v>
      </c>
    </row>
    <row r="824" spans="1:4" x14ac:dyDescent="0.2">
      <c r="A824" s="6">
        <v>2256</v>
      </c>
      <c r="B824" s="5" t="s">
        <v>873</v>
      </c>
      <c r="C824" s="7" t="s">
        <v>64</v>
      </c>
      <c r="D824" s="8">
        <v>553.07000000000005</v>
      </c>
    </row>
    <row r="825" spans="1:4" x14ac:dyDescent="0.2">
      <c r="A825" s="6">
        <v>2257</v>
      </c>
      <c r="B825" s="5" t="s">
        <v>874</v>
      </c>
      <c r="C825" s="7" t="s">
        <v>64</v>
      </c>
      <c r="D825" s="8">
        <v>553.07000000000005</v>
      </c>
    </row>
    <row r="826" spans="1:4" x14ac:dyDescent="0.2">
      <c r="A826" s="6">
        <v>2258</v>
      </c>
      <c r="B826" s="5" t="s">
        <v>875</v>
      </c>
      <c r="C826" s="7" t="s">
        <v>64</v>
      </c>
      <c r="D826" s="8">
        <v>553.07000000000005</v>
      </c>
    </row>
    <row r="827" spans="1:4" x14ac:dyDescent="0.2">
      <c r="A827" s="6">
        <v>2259</v>
      </c>
      <c r="B827" s="5" t="s">
        <v>876</v>
      </c>
      <c r="C827" s="7" t="s">
        <v>64</v>
      </c>
      <c r="D827" s="8">
        <v>553.07000000000005</v>
      </c>
    </row>
    <row r="828" spans="1:4" x14ac:dyDescent="0.2">
      <c r="A828" s="6">
        <v>2260</v>
      </c>
      <c r="B828" s="5" t="s">
        <v>877</v>
      </c>
      <c r="C828" s="7" t="s">
        <v>10</v>
      </c>
      <c r="D828" s="8">
        <v>307.25</v>
      </c>
    </row>
    <row r="829" spans="1:4" x14ac:dyDescent="0.2">
      <c r="A829" s="6">
        <v>2261</v>
      </c>
      <c r="B829" s="5" t="s">
        <v>878</v>
      </c>
      <c r="C829" s="7" t="s">
        <v>64</v>
      </c>
      <c r="D829" s="8">
        <v>553.07000000000005</v>
      </c>
    </row>
    <row r="830" spans="1:4" x14ac:dyDescent="0.2">
      <c r="A830" s="6">
        <v>2262</v>
      </c>
      <c r="B830" s="5" t="s">
        <v>879</v>
      </c>
      <c r="C830" s="7" t="s">
        <v>64</v>
      </c>
      <c r="D830" s="8">
        <v>553.07000000000005</v>
      </c>
    </row>
    <row r="831" spans="1:4" x14ac:dyDescent="0.2">
      <c r="A831" s="6">
        <v>2263</v>
      </c>
      <c r="B831" s="5" t="s">
        <v>880</v>
      </c>
      <c r="C831" s="7" t="s">
        <v>10</v>
      </c>
      <c r="D831" s="8">
        <v>307.25</v>
      </c>
    </row>
    <row r="832" spans="1:4" x14ac:dyDescent="0.2">
      <c r="A832" s="6">
        <v>2264</v>
      </c>
      <c r="B832" s="5" t="s">
        <v>881</v>
      </c>
      <c r="C832" s="7" t="s">
        <v>64</v>
      </c>
      <c r="D832" s="8">
        <v>553.07000000000005</v>
      </c>
    </row>
    <row r="833" spans="1:4" x14ac:dyDescent="0.2">
      <c r="A833" s="6">
        <v>2265</v>
      </c>
      <c r="B833" s="5" t="s">
        <v>882</v>
      </c>
      <c r="C833" s="7" t="s">
        <v>64</v>
      </c>
      <c r="D833" s="8">
        <v>553.07000000000005</v>
      </c>
    </row>
    <row r="834" spans="1:4" x14ac:dyDescent="0.2">
      <c r="A834" s="6">
        <v>2266</v>
      </c>
      <c r="B834" s="5" t="s">
        <v>883</v>
      </c>
      <c r="C834" s="7" t="s">
        <v>10</v>
      </c>
      <c r="D834" s="8">
        <v>307.25</v>
      </c>
    </row>
    <row r="835" spans="1:4" x14ac:dyDescent="0.2">
      <c r="A835" s="6">
        <v>2267</v>
      </c>
      <c r="B835" s="5" t="s">
        <v>884</v>
      </c>
      <c r="C835" s="7" t="s">
        <v>10</v>
      </c>
      <c r="D835" s="8">
        <v>307.25</v>
      </c>
    </row>
    <row r="836" spans="1:4" x14ac:dyDescent="0.2">
      <c r="A836" s="6">
        <v>2268</v>
      </c>
      <c r="B836" s="5" t="s">
        <v>885</v>
      </c>
      <c r="C836" s="7" t="s">
        <v>10</v>
      </c>
      <c r="D836" s="8">
        <v>307.25</v>
      </c>
    </row>
    <row r="837" spans="1:4" x14ac:dyDescent="0.2">
      <c r="A837" s="6">
        <v>2269</v>
      </c>
      <c r="B837" s="5" t="s">
        <v>886</v>
      </c>
      <c r="C837" s="7" t="s">
        <v>64</v>
      </c>
      <c r="D837" s="8">
        <v>553.07000000000005</v>
      </c>
    </row>
    <row r="838" spans="1:4" x14ac:dyDescent="0.2">
      <c r="A838" s="6">
        <v>2270</v>
      </c>
      <c r="B838" s="5" t="s">
        <v>887</v>
      </c>
      <c r="C838" s="7" t="s">
        <v>64</v>
      </c>
      <c r="D838" s="8">
        <v>553.07000000000005</v>
      </c>
    </row>
    <row r="839" spans="1:4" x14ac:dyDescent="0.2">
      <c r="A839" s="6">
        <v>2271</v>
      </c>
      <c r="B839" s="5" t="s">
        <v>888</v>
      </c>
      <c r="C839" s="7" t="s">
        <v>64</v>
      </c>
      <c r="D839" s="8">
        <v>553.07000000000005</v>
      </c>
    </row>
    <row r="840" spans="1:4" x14ac:dyDescent="0.2">
      <c r="A840" s="6">
        <v>2272</v>
      </c>
      <c r="B840" s="5" t="s">
        <v>325</v>
      </c>
      <c r="C840" s="7" t="s">
        <v>64</v>
      </c>
      <c r="D840" s="8">
        <v>553.07000000000005</v>
      </c>
    </row>
    <row r="841" spans="1:4" x14ac:dyDescent="0.2">
      <c r="A841" s="6">
        <v>2273</v>
      </c>
      <c r="B841" s="5" t="s">
        <v>889</v>
      </c>
      <c r="C841" s="7" t="s">
        <v>10</v>
      </c>
      <c r="D841" s="8">
        <v>307.25</v>
      </c>
    </row>
    <row r="842" spans="1:4" x14ac:dyDescent="0.2">
      <c r="A842" s="6">
        <v>2274</v>
      </c>
      <c r="B842" s="5" t="s">
        <v>890</v>
      </c>
      <c r="C842" s="7" t="s">
        <v>10</v>
      </c>
      <c r="D842" s="8">
        <v>307.25</v>
      </c>
    </row>
    <row r="843" spans="1:4" x14ac:dyDescent="0.2">
      <c r="A843" s="6">
        <v>2275</v>
      </c>
      <c r="B843" s="5" t="s">
        <v>891</v>
      </c>
      <c r="C843" s="7" t="s">
        <v>64</v>
      </c>
      <c r="D843" s="8">
        <v>553.07000000000005</v>
      </c>
    </row>
    <row r="844" spans="1:4" x14ac:dyDescent="0.2">
      <c r="A844" s="6">
        <v>2276</v>
      </c>
      <c r="B844" s="5" t="s">
        <v>892</v>
      </c>
      <c r="C844" s="7" t="s">
        <v>64</v>
      </c>
      <c r="D844" s="8">
        <v>553.07000000000005</v>
      </c>
    </row>
    <row r="845" spans="1:4" x14ac:dyDescent="0.2">
      <c r="A845" s="6">
        <v>2277</v>
      </c>
      <c r="B845" s="5" t="s">
        <v>893</v>
      </c>
      <c r="C845" s="7" t="s">
        <v>64</v>
      </c>
      <c r="D845" s="8">
        <v>553.07000000000005</v>
      </c>
    </row>
    <row r="846" spans="1:4" x14ac:dyDescent="0.2">
      <c r="A846" s="6">
        <v>2278</v>
      </c>
      <c r="B846" s="5" t="s">
        <v>894</v>
      </c>
      <c r="C846" s="7" t="s">
        <v>64</v>
      </c>
      <c r="D846" s="8">
        <v>553.07000000000005</v>
      </c>
    </row>
    <row r="847" spans="1:4" x14ac:dyDescent="0.2">
      <c r="A847" s="6">
        <v>2279</v>
      </c>
      <c r="B847" s="5" t="s">
        <v>895</v>
      </c>
      <c r="C847" s="7" t="s">
        <v>10</v>
      </c>
      <c r="D847" s="8">
        <v>307.25</v>
      </c>
    </row>
    <row r="848" spans="1:4" x14ac:dyDescent="0.2">
      <c r="A848" s="6">
        <v>2280</v>
      </c>
      <c r="B848" s="5" t="s">
        <v>896</v>
      </c>
      <c r="C848" s="7" t="s">
        <v>10</v>
      </c>
      <c r="D848" s="8">
        <v>307.25</v>
      </c>
    </row>
    <row r="849" spans="1:4" x14ac:dyDescent="0.2">
      <c r="A849" s="6">
        <v>2281</v>
      </c>
      <c r="B849" s="5" t="s">
        <v>897</v>
      </c>
      <c r="C849" s="7" t="s">
        <v>64</v>
      </c>
      <c r="D849" s="8">
        <v>638.79999999999995</v>
      </c>
    </row>
    <row r="850" spans="1:4" x14ac:dyDescent="0.2">
      <c r="A850" s="6">
        <v>2282</v>
      </c>
      <c r="B850" s="5" t="s">
        <v>898</v>
      </c>
      <c r="C850" s="7" t="s">
        <v>64</v>
      </c>
      <c r="D850" s="8">
        <v>553.07000000000005</v>
      </c>
    </row>
    <row r="851" spans="1:4" x14ac:dyDescent="0.2">
      <c r="A851" s="6">
        <v>2283</v>
      </c>
      <c r="B851" s="5" t="s">
        <v>899</v>
      </c>
      <c r="C851" s="7" t="s">
        <v>10</v>
      </c>
      <c r="D851" s="8">
        <v>307.25</v>
      </c>
    </row>
    <row r="852" spans="1:4" x14ac:dyDescent="0.2">
      <c r="A852" s="6">
        <v>2284</v>
      </c>
      <c r="B852" s="5" t="s">
        <v>900</v>
      </c>
      <c r="C852" s="7" t="s">
        <v>64</v>
      </c>
      <c r="D852" s="8">
        <v>553.07000000000005</v>
      </c>
    </row>
    <row r="853" spans="1:4" x14ac:dyDescent="0.2">
      <c r="A853" s="6">
        <v>2285</v>
      </c>
      <c r="B853" s="5" t="s">
        <v>901</v>
      </c>
      <c r="C853" s="7" t="s">
        <v>10</v>
      </c>
      <c r="D853" s="8">
        <v>307.25</v>
      </c>
    </row>
    <row r="854" spans="1:4" x14ac:dyDescent="0.2">
      <c r="A854" s="6">
        <v>2286</v>
      </c>
      <c r="B854" s="5" t="s">
        <v>902</v>
      </c>
      <c r="C854" s="7" t="s">
        <v>10</v>
      </c>
      <c r="D854" s="8">
        <v>307.25</v>
      </c>
    </row>
    <row r="855" spans="1:4" x14ac:dyDescent="0.2">
      <c r="A855" s="6">
        <v>2287</v>
      </c>
      <c r="B855" s="5" t="s">
        <v>903</v>
      </c>
      <c r="C855" s="7" t="s">
        <v>10</v>
      </c>
      <c r="D855" s="8">
        <v>307.25</v>
      </c>
    </row>
    <row r="856" spans="1:4" x14ac:dyDescent="0.2">
      <c r="A856" s="6">
        <v>2288</v>
      </c>
      <c r="B856" s="5" t="s">
        <v>904</v>
      </c>
      <c r="C856" s="7" t="s">
        <v>64</v>
      </c>
      <c r="D856" s="8">
        <v>553.07000000000005</v>
      </c>
    </row>
    <row r="857" spans="1:4" x14ac:dyDescent="0.2">
      <c r="A857" s="6">
        <v>2289</v>
      </c>
      <c r="B857" s="5" t="s">
        <v>905</v>
      </c>
      <c r="C857" s="7" t="s">
        <v>10</v>
      </c>
      <c r="D857" s="8">
        <v>307.25</v>
      </c>
    </row>
    <row r="858" spans="1:4" x14ac:dyDescent="0.2">
      <c r="A858" s="6">
        <v>2290</v>
      </c>
      <c r="B858" s="5" t="s">
        <v>906</v>
      </c>
      <c r="C858" s="7" t="s">
        <v>10</v>
      </c>
      <c r="D858" s="8">
        <v>307.25</v>
      </c>
    </row>
    <row r="859" spans="1:4" x14ac:dyDescent="0.2">
      <c r="A859" s="6">
        <v>2291</v>
      </c>
      <c r="B859" s="5" t="s">
        <v>907</v>
      </c>
      <c r="C859" s="7" t="s">
        <v>10</v>
      </c>
      <c r="D859" s="8">
        <v>307.25</v>
      </c>
    </row>
    <row r="860" spans="1:4" x14ac:dyDescent="0.2">
      <c r="A860" s="6">
        <v>2292</v>
      </c>
      <c r="B860" s="5" t="s">
        <v>908</v>
      </c>
      <c r="C860" s="7" t="s">
        <v>10</v>
      </c>
      <c r="D860" s="8">
        <v>307.25</v>
      </c>
    </row>
    <row r="861" spans="1:4" x14ac:dyDescent="0.2">
      <c r="A861" s="6">
        <v>2293</v>
      </c>
      <c r="B861" s="5" t="s">
        <v>909</v>
      </c>
      <c r="C861" s="7" t="s">
        <v>10</v>
      </c>
      <c r="D861" s="8">
        <v>307.25</v>
      </c>
    </row>
    <row r="862" spans="1:4" x14ac:dyDescent="0.2">
      <c r="A862" s="6">
        <v>2294</v>
      </c>
      <c r="B862" s="5" t="s">
        <v>910</v>
      </c>
      <c r="C862" s="7" t="s">
        <v>10</v>
      </c>
      <c r="D862" s="8">
        <v>307.25</v>
      </c>
    </row>
    <row r="863" spans="1:4" x14ac:dyDescent="0.2">
      <c r="A863" s="6">
        <v>2295</v>
      </c>
      <c r="B863" s="5" t="s">
        <v>911</v>
      </c>
      <c r="C863" s="7" t="s">
        <v>10</v>
      </c>
      <c r="D863" s="8">
        <v>307.25</v>
      </c>
    </row>
    <row r="864" spans="1:4" x14ac:dyDescent="0.2">
      <c r="A864" s="6">
        <v>2296</v>
      </c>
      <c r="B864" s="5" t="s">
        <v>912</v>
      </c>
      <c r="C864" s="7" t="s">
        <v>64</v>
      </c>
      <c r="D864" s="8">
        <v>553.07000000000005</v>
      </c>
    </row>
    <row r="865" spans="1:4" x14ac:dyDescent="0.2">
      <c r="A865" s="6">
        <v>2297</v>
      </c>
      <c r="B865" s="5" t="s">
        <v>913</v>
      </c>
      <c r="C865" s="7" t="s">
        <v>10</v>
      </c>
      <c r="D865" s="8">
        <v>307.25</v>
      </c>
    </row>
    <row r="866" spans="1:4" x14ac:dyDescent="0.2">
      <c r="A866" s="6">
        <v>2298</v>
      </c>
      <c r="B866" s="5" t="s">
        <v>914</v>
      </c>
      <c r="C866" s="7" t="s">
        <v>10</v>
      </c>
      <c r="D866" s="8">
        <v>307.25</v>
      </c>
    </row>
    <row r="867" spans="1:4" x14ac:dyDescent="0.2">
      <c r="A867" s="6">
        <v>2299</v>
      </c>
      <c r="B867" s="5" t="s">
        <v>915</v>
      </c>
      <c r="C867" s="7" t="s">
        <v>64</v>
      </c>
      <c r="D867" s="8">
        <v>553.07000000000005</v>
      </c>
    </row>
    <row r="868" spans="1:4" x14ac:dyDescent="0.2">
      <c r="A868" s="6">
        <v>2300</v>
      </c>
      <c r="B868" s="5" t="s">
        <v>916</v>
      </c>
      <c r="C868" s="7" t="s">
        <v>64</v>
      </c>
      <c r="D868" s="8">
        <v>553.07000000000005</v>
      </c>
    </row>
    <row r="869" spans="1:4" x14ac:dyDescent="0.2">
      <c r="A869" s="6">
        <v>2301</v>
      </c>
      <c r="B869" s="5" t="s">
        <v>917</v>
      </c>
      <c r="C869" s="7" t="s">
        <v>10</v>
      </c>
      <c r="D869" s="8">
        <v>307.25</v>
      </c>
    </row>
    <row r="870" spans="1:4" x14ac:dyDescent="0.2">
      <c r="A870" s="6">
        <v>2302</v>
      </c>
      <c r="B870" s="5" t="s">
        <v>918</v>
      </c>
      <c r="C870" s="7" t="s">
        <v>579</v>
      </c>
      <c r="D870" s="8"/>
    </row>
    <row r="871" spans="1:4" x14ac:dyDescent="0.2">
      <c r="A871" s="6">
        <v>2303</v>
      </c>
      <c r="B871" s="5" t="s">
        <v>919</v>
      </c>
      <c r="C871" s="7" t="s">
        <v>10</v>
      </c>
      <c r="D871" s="8">
        <v>307.25</v>
      </c>
    </row>
    <row r="872" spans="1:4" x14ac:dyDescent="0.2">
      <c r="A872" s="6">
        <v>2304</v>
      </c>
      <c r="B872" s="5" t="s">
        <v>920</v>
      </c>
      <c r="C872" s="7" t="s">
        <v>10</v>
      </c>
      <c r="D872" s="8">
        <v>307.25</v>
      </c>
    </row>
    <row r="873" spans="1:4" x14ac:dyDescent="0.2">
      <c r="A873" s="6">
        <v>2305</v>
      </c>
      <c r="B873" s="5" t="s">
        <v>921</v>
      </c>
      <c r="C873" s="7" t="s">
        <v>10</v>
      </c>
      <c r="D873" s="8">
        <v>307.25</v>
      </c>
    </row>
    <row r="874" spans="1:4" x14ac:dyDescent="0.2">
      <c r="A874" s="6">
        <v>2306</v>
      </c>
      <c r="B874" s="5" t="s">
        <v>922</v>
      </c>
      <c r="C874" s="7" t="s">
        <v>10</v>
      </c>
      <c r="D874" s="8">
        <v>307.25</v>
      </c>
    </row>
    <row r="875" spans="1:4" x14ac:dyDescent="0.2">
      <c r="A875" s="6">
        <v>2307</v>
      </c>
      <c r="B875" s="5" t="s">
        <v>923</v>
      </c>
      <c r="C875" s="7" t="s">
        <v>10</v>
      </c>
      <c r="D875" s="8">
        <v>307.25</v>
      </c>
    </row>
    <row r="876" spans="1:4" x14ac:dyDescent="0.2">
      <c r="A876" s="6">
        <v>2308</v>
      </c>
      <c r="B876" s="5" t="s">
        <v>924</v>
      </c>
      <c r="C876" s="7" t="s">
        <v>64</v>
      </c>
      <c r="D876" s="8">
        <v>553.07000000000005</v>
      </c>
    </row>
    <row r="877" spans="1:4" x14ac:dyDescent="0.2">
      <c r="A877" s="6">
        <v>2309</v>
      </c>
      <c r="B877" s="5" t="s">
        <v>925</v>
      </c>
      <c r="C877" s="7" t="s">
        <v>64</v>
      </c>
      <c r="D877" s="8">
        <v>553.07000000000005</v>
      </c>
    </row>
    <row r="878" spans="1:4" x14ac:dyDescent="0.2">
      <c r="A878" s="6">
        <v>2310</v>
      </c>
      <c r="B878" s="5" t="s">
        <v>926</v>
      </c>
      <c r="C878" s="7" t="s">
        <v>64</v>
      </c>
      <c r="D878" s="8">
        <v>553.07000000000005</v>
      </c>
    </row>
    <row r="879" spans="1:4" x14ac:dyDescent="0.2">
      <c r="A879" s="6">
        <v>2311</v>
      </c>
      <c r="B879" s="5" t="s">
        <v>927</v>
      </c>
      <c r="C879" s="7" t="s">
        <v>10</v>
      </c>
      <c r="D879" s="8">
        <v>307.25</v>
      </c>
    </row>
    <row r="880" spans="1:4" x14ac:dyDescent="0.2">
      <c r="A880" s="6">
        <v>2314</v>
      </c>
      <c r="B880" s="5" t="s">
        <v>928</v>
      </c>
      <c r="C880" s="7" t="s">
        <v>64</v>
      </c>
      <c r="D880" s="8">
        <v>553.07000000000005</v>
      </c>
    </row>
    <row r="881" spans="1:4" x14ac:dyDescent="0.2">
      <c r="A881" s="6">
        <v>2315</v>
      </c>
      <c r="B881" s="5" t="s">
        <v>929</v>
      </c>
      <c r="C881" s="7" t="s">
        <v>10</v>
      </c>
      <c r="D881" s="8">
        <v>307.25</v>
      </c>
    </row>
    <row r="882" spans="1:4" x14ac:dyDescent="0.2">
      <c r="A882" s="6">
        <v>2316</v>
      </c>
      <c r="B882" s="5" t="s">
        <v>930</v>
      </c>
      <c r="C882" s="7" t="s">
        <v>64</v>
      </c>
      <c r="D882" s="8">
        <v>553.07000000000005</v>
      </c>
    </row>
    <row r="883" spans="1:4" x14ac:dyDescent="0.2">
      <c r="A883" s="6">
        <v>2317</v>
      </c>
      <c r="B883" s="5" t="s">
        <v>931</v>
      </c>
      <c r="C883" s="7" t="s">
        <v>10</v>
      </c>
      <c r="D883" s="8">
        <v>307.25</v>
      </c>
    </row>
    <row r="884" spans="1:4" x14ac:dyDescent="0.2">
      <c r="A884" s="6">
        <v>2318</v>
      </c>
      <c r="B884" s="5" t="s">
        <v>932</v>
      </c>
      <c r="C884" s="7" t="s">
        <v>64</v>
      </c>
      <c r="D884" s="8">
        <v>553.07000000000005</v>
      </c>
    </row>
    <row r="885" spans="1:4" x14ac:dyDescent="0.2">
      <c r="A885" s="6">
        <v>2319</v>
      </c>
      <c r="B885" s="5" t="s">
        <v>933</v>
      </c>
      <c r="C885" s="7" t="s">
        <v>10</v>
      </c>
      <c r="D885" s="8">
        <v>307.25</v>
      </c>
    </row>
    <row r="886" spans="1:4" x14ac:dyDescent="0.2">
      <c r="A886" s="6">
        <v>2320</v>
      </c>
      <c r="B886" s="5" t="s">
        <v>934</v>
      </c>
      <c r="C886" s="7" t="s">
        <v>10</v>
      </c>
      <c r="D886" s="8">
        <v>307.25</v>
      </c>
    </row>
    <row r="887" spans="1:4" x14ac:dyDescent="0.2">
      <c r="A887" s="6">
        <v>2321</v>
      </c>
      <c r="B887" s="5" t="s">
        <v>935</v>
      </c>
      <c r="C887" s="7" t="s">
        <v>1</v>
      </c>
      <c r="D887" s="8"/>
    </row>
    <row r="888" spans="1:4" x14ac:dyDescent="0.2">
      <c r="A888" s="6">
        <v>2322</v>
      </c>
      <c r="B888" s="5" t="s">
        <v>936</v>
      </c>
      <c r="C888" s="7" t="s">
        <v>64</v>
      </c>
      <c r="D888" s="8">
        <v>553.07000000000005</v>
      </c>
    </row>
    <row r="889" spans="1:4" x14ac:dyDescent="0.2">
      <c r="A889" s="6">
        <v>2323</v>
      </c>
      <c r="B889" s="5" t="s">
        <v>937</v>
      </c>
      <c r="C889" s="7" t="s">
        <v>10</v>
      </c>
      <c r="D889" s="8">
        <v>307.25</v>
      </c>
    </row>
    <row r="890" spans="1:4" x14ac:dyDescent="0.2">
      <c r="A890" s="6">
        <v>2324</v>
      </c>
      <c r="B890" s="5" t="s">
        <v>938</v>
      </c>
      <c r="C890" s="7" t="s">
        <v>185</v>
      </c>
      <c r="D890" s="8">
        <v>170</v>
      </c>
    </row>
    <row r="891" spans="1:4" x14ac:dyDescent="0.2">
      <c r="A891" s="6">
        <v>2325</v>
      </c>
      <c r="B891" s="5" t="s">
        <v>939</v>
      </c>
      <c r="C891" s="7" t="s">
        <v>185</v>
      </c>
      <c r="D891" s="8">
        <v>170</v>
      </c>
    </row>
    <row r="892" spans="1:4" x14ac:dyDescent="0.2">
      <c r="A892" s="6">
        <v>2326</v>
      </c>
      <c r="B892" s="5" t="s">
        <v>940</v>
      </c>
      <c r="C892" s="7" t="s">
        <v>64</v>
      </c>
      <c r="D892" s="8">
        <v>553.07000000000005</v>
      </c>
    </row>
    <row r="893" spans="1:4" x14ac:dyDescent="0.2">
      <c r="A893" s="6">
        <v>2327</v>
      </c>
      <c r="B893" s="5" t="s">
        <v>941</v>
      </c>
      <c r="C893" s="7" t="s">
        <v>64</v>
      </c>
      <c r="D893" s="8">
        <v>553.07000000000005</v>
      </c>
    </row>
    <row r="894" spans="1:4" x14ac:dyDescent="0.2">
      <c r="A894" s="6">
        <v>2328</v>
      </c>
      <c r="B894" s="5" t="s">
        <v>942</v>
      </c>
      <c r="C894" s="7" t="s">
        <v>10</v>
      </c>
      <c r="D894" s="8">
        <v>307.25</v>
      </c>
    </row>
    <row r="895" spans="1:4" x14ac:dyDescent="0.2">
      <c r="A895" s="6">
        <v>2329</v>
      </c>
      <c r="B895" s="5" t="s">
        <v>943</v>
      </c>
      <c r="C895" s="7" t="s">
        <v>10</v>
      </c>
      <c r="D895" s="8">
        <v>307.25</v>
      </c>
    </row>
    <row r="896" spans="1:4" x14ac:dyDescent="0.2">
      <c r="A896" s="6">
        <v>2330</v>
      </c>
      <c r="B896" s="5" t="s">
        <v>944</v>
      </c>
      <c r="C896" s="7" t="s">
        <v>10</v>
      </c>
      <c r="D896" s="8">
        <v>307.25</v>
      </c>
    </row>
    <row r="897" spans="1:4" x14ac:dyDescent="0.2">
      <c r="A897" s="6">
        <v>2331</v>
      </c>
      <c r="B897" s="5" t="s">
        <v>945</v>
      </c>
      <c r="C897" s="7" t="s">
        <v>64</v>
      </c>
      <c r="D897" s="8">
        <v>553.07000000000005</v>
      </c>
    </row>
    <row r="898" spans="1:4" x14ac:dyDescent="0.2">
      <c r="A898" s="6">
        <v>2332</v>
      </c>
      <c r="B898" s="5" t="s">
        <v>946</v>
      </c>
      <c r="C898" s="7" t="s">
        <v>10</v>
      </c>
      <c r="D898" s="8">
        <v>307.25</v>
      </c>
    </row>
    <row r="899" spans="1:4" x14ac:dyDescent="0.2">
      <c r="A899" s="6">
        <v>2333</v>
      </c>
      <c r="B899" s="5" t="s">
        <v>947</v>
      </c>
      <c r="C899" s="7" t="s">
        <v>10</v>
      </c>
      <c r="D899" s="8">
        <v>307.25</v>
      </c>
    </row>
    <row r="900" spans="1:4" x14ac:dyDescent="0.2">
      <c r="A900" s="6">
        <v>2334</v>
      </c>
      <c r="B900" s="5" t="s">
        <v>948</v>
      </c>
      <c r="C900" s="7" t="s">
        <v>10</v>
      </c>
      <c r="D900" s="8">
        <v>307.25</v>
      </c>
    </row>
    <row r="901" spans="1:4" x14ac:dyDescent="0.2">
      <c r="A901" s="6">
        <v>2335</v>
      </c>
      <c r="B901" s="5" t="s">
        <v>949</v>
      </c>
      <c r="C901" s="7" t="s">
        <v>64</v>
      </c>
      <c r="D901" s="8">
        <v>553.07000000000005</v>
      </c>
    </row>
    <row r="902" spans="1:4" x14ac:dyDescent="0.2">
      <c r="A902" s="6">
        <v>2336</v>
      </c>
      <c r="B902" s="5" t="s">
        <v>950</v>
      </c>
      <c r="C902" s="7" t="s">
        <v>64</v>
      </c>
      <c r="D902" s="8">
        <v>553.07000000000005</v>
      </c>
    </row>
    <row r="903" spans="1:4" x14ac:dyDescent="0.2">
      <c r="A903" s="6">
        <v>2337</v>
      </c>
      <c r="B903" s="5" t="s">
        <v>951</v>
      </c>
      <c r="C903" s="7" t="s">
        <v>10</v>
      </c>
      <c r="D903" s="8">
        <v>307.25</v>
      </c>
    </row>
    <row r="904" spans="1:4" x14ac:dyDescent="0.2">
      <c r="A904" s="6">
        <v>2338</v>
      </c>
      <c r="B904" s="5" t="s">
        <v>952</v>
      </c>
      <c r="C904" s="7" t="s">
        <v>64</v>
      </c>
      <c r="D904" s="8">
        <v>553.07000000000005</v>
      </c>
    </row>
    <row r="905" spans="1:4" x14ac:dyDescent="0.2">
      <c r="A905" s="6">
        <v>2339</v>
      </c>
      <c r="B905" s="5" t="s">
        <v>953</v>
      </c>
      <c r="C905" s="7" t="s">
        <v>10</v>
      </c>
      <c r="D905" s="8">
        <v>307.25</v>
      </c>
    </row>
    <row r="906" spans="1:4" x14ac:dyDescent="0.2">
      <c r="A906" s="6">
        <v>2340</v>
      </c>
      <c r="B906" s="5" t="s">
        <v>954</v>
      </c>
      <c r="C906" s="7" t="s">
        <v>64</v>
      </c>
      <c r="D906" s="8">
        <v>553.07000000000005</v>
      </c>
    </row>
    <row r="907" spans="1:4" x14ac:dyDescent="0.2">
      <c r="A907" s="6">
        <v>2341</v>
      </c>
      <c r="B907" s="5" t="s">
        <v>955</v>
      </c>
      <c r="C907" s="7" t="s">
        <v>10</v>
      </c>
      <c r="D907" s="8">
        <v>307.25</v>
      </c>
    </row>
    <row r="908" spans="1:4" x14ac:dyDescent="0.2">
      <c r="A908" s="6">
        <v>2342</v>
      </c>
      <c r="B908" s="5" t="s">
        <v>956</v>
      </c>
      <c r="C908" s="7" t="s">
        <v>10</v>
      </c>
      <c r="D908" s="8">
        <v>307.25</v>
      </c>
    </row>
    <row r="909" spans="1:4" x14ac:dyDescent="0.2">
      <c r="A909" s="6">
        <v>2343</v>
      </c>
      <c r="B909" s="5" t="s">
        <v>957</v>
      </c>
      <c r="C909" s="7" t="s">
        <v>64</v>
      </c>
      <c r="D909" s="8">
        <v>553.07000000000005</v>
      </c>
    </row>
    <row r="910" spans="1:4" x14ac:dyDescent="0.2">
      <c r="A910" s="6">
        <v>2344</v>
      </c>
      <c r="B910" s="5" t="s">
        <v>958</v>
      </c>
      <c r="C910" s="7" t="s">
        <v>64</v>
      </c>
      <c r="D910" s="8">
        <v>553.07000000000005</v>
      </c>
    </row>
    <row r="911" spans="1:4" x14ac:dyDescent="0.2">
      <c r="A911" s="6">
        <v>2345</v>
      </c>
      <c r="B911" s="5" t="s">
        <v>959</v>
      </c>
      <c r="C911" s="7" t="s">
        <v>10</v>
      </c>
      <c r="D911" s="8">
        <v>307.25</v>
      </c>
    </row>
    <row r="912" spans="1:4" x14ac:dyDescent="0.2">
      <c r="A912" s="6">
        <v>2346</v>
      </c>
      <c r="B912" s="5" t="s">
        <v>960</v>
      </c>
      <c r="C912" s="7" t="s">
        <v>64</v>
      </c>
      <c r="D912" s="8">
        <v>638.79999999999995</v>
      </c>
    </row>
    <row r="913" spans="1:4" x14ac:dyDescent="0.2">
      <c r="A913" s="6">
        <v>2347</v>
      </c>
      <c r="B913" s="5" t="s">
        <v>961</v>
      </c>
      <c r="C913" s="7" t="s">
        <v>10</v>
      </c>
      <c r="D913" s="8">
        <v>307.25</v>
      </c>
    </row>
    <row r="914" spans="1:4" x14ac:dyDescent="0.2">
      <c r="A914" s="6">
        <v>2348</v>
      </c>
      <c r="B914" s="5" t="s">
        <v>962</v>
      </c>
      <c r="C914" s="7" t="s">
        <v>64</v>
      </c>
      <c r="D914" s="8">
        <v>553.07000000000005</v>
      </c>
    </row>
    <row r="915" spans="1:4" x14ac:dyDescent="0.2">
      <c r="A915" s="6">
        <v>2349</v>
      </c>
      <c r="B915" s="5" t="s">
        <v>963</v>
      </c>
      <c r="C915" s="7" t="s">
        <v>10</v>
      </c>
      <c r="D915" s="8">
        <v>307.25</v>
      </c>
    </row>
    <row r="916" spans="1:4" x14ac:dyDescent="0.2">
      <c r="A916" s="6">
        <v>2350</v>
      </c>
      <c r="B916" s="5" t="s">
        <v>964</v>
      </c>
      <c r="C916" s="7" t="s">
        <v>64</v>
      </c>
      <c r="D916" s="8">
        <v>553.07000000000005</v>
      </c>
    </row>
    <row r="917" spans="1:4" x14ac:dyDescent="0.2">
      <c r="A917" s="6">
        <v>2351</v>
      </c>
      <c r="B917" s="5" t="s">
        <v>965</v>
      </c>
      <c r="C917" s="7" t="s">
        <v>64</v>
      </c>
      <c r="D917" s="8">
        <v>553.07000000000005</v>
      </c>
    </row>
    <row r="918" spans="1:4" x14ac:dyDescent="0.2">
      <c r="A918" s="6">
        <v>2352</v>
      </c>
      <c r="B918" s="5" t="s">
        <v>966</v>
      </c>
      <c r="C918" s="7" t="s">
        <v>64</v>
      </c>
      <c r="D918" s="8">
        <v>553.07000000000005</v>
      </c>
    </row>
    <row r="919" spans="1:4" x14ac:dyDescent="0.2">
      <c r="A919" s="6">
        <v>2353</v>
      </c>
      <c r="B919" s="5" t="s">
        <v>967</v>
      </c>
      <c r="C919" s="7" t="s">
        <v>10</v>
      </c>
      <c r="D919" s="8">
        <v>307.25</v>
      </c>
    </row>
    <row r="920" spans="1:4" x14ac:dyDescent="0.2">
      <c r="A920" s="6">
        <v>2354</v>
      </c>
      <c r="B920" s="5" t="s">
        <v>968</v>
      </c>
      <c r="C920" s="7" t="s">
        <v>10</v>
      </c>
      <c r="D920" s="8">
        <v>307.25</v>
      </c>
    </row>
    <row r="921" spans="1:4" x14ac:dyDescent="0.2">
      <c r="A921" s="6">
        <v>2355</v>
      </c>
      <c r="B921" s="5" t="s">
        <v>969</v>
      </c>
      <c r="C921" s="7" t="s">
        <v>10</v>
      </c>
      <c r="D921" s="8">
        <v>307.25</v>
      </c>
    </row>
    <row r="922" spans="1:4" x14ac:dyDescent="0.2">
      <c r="A922" s="6">
        <v>2356</v>
      </c>
      <c r="B922" s="5" t="s">
        <v>970</v>
      </c>
      <c r="C922" s="7" t="s">
        <v>64</v>
      </c>
      <c r="D922" s="8">
        <v>553.07000000000005</v>
      </c>
    </row>
    <row r="923" spans="1:4" x14ac:dyDescent="0.2">
      <c r="A923" s="6">
        <v>2357</v>
      </c>
      <c r="B923" s="5" t="s">
        <v>971</v>
      </c>
      <c r="C923" s="7" t="s">
        <v>10</v>
      </c>
      <c r="D923" s="8">
        <v>307.25</v>
      </c>
    </row>
    <row r="924" spans="1:4" x14ac:dyDescent="0.2">
      <c r="A924" s="6">
        <v>2358</v>
      </c>
      <c r="B924" s="5" t="s">
        <v>972</v>
      </c>
      <c r="C924" s="7" t="s">
        <v>10</v>
      </c>
      <c r="D924" s="8">
        <v>307.25</v>
      </c>
    </row>
    <row r="925" spans="1:4" x14ac:dyDescent="0.2">
      <c r="A925" s="6">
        <v>2359</v>
      </c>
      <c r="B925" s="5" t="s">
        <v>973</v>
      </c>
      <c r="C925" s="7" t="s">
        <v>64</v>
      </c>
      <c r="D925" s="8">
        <v>553.07000000000005</v>
      </c>
    </row>
    <row r="926" spans="1:4" x14ac:dyDescent="0.2">
      <c r="A926" s="6">
        <v>2360</v>
      </c>
      <c r="B926" s="5" t="s">
        <v>974</v>
      </c>
      <c r="C926" s="7" t="s">
        <v>64</v>
      </c>
      <c r="D926" s="8">
        <v>553.07000000000005</v>
      </c>
    </row>
    <row r="927" spans="1:4" x14ac:dyDescent="0.2">
      <c r="A927" s="6">
        <v>2361</v>
      </c>
      <c r="B927" s="5" t="s">
        <v>975</v>
      </c>
      <c r="C927" s="7" t="s">
        <v>185</v>
      </c>
      <c r="D927" s="8">
        <v>170</v>
      </c>
    </row>
    <row r="928" spans="1:4" x14ac:dyDescent="0.2">
      <c r="A928" s="6">
        <v>2362</v>
      </c>
      <c r="B928" s="5" t="s">
        <v>976</v>
      </c>
      <c r="C928" s="7" t="s">
        <v>10</v>
      </c>
      <c r="D928" s="8">
        <v>307.25</v>
      </c>
    </row>
    <row r="929" spans="1:4" x14ac:dyDescent="0.2">
      <c r="A929" s="6">
        <v>2363</v>
      </c>
      <c r="B929" s="5" t="s">
        <v>977</v>
      </c>
      <c r="C929" s="7" t="s">
        <v>10</v>
      </c>
      <c r="D929" s="8">
        <v>307.25</v>
      </c>
    </row>
    <row r="930" spans="1:4" x14ac:dyDescent="0.2">
      <c r="A930" s="6">
        <v>2364</v>
      </c>
      <c r="B930" s="5" t="s">
        <v>978</v>
      </c>
      <c r="C930" s="7" t="s">
        <v>64</v>
      </c>
      <c r="D930" s="8">
        <v>553.07000000000005</v>
      </c>
    </row>
    <row r="931" spans="1:4" x14ac:dyDescent="0.2">
      <c r="A931" s="6">
        <v>2365</v>
      </c>
      <c r="B931" s="5" t="s">
        <v>979</v>
      </c>
      <c r="C931" s="7" t="s">
        <v>64</v>
      </c>
      <c r="D931" s="8">
        <v>553.07000000000005</v>
      </c>
    </row>
    <row r="932" spans="1:4" x14ac:dyDescent="0.2">
      <c r="A932" s="6">
        <v>2366</v>
      </c>
      <c r="B932" s="5" t="s">
        <v>980</v>
      </c>
      <c r="C932" s="7" t="s">
        <v>10</v>
      </c>
      <c r="D932" s="8">
        <v>307.25</v>
      </c>
    </row>
    <row r="933" spans="1:4" x14ac:dyDescent="0.2">
      <c r="A933" s="6">
        <v>2367</v>
      </c>
      <c r="B933" s="5" t="s">
        <v>981</v>
      </c>
      <c r="C933" s="7" t="s">
        <v>10</v>
      </c>
      <c r="D933" s="8">
        <v>307.25</v>
      </c>
    </row>
    <row r="934" spans="1:4" x14ac:dyDescent="0.2">
      <c r="A934" s="6">
        <v>2368</v>
      </c>
      <c r="B934" s="5" t="s">
        <v>982</v>
      </c>
      <c r="C934" s="7" t="s">
        <v>10</v>
      </c>
      <c r="D934" s="8">
        <v>307.25</v>
      </c>
    </row>
    <row r="935" spans="1:4" x14ac:dyDescent="0.2">
      <c r="A935" s="6">
        <v>2369</v>
      </c>
      <c r="B935" s="5" t="s">
        <v>983</v>
      </c>
      <c r="C935" s="7" t="s">
        <v>10</v>
      </c>
      <c r="D935" s="8">
        <v>307.25</v>
      </c>
    </row>
    <row r="936" spans="1:4" x14ac:dyDescent="0.2">
      <c r="A936" s="6">
        <v>2370</v>
      </c>
      <c r="B936" s="5" t="s">
        <v>984</v>
      </c>
      <c r="C936" s="7" t="s">
        <v>10</v>
      </c>
      <c r="D936" s="8">
        <v>307.25</v>
      </c>
    </row>
    <row r="937" spans="1:4" x14ac:dyDescent="0.2">
      <c r="A937" s="6">
        <v>2371</v>
      </c>
      <c r="B937" s="5" t="s">
        <v>985</v>
      </c>
      <c r="C937" s="7" t="s">
        <v>185</v>
      </c>
      <c r="D937" s="8">
        <v>170</v>
      </c>
    </row>
    <row r="938" spans="1:4" x14ac:dyDescent="0.2">
      <c r="A938" s="6">
        <v>2372</v>
      </c>
      <c r="B938" s="5" t="s">
        <v>986</v>
      </c>
      <c r="C938" s="7" t="s">
        <v>10</v>
      </c>
      <c r="D938" s="8">
        <v>307.25</v>
      </c>
    </row>
    <row r="939" spans="1:4" x14ac:dyDescent="0.2">
      <c r="A939" s="6">
        <v>2373</v>
      </c>
      <c r="B939" s="5" t="s">
        <v>987</v>
      </c>
      <c r="C939" s="7" t="s">
        <v>10</v>
      </c>
      <c r="D939" s="8">
        <v>307.25</v>
      </c>
    </row>
    <row r="940" spans="1:4" x14ac:dyDescent="0.2">
      <c r="A940" s="6">
        <v>2374</v>
      </c>
      <c r="B940" s="5" t="s">
        <v>988</v>
      </c>
      <c r="C940" s="7" t="s">
        <v>10</v>
      </c>
      <c r="D940" s="8">
        <v>307.25</v>
      </c>
    </row>
    <row r="941" spans="1:4" x14ac:dyDescent="0.2">
      <c r="A941" s="6">
        <v>2375</v>
      </c>
      <c r="B941" s="5" t="s">
        <v>989</v>
      </c>
      <c r="C941" s="7" t="s">
        <v>297</v>
      </c>
      <c r="D941" s="8"/>
    </row>
    <row r="942" spans="1:4" x14ac:dyDescent="0.2">
      <c r="A942" s="6">
        <v>2376</v>
      </c>
      <c r="B942" s="5" t="s">
        <v>990</v>
      </c>
      <c r="C942" s="7" t="s">
        <v>64</v>
      </c>
      <c r="D942" s="8">
        <v>553.07000000000005</v>
      </c>
    </row>
    <row r="943" spans="1:4" x14ac:dyDescent="0.2">
      <c r="A943" s="6">
        <v>2377</v>
      </c>
      <c r="B943" s="5" t="s">
        <v>991</v>
      </c>
      <c r="C943" s="7" t="s">
        <v>10</v>
      </c>
      <c r="D943" s="8">
        <v>307.25</v>
      </c>
    </row>
    <row r="944" spans="1:4" x14ac:dyDescent="0.2">
      <c r="A944" s="6">
        <v>2378</v>
      </c>
      <c r="B944" s="5" t="s">
        <v>992</v>
      </c>
      <c r="C944" s="7" t="s">
        <v>297</v>
      </c>
      <c r="D944" s="8"/>
    </row>
    <row r="945" spans="1:4" x14ac:dyDescent="0.2">
      <c r="A945" s="6">
        <v>2379</v>
      </c>
      <c r="B945" s="5" t="s">
        <v>993</v>
      </c>
      <c r="C945" s="7" t="s">
        <v>10</v>
      </c>
      <c r="D945" s="8">
        <v>307.25</v>
      </c>
    </row>
    <row r="946" spans="1:4" x14ac:dyDescent="0.2">
      <c r="A946" s="6">
        <v>2380</v>
      </c>
      <c r="B946" s="5" t="s">
        <v>994</v>
      </c>
      <c r="C946" s="7" t="s">
        <v>64</v>
      </c>
      <c r="D946" s="8">
        <v>553.07000000000005</v>
      </c>
    </row>
    <row r="947" spans="1:4" x14ac:dyDescent="0.2">
      <c r="A947" s="6">
        <v>2381</v>
      </c>
      <c r="B947" s="5" t="s">
        <v>995</v>
      </c>
      <c r="C947" s="7" t="s">
        <v>10</v>
      </c>
      <c r="D947" s="8">
        <v>307.25</v>
      </c>
    </row>
    <row r="948" spans="1:4" x14ac:dyDescent="0.2">
      <c r="A948" s="6">
        <v>2382</v>
      </c>
      <c r="B948" s="5" t="s">
        <v>996</v>
      </c>
      <c r="C948" s="7" t="s">
        <v>10</v>
      </c>
      <c r="D948" s="8">
        <v>307.25</v>
      </c>
    </row>
    <row r="949" spans="1:4" x14ac:dyDescent="0.2">
      <c r="A949" s="6">
        <v>2383</v>
      </c>
      <c r="B949" s="5" t="s">
        <v>997</v>
      </c>
      <c r="C949" s="7" t="s">
        <v>10</v>
      </c>
      <c r="D949" s="8">
        <v>307.25</v>
      </c>
    </row>
    <row r="950" spans="1:4" x14ac:dyDescent="0.2">
      <c r="A950" s="6">
        <v>2384</v>
      </c>
      <c r="B950" s="5" t="s">
        <v>998</v>
      </c>
      <c r="C950" s="7" t="s">
        <v>64</v>
      </c>
      <c r="D950" s="8">
        <v>553.07000000000005</v>
      </c>
    </row>
    <row r="951" spans="1:4" x14ac:dyDescent="0.2">
      <c r="A951" s="6">
        <v>2385</v>
      </c>
      <c r="B951" s="5" t="s">
        <v>999</v>
      </c>
      <c r="C951" s="7" t="s">
        <v>10</v>
      </c>
      <c r="D951" s="8">
        <v>307.25</v>
      </c>
    </row>
    <row r="952" spans="1:4" x14ac:dyDescent="0.2">
      <c r="A952" s="6">
        <v>2386</v>
      </c>
      <c r="B952" s="5" t="s">
        <v>1000</v>
      </c>
      <c r="C952" s="7" t="s">
        <v>10</v>
      </c>
      <c r="D952" s="8">
        <v>307.25</v>
      </c>
    </row>
    <row r="953" spans="1:4" x14ac:dyDescent="0.2">
      <c r="A953" s="6">
        <v>2387</v>
      </c>
      <c r="B953" s="5" t="s">
        <v>1001</v>
      </c>
      <c r="C953" s="7" t="s">
        <v>297</v>
      </c>
      <c r="D953" s="8"/>
    </row>
    <row r="954" spans="1:4" x14ac:dyDescent="0.2">
      <c r="A954" s="6">
        <v>2388</v>
      </c>
      <c r="B954" s="5" t="s">
        <v>1002</v>
      </c>
      <c r="C954" s="7" t="s">
        <v>297</v>
      </c>
      <c r="D954" s="8"/>
    </row>
    <row r="955" spans="1:4" x14ac:dyDescent="0.2">
      <c r="A955" s="6">
        <v>2389</v>
      </c>
      <c r="B955" s="5" t="s">
        <v>1003</v>
      </c>
      <c r="C955" s="7" t="s">
        <v>297</v>
      </c>
      <c r="D955" s="8"/>
    </row>
    <row r="956" spans="1:4" x14ac:dyDescent="0.2">
      <c r="A956" s="6">
        <v>2390</v>
      </c>
      <c r="B956" s="5" t="s">
        <v>1004</v>
      </c>
      <c r="C956" s="7" t="s">
        <v>10</v>
      </c>
      <c r="D956" s="8">
        <v>307.25</v>
      </c>
    </row>
    <row r="957" spans="1:4" x14ac:dyDescent="0.2">
      <c r="A957" s="6">
        <v>2391</v>
      </c>
      <c r="B957" s="5" t="s">
        <v>1005</v>
      </c>
      <c r="C957" s="7" t="s">
        <v>10</v>
      </c>
      <c r="D957" s="8">
        <v>307.25</v>
      </c>
    </row>
    <row r="958" spans="1:4" x14ac:dyDescent="0.2">
      <c r="A958" s="6">
        <v>2392</v>
      </c>
      <c r="B958" s="5" t="s">
        <v>1006</v>
      </c>
      <c r="C958" s="7" t="s">
        <v>64</v>
      </c>
      <c r="D958" s="8">
        <v>638.79999999999995</v>
      </c>
    </row>
    <row r="959" spans="1:4" x14ac:dyDescent="0.2">
      <c r="A959" s="6">
        <v>2393</v>
      </c>
      <c r="B959" s="5" t="s">
        <v>1007</v>
      </c>
      <c r="C959" s="7" t="s">
        <v>10</v>
      </c>
      <c r="D959" s="8">
        <v>307.25</v>
      </c>
    </row>
    <row r="960" spans="1:4" x14ac:dyDescent="0.2">
      <c r="A960" s="6">
        <v>2394</v>
      </c>
      <c r="B960" s="5" t="s">
        <v>1008</v>
      </c>
      <c r="C960" s="7" t="s">
        <v>64</v>
      </c>
      <c r="D960" s="8">
        <v>553.07000000000005</v>
      </c>
    </row>
    <row r="961" spans="1:4" x14ac:dyDescent="0.2">
      <c r="A961" s="6">
        <v>2395</v>
      </c>
      <c r="B961" s="5" t="s">
        <v>1009</v>
      </c>
      <c r="C961" s="7" t="s">
        <v>10</v>
      </c>
      <c r="D961" s="8">
        <v>307.25</v>
      </c>
    </row>
    <row r="962" spans="1:4" x14ac:dyDescent="0.2">
      <c r="A962" s="6">
        <v>2396</v>
      </c>
      <c r="B962" s="5" t="s">
        <v>1010</v>
      </c>
      <c r="C962" s="7" t="s">
        <v>10</v>
      </c>
      <c r="D962" s="8">
        <v>307.25</v>
      </c>
    </row>
    <row r="963" spans="1:4" x14ac:dyDescent="0.2">
      <c r="A963" s="6">
        <v>2397</v>
      </c>
      <c r="B963" s="5" t="s">
        <v>1011</v>
      </c>
      <c r="C963" s="7" t="s">
        <v>64</v>
      </c>
      <c r="D963" s="8">
        <v>553.07000000000005</v>
      </c>
    </row>
    <row r="964" spans="1:4" x14ac:dyDescent="0.2">
      <c r="A964" s="6">
        <v>2398</v>
      </c>
      <c r="B964" s="5" t="s">
        <v>1012</v>
      </c>
      <c r="C964" s="7" t="s">
        <v>64</v>
      </c>
      <c r="D964" s="8">
        <v>553.07000000000005</v>
      </c>
    </row>
    <row r="965" spans="1:4" x14ac:dyDescent="0.2">
      <c r="A965" s="6">
        <v>2399</v>
      </c>
      <c r="B965" s="5" t="s">
        <v>1013</v>
      </c>
      <c r="C965" s="7" t="s">
        <v>10</v>
      </c>
      <c r="D965" s="8">
        <v>307.25</v>
      </c>
    </row>
    <row r="966" spans="1:4" x14ac:dyDescent="0.2">
      <c r="A966" s="6">
        <v>2400</v>
      </c>
      <c r="B966" s="5" t="s">
        <v>1014</v>
      </c>
      <c r="C966" s="7" t="s">
        <v>64</v>
      </c>
      <c r="D966" s="8">
        <v>553.07000000000005</v>
      </c>
    </row>
    <row r="967" spans="1:4" x14ac:dyDescent="0.2">
      <c r="A967" s="6">
        <v>2401</v>
      </c>
      <c r="B967" s="5" t="s">
        <v>1015</v>
      </c>
      <c r="C967" s="7" t="s">
        <v>10</v>
      </c>
      <c r="D967" s="8">
        <v>307.25</v>
      </c>
    </row>
    <row r="968" spans="1:4" x14ac:dyDescent="0.2">
      <c r="A968" s="6">
        <v>2402</v>
      </c>
      <c r="B968" s="5" t="s">
        <v>1016</v>
      </c>
      <c r="C968" s="7" t="s">
        <v>10</v>
      </c>
      <c r="D968" s="8">
        <v>307.25</v>
      </c>
    </row>
    <row r="969" spans="1:4" x14ac:dyDescent="0.2">
      <c r="A969" s="6">
        <v>2403</v>
      </c>
      <c r="B969" s="5" t="s">
        <v>1017</v>
      </c>
      <c r="C969" s="7" t="s">
        <v>10</v>
      </c>
      <c r="D969" s="8">
        <v>307.25</v>
      </c>
    </row>
    <row r="970" spans="1:4" x14ac:dyDescent="0.2">
      <c r="A970" s="6">
        <v>2404</v>
      </c>
      <c r="B970" s="5" t="s">
        <v>1018</v>
      </c>
      <c r="C970" s="7" t="s">
        <v>10</v>
      </c>
      <c r="D970" s="8">
        <v>307.25</v>
      </c>
    </row>
    <row r="971" spans="1:4" x14ac:dyDescent="0.2">
      <c r="A971" s="6">
        <v>2405</v>
      </c>
      <c r="B971" s="5" t="s">
        <v>1019</v>
      </c>
      <c r="C971" s="7" t="s">
        <v>64</v>
      </c>
      <c r="D971" s="8">
        <v>553.07000000000005</v>
      </c>
    </row>
    <row r="972" spans="1:4" x14ac:dyDescent="0.2">
      <c r="A972" s="6">
        <v>2406</v>
      </c>
      <c r="B972" s="5" t="s">
        <v>1020</v>
      </c>
      <c r="C972" s="7" t="s">
        <v>10</v>
      </c>
      <c r="D972" s="8">
        <v>307.25</v>
      </c>
    </row>
    <row r="973" spans="1:4" x14ac:dyDescent="0.2">
      <c r="A973" s="6">
        <v>2407</v>
      </c>
      <c r="B973" s="5" t="s">
        <v>1021</v>
      </c>
      <c r="C973" s="7" t="s">
        <v>64</v>
      </c>
      <c r="D973" s="8">
        <v>553.07000000000005</v>
      </c>
    </row>
    <row r="974" spans="1:4" x14ac:dyDescent="0.2">
      <c r="A974" s="6">
        <v>2408</v>
      </c>
      <c r="B974" s="5" t="s">
        <v>1022</v>
      </c>
      <c r="C974" s="7" t="s">
        <v>10</v>
      </c>
      <c r="D974" s="8">
        <v>307.25</v>
      </c>
    </row>
    <row r="975" spans="1:4" x14ac:dyDescent="0.2">
      <c r="A975" s="6">
        <v>2409</v>
      </c>
      <c r="B975" s="5" t="s">
        <v>1023</v>
      </c>
      <c r="C975" s="7" t="s">
        <v>10</v>
      </c>
      <c r="D975" s="8">
        <v>307.25</v>
      </c>
    </row>
    <row r="976" spans="1:4" x14ac:dyDescent="0.2">
      <c r="A976" s="6">
        <v>2410</v>
      </c>
      <c r="B976" s="5" t="s">
        <v>1024</v>
      </c>
      <c r="C976" s="7" t="s">
        <v>64</v>
      </c>
      <c r="D976" s="8">
        <v>638.79999999999995</v>
      </c>
    </row>
    <row r="977" spans="1:4" x14ac:dyDescent="0.2">
      <c r="A977" s="6">
        <v>2411</v>
      </c>
      <c r="B977" s="5" t="s">
        <v>1025</v>
      </c>
      <c r="C977" s="7" t="s">
        <v>10</v>
      </c>
      <c r="D977" s="8">
        <v>307.25</v>
      </c>
    </row>
    <row r="978" spans="1:4" x14ac:dyDescent="0.2">
      <c r="A978" s="6">
        <v>2412</v>
      </c>
      <c r="B978" s="5" t="s">
        <v>1026</v>
      </c>
      <c r="C978" s="7" t="s">
        <v>10</v>
      </c>
      <c r="D978" s="8">
        <v>307.25</v>
      </c>
    </row>
    <row r="979" spans="1:4" x14ac:dyDescent="0.2">
      <c r="A979" s="6">
        <v>2413</v>
      </c>
      <c r="B979" s="5" t="s">
        <v>1027</v>
      </c>
      <c r="C979" s="7" t="s">
        <v>10</v>
      </c>
      <c r="D979" s="8">
        <v>307.25</v>
      </c>
    </row>
    <row r="980" spans="1:4" x14ac:dyDescent="0.2">
      <c r="A980" s="6">
        <v>2414</v>
      </c>
      <c r="B980" s="5" t="s">
        <v>1028</v>
      </c>
      <c r="C980" s="7" t="s">
        <v>10</v>
      </c>
      <c r="D980" s="8">
        <v>307.25</v>
      </c>
    </row>
    <row r="981" spans="1:4" x14ac:dyDescent="0.2">
      <c r="A981" s="6">
        <v>2415</v>
      </c>
      <c r="B981" s="5" t="s">
        <v>1029</v>
      </c>
      <c r="C981" s="7" t="s">
        <v>64</v>
      </c>
      <c r="D981" s="8">
        <v>553.07000000000005</v>
      </c>
    </row>
    <row r="982" spans="1:4" x14ac:dyDescent="0.2">
      <c r="A982" s="6">
        <v>2416</v>
      </c>
      <c r="B982" s="5" t="s">
        <v>1030</v>
      </c>
      <c r="C982" s="7" t="s">
        <v>64</v>
      </c>
      <c r="D982" s="8">
        <v>638.79999999999995</v>
      </c>
    </row>
    <row r="983" spans="1:4" x14ac:dyDescent="0.2">
      <c r="A983" s="6">
        <v>2417</v>
      </c>
      <c r="B983" s="5" t="s">
        <v>1031</v>
      </c>
      <c r="C983" s="7" t="s">
        <v>64</v>
      </c>
      <c r="D983" s="8">
        <v>553.07000000000005</v>
      </c>
    </row>
    <row r="984" spans="1:4" x14ac:dyDescent="0.2">
      <c r="A984" s="6">
        <v>2418</v>
      </c>
      <c r="B984" s="5" t="s">
        <v>1032</v>
      </c>
      <c r="C984" s="7" t="s">
        <v>64</v>
      </c>
      <c r="D984" s="8">
        <v>553.07000000000005</v>
      </c>
    </row>
    <row r="985" spans="1:4" x14ac:dyDescent="0.2">
      <c r="A985" s="6">
        <v>2419</v>
      </c>
      <c r="B985" s="5" t="s">
        <v>1033</v>
      </c>
      <c r="C985" s="7" t="s">
        <v>64</v>
      </c>
      <c r="D985" s="8">
        <v>553.07000000000005</v>
      </c>
    </row>
    <row r="986" spans="1:4" x14ac:dyDescent="0.2">
      <c r="A986" s="6">
        <v>2420</v>
      </c>
      <c r="B986" s="5" t="s">
        <v>1034</v>
      </c>
      <c r="C986" s="7" t="s">
        <v>64</v>
      </c>
      <c r="D986" s="8">
        <v>553.07000000000005</v>
      </c>
    </row>
    <row r="987" spans="1:4" x14ac:dyDescent="0.2">
      <c r="A987" s="6">
        <v>2421</v>
      </c>
      <c r="B987" s="5" t="s">
        <v>1035</v>
      </c>
      <c r="C987" s="7" t="s">
        <v>64</v>
      </c>
      <c r="D987" s="8">
        <v>553.07000000000005</v>
      </c>
    </row>
    <row r="988" spans="1:4" x14ac:dyDescent="0.2">
      <c r="A988" s="6">
        <v>2422</v>
      </c>
      <c r="B988" s="5" t="s">
        <v>1036</v>
      </c>
      <c r="C988" s="7" t="s">
        <v>64</v>
      </c>
      <c r="D988" s="8">
        <v>553.07000000000005</v>
      </c>
    </row>
    <row r="989" spans="1:4" x14ac:dyDescent="0.2">
      <c r="A989" s="6">
        <v>2423</v>
      </c>
      <c r="B989" s="5" t="s">
        <v>1037</v>
      </c>
      <c r="C989" s="7" t="s">
        <v>10</v>
      </c>
      <c r="D989" s="8">
        <v>307.25</v>
      </c>
    </row>
    <row r="990" spans="1:4" x14ac:dyDescent="0.2">
      <c r="A990" s="6">
        <v>2424</v>
      </c>
      <c r="B990" s="5" t="s">
        <v>1038</v>
      </c>
      <c r="C990" s="7" t="s">
        <v>10</v>
      </c>
      <c r="D990" s="8">
        <v>307.25</v>
      </c>
    </row>
    <row r="991" spans="1:4" x14ac:dyDescent="0.2">
      <c r="A991" s="6">
        <v>2425</v>
      </c>
      <c r="B991" s="5" t="s">
        <v>1039</v>
      </c>
      <c r="C991" s="7" t="s">
        <v>10</v>
      </c>
      <c r="D991" s="8">
        <v>307.25</v>
      </c>
    </row>
    <row r="992" spans="1:4" x14ac:dyDescent="0.2">
      <c r="A992" s="6">
        <v>2426</v>
      </c>
      <c r="B992" s="5" t="s">
        <v>1040</v>
      </c>
      <c r="C992" s="7" t="s">
        <v>10</v>
      </c>
      <c r="D992" s="8">
        <v>307.25</v>
      </c>
    </row>
    <row r="993" spans="1:4" x14ac:dyDescent="0.2">
      <c r="A993" s="6">
        <v>2427</v>
      </c>
      <c r="B993" s="5" t="s">
        <v>1041</v>
      </c>
      <c r="C993" s="7" t="s">
        <v>10</v>
      </c>
      <c r="D993" s="8">
        <v>307.25</v>
      </c>
    </row>
    <row r="994" spans="1:4" x14ac:dyDescent="0.2">
      <c r="A994" s="6">
        <v>2428</v>
      </c>
      <c r="B994" s="5" t="s">
        <v>1042</v>
      </c>
      <c r="C994" s="7" t="s">
        <v>10</v>
      </c>
      <c r="D994" s="8">
        <v>307.25</v>
      </c>
    </row>
    <row r="995" spans="1:4" x14ac:dyDescent="0.2">
      <c r="A995" s="6">
        <v>2429</v>
      </c>
      <c r="B995" s="5" t="s">
        <v>1043</v>
      </c>
      <c r="C995" s="7" t="s">
        <v>64</v>
      </c>
      <c r="D995" s="8">
        <v>492.28</v>
      </c>
    </row>
    <row r="996" spans="1:4" x14ac:dyDescent="0.2">
      <c r="A996" s="6">
        <v>2430</v>
      </c>
      <c r="B996" s="5" t="s">
        <v>1044</v>
      </c>
      <c r="C996" s="7" t="s">
        <v>10</v>
      </c>
      <c r="D996" s="8">
        <v>307.25</v>
      </c>
    </row>
    <row r="997" spans="1:4" x14ac:dyDescent="0.2">
      <c r="A997" s="6">
        <v>2431</v>
      </c>
      <c r="B997" s="5" t="s">
        <v>1045</v>
      </c>
      <c r="C997" s="7" t="s">
        <v>64</v>
      </c>
      <c r="D997" s="8">
        <v>553.07000000000005</v>
      </c>
    </row>
    <row r="998" spans="1:4" x14ac:dyDescent="0.2">
      <c r="A998" s="6">
        <v>2432</v>
      </c>
      <c r="B998" s="5" t="s">
        <v>1046</v>
      </c>
      <c r="C998" s="7" t="s">
        <v>297</v>
      </c>
      <c r="D998" s="8">
        <v>516.89</v>
      </c>
    </row>
    <row r="999" spans="1:4" x14ac:dyDescent="0.2">
      <c r="A999" s="6">
        <v>2433</v>
      </c>
      <c r="B999" s="5" t="s">
        <v>1047</v>
      </c>
      <c r="C999" s="7" t="s">
        <v>10</v>
      </c>
      <c r="D999" s="8">
        <v>307.25</v>
      </c>
    </row>
    <row r="1000" spans="1:4" x14ac:dyDescent="0.2">
      <c r="A1000" s="6">
        <v>2434</v>
      </c>
      <c r="B1000" s="5" t="s">
        <v>1048</v>
      </c>
      <c r="C1000" s="7" t="s">
        <v>10</v>
      </c>
      <c r="D1000" s="8">
        <v>307.25</v>
      </c>
    </row>
    <row r="1001" spans="1:4" x14ac:dyDescent="0.2">
      <c r="A1001" s="6">
        <v>2435</v>
      </c>
      <c r="B1001" s="5" t="s">
        <v>1049</v>
      </c>
      <c r="C1001" s="7" t="s">
        <v>10</v>
      </c>
      <c r="D1001" s="8">
        <v>307.25</v>
      </c>
    </row>
    <row r="1002" spans="1:4" x14ac:dyDescent="0.2">
      <c r="A1002" s="6">
        <v>2436</v>
      </c>
      <c r="B1002" s="5" t="s">
        <v>1050</v>
      </c>
      <c r="C1002" s="7" t="s">
        <v>10</v>
      </c>
      <c r="D1002" s="8">
        <v>307.25</v>
      </c>
    </row>
    <row r="1003" spans="1:4" x14ac:dyDescent="0.2">
      <c r="A1003" s="6">
        <v>2437</v>
      </c>
      <c r="B1003" s="5" t="s">
        <v>1051</v>
      </c>
      <c r="C1003" s="7" t="s">
        <v>10</v>
      </c>
      <c r="D1003" s="8">
        <v>307.25</v>
      </c>
    </row>
    <row r="1004" spans="1:4" x14ac:dyDescent="0.2">
      <c r="A1004" s="6">
        <v>2438</v>
      </c>
      <c r="B1004" s="5" t="s">
        <v>1052</v>
      </c>
      <c r="C1004" s="7" t="s">
        <v>10</v>
      </c>
      <c r="D1004" s="8">
        <v>307.25</v>
      </c>
    </row>
    <row r="1005" spans="1:4" x14ac:dyDescent="0.2">
      <c r="A1005" s="6">
        <v>2439</v>
      </c>
      <c r="B1005" s="5" t="s">
        <v>1053</v>
      </c>
      <c r="C1005" s="7" t="s">
        <v>10</v>
      </c>
      <c r="D1005" s="8">
        <v>307.25</v>
      </c>
    </row>
    <row r="1006" spans="1:4" x14ac:dyDescent="0.2">
      <c r="A1006" s="6">
        <v>2440</v>
      </c>
      <c r="B1006" s="5" t="s">
        <v>413</v>
      </c>
      <c r="C1006" s="7" t="s">
        <v>10</v>
      </c>
      <c r="D1006" s="8">
        <v>307.25</v>
      </c>
    </row>
    <row r="1007" spans="1:4" x14ac:dyDescent="0.2">
      <c r="A1007" s="6">
        <v>2441</v>
      </c>
      <c r="B1007" s="5" t="s">
        <v>1054</v>
      </c>
      <c r="C1007" s="7" t="s">
        <v>64</v>
      </c>
      <c r="D1007" s="8">
        <v>553.07000000000005</v>
      </c>
    </row>
    <row r="1008" spans="1:4" x14ac:dyDescent="0.2">
      <c r="A1008" s="6">
        <v>2442</v>
      </c>
      <c r="B1008" s="5" t="s">
        <v>1055</v>
      </c>
      <c r="C1008" s="7" t="s">
        <v>10</v>
      </c>
      <c r="D1008" s="8">
        <v>307.25</v>
      </c>
    </row>
    <row r="1009" spans="1:4" x14ac:dyDescent="0.2">
      <c r="A1009" s="6">
        <v>2443</v>
      </c>
      <c r="B1009" s="5" t="s">
        <v>1056</v>
      </c>
      <c r="C1009" s="7" t="s">
        <v>297</v>
      </c>
      <c r="D1009" s="8">
        <v>690</v>
      </c>
    </row>
    <row r="1010" spans="1:4" x14ac:dyDescent="0.2">
      <c r="A1010" s="6">
        <v>2444</v>
      </c>
      <c r="B1010" s="5" t="s">
        <v>1057</v>
      </c>
      <c r="C1010" s="7" t="s">
        <v>10</v>
      </c>
      <c r="D1010" s="8">
        <v>307.25</v>
      </c>
    </row>
    <row r="1011" spans="1:4" x14ac:dyDescent="0.2">
      <c r="A1011" s="6">
        <v>2445</v>
      </c>
      <c r="B1011" s="5" t="s">
        <v>1058</v>
      </c>
      <c r="C1011" s="7" t="s">
        <v>10</v>
      </c>
      <c r="D1011" s="8">
        <v>307.25</v>
      </c>
    </row>
    <row r="1012" spans="1:4" x14ac:dyDescent="0.2">
      <c r="A1012" s="6">
        <v>2446</v>
      </c>
      <c r="B1012" s="5" t="s">
        <v>1059</v>
      </c>
      <c r="C1012" s="7" t="s">
        <v>64</v>
      </c>
      <c r="D1012" s="8">
        <v>553.07000000000005</v>
      </c>
    </row>
    <row r="1013" spans="1:4" x14ac:dyDescent="0.2">
      <c r="A1013" s="6">
        <v>2447</v>
      </c>
      <c r="B1013" s="5" t="s">
        <v>1060</v>
      </c>
      <c r="C1013" s="7" t="s">
        <v>64</v>
      </c>
      <c r="D1013" s="8">
        <v>553.07000000000005</v>
      </c>
    </row>
    <row r="1014" spans="1:4" x14ac:dyDescent="0.2">
      <c r="A1014" s="6">
        <v>2448</v>
      </c>
      <c r="B1014" s="5" t="s">
        <v>1061</v>
      </c>
      <c r="C1014" s="7" t="s">
        <v>64</v>
      </c>
      <c r="D1014" s="8">
        <v>553.07000000000005</v>
      </c>
    </row>
    <row r="1015" spans="1:4" x14ac:dyDescent="0.2">
      <c r="A1015" s="6">
        <v>2449</v>
      </c>
      <c r="B1015" s="5" t="s">
        <v>1062</v>
      </c>
      <c r="C1015" s="7" t="s">
        <v>10</v>
      </c>
      <c r="D1015" s="8">
        <v>307.25</v>
      </c>
    </row>
    <row r="1016" spans="1:4" x14ac:dyDescent="0.2">
      <c r="A1016" s="6">
        <v>2450</v>
      </c>
      <c r="B1016" s="5" t="s">
        <v>1063</v>
      </c>
      <c r="C1016" s="7" t="s">
        <v>10</v>
      </c>
      <c r="D1016" s="8">
        <v>307.25</v>
      </c>
    </row>
    <row r="1017" spans="1:4" x14ac:dyDescent="0.2">
      <c r="A1017" s="6">
        <v>2451</v>
      </c>
      <c r="B1017" s="5" t="s">
        <v>1064</v>
      </c>
      <c r="C1017" s="7" t="s">
        <v>297</v>
      </c>
      <c r="D1017" s="8">
        <v>492.28</v>
      </c>
    </row>
    <row r="1018" spans="1:4" x14ac:dyDescent="0.2">
      <c r="A1018" s="6">
        <v>2452</v>
      </c>
      <c r="B1018" s="5" t="s">
        <v>1065</v>
      </c>
      <c r="C1018" s="7" t="s">
        <v>10</v>
      </c>
      <c r="D1018" s="8">
        <v>307.25</v>
      </c>
    </row>
    <row r="1019" spans="1:4" x14ac:dyDescent="0.2">
      <c r="A1019" s="6">
        <v>2453</v>
      </c>
      <c r="B1019" s="5" t="s">
        <v>1066</v>
      </c>
      <c r="C1019" s="7" t="s">
        <v>10</v>
      </c>
      <c r="D1019" s="8">
        <v>307.25</v>
      </c>
    </row>
    <row r="1020" spans="1:4" x14ac:dyDescent="0.2">
      <c r="A1020" s="6">
        <v>2454</v>
      </c>
      <c r="B1020" s="5" t="s">
        <v>1067</v>
      </c>
      <c r="C1020" s="7" t="s">
        <v>10</v>
      </c>
      <c r="D1020" s="8">
        <v>307.25</v>
      </c>
    </row>
    <row r="1021" spans="1:4" x14ac:dyDescent="0.2">
      <c r="A1021" s="6">
        <v>2455</v>
      </c>
      <c r="B1021" s="5" t="s">
        <v>1068</v>
      </c>
      <c r="C1021" s="7" t="s">
        <v>10</v>
      </c>
      <c r="D1021" s="8">
        <v>307.25</v>
      </c>
    </row>
    <row r="1022" spans="1:4" x14ac:dyDescent="0.2">
      <c r="A1022" s="6">
        <v>2456</v>
      </c>
      <c r="B1022" s="5" t="s">
        <v>1069</v>
      </c>
      <c r="C1022" s="7" t="s">
        <v>64</v>
      </c>
      <c r="D1022" s="8">
        <v>553.07000000000005</v>
      </c>
    </row>
    <row r="1023" spans="1:4" x14ac:dyDescent="0.2">
      <c r="A1023" s="6">
        <v>2457</v>
      </c>
      <c r="B1023" s="5" t="s">
        <v>1070</v>
      </c>
      <c r="C1023" s="7" t="s">
        <v>10</v>
      </c>
      <c r="D1023" s="8">
        <v>307.25</v>
      </c>
    </row>
    <row r="1024" spans="1:4" x14ac:dyDescent="0.2">
      <c r="A1024" s="6">
        <v>2458</v>
      </c>
      <c r="B1024" s="5" t="s">
        <v>1071</v>
      </c>
      <c r="C1024" s="7" t="s">
        <v>10</v>
      </c>
      <c r="D1024" s="8">
        <v>307.25</v>
      </c>
    </row>
    <row r="1025" spans="1:4" x14ac:dyDescent="0.2">
      <c r="A1025" s="6">
        <v>2459</v>
      </c>
      <c r="B1025" s="5" t="s">
        <v>1072</v>
      </c>
      <c r="C1025" s="7" t="s">
        <v>10</v>
      </c>
      <c r="D1025" s="8">
        <v>307.25</v>
      </c>
    </row>
    <row r="1026" spans="1:4" x14ac:dyDescent="0.2">
      <c r="A1026" s="6">
        <v>2460</v>
      </c>
      <c r="B1026" s="5" t="s">
        <v>1073</v>
      </c>
      <c r="C1026" s="7" t="s">
        <v>10</v>
      </c>
      <c r="D1026" s="8">
        <v>307.25</v>
      </c>
    </row>
    <row r="1027" spans="1:4" x14ac:dyDescent="0.2">
      <c r="A1027" s="6">
        <v>2461</v>
      </c>
      <c r="B1027" s="5" t="s">
        <v>1074</v>
      </c>
      <c r="C1027" s="7" t="s">
        <v>64</v>
      </c>
      <c r="D1027" s="8">
        <v>553.07000000000005</v>
      </c>
    </row>
    <row r="1028" spans="1:4" x14ac:dyDescent="0.2">
      <c r="A1028" s="6">
        <v>2462</v>
      </c>
      <c r="B1028" s="5" t="s">
        <v>1075</v>
      </c>
      <c r="C1028" s="7" t="s">
        <v>64</v>
      </c>
      <c r="D1028" s="8">
        <v>553.07000000000005</v>
      </c>
    </row>
    <row r="1029" spans="1:4" x14ac:dyDescent="0.2">
      <c r="A1029" s="6">
        <v>2463</v>
      </c>
      <c r="B1029" s="5" t="s">
        <v>1076</v>
      </c>
      <c r="C1029" s="7" t="s">
        <v>64</v>
      </c>
      <c r="D1029" s="8">
        <v>553.07000000000005</v>
      </c>
    </row>
    <row r="1030" spans="1:4" x14ac:dyDescent="0.2">
      <c r="A1030" s="6">
        <v>2464</v>
      </c>
      <c r="B1030" s="5" t="s">
        <v>1077</v>
      </c>
      <c r="C1030" s="7" t="s">
        <v>64</v>
      </c>
      <c r="D1030" s="8">
        <v>553.07000000000005</v>
      </c>
    </row>
    <row r="1031" spans="1:4" x14ac:dyDescent="0.2">
      <c r="A1031" s="6">
        <v>2465</v>
      </c>
      <c r="B1031" s="5" t="s">
        <v>1078</v>
      </c>
      <c r="C1031" s="7" t="s">
        <v>10</v>
      </c>
      <c r="D1031" s="8">
        <v>307.25</v>
      </c>
    </row>
    <row r="1032" spans="1:4" x14ac:dyDescent="0.2">
      <c r="A1032" s="6">
        <v>2466</v>
      </c>
      <c r="B1032" s="5" t="s">
        <v>1079</v>
      </c>
      <c r="C1032" s="7" t="s">
        <v>185</v>
      </c>
      <c r="D1032" s="8">
        <v>636.04</v>
      </c>
    </row>
    <row r="1033" spans="1:4" x14ac:dyDescent="0.2">
      <c r="A1033" s="6">
        <v>2467</v>
      </c>
      <c r="B1033" s="5" t="s">
        <v>1080</v>
      </c>
      <c r="C1033" s="7" t="s">
        <v>10</v>
      </c>
      <c r="D1033" s="8">
        <v>307.25</v>
      </c>
    </row>
    <row r="1034" spans="1:4" x14ac:dyDescent="0.2">
      <c r="A1034" s="6">
        <v>2468</v>
      </c>
      <c r="B1034" s="5" t="s">
        <v>1081</v>
      </c>
      <c r="C1034" s="7" t="s">
        <v>10</v>
      </c>
      <c r="D1034" s="8">
        <v>307.25</v>
      </c>
    </row>
    <row r="1035" spans="1:4" x14ac:dyDescent="0.2">
      <c r="A1035" s="6">
        <v>2469</v>
      </c>
      <c r="B1035" s="5" t="s">
        <v>1082</v>
      </c>
      <c r="C1035" s="7" t="s">
        <v>64</v>
      </c>
      <c r="D1035" s="8">
        <v>553.07000000000005</v>
      </c>
    </row>
    <row r="1036" spans="1:4" x14ac:dyDescent="0.2">
      <c r="A1036" s="6">
        <v>2470</v>
      </c>
      <c r="B1036" s="5" t="s">
        <v>1083</v>
      </c>
      <c r="C1036" s="7" t="s">
        <v>64</v>
      </c>
      <c r="D1036" s="8">
        <v>553.07000000000005</v>
      </c>
    </row>
    <row r="1037" spans="1:4" x14ac:dyDescent="0.2">
      <c r="A1037" s="6">
        <v>2471</v>
      </c>
      <c r="B1037" s="5" t="s">
        <v>1084</v>
      </c>
      <c r="C1037" s="7" t="s">
        <v>10</v>
      </c>
      <c r="D1037" s="8">
        <v>307.25</v>
      </c>
    </row>
    <row r="1038" spans="1:4" x14ac:dyDescent="0.2">
      <c r="A1038" s="6">
        <v>2472</v>
      </c>
      <c r="B1038" s="5" t="s">
        <v>1085</v>
      </c>
      <c r="C1038" s="7" t="s">
        <v>10</v>
      </c>
      <c r="D1038" s="8">
        <v>307.25</v>
      </c>
    </row>
    <row r="1039" spans="1:4" x14ac:dyDescent="0.2">
      <c r="A1039" s="6">
        <v>2473</v>
      </c>
      <c r="B1039" s="5" t="s">
        <v>1086</v>
      </c>
      <c r="C1039" s="7" t="s">
        <v>64</v>
      </c>
      <c r="D1039" s="8">
        <v>553.07000000000005</v>
      </c>
    </row>
    <row r="1040" spans="1:4" x14ac:dyDescent="0.2">
      <c r="A1040" s="6">
        <v>2474</v>
      </c>
      <c r="B1040" s="5" t="s">
        <v>1087</v>
      </c>
      <c r="C1040" s="7" t="s">
        <v>10</v>
      </c>
      <c r="D1040" s="8">
        <v>307.25</v>
      </c>
    </row>
    <row r="1041" spans="1:4" x14ac:dyDescent="0.2">
      <c r="A1041" s="6">
        <v>2475</v>
      </c>
      <c r="B1041" s="5" t="s">
        <v>1088</v>
      </c>
      <c r="C1041" s="7" t="s">
        <v>64</v>
      </c>
      <c r="D1041" s="8">
        <v>553.07000000000005</v>
      </c>
    </row>
    <row r="1042" spans="1:4" x14ac:dyDescent="0.2">
      <c r="A1042" s="6">
        <v>2476</v>
      </c>
      <c r="B1042" s="5" t="s">
        <v>1089</v>
      </c>
      <c r="C1042" s="7" t="s">
        <v>10</v>
      </c>
      <c r="D1042" s="8">
        <v>307.25</v>
      </c>
    </row>
    <row r="1043" spans="1:4" x14ac:dyDescent="0.2">
      <c r="A1043" s="6">
        <v>2477</v>
      </c>
      <c r="B1043" s="5" t="s">
        <v>1090</v>
      </c>
      <c r="C1043" s="7" t="s">
        <v>10</v>
      </c>
      <c r="D1043" s="8">
        <v>307.25</v>
      </c>
    </row>
    <row r="1044" spans="1:4" x14ac:dyDescent="0.2">
      <c r="A1044" s="6">
        <v>2478</v>
      </c>
      <c r="B1044" s="5" t="s">
        <v>1091</v>
      </c>
      <c r="C1044" s="7" t="s">
        <v>10</v>
      </c>
      <c r="D1044" s="8">
        <v>307.25</v>
      </c>
    </row>
    <row r="1045" spans="1:4" x14ac:dyDescent="0.2">
      <c r="A1045" s="6">
        <v>2479</v>
      </c>
      <c r="B1045" s="5" t="s">
        <v>1092</v>
      </c>
      <c r="C1045" s="7" t="s">
        <v>64</v>
      </c>
      <c r="D1045" s="8">
        <v>553.07000000000005</v>
      </c>
    </row>
    <row r="1046" spans="1:4" x14ac:dyDescent="0.2">
      <c r="A1046" s="6">
        <v>2480</v>
      </c>
      <c r="B1046" s="5" t="s">
        <v>1093</v>
      </c>
      <c r="C1046" s="7" t="s">
        <v>52</v>
      </c>
      <c r="D1046" s="8">
        <v>126.5</v>
      </c>
    </row>
    <row r="1047" spans="1:4" x14ac:dyDescent="0.2">
      <c r="A1047" s="6">
        <v>2481</v>
      </c>
      <c r="B1047" s="5" t="s">
        <v>1094</v>
      </c>
      <c r="C1047" s="7" t="s">
        <v>10</v>
      </c>
      <c r="D1047" s="8">
        <v>307.25</v>
      </c>
    </row>
    <row r="1048" spans="1:4" x14ac:dyDescent="0.2">
      <c r="A1048" s="6">
        <v>2482</v>
      </c>
      <c r="B1048" s="5" t="s">
        <v>1095</v>
      </c>
      <c r="C1048" s="7" t="s">
        <v>10</v>
      </c>
      <c r="D1048" s="8">
        <v>307.25</v>
      </c>
    </row>
    <row r="1049" spans="1:4" x14ac:dyDescent="0.2">
      <c r="A1049" s="6">
        <v>2483</v>
      </c>
      <c r="B1049" s="5" t="s">
        <v>1096</v>
      </c>
      <c r="C1049" s="7" t="s">
        <v>64</v>
      </c>
      <c r="D1049" s="8">
        <v>553.07000000000005</v>
      </c>
    </row>
    <row r="1050" spans="1:4" x14ac:dyDescent="0.2">
      <c r="A1050" s="6">
        <v>2484</v>
      </c>
      <c r="B1050" s="5" t="s">
        <v>1097</v>
      </c>
      <c r="C1050" s="7" t="s">
        <v>10</v>
      </c>
      <c r="D1050" s="8">
        <v>307.25</v>
      </c>
    </row>
    <row r="1051" spans="1:4" x14ac:dyDescent="0.2">
      <c r="A1051" s="6">
        <v>2485</v>
      </c>
      <c r="B1051" s="5" t="s">
        <v>1098</v>
      </c>
      <c r="C1051" s="7" t="s">
        <v>10</v>
      </c>
      <c r="D1051" s="8">
        <v>307.25</v>
      </c>
    </row>
    <row r="1052" spans="1:4" x14ac:dyDescent="0.2">
      <c r="A1052" s="6">
        <v>2486</v>
      </c>
      <c r="B1052" s="5" t="s">
        <v>1099</v>
      </c>
      <c r="C1052" s="7" t="s">
        <v>10</v>
      </c>
      <c r="D1052" s="8">
        <v>307.25</v>
      </c>
    </row>
    <row r="1053" spans="1:4" x14ac:dyDescent="0.2">
      <c r="A1053" s="6">
        <v>2487</v>
      </c>
      <c r="B1053" s="5" t="s">
        <v>1100</v>
      </c>
      <c r="C1053" s="7" t="s">
        <v>64</v>
      </c>
      <c r="D1053" s="8">
        <v>553.07000000000005</v>
      </c>
    </row>
    <row r="1054" spans="1:4" x14ac:dyDescent="0.2">
      <c r="A1054" s="6">
        <v>2488</v>
      </c>
      <c r="B1054" s="5" t="s">
        <v>1101</v>
      </c>
      <c r="C1054" s="7" t="s">
        <v>10</v>
      </c>
      <c r="D1054" s="8">
        <v>307.25</v>
      </c>
    </row>
    <row r="1055" spans="1:4" x14ac:dyDescent="0.2">
      <c r="A1055" s="6">
        <v>2489</v>
      </c>
      <c r="B1055" s="5" t="s">
        <v>1102</v>
      </c>
      <c r="C1055" s="7" t="s">
        <v>10</v>
      </c>
      <c r="D1055" s="8">
        <v>307.25</v>
      </c>
    </row>
    <row r="1056" spans="1:4" x14ac:dyDescent="0.2">
      <c r="A1056" s="6">
        <v>2490</v>
      </c>
      <c r="B1056" s="5" t="s">
        <v>1103</v>
      </c>
      <c r="C1056" s="7" t="s">
        <v>10</v>
      </c>
      <c r="D1056" s="8">
        <v>307.25</v>
      </c>
    </row>
    <row r="1057" spans="1:4" x14ac:dyDescent="0.2">
      <c r="A1057" s="6">
        <v>2491</v>
      </c>
      <c r="B1057" s="5" t="s">
        <v>1104</v>
      </c>
      <c r="C1057" s="7" t="s">
        <v>10</v>
      </c>
      <c r="D1057" s="8">
        <v>307.25</v>
      </c>
    </row>
    <row r="1058" spans="1:4" x14ac:dyDescent="0.2">
      <c r="A1058" s="6">
        <v>2492</v>
      </c>
      <c r="B1058" s="5" t="s">
        <v>1105</v>
      </c>
      <c r="C1058" s="7" t="s">
        <v>10</v>
      </c>
      <c r="D1058" s="8">
        <v>307.25</v>
      </c>
    </row>
    <row r="1059" spans="1:4" x14ac:dyDescent="0.2">
      <c r="A1059" s="6">
        <v>2493</v>
      </c>
      <c r="B1059" s="5" t="s">
        <v>1106</v>
      </c>
      <c r="C1059" s="7" t="s">
        <v>10</v>
      </c>
      <c r="D1059" s="8">
        <v>307.25</v>
      </c>
    </row>
    <row r="1060" spans="1:4" x14ac:dyDescent="0.2">
      <c r="A1060" s="6">
        <v>2494</v>
      </c>
      <c r="B1060" s="5" t="s">
        <v>1107</v>
      </c>
      <c r="C1060" s="7" t="s">
        <v>10</v>
      </c>
      <c r="D1060" s="8">
        <v>307.25</v>
      </c>
    </row>
    <row r="1061" spans="1:4" x14ac:dyDescent="0.2">
      <c r="A1061" s="6">
        <v>2495</v>
      </c>
      <c r="B1061" s="5" t="s">
        <v>1108</v>
      </c>
      <c r="C1061" s="7" t="s">
        <v>10</v>
      </c>
      <c r="D1061" s="8">
        <v>307.25</v>
      </c>
    </row>
    <row r="1062" spans="1:4" x14ac:dyDescent="0.2">
      <c r="A1062" s="6">
        <v>2496</v>
      </c>
      <c r="B1062" s="5" t="s">
        <v>1109</v>
      </c>
      <c r="C1062" s="7" t="s">
        <v>10</v>
      </c>
      <c r="D1062" s="8">
        <v>307.25</v>
      </c>
    </row>
    <row r="1063" spans="1:4" x14ac:dyDescent="0.2">
      <c r="A1063" s="6">
        <v>2497</v>
      </c>
      <c r="B1063" s="5" t="s">
        <v>1110</v>
      </c>
      <c r="C1063" s="7" t="s">
        <v>10</v>
      </c>
      <c r="D1063" s="8">
        <v>307.25</v>
      </c>
    </row>
    <row r="1064" spans="1:4" x14ac:dyDescent="0.2">
      <c r="A1064" s="6">
        <v>2498</v>
      </c>
      <c r="B1064" s="5" t="s">
        <v>1111</v>
      </c>
      <c r="C1064" s="7" t="s">
        <v>10</v>
      </c>
      <c r="D1064" s="8">
        <v>307.25</v>
      </c>
    </row>
    <row r="1065" spans="1:4" x14ac:dyDescent="0.2">
      <c r="A1065" s="6">
        <v>2499</v>
      </c>
      <c r="B1065" s="5" t="s">
        <v>1112</v>
      </c>
      <c r="C1065" s="7" t="s">
        <v>64</v>
      </c>
      <c r="D1065" s="8">
        <v>553.07000000000005</v>
      </c>
    </row>
    <row r="1066" spans="1:4" x14ac:dyDescent="0.2">
      <c r="A1066" s="6">
        <v>2500</v>
      </c>
      <c r="B1066" s="5" t="s">
        <v>1113</v>
      </c>
      <c r="C1066" s="7" t="s">
        <v>10</v>
      </c>
      <c r="D1066" s="8">
        <v>307.25</v>
      </c>
    </row>
    <row r="1067" spans="1:4" x14ac:dyDescent="0.2">
      <c r="A1067" s="6">
        <v>2501</v>
      </c>
      <c r="B1067" s="5" t="s">
        <v>1114</v>
      </c>
      <c r="C1067" s="7" t="s">
        <v>10</v>
      </c>
      <c r="D1067" s="8">
        <v>307.25</v>
      </c>
    </row>
    <row r="1068" spans="1:4" x14ac:dyDescent="0.2">
      <c r="A1068" s="6">
        <v>2502</v>
      </c>
      <c r="B1068" s="5" t="s">
        <v>1115</v>
      </c>
      <c r="C1068" s="7" t="s">
        <v>10</v>
      </c>
      <c r="D1068" s="8">
        <v>307.25</v>
      </c>
    </row>
    <row r="1069" spans="1:4" x14ac:dyDescent="0.2">
      <c r="A1069" s="6">
        <v>2503</v>
      </c>
      <c r="B1069" s="5" t="s">
        <v>1116</v>
      </c>
      <c r="C1069" s="7" t="s">
        <v>10</v>
      </c>
      <c r="D1069" s="8">
        <v>307.25</v>
      </c>
    </row>
    <row r="1070" spans="1:4" x14ac:dyDescent="0.2">
      <c r="A1070" s="6">
        <v>2504</v>
      </c>
      <c r="B1070" s="5" t="s">
        <v>1117</v>
      </c>
      <c r="C1070" s="7" t="s">
        <v>265</v>
      </c>
      <c r="D1070" s="8">
        <v>143</v>
      </c>
    </row>
    <row r="1071" spans="1:4" x14ac:dyDescent="0.2">
      <c r="A1071" s="6">
        <v>2505</v>
      </c>
      <c r="B1071" s="5" t="s">
        <v>1118</v>
      </c>
      <c r="C1071" s="7" t="s">
        <v>10</v>
      </c>
      <c r="D1071" s="8">
        <v>307.25</v>
      </c>
    </row>
    <row r="1072" spans="1:4" x14ac:dyDescent="0.2">
      <c r="A1072" s="6">
        <v>2506</v>
      </c>
      <c r="B1072" s="5" t="s">
        <v>1119</v>
      </c>
      <c r="C1072" s="7" t="s">
        <v>10</v>
      </c>
      <c r="D1072" s="8">
        <v>535</v>
      </c>
    </row>
    <row r="1073" spans="1:4" x14ac:dyDescent="0.2">
      <c r="A1073" s="6">
        <v>2507</v>
      </c>
      <c r="B1073" s="5" t="s">
        <v>1120</v>
      </c>
      <c r="C1073" s="7" t="s">
        <v>10</v>
      </c>
      <c r="D1073" s="8">
        <v>307.25</v>
      </c>
    </row>
    <row r="1074" spans="1:4" x14ac:dyDescent="0.2">
      <c r="A1074" s="6">
        <v>2508</v>
      </c>
      <c r="B1074" s="5" t="s">
        <v>1121</v>
      </c>
      <c r="C1074" s="7" t="s">
        <v>10</v>
      </c>
      <c r="D1074" s="8">
        <v>307.25</v>
      </c>
    </row>
    <row r="1075" spans="1:4" x14ac:dyDescent="0.2">
      <c r="A1075" s="6">
        <v>2509</v>
      </c>
      <c r="B1075" s="5" t="s">
        <v>1122</v>
      </c>
      <c r="C1075" s="7" t="s">
        <v>10</v>
      </c>
      <c r="D1075" s="8">
        <v>307.25</v>
      </c>
    </row>
    <row r="1076" spans="1:4" x14ac:dyDescent="0.2">
      <c r="A1076" s="6">
        <v>2510</v>
      </c>
      <c r="B1076" s="5" t="s">
        <v>1123</v>
      </c>
      <c r="C1076" s="7" t="s">
        <v>10</v>
      </c>
      <c r="D1076" s="8">
        <v>307.25</v>
      </c>
    </row>
    <row r="1077" spans="1:4" x14ac:dyDescent="0.2">
      <c r="A1077" s="6">
        <v>2511</v>
      </c>
      <c r="B1077" s="5" t="s">
        <v>1124</v>
      </c>
      <c r="C1077" s="7" t="s">
        <v>10</v>
      </c>
      <c r="D1077" s="8">
        <v>307.25</v>
      </c>
    </row>
    <row r="1078" spans="1:4" x14ac:dyDescent="0.2">
      <c r="A1078" s="6">
        <v>2512</v>
      </c>
      <c r="B1078" s="5" t="s">
        <v>1125</v>
      </c>
      <c r="C1078" s="7" t="s">
        <v>10</v>
      </c>
      <c r="D1078" s="8">
        <v>307.25</v>
      </c>
    </row>
    <row r="1079" spans="1:4" x14ac:dyDescent="0.2">
      <c r="A1079" s="6">
        <v>2513</v>
      </c>
      <c r="B1079" s="5" t="s">
        <v>1126</v>
      </c>
      <c r="C1079" s="7" t="s">
        <v>10</v>
      </c>
      <c r="D1079" s="8">
        <v>307.25</v>
      </c>
    </row>
    <row r="1080" spans="1:4" x14ac:dyDescent="0.2">
      <c r="A1080" s="6">
        <v>2514</v>
      </c>
      <c r="B1080" s="5" t="s">
        <v>1127</v>
      </c>
      <c r="C1080" s="7" t="s">
        <v>10</v>
      </c>
      <c r="D1080" s="8">
        <v>307.25</v>
      </c>
    </row>
    <row r="1081" spans="1:4" x14ac:dyDescent="0.2">
      <c r="A1081" s="6">
        <v>2515</v>
      </c>
      <c r="B1081" s="5" t="s">
        <v>1128</v>
      </c>
      <c r="C1081" s="7" t="s">
        <v>64</v>
      </c>
      <c r="D1081" s="8">
        <v>638.79999999999995</v>
      </c>
    </row>
    <row r="1082" spans="1:4" x14ac:dyDescent="0.2">
      <c r="A1082" s="6">
        <v>2516</v>
      </c>
      <c r="B1082" s="5" t="s">
        <v>1129</v>
      </c>
      <c r="C1082" s="7" t="s">
        <v>10</v>
      </c>
      <c r="D1082" s="8">
        <v>307.25</v>
      </c>
    </row>
    <row r="1083" spans="1:4" x14ac:dyDescent="0.2">
      <c r="A1083" s="6">
        <v>2517</v>
      </c>
      <c r="B1083" s="5" t="s">
        <v>1130</v>
      </c>
      <c r="C1083" s="7" t="s">
        <v>64</v>
      </c>
      <c r="D1083" s="8">
        <v>553.07000000000005</v>
      </c>
    </row>
    <row r="1084" spans="1:4" x14ac:dyDescent="0.2">
      <c r="A1084" s="6">
        <v>2518</v>
      </c>
      <c r="B1084" s="5" t="s">
        <v>1131</v>
      </c>
      <c r="C1084" s="7" t="s">
        <v>64</v>
      </c>
      <c r="D1084" s="8">
        <v>553.07000000000005</v>
      </c>
    </row>
    <row r="1085" spans="1:4" x14ac:dyDescent="0.2">
      <c r="A1085" s="6">
        <v>2519</v>
      </c>
      <c r="B1085" s="5" t="s">
        <v>1132</v>
      </c>
      <c r="C1085" s="7" t="s">
        <v>10</v>
      </c>
      <c r="D1085" s="8">
        <v>307.25</v>
      </c>
    </row>
    <row r="1086" spans="1:4" x14ac:dyDescent="0.2">
      <c r="A1086" s="6">
        <v>2520</v>
      </c>
      <c r="B1086" s="5" t="s">
        <v>1133</v>
      </c>
      <c r="C1086" s="7" t="s">
        <v>10</v>
      </c>
      <c r="D1086" s="8">
        <v>307.25</v>
      </c>
    </row>
    <row r="1087" spans="1:4" x14ac:dyDescent="0.2">
      <c r="A1087" s="6">
        <v>2521</v>
      </c>
      <c r="B1087" s="5" t="s">
        <v>1134</v>
      </c>
      <c r="C1087" s="7" t="s">
        <v>10</v>
      </c>
      <c r="D1087" s="8">
        <v>307.25</v>
      </c>
    </row>
    <row r="1088" spans="1:4" x14ac:dyDescent="0.2">
      <c r="A1088" s="6">
        <v>2522</v>
      </c>
      <c r="B1088" s="5" t="s">
        <v>1135</v>
      </c>
      <c r="C1088" s="7" t="s">
        <v>10</v>
      </c>
      <c r="D1088" s="8">
        <v>307.25</v>
      </c>
    </row>
    <row r="1089" spans="1:4" x14ac:dyDescent="0.2">
      <c r="A1089" s="6">
        <v>2523</v>
      </c>
      <c r="B1089" s="5" t="s">
        <v>1136</v>
      </c>
      <c r="C1089" s="7" t="s">
        <v>10</v>
      </c>
      <c r="D1089" s="8">
        <v>307.25</v>
      </c>
    </row>
    <row r="1090" spans="1:4" x14ac:dyDescent="0.2">
      <c r="A1090" s="6">
        <v>2524</v>
      </c>
      <c r="B1090" s="5" t="s">
        <v>1137</v>
      </c>
      <c r="C1090" s="7" t="s">
        <v>10</v>
      </c>
      <c r="D1090" s="8">
        <v>307.25</v>
      </c>
    </row>
    <row r="1091" spans="1:4" x14ac:dyDescent="0.2">
      <c r="A1091" s="6">
        <v>2525</v>
      </c>
      <c r="B1091" s="5" t="s">
        <v>1138</v>
      </c>
      <c r="C1091" s="7" t="s">
        <v>10</v>
      </c>
      <c r="D1091" s="8">
        <v>307.25</v>
      </c>
    </row>
    <row r="1092" spans="1:4" x14ac:dyDescent="0.2">
      <c r="A1092" s="6">
        <v>2526</v>
      </c>
      <c r="B1092" s="5" t="s">
        <v>1139</v>
      </c>
      <c r="C1092" s="7" t="s">
        <v>10</v>
      </c>
      <c r="D1092" s="8">
        <v>307.25</v>
      </c>
    </row>
    <row r="1093" spans="1:4" x14ac:dyDescent="0.2">
      <c r="A1093" s="6">
        <v>2527</v>
      </c>
      <c r="B1093" s="5" t="s">
        <v>1140</v>
      </c>
      <c r="C1093" s="7" t="s">
        <v>10</v>
      </c>
      <c r="D1093" s="8">
        <v>307.25</v>
      </c>
    </row>
    <row r="1094" spans="1:4" x14ac:dyDescent="0.2">
      <c r="A1094" s="6">
        <v>2528</v>
      </c>
      <c r="B1094" s="5" t="s">
        <v>1141</v>
      </c>
      <c r="C1094" s="7" t="s">
        <v>10</v>
      </c>
      <c r="D1094" s="8">
        <v>307.25</v>
      </c>
    </row>
    <row r="1095" spans="1:4" x14ac:dyDescent="0.2">
      <c r="A1095" s="6">
        <v>2529</v>
      </c>
      <c r="B1095" s="5" t="s">
        <v>1142</v>
      </c>
      <c r="C1095" s="7" t="s">
        <v>64</v>
      </c>
      <c r="D1095" s="8">
        <v>553.07000000000005</v>
      </c>
    </row>
    <row r="1096" spans="1:4" x14ac:dyDescent="0.2">
      <c r="A1096" s="6">
        <v>2530</v>
      </c>
      <c r="B1096" s="5" t="s">
        <v>1143</v>
      </c>
      <c r="C1096" s="7" t="s">
        <v>64</v>
      </c>
      <c r="D1096" s="8">
        <v>553.07000000000005</v>
      </c>
    </row>
    <row r="1097" spans="1:4" x14ac:dyDescent="0.2">
      <c r="A1097" s="6">
        <v>2531</v>
      </c>
      <c r="B1097" s="5" t="s">
        <v>1144</v>
      </c>
      <c r="C1097" s="7" t="s">
        <v>10</v>
      </c>
      <c r="D1097" s="8">
        <v>307.25</v>
      </c>
    </row>
    <row r="1098" spans="1:4" x14ac:dyDescent="0.2">
      <c r="A1098" s="6">
        <v>2532</v>
      </c>
      <c r="B1098" s="5" t="s">
        <v>1145</v>
      </c>
      <c r="C1098" s="7" t="s">
        <v>68</v>
      </c>
      <c r="D1098" s="8">
        <v>149.28571428571428</v>
      </c>
    </row>
    <row r="1099" spans="1:4" x14ac:dyDescent="0.2">
      <c r="A1099" s="6">
        <v>2533</v>
      </c>
      <c r="B1099" s="5" t="s">
        <v>1146</v>
      </c>
      <c r="C1099" s="7" t="s">
        <v>64</v>
      </c>
      <c r="D1099" s="8">
        <v>553.07000000000005</v>
      </c>
    </row>
    <row r="1100" spans="1:4" x14ac:dyDescent="0.2">
      <c r="A1100" s="6">
        <v>2534</v>
      </c>
      <c r="B1100" s="5" t="s">
        <v>1147</v>
      </c>
      <c r="C1100" s="7" t="s">
        <v>64</v>
      </c>
      <c r="D1100" s="8">
        <v>553.07000000000005</v>
      </c>
    </row>
    <row r="1101" spans="1:4" x14ac:dyDescent="0.2">
      <c r="A1101" s="6">
        <v>2535</v>
      </c>
      <c r="B1101" s="5" t="s">
        <v>1148</v>
      </c>
      <c r="C1101" s="7" t="s">
        <v>64</v>
      </c>
      <c r="D1101" s="8">
        <v>553.07000000000005</v>
      </c>
    </row>
    <row r="1102" spans="1:4" x14ac:dyDescent="0.2">
      <c r="A1102" s="6">
        <v>2536</v>
      </c>
      <c r="B1102" s="5" t="s">
        <v>1149</v>
      </c>
      <c r="C1102" s="7" t="s">
        <v>10</v>
      </c>
      <c r="D1102" s="8">
        <v>307.25</v>
      </c>
    </row>
    <row r="1103" spans="1:4" x14ac:dyDescent="0.2">
      <c r="A1103" s="6">
        <v>2537</v>
      </c>
      <c r="B1103" s="5" t="s">
        <v>1150</v>
      </c>
      <c r="C1103" s="7" t="s">
        <v>64</v>
      </c>
      <c r="D1103" s="8">
        <v>553.07000000000005</v>
      </c>
    </row>
    <row r="1104" spans="1:4" x14ac:dyDescent="0.2">
      <c r="A1104" s="6">
        <v>2538</v>
      </c>
      <c r="B1104" s="5" t="s">
        <v>1151</v>
      </c>
      <c r="C1104" s="7" t="s">
        <v>10</v>
      </c>
      <c r="D1104" s="8">
        <v>307.25</v>
      </c>
    </row>
    <row r="1105" spans="1:4" x14ac:dyDescent="0.2">
      <c r="A1105" s="6">
        <v>2539</v>
      </c>
      <c r="B1105" s="5" t="s">
        <v>1152</v>
      </c>
      <c r="C1105" s="7" t="s">
        <v>64</v>
      </c>
      <c r="D1105" s="8">
        <v>553.07000000000005</v>
      </c>
    </row>
    <row r="1106" spans="1:4" x14ac:dyDescent="0.2">
      <c r="A1106" s="6">
        <v>2540</v>
      </c>
      <c r="B1106" s="5" t="s">
        <v>1153</v>
      </c>
      <c r="C1106" s="7" t="s">
        <v>64</v>
      </c>
      <c r="D1106" s="8">
        <v>553.07000000000005</v>
      </c>
    </row>
    <row r="1107" spans="1:4" x14ac:dyDescent="0.2">
      <c r="A1107" s="6">
        <v>2541</v>
      </c>
      <c r="B1107" s="5" t="s">
        <v>1154</v>
      </c>
      <c r="C1107" s="7" t="s">
        <v>64</v>
      </c>
      <c r="D1107" s="8">
        <v>553.07000000000005</v>
      </c>
    </row>
    <row r="1108" spans="1:4" x14ac:dyDescent="0.2">
      <c r="A1108" s="6">
        <v>2542</v>
      </c>
      <c r="B1108" s="5" t="s">
        <v>1155</v>
      </c>
      <c r="C1108" s="7" t="s">
        <v>64</v>
      </c>
      <c r="D1108" s="8">
        <v>553.07000000000005</v>
      </c>
    </row>
    <row r="1109" spans="1:4" x14ac:dyDescent="0.2">
      <c r="A1109" s="6">
        <v>2543</v>
      </c>
      <c r="B1109" s="5" t="s">
        <v>1156</v>
      </c>
      <c r="C1109" s="7" t="s">
        <v>10</v>
      </c>
      <c r="D1109" s="8">
        <v>307.25</v>
      </c>
    </row>
    <row r="1110" spans="1:4" x14ac:dyDescent="0.2">
      <c r="A1110" s="6">
        <v>2544</v>
      </c>
      <c r="B1110" s="5" t="s">
        <v>1157</v>
      </c>
      <c r="C1110" s="7" t="s">
        <v>10</v>
      </c>
      <c r="D1110" s="8">
        <v>307.25</v>
      </c>
    </row>
    <row r="1111" spans="1:4" x14ac:dyDescent="0.2">
      <c r="A1111" s="6">
        <v>2545</v>
      </c>
      <c r="B1111" s="5" t="s">
        <v>1158</v>
      </c>
      <c r="C1111" s="7" t="s">
        <v>64</v>
      </c>
      <c r="D1111" s="8">
        <v>553.07000000000005</v>
      </c>
    </row>
    <row r="1112" spans="1:4" x14ac:dyDescent="0.2">
      <c r="A1112" s="6">
        <v>2546</v>
      </c>
      <c r="B1112" s="5" t="s">
        <v>1159</v>
      </c>
      <c r="C1112" s="7" t="s">
        <v>10</v>
      </c>
      <c r="D1112" s="8">
        <v>307.25</v>
      </c>
    </row>
    <row r="1113" spans="1:4" x14ac:dyDescent="0.2">
      <c r="A1113" s="6">
        <v>2547</v>
      </c>
      <c r="B1113" s="5" t="s">
        <v>1160</v>
      </c>
      <c r="C1113" s="7" t="s">
        <v>10</v>
      </c>
      <c r="D1113" s="8">
        <v>307.25</v>
      </c>
    </row>
    <row r="1114" spans="1:4" x14ac:dyDescent="0.2">
      <c r="A1114" s="6">
        <v>2548</v>
      </c>
      <c r="B1114" s="5" t="s">
        <v>1161</v>
      </c>
      <c r="C1114" s="7" t="s">
        <v>64</v>
      </c>
      <c r="D1114" s="8">
        <v>553.07000000000005</v>
      </c>
    </row>
    <row r="1115" spans="1:4" x14ac:dyDescent="0.2">
      <c r="A1115" s="6">
        <v>2549</v>
      </c>
      <c r="B1115" s="5" t="s">
        <v>1162</v>
      </c>
      <c r="C1115" s="7" t="s">
        <v>10</v>
      </c>
      <c r="D1115" s="8">
        <v>307.25</v>
      </c>
    </row>
    <row r="1116" spans="1:4" x14ac:dyDescent="0.2">
      <c r="A1116" s="6">
        <v>2550</v>
      </c>
      <c r="B1116" s="5" t="s">
        <v>1163</v>
      </c>
      <c r="C1116" s="7" t="s">
        <v>10</v>
      </c>
      <c r="D1116" s="8">
        <v>307.25</v>
      </c>
    </row>
    <row r="1117" spans="1:4" x14ac:dyDescent="0.2">
      <c r="A1117" s="6">
        <v>2551</v>
      </c>
      <c r="B1117" s="5" t="s">
        <v>1164</v>
      </c>
      <c r="C1117" s="7" t="s">
        <v>10</v>
      </c>
      <c r="D1117" s="8">
        <v>307.25</v>
      </c>
    </row>
    <row r="1118" spans="1:4" x14ac:dyDescent="0.2">
      <c r="A1118" s="6">
        <v>2552</v>
      </c>
      <c r="B1118" s="5" t="s">
        <v>1165</v>
      </c>
      <c r="C1118" s="7" t="s">
        <v>64</v>
      </c>
      <c r="D1118" s="8">
        <v>553.07000000000005</v>
      </c>
    </row>
    <row r="1119" spans="1:4" x14ac:dyDescent="0.2">
      <c r="A1119" s="6">
        <v>2553</v>
      </c>
      <c r="B1119" s="5" t="s">
        <v>1166</v>
      </c>
      <c r="C1119" s="7" t="s">
        <v>64</v>
      </c>
      <c r="D1119" s="8">
        <v>553.07000000000005</v>
      </c>
    </row>
    <row r="1120" spans="1:4" x14ac:dyDescent="0.2">
      <c r="A1120" s="6">
        <v>2554</v>
      </c>
      <c r="B1120" s="5" t="s">
        <v>1167</v>
      </c>
      <c r="C1120" s="7" t="s">
        <v>10</v>
      </c>
      <c r="D1120" s="8">
        <v>307.25</v>
      </c>
    </row>
    <row r="1121" spans="1:4" x14ac:dyDescent="0.2">
      <c r="A1121" s="6">
        <v>2555</v>
      </c>
      <c r="B1121" s="5" t="s">
        <v>1168</v>
      </c>
      <c r="C1121" s="7" t="s">
        <v>64</v>
      </c>
      <c r="D1121" s="8">
        <v>638.79999999999995</v>
      </c>
    </row>
    <row r="1122" spans="1:4" x14ac:dyDescent="0.2">
      <c r="A1122" s="6">
        <v>2556</v>
      </c>
      <c r="B1122" s="5" t="s">
        <v>1169</v>
      </c>
      <c r="C1122" s="7" t="s">
        <v>10</v>
      </c>
      <c r="D1122" s="8">
        <v>307.25</v>
      </c>
    </row>
    <row r="1123" spans="1:4" x14ac:dyDescent="0.2">
      <c r="A1123" s="6">
        <v>2557</v>
      </c>
      <c r="B1123" s="5" t="s">
        <v>1170</v>
      </c>
      <c r="C1123" s="7" t="s">
        <v>10</v>
      </c>
      <c r="D1123" s="8">
        <v>307.25</v>
      </c>
    </row>
    <row r="1124" spans="1:4" x14ac:dyDescent="0.2">
      <c r="A1124" s="6">
        <v>2558</v>
      </c>
      <c r="B1124" s="5" t="s">
        <v>1171</v>
      </c>
      <c r="C1124" s="7" t="s">
        <v>64</v>
      </c>
      <c r="D1124" s="8">
        <v>553.07000000000005</v>
      </c>
    </row>
    <row r="1125" spans="1:4" x14ac:dyDescent="0.2">
      <c r="A1125" s="6">
        <v>2559</v>
      </c>
      <c r="B1125" s="5" t="s">
        <v>1172</v>
      </c>
      <c r="C1125" s="7" t="s">
        <v>64</v>
      </c>
      <c r="D1125" s="8">
        <v>553.07000000000005</v>
      </c>
    </row>
    <row r="1126" spans="1:4" x14ac:dyDescent="0.2">
      <c r="A1126" s="6">
        <v>2560</v>
      </c>
      <c r="B1126" s="5" t="s">
        <v>1173</v>
      </c>
      <c r="C1126" s="7" t="s">
        <v>10</v>
      </c>
      <c r="D1126" s="8">
        <v>307.25</v>
      </c>
    </row>
    <row r="1127" spans="1:4" x14ac:dyDescent="0.2">
      <c r="A1127" s="6">
        <v>2561</v>
      </c>
      <c r="B1127" s="5" t="s">
        <v>1174</v>
      </c>
      <c r="C1127" s="7" t="s">
        <v>10</v>
      </c>
      <c r="D1127" s="8">
        <v>307.25</v>
      </c>
    </row>
    <row r="1128" spans="1:4" x14ac:dyDescent="0.2">
      <c r="A1128" s="6">
        <v>2562</v>
      </c>
      <c r="B1128" s="5" t="s">
        <v>1175</v>
      </c>
      <c r="C1128" s="7" t="s">
        <v>64</v>
      </c>
      <c r="D1128" s="8">
        <v>553.07000000000005</v>
      </c>
    </row>
    <row r="1129" spans="1:4" x14ac:dyDescent="0.2">
      <c r="A1129" s="6">
        <v>2563</v>
      </c>
      <c r="B1129" s="5" t="s">
        <v>1176</v>
      </c>
      <c r="C1129" s="7" t="s">
        <v>10</v>
      </c>
      <c r="D1129" s="8">
        <v>307.25</v>
      </c>
    </row>
    <row r="1130" spans="1:4" x14ac:dyDescent="0.2">
      <c r="A1130" s="6">
        <v>2564</v>
      </c>
      <c r="B1130" s="5" t="s">
        <v>1177</v>
      </c>
      <c r="C1130" s="7" t="s">
        <v>10</v>
      </c>
      <c r="D1130" s="8">
        <v>307.25</v>
      </c>
    </row>
    <row r="1131" spans="1:4" x14ac:dyDescent="0.2">
      <c r="A1131" s="6">
        <v>2565</v>
      </c>
      <c r="B1131" s="5" t="s">
        <v>1178</v>
      </c>
      <c r="C1131" s="7" t="s">
        <v>10</v>
      </c>
      <c r="D1131" s="8">
        <v>307.25</v>
      </c>
    </row>
    <row r="1132" spans="1:4" x14ac:dyDescent="0.2">
      <c r="A1132" s="6">
        <v>2566</v>
      </c>
      <c r="B1132" s="5" t="s">
        <v>1179</v>
      </c>
      <c r="C1132" s="7" t="s">
        <v>64</v>
      </c>
      <c r="D1132" s="8">
        <v>553.07000000000005</v>
      </c>
    </row>
    <row r="1133" spans="1:4" x14ac:dyDescent="0.2">
      <c r="A1133" s="6">
        <v>2567</v>
      </c>
      <c r="B1133" s="5" t="s">
        <v>1180</v>
      </c>
      <c r="C1133" s="7" t="s">
        <v>10</v>
      </c>
      <c r="D1133" s="8">
        <v>307.25</v>
      </c>
    </row>
    <row r="1134" spans="1:4" x14ac:dyDescent="0.2">
      <c r="A1134" s="6">
        <v>2568</v>
      </c>
      <c r="B1134" s="5" t="s">
        <v>1181</v>
      </c>
      <c r="C1134" s="7" t="s">
        <v>10</v>
      </c>
      <c r="D1134" s="8">
        <v>307.25</v>
      </c>
    </row>
    <row r="1135" spans="1:4" x14ac:dyDescent="0.2">
      <c r="A1135" s="6">
        <v>2569</v>
      </c>
      <c r="B1135" s="5" t="s">
        <v>1182</v>
      </c>
      <c r="C1135" s="7" t="s">
        <v>10</v>
      </c>
      <c r="D1135" s="8">
        <v>307.25</v>
      </c>
    </row>
    <row r="1136" spans="1:4" x14ac:dyDescent="0.2">
      <c r="A1136" s="6">
        <v>2570</v>
      </c>
      <c r="B1136" s="5" t="s">
        <v>1183</v>
      </c>
      <c r="C1136" s="7" t="s">
        <v>10</v>
      </c>
      <c r="D1136" s="8">
        <v>307.25</v>
      </c>
    </row>
    <row r="1137" spans="1:4" x14ac:dyDescent="0.2">
      <c r="A1137" s="6">
        <v>2571</v>
      </c>
      <c r="B1137" s="5" t="s">
        <v>1184</v>
      </c>
      <c r="C1137" s="7" t="s">
        <v>10</v>
      </c>
      <c r="D1137" s="8">
        <v>307.25</v>
      </c>
    </row>
    <row r="1138" spans="1:4" x14ac:dyDescent="0.2">
      <c r="A1138" s="6">
        <v>2572</v>
      </c>
      <c r="B1138" s="5" t="s">
        <v>1185</v>
      </c>
      <c r="C1138" s="7" t="s">
        <v>10</v>
      </c>
      <c r="D1138" s="8">
        <v>307.25</v>
      </c>
    </row>
    <row r="1139" spans="1:4" x14ac:dyDescent="0.2">
      <c r="A1139" s="6">
        <v>2573</v>
      </c>
      <c r="B1139" s="5" t="s">
        <v>1186</v>
      </c>
      <c r="C1139" s="7" t="s">
        <v>10</v>
      </c>
      <c r="D1139" s="8">
        <v>307.25</v>
      </c>
    </row>
    <row r="1140" spans="1:4" x14ac:dyDescent="0.2">
      <c r="A1140" s="6">
        <v>2574</v>
      </c>
      <c r="B1140" s="5" t="s">
        <v>1187</v>
      </c>
      <c r="C1140" s="7" t="s">
        <v>64</v>
      </c>
      <c r="D1140" s="8">
        <v>553.07000000000005</v>
      </c>
    </row>
    <row r="1141" spans="1:4" x14ac:dyDescent="0.2">
      <c r="A1141" s="6">
        <v>2575</v>
      </c>
      <c r="B1141" s="5" t="s">
        <v>1188</v>
      </c>
      <c r="C1141" s="7" t="s">
        <v>64</v>
      </c>
      <c r="D1141" s="8">
        <v>553.07000000000005</v>
      </c>
    </row>
    <row r="1142" spans="1:4" x14ac:dyDescent="0.2">
      <c r="A1142" s="6">
        <v>2576</v>
      </c>
      <c r="B1142" s="5" t="s">
        <v>1189</v>
      </c>
      <c r="C1142" s="7" t="s">
        <v>10</v>
      </c>
      <c r="D1142" s="8">
        <v>307.25</v>
      </c>
    </row>
    <row r="1143" spans="1:4" x14ac:dyDescent="0.2">
      <c r="A1143" s="6">
        <v>2577</v>
      </c>
      <c r="B1143" s="5" t="s">
        <v>1190</v>
      </c>
      <c r="C1143" s="7" t="s">
        <v>64</v>
      </c>
      <c r="D1143" s="8">
        <v>553.07000000000005</v>
      </c>
    </row>
    <row r="1144" spans="1:4" x14ac:dyDescent="0.2">
      <c r="A1144" s="6">
        <v>2578</v>
      </c>
      <c r="B1144" s="5" t="s">
        <v>1191</v>
      </c>
      <c r="C1144" s="7" t="s">
        <v>10</v>
      </c>
      <c r="D1144" s="8">
        <v>307.25</v>
      </c>
    </row>
    <row r="1145" spans="1:4" x14ac:dyDescent="0.2">
      <c r="A1145" s="6">
        <v>2579</v>
      </c>
      <c r="B1145" s="5" t="s">
        <v>1192</v>
      </c>
      <c r="C1145" s="7" t="s">
        <v>10</v>
      </c>
      <c r="D1145" s="8">
        <v>307.25</v>
      </c>
    </row>
    <row r="1146" spans="1:4" x14ac:dyDescent="0.2">
      <c r="A1146" s="6">
        <v>2580</v>
      </c>
      <c r="B1146" s="5" t="s">
        <v>1193</v>
      </c>
      <c r="C1146" s="7" t="s">
        <v>10</v>
      </c>
      <c r="D1146" s="8">
        <v>307.25</v>
      </c>
    </row>
    <row r="1147" spans="1:4" x14ac:dyDescent="0.2">
      <c r="A1147" s="6">
        <v>2581</v>
      </c>
      <c r="B1147" s="5" t="s">
        <v>1194</v>
      </c>
      <c r="C1147" s="7" t="s">
        <v>10</v>
      </c>
      <c r="D1147" s="8">
        <v>307.25</v>
      </c>
    </row>
    <row r="1148" spans="1:4" x14ac:dyDescent="0.2">
      <c r="A1148" s="6">
        <v>2582</v>
      </c>
      <c r="B1148" s="5" t="s">
        <v>1195</v>
      </c>
      <c r="C1148" s="7" t="s">
        <v>10</v>
      </c>
      <c r="D1148" s="8">
        <v>307.25</v>
      </c>
    </row>
    <row r="1149" spans="1:4" x14ac:dyDescent="0.2">
      <c r="A1149" s="6">
        <v>2583</v>
      </c>
      <c r="B1149" s="5" t="s">
        <v>1196</v>
      </c>
      <c r="C1149" s="7" t="s">
        <v>10</v>
      </c>
      <c r="D1149" s="8">
        <v>307.25</v>
      </c>
    </row>
    <row r="1150" spans="1:4" x14ac:dyDescent="0.2">
      <c r="A1150" s="6">
        <v>2584</v>
      </c>
      <c r="B1150" s="5" t="s">
        <v>1197</v>
      </c>
      <c r="C1150" s="7" t="s">
        <v>10</v>
      </c>
      <c r="D1150" s="8">
        <v>307.25</v>
      </c>
    </row>
    <row r="1151" spans="1:4" x14ac:dyDescent="0.2">
      <c r="A1151" s="6">
        <v>2585</v>
      </c>
      <c r="B1151" s="5" t="s">
        <v>1198</v>
      </c>
      <c r="C1151" s="7" t="s">
        <v>64</v>
      </c>
      <c r="D1151" s="8">
        <v>553.07000000000005</v>
      </c>
    </row>
    <row r="1152" spans="1:4" x14ac:dyDescent="0.2">
      <c r="A1152" s="6">
        <v>2586</v>
      </c>
      <c r="B1152" s="5" t="s">
        <v>1199</v>
      </c>
      <c r="C1152" s="7" t="s">
        <v>64</v>
      </c>
      <c r="D1152" s="8">
        <v>553.07000000000005</v>
      </c>
    </row>
    <row r="1153" spans="1:4" x14ac:dyDescent="0.2">
      <c r="A1153" s="6">
        <v>2587</v>
      </c>
      <c r="B1153" s="5" t="s">
        <v>1200</v>
      </c>
      <c r="C1153" s="7" t="s">
        <v>64</v>
      </c>
      <c r="D1153" s="8">
        <v>553.07000000000005</v>
      </c>
    </row>
    <row r="1154" spans="1:4" x14ac:dyDescent="0.2">
      <c r="A1154" s="6">
        <v>2588</v>
      </c>
      <c r="B1154" s="5" t="s">
        <v>1201</v>
      </c>
      <c r="C1154" s="7" t="s">
        <v>64</v>
      </c>
      <c r="D1154" s="8">
        <v>553.07000000000005</v>
      </c>
    </row>
    <row r="1155" spans="1:4" x14ac:dyDescent="0.2">
      <c r="A1155" s="6">
        <v>2589</v>
      </c>
      <c r="B1155" s="5" t="s">
        <v>1202</v>
      </c>
      <c r="C1155" s="7" t="s">
        <v>64</v>
      </c>
      <c r="D1155" s="8">
        <v>553.07000000000005</v>
      </c>
    </row>
    <row r="1156" spans="1:4" x14ac:dyDescent="0.2">
      <c r="A1156" s="6">
        <v>2590</v>
      </c>
      <c r="B1156" s="5" t="s">
        <v>1203</v>
      </c>
      <c r="C1156" s="7" t="s">
        <v>64</v>
      </c>
      <c r="D1156" s="8">
        <v>553.07000000000005</v>
      </c>
    </row>
    <row r="1157" spans="1:4" x14ac:dyDescent="0.2">
      <c r="A1157" s="6">
        <v>2591</v>
      </c>
      <c r="B1157" s="5" t="s">
        <v>1204</v>
      </c>
      <c r="C1157" s="7" t="s">
        <v>64</v>
      </c>
      <c r="D1157" s="8">
        <v>553.07000000000005</v>
      </c>
    </row>
    <row r="1158" spans="1:4" x14ac:dyDescent="0.2">
      <c r="A1158" s="6">
        <v>2592</v>
      </c>
      <c r="B1158" s="5" t="s">
        <v>1205</v>
      </c>
      <c r="C1158" s="7" t="s">
        <v>10</v>
      </c>
      <c r="D1158" s="8">
        <v>307.25</v>
      </c>
    </row>
    <row r="1159" spans="1:4" x14ac:dyDescent="0.2">
      <c r="A1159" s="6">
        <v>2593</v>
      </c>
      <c r="B1159" s="5" t="s">
        <v>1206</v>
      </c>
      <c r="C1159" s="7" t="s">
        <v>10</v>
      </c>
      <c r="D1159" s="8">
        <v>307.25</v>
      </c>
    </row>
    <row r="1160" spans="1:4" x14ac:dyDescent="0.2">
      <c r="A1160" s="6">
        <v>2594</v>
      </c>
      <c r="B1160" s="5" t="s">
        <v>1207</v>
      </c>
      <c r="C1160" s="7" t="s">
        <v>10</v>
      </c>
      <c r="D1160" s="8">
        <v>307.25</v>
      </c>
    </row>
    <row r="1161" spans="1:4" x14ac:dyDescent="0.2">
      <c r="A1161" s="6">
        <v>2595</v>
      </c>
      <c r="B1161" s="5" t="s">
        <v>1208</v>
      </c>
      <c r="C1161" s="7" t="s">
        <v>10</v>
      </c>
      <c r="D1161" s="8">
        <v>307.25</v>
      </c>
    </row>
    <row r="1162" spans="1:4" x14ac:dyDescent="0.2">
      <c r="A1162" s="6">
        <v>2596</v>
      </c>
      <c r="B1162" s="5" t="s">
        <v>1209</v>
      </c>
      <c r="C1162" s="7" t="s">
        <v>64</v>
      </c>
      <c r="D1162" s="8">
        <v>553.07000000000005</v>
      </c>
    </row>
    <row r="1163" spans="1:4" x14ac:dyDescent="0.2">
      <c r="A1163" s="6">
        <v>2597</v>
      </c>
      <c r="B1163" s="5" t="s">
        <v>1210</v>
      </c>
      <c r="C1163" s="7" t="s">
        <v>10</v>
      </c>
      <c r="D1163" s="8">
        <v>307.25</v>
      </c>
    </row>
    <row r="1164" spans="1:4" x14ac:dyDescent="0.2">
      <c r="A1164" s="6">
        <v>2598</v>
      </c>
      <c r="B1164" s="5" t="s">
        <v>1211</v>
      </c>
      <c r="C1164" s="7" t="s">
        <v>10</v>
      </c>
      <c r="D1164" s="8">
        <v>307.25</v>
      </c>
    </row>
    <row r="1165" spans="1:4" x14ac:dyDescent="0.2">
      <c r="A1165" s="6">
        <v>2599</v>
      </c>
      <c r="B1165" s="5" t="s">
        <v>1212</v>
      </c>
      <c r="C1165" s="7" t="s">
        <v>10</v>
      </c>
      <c r="D1165" s="8">
        <v>307.25</v>
      </c>
    </row>
    <row r="1166" spans="1:4" x14ac:dyDescent="0.2">
      <c r="A1166" s="6">
        <v>2600</v>
      </c>
      <c r="B1166" s="5" t="s">
        <v>1213</v>
      </c>
      <c r="C1166" s="7" t="s">
        <v>10</v>
      </c>
      <c r="D1166" s="8">
        <v>307.25</v>
      </c>
    </row>
    <row r="1167" spans="1:4" x14ac:dyDescent="0.2">
      <c r="A1167" s="6">
        <v>2601</v>
      </c>
      <c r="B1167" s="5" t="s">
        <v>1214</v>
      </c>
      <c r="C1167" s="7" t="s">
        <v>10</v>
      </c>
      <c r="D1167" s="8">
        <v>307.25</v>
      </c>
    </row>
    <row r="1168" spans="1:4" x14ac:dyDescent="0.2">
      <c r="A1168" s="6">
        <v>2602</v>
      </c>
      <c r="B1168" s="5" t="s">
        <v>1215</v>
      </c>
      <c r="C1168" s="7" t="s">
        <v>64</v>
      </c>
      <c r="D1168" s="8">
        <v>553.07000000000005</v>
      </c>
    </row>
    <row r="1169" spans="1:4" x14ac:dyDescent="0.2">
      <c r="A1169" s="6">
        <v>2603</v>
      </c>
      <c r="B1169" s="5" t="s">
        <v>1216</v>
      </c>
      <c r="C1169" s="7" t="s">
        <v>10</v>
      </c>
      <c r="D1169" s="8">
        <v>307.25</v>
      </c>
    </row>
    <row r="1170" spans="1:4" x14ac:dyDescent="0.2">
      <c r="A1170" s="6">
        <v>2604</v>
      </c>
      <c r="B1170" s="5" t="s">
        <v>1217</v>
      </c>
      <c r="C1170" s="7" t="s">
        <v>10</v>
      </c>
      <c r="D1170" s="8">
        <v>307.25</v>
      </c>
    </row>
    <row r="1171" spans="1:4" x14ac:dyDescent="0.2">
      <c r="A1171" s="6">
        <v>2605</v>
      </c>
      <c r="B1171" s="5" t="s">
        <v>1218</v>
      </c>
      <c r="C1171" s="7" t="s">
        <v>64</v>
      </c>
      <c r="D1171" s="8">
        <v>553.07000000000005</v>
      </c>
    </row>
    <row r="1172" spans="1:4" x14ac:dyDescent="0.2">
      <c r="A1172" s="6">
        <v>2606</v>
      </c>
      <c r="B1172" s="5" t="s">
        <v>1219</v>
      </c>
      <c r="C1172" s="7" t="s">
        <v>64</v>
      </c>
      <c r="D1172" s="8">
        <v>553.07000000000005</v>
      </c>
    </row>
    <row r="1173" spans="1:4" x14ac:dyDescent="0.2">
      <c r="A1173" s="6">
        <v>2607</v>
      </c>
      <c r="B1173" s="5" t="s">
        <v>1220</v>
      </c>
      <c r="C1173" s="7" t="s">
        <v>10</v>
      </c>
      <c r="D1173" s="8">
        <v>307.25</v>
      </c>
    </row>
    <row r="1174" spans="1:4" x14ac:dyDescent="0.2">
      <c r="A1174" s="6">
        <v>2608</v>
      </c>
      <c r="B1174" s="5" t="s">
        <v>1221</v>
      </c>
      <c r="C1174" s="7" t="s">
        <v>10</v>
      </c>
      <c r="D1174" s="8">
        <v>307.25</v>
      </c>
    </row>
    <row r="1175" spans="1:4" x14ac:dyDescent="0.2">
      <c r="A1175" s="6">
        <v>2609</v>
      </c>
      <c r="B1175" s="5" t="s">
        <v>1222</v>
      </c>
      <c r="C1175" s="7" t="s">
        <v>10</v>
      </c>
      <c r="D1175" s="8">
        <v>307.25</v>
      </c>
    </row>
    <row r="1176" spans="1:4" x14ac:dyDescent="0.2">
      <c r="A1176" s="6">
        <v>2610</v>
      </c>
      <c r="B1176" s="5" t="s">
        <v>1223</v>
      </c>
      <c r="C1176" s="7" t="s">
        <v>10</v>
      </c>
      <c r="D1176" s="8">
        <v>307.25</v>
      </c>
    </row>
    <row r="1177" spans="1:4" x14ac:dyDescent="0.2">
      <c r="A1177" s="6">
        <v>2611</v>
      </c>
      <c r="B1177" s="5" t="s">
        <v>1224</v>
      </c>
      <c r="C1177" s="7" t="s">
        <v>10</v>
      </c>
      <c r="D1177" s="8">
        <v>307.25</v>
      </c>
    </row>
    <row r="1178" spans="1:4" x14ac:dyDescent="0.2">
      <c r="A1178" s="6">
        <v>2612</v>
      </c>
      <c r="B1178" s="5" t="s">
        <v>1225</v>
      </c>
      <c r="C1178" s="7" t="s">
        <v>10</v>
      </c>
      <c r="D1178" s="8">
        <v>307.25</v>
      </c>
    </row>
    <row r="1179" spans="1:4" x14ac:dyDescent="0.2">
      <c r="A1179" s="6">
        <v>2613</v>
      </c>
      <c r="B1179" s="5" t="s">
        <v>1226</v>
      </c>
      <c r="C1179" s="7" t="s">
        <v>64</v>
      </c>
      <c r="D1179" s="8">
        <v>553.07000000000005</v>
      </c>
    </row>
    <row r="1180" spans="1:4" x14ac:dyDescent="0.2">
      <c r="A1180" s="6">
        <v>2614</v>
      </c>
      <c r="B1180" s="5" t="s">
        <v>1227</v>
      </c>
      <c r="C1180" s="7" t="s">
        <v>10</v>
      </c>
      <c r="D1180" s="8">
        <v>307.25</v>
      </c>
    </row>
    <row r="1181" spans="1:4" x14ac:dyDescent="0.2">
      <c r="A1181" s="6">
        <v>2615</v>
      </c>
      <c r="B1181" s="5" t="s">
        <v>1228</v>
      </c>
      <c r="C1181" s="7" t="s">
        <v>10</v>
      </c>
      <c r="D1181" s="8">
        <v>307.25</v>
      </c>
    </row>
    <row r="1182" spans="1:4" x14ac:dyDescent="0.2">
      <c r="A1182" s="6">
        <v>2616</v>
      </c>
      <c r="B1182" s="5" t="s">
        <v>1229</v>
      </c>
      <c r="C1182" s="7" t="s">
        <v>10</v>
      </c>
      <c r="D1182" s="8">
        <v>307.25</v>
      </c>
    </row>
    <row r="1183" spans="1:4" x14ac:dyDescent="0.2">
      <c r="A1183" s="6">
        <v>2617</v>
      </c>
      <c r="B1183" s="5" t="s">
        <v>1230</v>
      </c>
      <c r="C1183" s="7" t="s">
        <v>64</v>
      </c>
      <c r="D1183" s="8">
        <v>553.07000000000005</v>
      </c>
    </row>
    <row r="1184" spans="1:4" x14ac:dyDescent="0.2">
      <c r="A1184" s="6">
        <v>2618</v>
      </c>
      <c r="B1184" s="5" t="s">
        <v>1231</v>
      </c>
      <c r="C1184" s="7" t="s">
        <v>10</v>
      </c>
      <c r="D1184" s="8">
        <v>307.25</v>
      </c>
    </row>
    <row r="1185" spans="1:4" x14ac:dyDescent="0.2">
      <c r="A1185" s="6">
        <v>2619</v>
      </c>
      <c r="B1185" s="5" t="s">
        <v>1232</v>
      </c>
      <c r="C1185" s="7" t="s">
        <v>64</v>
      </c>
      <c r="D1185" s="8">
        <v>553.07000000000005</v>
      </c>
    </row>
    <row r="1186" spans="1:4" x14ac:dyDescent="0.2">
      <c r="A1186" s="6">
        <v>2620</v>
      </c>
      <c r="B1186" s="5" t="s">
        <v>1233</v>
      </c>
      <c r="C1186" s="7" t="s">
        <v>10</v>
      </c>
      <c r="D1186" s="8">
        <v>307.25</v>
      </c>
    </row>
    <row r="1187" spans="1:4" x14ac:dyDescent="0.2">
      <c r="A1187" s="6">
        <v>2621</v>
      </c>
      <c r="B1187" s="5" t="s">
        <v>1234</v>
      </c>
      <c r="C1187" s="7" t="s">
        <v>64</v>
      </c>
      <c r="D1187" s="8">
        <v>553.07000000000005</v>
      </c>
    </row>
    <row r="1188" spans="1:4" x14ac:dyDescent="0.2">
      <c r="A1188" s="6">
        <v>2622</v>
      </c>
      <c r="B1188" s="5" t="s">
        <v>1235</v>
      </c>
      <c r="C1188" s="7" t="s">
        <v>10</v>
      </c>
      <c r="D1188" s="8">
        <v>307.25</v>
      </c>
    </row>
    <row r="1189" spans="1:4" x14ac:dyDescent="0.2">
      <c r="A1189" s="6">
        <v>2623</v>
      </c>
      <c r="B1189" s="5" t="s">
        <v>1236</v>
      </c>
      <c r="C1189" s="7" t="s">
        <v>64</v>
      </c>
      <c r="D1189" s="8">
        <v>553.07000000000005</v>
      </c>
    </row>
    <row r="1190" spans="1:4" x14ac:dyDescent="0.2">
      <c r="A1190" s="6">
        <v>2624</v>
      </c>
      <c r="B1190" s="5" t="s">
        <v>257</v>
      </c>
      <c r="C1190" s="7" t="s">
        <v>64</v>
      </c>
      <c r="D1190" s="8">
        <v>553.07000000000005</v>
      </c>
    </row>
    <row r="1191" spans="1:4" x14ac:dyDescent="0.2">
      <c r="A1191" s="6">
        <v>2625</v>
      </c>
      <c r="B1191" s="5" t="s">
        <v>1237</v>
      </c>
      <c r="C1191" s="7" t="s">
        <v>64</v>
      </c>
      <c r="D1191" s="8">
        <v>553.07000000000005</v>
      </c>
    </row>
    <row r="1192" spans="1:4" x14ac:dyDescent="0.2">
      <c r="A1192" s="6">
        <v>2626</v>
      </c>
      <c r="B1192" s="5" t="s">
        <v>1238</v>
      </c>
      <c r="C1192" s="7" t="s">
        <v>64</v>
      </c>
      <c r="D1192" s="8">
        <v>553.07000000000005</v>
      </c>
    </row>
    <row r="1193" spans="1:4" x14ac:dyDescent="0.2">
      <c r="A1193" s="6">
        <v>2627</v>
      </c>
      <c r="B1193" s="5" t="s">
        <v>1239</v>
      </c>
      <c r="C1193" s="7" t="s">
        <v>64</v>
      </c>
      <c r="D1193" s="8">
        <v>553.07000000000005</v>
      </c>
    </row>
    <row r="1194" spans="1:4" x14ac:dyDescent="0.2">
      <c r="A1194" s="6">
        <v>2628</v>
      </c>
      <c r="B1194" s="5" t="s">
        <v>1240</v>
      </c>
      <c r="C1194" s="7" t="s">
        <v>10</v>
      </c>
      <c r="D1194" s="8">
        <v>307.25</v>
      </c>
    </row>
    <row r="1195" spans="1:4" x14ac:dyDescent="0.2">
      <c r="A1195" s="6">
        <v>2629</v>
      </c>
      <c r="B1195" s="5" t="s">
        <v>1241</v>
      </c>
      <c r="C1195" s="7" t="s">
        <v>64</v>
      </c>
      <c r="D1195" s="8">
        <v>638.79999999999995</v>
      </c>
    </row>
    <row r="1196" spans="1:4" x14ac:dyDescent="0.2">
      <c r="A1196" s="6">
        <v>2630</v>
      </c>
      <c r="B1196" s="5" t="s">
        <v>1242</v>
      </c>
      <c r="C1196" s="7" t="s">
        <v>64</v>
      </c>
      <c r="D1196" s="8">
        <v>638.79999999999995</v>
      </c>
    </row>
    <row r="1197" spans="1:4" x14ac:dyDescent="0.2">
      <c r="A1197" s="6">
        <v>2631</v>
      </c>
      <c r="B1197" s="5" t="s">
        <v>1243</v>
      </c>
      <c r="C1197" s="7" t="s">
        <v>10</v>
      </c>
      <c r="D1197" s="8">
        <v>307.25</v>
      </c>
    </row>
    <row r="1198" spans="1:4" x14ac:dyDescent="0.2">
      <c r="A1198" s="6">
        <v>2632</v>
      </c>
      <c r="B1198" s="5" t="s">
        <v>1244</v>
      </c>
      <c r="C1198" s="7" t="s">
        <v>10</v>
      </c>
      <c r="D1198" s="8">
        <v>307.25</v>
      </c>
    </row>
    <row r="1199" spans="1:4" x14ac:dyDescent="0.2">
      <c r="A1199" s="6">
        <v>2633</v>
      </c>
      <c r="B1199" s="5" t="s">
        <v>1245</v>
      </c>
      <c r="C1199" s="7" t="s">
        <v>10</v>
      </c>
      <c r="D1199" s="8">
        <v>307.25</v>
      </c>
    </row>
    <row r="1200" spans="1:4" x14ac:dyDescent="0.2">
      <c r="A1200" s="6">
        <v>2634</v>
      </c>
      <c r="B1200" s="5" t="s">
        <v>1246</v>
      </c>
      <c r="C1200" s="7" t="s">
        <v>64</v>
      </c>
      <c r="D1200" s="8">
        <v>553.07000000000005</v>
      </c>
    </row>
    <row r="1201" spans="1:4" x14ac:dyDescent="0.2">
      <c r="A1201" s="6">
        <v>2635</v>
      </c>
      <c r="B1201" s="5" t="s">
        <v>1247</v>
      </c>
      <c r="C1201" s="7" t="s">
        <v>10</v>
      </c>
      <c r="D1201" s="8">
        <v>307.25</v>
      </c>
    </row>
    <row r="1202" spans="1:4" x14ac:dyDescent="0.2">
      <c r="A1202" s="6">
        <v>2636</v>
      </c>
      <c r="B1202" s="5" t="s">
        <v>1248</v>
      </c>
      <c r="C1202" s="7" t="s">
        <v>10</v>
      </c>
      <c r="D1202" s="8">
        <v>273.48</v>
      </c>
    </row>
    <row r="1203" spans="1:4" x14ac:dyDescent="0.2">
      <c r="A1203" s="6">
        <v>2637</v>
      </c>
      <c r="B1203" s="5" t="s">
        <v>123</v>
      </c>
      <c r="C1203" s="7" t="s">
        <v>10</v>
      </c>
      <c r="D1203" s="8">
        <v>307.25</v>
      </c>
    </row>
    <row r="1204" spans="1:4" x14ac:dyDescent="0.2">
      <c r="A1204" s="6">
        <v>2638</v>
      </c>
      <c r="B1204" s="5" t="s">
        <v>1249</v>
      </c>
      <c r="C1204" s="7" t="s">
        <v>64</v>
      </c>
      <c r="D1204" s="8">
        <v>638.79999999999995</v>
      </c>
    </row>
    <row r="1205" spans="1:4" x14ac:dyDescent="0.2">
      <c r="A1205" s="6">
        <v>2639</v>
      </c>
      <c r="B1205" s="5" t="s">
        <v>1250</v>
      </c>
      <c r="C1205" s="7" t="s">
        <v>10</v>
      </c>
      <c r="D1205" s="8">
        <v>307.25</v>
      </c>
    </row>
    <row r="1206" spans="1:4" x14ac:dyDescent="0.2">
      <c r="A1206" s="6">
        <v>2640</v>
      </c>
      <c r="B1206" s="5" t="s">
        <v>1251</v>
      </c>
      <c r="C1206" s="7" t="s">
        <v>10</v>
      </c>
      <c r="D1206" s="8">
        <v>307.25</v>
      </c>
    </row>
    <row r="1207" spans="1:4" x14ac:dyDescent="0.2">
      <c r="A1207" s="6">
        <v>2641</v>
      </c>
      <c r="B1207" s="5" t="s">
        <v>1252</v>
      </c>
      <c r="C1207" s="7" t="s">
        <v>64</v>
      </c>
      <c r="D1207" s="8">
        <v>553.07000000000005</v>
      </c>
    </row>
    <row r="1208" spans="1:4" x14ac:dyDescent="0.2">
      <c r="A1208" s="6">
        <v>2642</v>
      </c>
      <c r="B1208" s="5" t="s">
        <v>1253</v>
      </c>
      <c r="C1208" s="7" t="s">
        <v>10</v>
      </c>
      <c r="D1208" s="8">
        <v>307.25</v>
      </c>
    </row>
    <row r="1209" spans="1:4" x14ac:dyDescent="0.2">
      <c r="A1209" s="6">
        <v>2643</v>
      </c>
      <c r="B1209" s="5" t="s">
        <v>1254</v>
      </c>
      <c r="C1209" s="7" t="s">
        <v>10</v>
      </c>
      <c r="D1209" s="8">
        <v>307.25</v>
      </c>
    </row>
    <row r="1210" spans="1:4" x14ac:dyDescent="0.2">
      <c r="A1210" s="6">
        <v>2644</v>
      </c>
      <c r="B1210" s="5" t="s">
        <v>1255</v>
      </c>
      <c r="C1210" s="7" t="s">
        <v>10</v>
      </c>
      <c r="D1210" s="8">
        <v>307.25</v>
      </c>
    </row>
    <row r="1211" spans="1:4" x14ac:dyDescent="0.2">
      <c r="A1211" s="6">
        <v>2645</v>
      </c>
      <c r="B1211" s="5" t="s">
        <v>1256</v>
      </c>
      <c r="C1211" s="7" t="s">
        <v>10</v>
      </c>
      <c r="D1211" s="8">
        <v>307.25</v>
      </c>
    </row>
    <row r="1212" spans="1:4" x14ac:dyDescent="0.2">
      <c r="A1212" s="6">
        <v>2646</v>
      </c>
      <c r="B1212" s="5" t="s">
        <v>1257</v>
      </c>
      <c r="C1212" s="7" t="s">
        <v>64</v>
      </c>
      <c r="D1212" s="8">
        <v>553.07000000000005</v>
      </c>
    </row>
    <row r="1213" spans="1:4" x14ac:dyDescent="0.2">
      <c r="A1213" s="6">
        <v>2647</v>
      </c>
      <c r="B1213" s="5" t="s">
        <v>1258</v>
      </c>
      <c r="C1213" s="7" t="s">
        <v>64</v>
      </c>
      <c r="D1213" s="8">
        <v>553.07000000000005</v>
      </c>
    </row>
    <row r="1214" spans="1:4" x14ac:dyDescent="0.2">
      <c r="A1214" s="6">
        <v>2648</v>
      </c>
      <c r="B1214" s="5" t="s">
        <v>1259</v>
      </c>
      <c r="C1214" s="7" t="s">
        <v>10</v>
      </c>
      <c r="D1214" s="8">
        <v>307.25</v>
      </c>
    </row>
    <row r="1215" spans="1:4" x14ac:dyDescent="0.2">
      <c r="A1215" s="6">
        <v>2649</v>
      </c>
      <c r="B1215" s="5" t="s">
        <v>1260</v>
      </c>
      <c r="C1215" s="7" t="s">
        <v>10</v>
      </c>
      <c r="D1215" s="8">
        <v>307.25</v>
      </c>
    </row>
    <row r="1216" spans="1:4" x14ac:dyDescent="0.2">
      <c r="A1216" s="6">
        <v>2650</v>
      </c>
      <c r="B1216" s="5" t="s">
        <v>1261</v>
      </c>
      <c r="C1216" s="7" t="s">
        <v>10</v>
      </c>
      <c r="D1216" s="8">
        <v>307.25</v>
      </c>
    </row>
    <row r="1217" spans="1:4" x14ac:dyDescent="0.2">
      <c r="A1217" s="6">
        <v>2651</v>
      </c>
      <c r="B1217" s="5" t="s">
        <v>1262</v>
      </c>
      <c r="C1217" s="7" t="s">
        <v>10</v>
      </c>
      <c r="D1217" s="8">
        <v>307.25</v>
      </c>
    </row>
    <row r="1218" spans="1:4" x14ac:dyDescent="0.2">
      <c r="A1218" s="6">
        <v>2652</v>
      </c>
      <c r="B1218" s="5" t="s">
        <v>1263</v>
      </c>
      <c r="C1218" s="7" t="s">
        <v>10</v>
      </c>
      <c r="D1218" s="8">
        <v>307.25</v>
      </c>
    </row>
    <row r="1219" spans="1:4" x14ac:dyDescent="0.2">
      <c r="A1219" s="6">
        <v>2653</v>
      </c>
      <c r="B1219" s="5" t="s">
        <v>1264</v>
      </c>
      <c r="C1219" s="7" t="s">
        <v>10</v>
      </c>
      <c r="D1219" s="8">
        <v>307.25</v>
      </c>
    </row>
    <row r="1220" spans="1:4" x14ac:dyDescent="0.2">
      <c r="A1220" s="6">
        <v>2654</v>
      </c>
      <c r="B1220" s="5" t="s">
        <v>1265</v>
      </c>
      <c r="C1220" s="7" t="s">
        <v>64</v>
      </c>
      <c r="D1220" s="8">
        <v>553.07000000000005</v>
      </c>
    </row>
    <row r="1221" spans="1:4" x14ac:dyDescent="0.2">
      <c r="A1221" s="6">
        <v>2655</v>
      </c>
      <c r="B1221" s="5" t="s">
        <v>1266</v>
      </c>
      <c r="C1221" s="7" t="s">
        <v>10</v>
      </c>
      <c r="D1221" s="8">
        <v>307.25</v>
      </c>
    </row>
    <row r="1222" spans="1:4" x14ac:dyDescent="0.2">
      <c r="A1222" s="6">
        <v>2656</v>
      </c>
      <c r="B1222" s="5" t="s">
        <v>124</v>
      </c>
      <c r="C1222" s="7" t="s">
        <v>10</v>
      </c>
      <c r="D1222" s="8">
        <v>307.25</v>
      </c>
    </row>
    <row r="1223" spans="1:4" x14ac:dyDescent="0.2">
      <c r="A1223" s="6">
        <v>2657</v>
      </c>
      <c r="B1223" s="5" t="s">
        <v>1267</v>
      </c>
      <c r="C1223" s="7" t="s">
        <v>10</v>
      </c>
      <c r="D1223" s="8">
        <v>307.25</v>
      </c>
    </row>
    <row r="1224" spans="1:4" x14ac:dyDescent="0.2">
      <c r="A1224" s="6">
        <v>2658</v>
      </c>
      <c r="B1224" s="5" t="s">
        <v>1268</v>
      </c>
      <c r="C1224" s="7" t="s">
        <v>10</v>
      </c>
      <c r="D1224" s="8">
        <v>307.25</v>
      </c>
    </row>
    <row r="1225" spans="1:4" x14ac:dyDescent="0.2">
      <c r="A1225" s="6">
        <v>2659</v>
      </c>
      <c r="B1225" s="5" t="s">
        <v>1269</v>
      </c>
      <c r="C1225" s="7" t="s">
        <v>64</v>
      </c>
      <c r="D1225" s="8">
        <v>553.07000000000005</v>
      </c>
    </row>
    <row r="1226" spans="1:4" x14ac:dyDescent="0.2">
      <c r="A1226" s="6">
        <v>2660</v>
      </c>
      <c r="B1226" s="5" t="s">
        <v>1270</v>
      </c>
      <c r="C1226" s="7" t="s">
        <v>10</v>
      </c>
      <c r="D1226" s="8">
        <v>307.25</v>
      </c>
    </row>
    <row r="1227" spans="1:4" x14ac:dyDescent="0.2">
      <c r="A1227" s="6">
        <v>2661</v>
      </c>
      <c r="B1227" s="5" t="s">
        <v>1271</v>
      </c>
      <c r="C1227" s="7" t="s">
        <v>64</v>
      </c>
      <c r="D1227" s="8">
        <v>553.07000000000005</v>
      </c>
    </row>
    <row r="1228" spans="1:4" x14ac:dyDescent="0.2">
      <c r="A1228" s="6">
        <v>2662</v>
      </c>
      <c r="B1228" s="5" t="s">
        <v>1272</v>
      </c>
      <c r="C1228" s="7" t="s">
        <v>10</v>
      </c>
      <c r="D1228" s="8">
        <v>307.25</v>
      </c>
    </row>
    <row r="1229" spans="1:4" x14ac:dyDescent="0.2">
      <c r="A1229" s="6">
        <v>2663</v>
      </c>
      <c r="B1229" s="5" t="s">
        <v>1273</v>
      </c>
      <c r="C1229" s="7" t="s">
        <v>64</v>
      </c>
      <c r="D1229" s="8">
        <v>553.07000000000005</v>
      </c>
    </row>
    <row r="1230" spans="1:4" x14ac:dyDescent="0.2">
      <c r="A1230" s="6">
        <v>2664</v>
      </c>
      <c r="B1230" s="5" t="s">
        <v>1274</v>
      </c>
      <c r="C1230" s="7" t="s">
        <v>10</v>
      </c>
      <c r="D1230" s="8">
        <v>307.25</v>
      </c>
    </row>
    <row r="1231" spans="1:4" x14ac:dyDescent="0.2">
      <c r="A1231" s="6">
        <v>2665</v>
      </c>
      <c r="B1231" s="5" t="s">
        <v>1275</v>
      </c>
      <c r="C1231" s="7" t="s">
        <v>10</v>
      </c>
      <c r="D1231" s="8">
        <v>307.25</v>
      </c>
    </row>
    <row r="1232" spans="1:4" x14ac:dyDescent="0.2">
      <c r="A1232" s="6">
        <v>2666</v>
      </c>
      <c r="B1232" s="5" t="s">
        <v>1276</v>
      </c>
      <c r="C1232" s="7" t="s">
        <v>64</v>
      </c>
      <c r="D1232" s="8">
        <v>553.07000000000005</v>
      </c>
    </row>
    <row r="1233" spans="1:4" x14ac:dyDescent="0.2">
      <c r="A1233" s="6">
        <v>2667</v>
      </c>
      <c r="B1233" s="5" t="s">
        <v>1277</v>
      </c>
      <c r="C1233" s="7" t="s">
        <v>10</v>
      </c>
      <c r="D1233" s="8">
        <v>307.25</v>
      </c>
    </row>
    <row r="1234" spans="1:4" x14ac:dyDescent="0.2">
      <c r="A1234" s="6">
        <v>2668</v>
      </c>
      <c r="B1234" s="5" t="s">
        <v>1278</v>
      </c>
      <c r="C1234" s="7" t="s">
        <v>64</v>
      </c>
      <c r="D1234" s="8">
        <v>553.07000000000005</v>
      </c>
    </row>
    <row r="1235" spans="1:4" x14ac:dyDescent="0.2">
      <c r="A1235" s="6">
        <v>2669</v>
      </c>
      <c r="B1235" s="5" t="s">
        <v>1279</v>
      </c>
      <c r="C1235" s="7" t="s">
        <v>10</v>
      </c>
      <c r="D1235" s="8">
        <v>307.25</v>
      </c>
    </row>
    <row r="1236" spans="1:4" x14ac:dyDescent="0.2">
      <c r="A1236" s="6">
        <v>2670</v>
      </c>
      <c r="B1236" s="5" t="s">
        <v>1280</v>
      </c>
      <c r="C1236" s="7" t="s">
        <v>64</v>
      </c>
      <c r="D1236" s="8">
        <v>553.07000000000005</v>
      </c>
    </row>
    <row r="1237" spans="1:4" x14ac:dyDescent="0.2">
      <c r="A1237" s="6">
        <v>2671</v>
      </c>
      <c r="B1237" s="5" t="s">
        <v>1281</v>
      </c>
      <c r="C1237" s="7" t="s">
        <v>10</v>
      </c>
      <c r="D1237" s="8">
        <v>307.25</v>
      </c>
    </row>
    <row r="1238" spans="1:4" x14ac:dyDescent="0.2">
      <c r="A1238" s="6">
        <v>2672</v>
      </c>
      <c r="B1238" s="5" t="s">
        <v>1282</v>
      </c>
      <c r="C1238" s="7" t="s">
        <v>10</v>
      </c>
      <c r="D1238" s="8">
        <v>307.25</v>
      </c>
    </row>
    <row r="1239" spans="1:4" x14ac:dyDescent="0.2">
      <c r="A1239" s="6">
        <v>2673</v>
      </c>
      <c r="B1239" s="5" t="s">
        <v>1283</v>
      </c>
      <c r="C1239" s="7" t="s">
        <v>64</v>
      </c>
      <c r="D1239" s="8">
        <v>553.07000000000005</v>
      </c>
    </row>
    <row r="1240" spans="1:4" x14ac:dyDescent="0.2">
      <c r="A1240" s="6">
        <v>2674</v>
      </c>
      <c r="B1240" s="5" t="s">
        <v>1284</v>
      </c>
      <c r="C1240" s="7" t="s">
        <v>10</v>
      </c>
      <c r="D1240" s="8">
        <v>307.25</v>
      </c>
    </row>
    <row r="1241" spans="1:4" x14ac:dyDescent="0.2">
      <c r="A1241" s="6">
        <v>2675</v>
      </c>
      <c r="B1241" s="5" t="s">
        <v>1285</v>
      </c>
      <c r="C1241" s="7" t="s">
        <v>64</v>
      </c>
      <c r="D1241" s="8">
        <v>553.07000000000005</v>
      </c>
    </row>
    <row r="1242" spans="1:4" x14ac:dyDescent="0.2">
      <c r="A1242" s="6">
        <v>2676</v>
      </c>
      <c r="B1242" s="5" t="s">
        <v>1286</v>
      </c>
      <c r="C1242" s="7" t="s">
        <v>64</v>
      </c>
      <c r="D1242" s="8">
        <v>553.07000000000005</v>
      </c>
    </row>
    <row r="1243" spans="1:4" x14ac:dyDescent="0.2">
      <c r="A1243" s="6">
        <v>2677</v>
      </c>
      <c r="B1243" s="5" t="s">
        <v>1287</v>
      </c>
      <c r="C1243" s="7" t="s">
        <v>64</v>
      </c>
      <c r="D1243" s="8">
        <v>553.07000000000005</v>
      </c>
    </row>
    <row r="1244" spans="1:4" x14ac:dyDescent="0.2">
      <c r="A1244" s="6">
        <v>2678</v>
      </c>
      <c r="B1244" s="5" t="s">
        <v>1288</v>
      </c>
      <c r="C1244" s="7" t="s">
        <v>64</v>
      </c>
      <c r="D1244" s="8">
        <v>553.07000000000005</v>
      </c>
    </row>
    <row r="1245" spans="1:4" x14ac:dyDescent="0.2">
      <c r="A1245" s="6">
        <v>2679</v>
      </c>
      <c r="B1245" s="5" t="s">
        <v>1289</v>
      </c>
      <c r="C1245" s="7" t="s">
        <v>64</v>
      </c>
      <c r="D1245" s="8">
        <v>553.07000000000005</v>
      </c>
    </row>
    <row r="1246" spans="1:4" x14ac:dyDescent="0.2">
      <c r="A1246" s="6">
        <v>2680</v>
      </c>
      <c r="B1246" s="5" t="s">
        <v>1290</v>
      </c>
      <c r="C1246" s="7" t="s">
        <v>10</v>
      </c>
      <c r="D1246" s="8">
        <v>307.25</v>
      </c>
    </row>
    <row r="1247" spans="1:4" x14ac:dyDescent="0.2">
      <c r="A1247" s="6">
        <v>2681</v>
      </c>
      <c r="B1247" s="5" t="s">
        <v>1291</v>
      </c>
      <c r="C1247" s="7" t="s">
        <v>10</v>
      </c>
      <c r="D1247" s="8">
        <v>307.25</v>
      </c>
    </row>
    <row r="1248" spans="1:4" x14ac:dyDescent="0.2">
      <c r="A1248" s="6">
        <v>2682</v>
      </c>
      <c r="B1248" s="5" t="s">
        <v>1292</v>
      </c>
      <c r="C1248" s="7" t="s">
        <v>10</v>
      </c>
      <c r="D1248" s="8">
        <v>307.25</v>
      </c>
    </row>
    <row r="1249" spans="1:4" x14ac:dyDescent="0.2">
      <c r="A1249" s="6">
        <v>2683</v>
      </c>
      <c r="B1249" s="5" t="s">
        <v>1293</v>
      </c>
      <c r="C1249" s="7" t="s">
        <v>10</v>
      </c>
      <c r="D1249" s="8">
        <v>307.25</v>
      </c>
    </row>
    <row r="1250" spans="1:4" x14ac:dyDescent="0.2">
      <c r="A1250" s="6">
        <v>2684</v>
      </c>
      <c r="B1250" s="5" t="s">
        <v>1294</v>
      </c>
      <c r="C1250" s="7" t="s">
        <v>10</v>
      </c>
      <c r="D1250" s="8">
        <v>307.25</v>
      </c>
    </row>
    <row r="1251" spans="1:4" x14ac:dyDescent="0.2">
      <c r="A1251" s="6">
        <v>2685</v>
      </c>
      <c r="B1251" s="5" t="s">
        <v>1295</v>
      </c>
      <c r="C1251" s="7" t="s">
        <v>10</v>
      </c>
      <c r="D1251" s="8">
        <v>307.25</v>
      </c>
    </row>
    <row r="1252" spans="1:4" x14ac:dyDescent="0.2">
      <c r="A1252" s="6">
        <v>2686</v>
      </c>
      <c r="B1252" s="5" t="s">
        <v>1296</v>
      </c>
      <c r="C1252" s="7" t="s">
        <v>10</v>
      </c>
      <c r="D1252" s="8">
        <v>307.25</v>
      </c>
    </row>
    <row r="1253" spans="1:4" x14ac:dyDescent="0.2">
      <c r="A1253" s="6">
        <v>2687</v>
      </c>
      <c r="B1253" s="5" t="s">
        <v>1297</v>
      </c>
      <c r="C1253" s="7" t="s">
        <v>64</v>
      </c>
      <c r="D1253" s="8">
        <v>553.07000000000005</v>
      </c>
    </row>
    <row r="1254" spans="1:4" x14ac:dyDescent="0.2">
      <c r="A1254" s="6">
        <v>2688</v>
      </c>
      <c r="B1254" s="5" t="s">
        <v>1298</v>
      </c>
      <c r="C1254" s="7" t="s">
        <v>64</v>
      </c>
      <c r="D1254" s="8">
        <v>553.07000000000005</v>
      </c>
    </row>
    <row r="1255" spans="1:4" x14ac:dyDescent="0.2">
      <c r="A1255" s="6">
        <v>2689</v>
      </c>
      <c r="B1255" s="5" t="s">
        <v>1299</v>
      </c>
      <c r="C1255" s="7" t="s">
        <v>64</v>
      </c>
      <c r="D1255" s="8">
        <v>553.07000000000005</v>
      </c>
    </row>
    <row r="1256" spans="1:4" x14ac:dyDescent="0.2">
      <c r="A1256" s="6">
        <v>2690</v>
      </c>
      <c r="B1256" s="5" t="s">
        <v>1300</v>
      </c>
      <c r="C1256" s="7" t="s">
        <v>64</v>
      </c>
      <c r="D1256" s="8">
        <v>553.07000000000005</v>
      </c>
    </row>
    <row r="1257" spans="1:4" x14ac:dyDescent="0.2">
      <c r="A1257" s="6">
        <v>2691</v>
      </c>
      <c r="B1257" s="5" t="s">
        <v>1301</v>
      </c>
      <c r="C1257" s="7" t="s">
        <v>64</v>
      </c>
      <c r="D1257" s="8">
        <v>553.07000000000005</v>
      </c>
    </row>
    <row r="1258" spans="1:4" x14ac:dyDescent="0.2">
      <c r="A1258" s="6">
        <v>2692</v>
      </c>
      <c r="B1258" s="5" t="s">
        <v>1302</v>
      </c>
      <c r="C1258" s="7" t="s">
        <v>10</v>
      </c>
      <c r="D1258" s="8">
        <v>307.25</v>
      </c>
    </row>
    <row r="1259" spans="1:4" x14ac:dyDescent="0.2">
      <c r="A1259" s="6">
        <v>2693</v>
      </c>
      <c r="B1259" s="5" t="s">
        <v>1303</v>
      </c>
      <c r="C1259" s="7" t="s">
        <v>10</v>
      </c>
      <c r="D1259" s="8">
        <v>307.25</v>
      </c>
    </row>
    <row r="1260" spans="1:4" x14ac:dyDescent="0.2">
      <c r="A1260" s="6">
        <v>2694</v>
      </c>
      <c r="B1260" s="5" t="s">
        <v>1304</v>
      </c>
      <c r="C1260" s="7" t="s">
        <v>10</v>
      </c>
      <c r="D1260" s="8">
        <v>307.25</v>
      </c>
    </row>
    <row r="1261" spans="1:4" x14ac:dyDescent="0.2">
      <c r="A1261" s="6">
        <v>2695</v>
      </c>
      <c r="B1261" s="5" t="s">
        <v>1305</v>
      </c>
      <c r="C1261" s="7" t="s">
        <v>10</v>
      </c>
      <c r="D1261" s="8">
        <v>307.25</v>
      </c>
    </row>
    <row r="1262" spans="1:4" x14ac:dyDescent="0.2">
      <c r="A1262" s="6">
        <v>2696</v>
      </c>
      <c r="B1262" s="5" t="s">
        <v>1306</v>
      </c>
      <c r="C1262" s="7" t="s">
        <v>64</v>
      </c>
      <c r="D1262" s="8">
        <v>690</v>
      </c>
    </row>
    <row r="1263" spans="1:4" x14ac:dyDescent="0.2">
      <c r="A1263" s="6">
        <v>2697</v>
      </c>
      <c r="B1263" s="5" t="s">
        <v>1307</v>
      </c>
      <c r="C1263" s="7" t="s">
        <v>10</v>
      </c>
      <c r="D1263" s="8">
        <v>307.25</v>
      </c>
    </row>
    <row r="1264" spans="1:4" x14ac:dyDescent="0.2">
      <c r="A1264" s="6">
        <v>2698</v>
      </c>
      <c r="B1264" s="5" t="s">
        <v>1308</v>
      </c>
      <c r="C1264" s="7" t="s">
        <v>10</v>
      </c>
      <c r="D1264" s="8">
        <v>307.25</v>
      </c>
    </row>
    <row r="1265" spans="1:4" x14ac:dyDescent="0.2">
      <c r="A1265" s="6">
        <v>2699</v>
      </c>
      <c r="B1265" s="5" t="s">
        <v>1309</v>
      </c>
      <c r="C1265" s="7" t="s">
        <v>10</v>
      </c>
      <c r="D1265" s="8">
        <v>307.25</v>
      </c>
    </row>
    <row r="1266" spans="1:4" x14ac:dyDescent="0.2">
      <c r="A1266" s="6">
        <v>2700</v>
      </c>
      <c r="B1266" s="5" t="s">
        <v>1310</v>
      </c>
      <c r="C1266" s="7" t="s">
        <v>265</v>
      </c>
      <c r="D1266" s="8">
        <v>171.42857142857142</v>
      </c>
    </row>
    <row r="1267" spans="1:4" x14ac:dyDescent="0.2">
      <c r="A1267" s="6">
        <v>2701</v>
      </c>
      <c r="B1267" s="5" t="s">
        <v>1311</v>
      </c>
      <c r="C1267" s="7" t="s">
        <v>10</v>
      </c>
      <c r="D1267" s="8">
        <v>307.25</v>
      </c>
    </row>
    <row r="1268" spans="1:4" x14ac:dyDescent="0.2">
      <c r="A1268" s="6">
        <v>2702</v>
      </c>
      <c r="B1268" s="5" t="s">
        <v>1312</v>
      </c>
      <c r="C1268" s="7" t="s">
        <v>64</v>
      </c>
      <c r="D1268" s="8">
        <v>553.07000000000005</v>
      </c>
    </row>
    <row r="1269" spans="1:4" x14ac:dyDescent="0.2">
      <c r="A1269" s="6">
        <v>2703</v>
      </c>
      <c r="B1269" s="5" t="s">
        <v>1313</v>
      </c>
      <c r="C1269" s="7" t="s">
        <v>10</v>
      </c>
      <c r="D1269" s="8">
        <v>307.25</v>
      </c>
    </row>
    <row r="1270" spans="1:4" x14ac:dyDescent="0.2">
      <c r="A1270" s="6">
        <v>2704</v>
      </c>
      <c r="B1270" s="5" t="s">
        <v>1314</v>
      </c>
      <c r="C1270" s="7" t="s">
        <v>10</v>
      </c>
      <c r="D1270" s="8">
        <v>307.25</v>
      </c>
    </row>
    <row r="1271" spans="1:4" x14ac:dyDescent="0.2">
      <c r="A1271" s="6">
        <v>2705</v>
      </c>
      <c r="B1271" s="5" t="s">
        <v>1315</v>
      </c>
      <c r="C1271" s="7" t="s">
        <v>10</v>
      </c>
      <c r="D1271" s="8">
        <v>307.25</v>
      </c>
    </row>
    <row r="1272" spans="1:4" x14ac:dyDescent="0.2">
      <c r="A1272" s="6">
        <v>2706</v>
      </c>
      <c r="B1272" s="5" t="s">
        <v>1316</v>
      </c>
      <c r="C1272" s="7" t="s">
        <v>10</v>
      </c>
      <c r="D1272" s="8">
        <v>307.25</v>
      </c>
    </row>
    <row r="1273" spans="1:4" x14ac:dyDescent="0.2">
      <c r="A1273" s="6">
        <v>2707</v>
      </c>
      <c r="B1273" s="5" t="s">
        <v>1317</v>
      </c>
      <c r="C1273" s="7" t="s">
        <v>64</v>
      </c>
      <c r="D1273" s="8">
        <v>553.07000000000005</v>
      </c>
    </row>
    <row r="1274" spans="1:4" x14ac:dyDescent="0.2">
      <c r="A1274" s="6">
        <v>2708</v>
      </c>
      <c r="B1274" s="5" t="s">
        <v>1318</v>
      </c>
      <c r="C1274" s="7" t="s">
        <v>10</v>
      </c>
      <c r="D1274" s="8">
        <v>307.25</v>
      </c>
    </row>
    <row r="1275" spans="1:4" x14ac:dyDescent="0.2">
      <c r="A1275" s="6">
        <v>2709</v>
      </c>
      <c r="B1275" s="5" t="s">
        <v>1319</v>
      </c>
      <c r="C1275" s="7" t="s">
        <v>10</v>
      </c>
      <c r="D1275" s="8">
        <v>307.25</v>
      </c>
    </row>
    <row r="1276" spans="1:4" x14ac:dyDescent="0.2">
      <c r="A1276" s="6">
        <v>2710</v>
      </c>
      <c r="B1276" s="5" t="s">
        <v>1320</v>
      </c>
      <c r="C1276" s="7" t="s">
        <v>10</v>
      </c>
      <c r="D1276" s="8">
        <v>307.25</v>
      </c>
    </row>
    <row r="1277" spans="1:4" x14ac:dyDescent="0.2">
      <c r="A1277" s="6">
        <v>2711</v>
      </c>
      <c r="B1277" s="5" t="s">
        <v>1321</v>
      </c>
      <c r="C1277" s="7" t="s">
        <v>10</v>
      </c>
      <c r="D1277" s="8">
        <v>307.25</v>
      </c>
    </row>
    <row r="1278" spans="1:4" x14ac:dyDescent="0.2">
      <c r="A1278" s="6">
        <v>2712</v>
      </c>
      <c r="B1278" s="5" t="s">
        <v>1322</v>
      </c>
      <c r="C1278" s="7" t="s">
        <v>10</v>
      </c>
      <c r="D1278" s="8">
        <v>307.25</v>
      </c>
    </row>
    <row r="1279" spans="1:4" x14ac:dyDescent="0.2">
      <c r="A1279" s="6">
        <v>2713</v>
      </c>
      <c r="B1279" s="5" t="s">
        <v>1323</v>
      </c>
      <c r="C1279" s="7" t="s">
        <v>10</v>
      </c>
      <c r="D1279" s="8">
        <v>307.25</v>
      </c>
    </row>
    <row r="1280" spans="1:4" x14ac:dyDescent="0.2">
      <c r="A1280" s="6">
        <v>2714</v>
      </c>
      <c r="B1280" s="5" t="s">
        <v>1324</v>
      </c>
      <c r="C1280" s="7" t="s">
        <v>64</v>
      </c>
      <c r="D1280" s="8">
        <v>553.07000000000005</v>
      </c>
    </row>
    <row r="1281" spans="1:4" x14ac:dyDescent="0.2">
      <c r="A1281" s="6">
        <v>2715</v>
      </c>
      <c r="B1281" s="5" t="s">
        <v>1325</v>
      </c>
      <c r="C1281" s="7" t="s">
        <v>10</v>
      </c>
      <c r="D1281" s="8">
        <v>307.25</v>
      </c>
    </row>
    <row r="1282" spans="1:4" x14ac:dyDescent="0.2">
      <c r="A1282" s="6">
        <v>2716</v>
      </c>
      <c r="B1282" s="5" t="s">
        <v>1326</v>
      </c>
      <c r="C1282" s="7" t="s">
        <v>10</v>
      </c>
      <c r="D1282" s="8">
        <v>307.25</v>
      </c>
    </row>
    <row r="1283" spans="1:4" x14ac:dyDescent="0.2">
      <c r="A1283" s="6">
        <v>2717</v>
      </c>
      <c r="B1283" s="5" t="s">
        <v>1327</v>
      </c>
      <c r="C1283" s="7" t="s">
        <v>10</v>
      </c>
      <c r="D1283" s="8">
        <v>307.25</v>
      </c>
    </row>
    <row r="1284" spans="1:4" x14ac:dyDescent="0.2">
      <c r="A1284" s="6">
        <v>2718</v>
      </c>
      <c r="B1284" s="5" t="s">
        <v>1328</v>
      </c>
      <c r="C1284" s="7" t="s">
        <v>10</v>
      </c>
      <c r="D1284" s="8">
        <v>307.25</v>
      </c>
    </row>
    <row r="1285" spans="1:4" x14ac:dyDescent="0.2">
      <c r="A1285" s="6">
        <v>2719</v>
      </c>
      <c r="B1285" s="5" t="s">
        <v>1329</v>
      </c>
      <c r="C1285" s="7" t="s">
        <v>10</v>
      </c>
      <c r="D1285" s="8">
        <v>307.25</v>
      </c>
    </row>
    <row r="1286" spans="1:4" x14ac:dyDescent="0.2">
      <c r="A1286" s="6">
        <v>2720</v>
      </c>
      <c r="B1286" s="5" t="s">
        <v>1330</v>
      </c>
      <c r="C1286" s="7" t="s">
        <v>10</v>
      </c>
      <c r="D1286" s="8">
        <v>307.25</v>
      </c>
    </row>
    <row r="1287" spans="1:4" x14ac:dyDescent="0.2">
      <c r="A1287" s="6">
        <v>2721</v>
      </c>
      <c r="B1287" s="5" t="s">
        <v>1331</v>
      </c>
      <c r="C1287" s="7" t="s">
        <v>10</v>
      </c>
      <c r="D1287" s="8">
        <v>307.25</v>
      </c>
    </row>
    <row r="1288" spans="1:4" x14ac:dyDescent="0.2">
      <c r="A1288" s="6">
        <v>2722</v>
      </c>
      <c r="B1288" s="5" t="s">
        <v>1332</v>
      </c>
      <c r="C1288" s="7" t="s">
        <v>10</v>
      </c>
      <c r="D1288" s="8">
        <v>307.25</v>
      </c>
    </row>
    <row r="1289" spans="1:4" x14ac:dyDescent="0.2">
      <c r="A1289" s="6">
        <v>2723</v>
      </c>
      <c r="B1289" s="5" t="s">
        <v>1333</v>
      </c>
      <c r="C1289" s="7" t="s">
        <v>64</v>
      </c>
      <c r="D1289" s="8">
        <v>553.07000000000005</v>
      </c>
    </row>
    <row r="1290" spans="1:4" x14ac:dyDescent="0.2">
      <c r="A1290" s="6">
        <v>2724</v>
      </c>
      <c r="B1290" s="5" t="s">
        <v>1334</v>
      </c>
      <c r="C1290" s="7" t="s">
        <v>10</v>
      </c>
      <c r="D1290" s="8">
        <v>307.25</v>
      </c>
    </row>
    <row r="1291" spans="1:4" x14ac:dyDescent="0.2">
      <c r="A1291" s="6">
        <v>2725</v>
      </c>
      <c r="B1291" s="5" t="s">
        <v>1335</v>
      </c>
      <c r="C1291" s="7" t="s">
        <v>10</v>
      </c>
      <c r="D1291" s="8">
        <v>307.25</v>
      </c>
    </row>
    <row r="1292" spans="1:4" x14ac:dyDescent="0.2">
      <c r="A1292" s="6">
        <v>2726</v>
      </c>
      <c r="B1292" s="5" t="s">
        <v>1336</v>
      </c>
      <c r="C1292" s="7" t="s">
        <v>10</v>
      </c>
      <c r="D1292" s="8">
        <v>307.25</v>
      </c>
    </row>
    <row r="1293" spans="1:4" x14ac:dyDescent="0.2">
      <c r="A1293" s="6">
        <v>2727</v>
      </c>
      <c r="B1293" s="5" t="s">
        <v>1337</v>
      </c>
      <c r="C1293" s="7" t="s">
        <v>10</v>
      </c>
      <c r="D1293" s="8">
        <v>307.25</v>
      </c>
    </row>
    <row r="1294" spans="1:4" x14ac:dyDescent="0.2">
      <c r="A1294" s="6">
        <v>2728</v>
      </c>
      <c r="B1294" s="5" t="s">
        <v>1338</v>
      </c>
      <c r="C1294" s="7" t="s">
        <v>10</v>
      </c>
      <c r="D1294" s="8">
        <v>307.25</v>
      </c>
    </row>
    <row r="1295" spans="1:4" x14ac:dyDescent="0.2">
      <c r="A1295" s="6">
        <v>2729</v>
      </c>
      <c r="B1295" s="5" t="s">
        <v>1339</v>
      </c>
      <c r="C1295" s="7" t="s">
        <v>10</v>
      </c>
      <c r="D1295" s="8">
        <v>307.25</v>
      </c>
    </row>
    <row r="1296" spans="1:4" x14ac:dyDescent="0.2">
      <c r="A1296" s="6">
        <v>2730</v>
      </c>
      <c r="B1296" s="5" t="s">
        <v>1340</v>
      </c>
      <c r="C1296" s="7" t="s">
        <v>64</v>
      </c>
      <c r="D1296" s="8">
        <v>553.07000000000005</v>
      </c>
    </row>
    <row r="1297" spans="1:4" x14ac:dyDescent="0.2">
      <c r="A1297" s="6">
        <v>2731</v>
      </c>
      <c r="B1297" s="5" t="s">
        <v>1341</v>
      </c>
      <c r="C1297" s="7" t="s">
        <v>64</v>
      </c>
      <c r="D1297" s="8">
        <v>553.07000000000005</v>
      </c>
    </row>
    <row r="1298" spans="1:4" x14ac:dyDescent="0.2">
      <c r="A1298" s="6">
        <v>2732</v>
      </c>
      <c r="B1298" s="5" t="s">
        <v>1342</v>
      </c>
      <c r="C1298" s="7" t="s">
        <v>10</v>
      </c>
      <c r="D1298" s="8">
        <v>307.25</v>
      </c>
    </row>
    <row r="1299" spans="1:4" x14ac:dyDescent="0.2">
      <c r="A1299" s="6">
        <v>2733</v>
      </c>
      <c r="B1299" s="5" t="s">
        <v>1343</v>
      </c>
      <c r="C1299" s="7" t="s">
        <v>64</v>
      </c>
      <c r="D1299" s="8">
        <v>553.07000000000005</v>
      </c>
    </row>
    <row r="1300" spans="1:4" x14ac:dyDescent="0.2">
      <c r="A1300" s="6">
        <v>2734</v>
      </c>
      <c r="B1300" s="5" t="s">
        <v>1344</v>
      </c>
      <c r="C1300" s="7" t="s">
        <v>10</v>
      </c>
      <c r="D1300" s="8">
        <v>307.25</v>
      </c>
    </row>
    <row r="1301" spans="1:4" x14ac:dyDescent="0.2">
      <c r="A1301" s="6">
        <v>2735</v>
      </c>
      <c r="B1301" s="5" t="s">
        <v>1345</v>
      </c>
      <c r="C1301" s="7" t="s">
        <v>64</v>
      </c>
      <c r="D1301" s="8">
        <v>553.07000000000005</v>
      </c>
    </row>
    <row r="1302" spans="1:4" x14ac:dyDescent="0.2">
      <c r="A1302" s="6">
        <v>2736</v>
      </c>
      <c r="B1302" s="5" t="s">
        <v>1346</v>
      </c>
      <c r="C1302" s="7" t="s">
        <v>10</v>
      </c>
      <c r="D1302" s="8">
        <v>307.25</v>
      </c>
    </row>
    <row r="1303" spans="1:4" x14ac:dyDescent="0.2">
      <c r="A1303" s="6">
        <v>2737</v>
      </c>
      <c r="B1303" s="5" t="s">
        <v>1347</v>
      </c>
      <c r="C1303" s="7" t="s">
        <v>10</v>
      </c>
      <c r="D1303" s="8">
        <v>307.25</v>
      </c>
    </row>
    <row r="1304" spans="1:4" x14ac:dyDescent="0.2">
      <c r="A1304" s="6">
        <v>2738</v>
      </c>
      <c r="B1304" s="5" t="s">
        <v>1348</v>
      </c>
      <c r="C1304" s="7" t="s">
        <v>10</v>
      </c>
      <c r="D1304" s="8">
        <v>307.25</v>
      </c>
    </row>
    <row r="1305" spans="1:4" x14ac:dyDescent="0.2">
      <c r="A1305" s="6">
        <v>2739</v>
      </c>
      <c r="B1305" s="5" t="s">
        <v>1349</v>
      </c>
      <c r="C1305" s="7" t="s">
        <v>10</v>
      </c>
      <c r="D1305" s="8">
        <v>307.25</v>
      </c>
    </row>
    <row r="1306" spans="1:4" x14ac:dyDescent="0.2">
      <c r="A1306" s="6">
        <v>2740</v>
      </c>
      <c r="B1306" s="5" t="s">
        <v>1350</v>
      </c>
      <c r="C1306" s="7" t="s">
        <v>10</v>
      </c>
      <c r="D1306" s="8">
        <v>307.25</v>
      </c>
    </row>
    <row r="1307" spans="1:4" x14ac:dyDescent="0.2">
      <c r="A1307" s="6">
        <v>2741</v>
      </c>
      <c r="B1307" s="5" t="s">
        <v>1351</v>
      </c>
      <c r="C1307" s="7" t="s">
        <v>10</v>
      </c>
      <c r="D1307" s="8">
        <v>307.25</v>
      </c>
    </row>
    <row r="1308" spans="1:4" x14ac:dyDescent="0.2">
      <c r="A1308" s="6">
        <v>2742</v>
      </c>
      <c r="B1308" s="5" t="s">
        <v>1352</v>
      </c>
      <c r="C1308" s="7" t="s">
        <v>10</v>
      </c>
      <c r="D1308" s="8">
        <v>307.25</v>
      </c>
    </row>
    <row r="1309" spans="1:4" x14ac:dyDescent="0.2">
      <c r="A1309" s="6">
        <v>2743</v>
      </c>
      <c r="B1309" s="5" t="s">
        <v>1353</v>
      </c>
      <c r="C1309" s="7" t="s">
        <v>64</v>
      </c>
      <c r="D1309" s="8">
        <v>553.07000000000005</v>
      </c>
    </row>
    <row r="1310" spans="1:4" x14ac:dyDescent="0.2">
      <c r="A1310" s="6">
        <v>2744</v>
      </c>
      <c r="B1310" s="5" t="s">
        <v>1354</v>
      </c>
      <c r="C1310" s="7" t="s">
        <v>10</v>
      </c>
      <c r="D1310" s="8">
        <v>307.25</v>
      </c>
    </row>
    <row r="1311" spans="1:4" x14ac:dyDescent="0.2">
      <c r="A1311" s="6">
        <v>2745</v>
      </c>
      <c r="B1311" s="5" t="s">
        <v>1355</v>
      </c>
      <c r="C1311" s="7" t="s">
        <v>10</v>
      </c>
      <c r="D1311" s="8">
        <v>307.25</v>
      </c>
    </row>
    <row r="1312" spans="1:4" x14ac:dyDescent="0.2">
      <c r="A1312" s="6">
        <v>2746</v>
      </c>
      <c r="B1312" s="5" t="s">
        <v>1356</v>
      </c>
      <c r="C1312" s="7" t="s">
        <v>64</v>
      </c>
      <c r="D1312" s="8">
        <v>553.07000000000005</v>
      </c>
    </row>
    <row r="1313" spans="1:4" x14ac:dyDescent="0.2">
      <c r="A1313" s="6">
        <v>2747</v>
      </c>
      <c r="B1313" s="5" t="s">
        <v>1357</v>
      </c>
      <c r="C1313" s="7" t="s">
        <v>64</v>
      </c>
      <c r="D1313" s="8">
        <v>553.07000000000005</v>
      </c>
    </row>
    <row r="1314" spans="1:4" x14ac:dyDescent="0.2">
      <c r="A1314" s="6">
        <v>2748</v>
      </c>
      <c r="B1314" s="5" t="s">
        <v>1358</v>
      </c>
      <c r="C1314" s="7" t="s">
        <v>64</v>
      </c>
      <c r="D1314" s="8">
        <v>553.07000000000005</v>
      </c>
    </row>
    <row r="1315" spans="1:4" x14ac:dyDescent="0.2">
      <c r="A1315" s="6">
        <v>2749</v>
      </c>
      <c r="B1315" s="5" t="s">
        <v>1359</v>
      </c>
      <c r="C1315" s="7" t="s">
        <v>10</v>
      </c>
      <c r="D1315" s="8">
        <v>307.25</v>
      </c>
    </row>
    <row r="1316" spans="1:4" x14ac:dyDescent="0.2">
      <c r="A1316" s="6">
        <v>2750</v>
      </c>
      <c r="B1316" s="5" t="s">
        <v>1360</v>
      </c>
      <c r="C1316" s="7" t="s">
        <v>64</v>
      </c>
      <c r="D1316" s="8">
        <v>553.07000000000005</v>
      </c>
    </row>
    <row r="1317" spans="1:4" x14ac:dyDescent="0.2">
      <c r="A1317" s="6">
        <v>2751</v>
      </c>
      <c r="B1317" s="5" t="s">
        <v>1361</v>
      </c>
      <c r="C1317" s="7" t="s">
        <v>64</v>
      </c>
      <c r="D1317" s="8">
        <v>553.07000000000005</v>
      </c>
    </row>
    <row r="1318" spans="1:4" x14ac:dyDescent="0.2">
      <c r="A1318" s="6">
        <v>2752</v>
      </c>
      <c r="B1318" s="5" t="s">
        <v>1362</v>
      </c>
      <c r="C1318" s="7" t="s">
        <v>10</v>
      </c>
      <c r="D1318" s="8">
        <v>307.25</v>
      </c>
    </row>
    <row r="1319" spans="1:4" x14ac:dyDescent="0.2">
      <c r="A1319" s="6">
        <v>2753</v>
      </c>
      <c r="B1319" s="5" t="s">
        <v>1363</v>
      </c>
      <c r="C1319" s="7" t="s">
        <v>10</v>
      </c>
      <c r="D1319" s="8">
        <v>307.25</v>
      </c>
    </row>
    <row r="1320" spans="1:4" x14ac:dyDescent="0.2">
      <c r="A1320" s="6">
        <v>2754</v>
      </c>
      <c r="B1320" s="5" t="s">
        <v>1364</v>
      </c>
      <c r="C1320" s="7" t="s">
        <v>64</v>
      </c>
      <c r="D1320" s="8">
        <v>553.07000000000005</v>
      </c>
    </row>
    <row r="1321" spans="1:4" x14ac:dyDescent="0.2">
      <c r="A1321" s="6">
        <v>2755</v>
      </c>
      <c r="B1321" s="5" t="s">
        <v>1365</v>
      </c>
      <c r="C1321" s="7" t="s">
        <v>64</v>
      </c>
      <c r="D1321" s="8">
        <v>553.07000000000005</v>
      </c>
    </row>
    <row r="1322" spans="1:4" x14ac:dyDescent="0.2">
      <c r="A1322" s="6">
        <v>2756</v>
      </c>
      <c r="B1322" s="5" t="s">
        <v>1366</v>
      </c>
      <c r="C1322" s="7" t="s">
        <v>64</v>
      </c>
      <c r="D1322" s="8">
        <v>553.07000000000005</v>
      </c>
    </row>
    <row r="1323" spans="1:4" x14ac:dyDescent="0.2">
      <c r="A1323" s="6">
        <v>2757</v>
      </c>
      <c r="B1323" s="5" t="s">
        <v>1367</v>
      </c>
      <c r="C1323" s="7" t="s">
        <v>64</v>
      </c>
      <c r="D1323" s="8">
        <v>553.07000000000005</v>
      </c>
    </row>
    <row r="1324" spans="1:4" x14ac:dyDescent="0.2">
      <c r="A1324" s="6">
        <v>2758</v>
      </c>
      <c r="B1324" s="5" t="s">
        <v>1368</v>
      </c>
      <c r="C1324" s="7" t="s">
        <v>64</v>
      </c>
      <c r="D1324" s="8">
        <v>638.79999999999995</v>
      </c>
    </row>
    <row r="1325" spans="1:4" x14ac:dyDescent="0.2">
      <c r="A1325" s="6">
        <v>2759</v>
      </c>
      <c r="B1325" s="5" t="s">
        <v>1369</v>
      </c>
      <c r="C1325" s="7" t="s">
        <v>10</v>
      </c>
      <c r="D1325" s="8">
        <v>307.25</v>
      </c>
    </row>
    <row r="1326" spans="1:4" x14ac:dyDescent="0.2">
      <c r="A1326" s="6">
        <v>2760</v>
      </c>
      <c r="B1326" s="5" t="s">
        <v>1370</v>
      </c>
      <c r="C1326" s="7" t="s">
        <v>10</v>
      </c>
      <c r="D1326" s="8">
        <v>307.25</v>
      </c>
    </row>
    <row r="1327" spans="1:4" x14ac:dyDescent="0.2">
      <c r="A1327" s="6">
        <v>2761</v>
      </c>
      <c r="B1327" s="5" t="s">
        <v>1371</v>
      </c>
      <c r="C1327" s="7" t="s">
        <v>10</v>
      </c>
      <c r="D1327" s="8">
        <v>307.25</v>
      </c>
    </row>
    <row r="1328" spans="1:4" x14ac:dyDescent="0.2">
      <c r="A1328" s="6">
        <v>2762</v>
      </c>
      <c r="B1328" s="5" t="s">
        <v>1372</v>
      </c>
      <c r="C1328" s="7" t="s">
        <v>64</v>
      </c>
      <c r="D1328" s="8">
        <v>553.07000000000005</v>
      </c>
    </row>
    <row r="1329" spans="1:4" x14ac:dyDescent="0.2">
      <c r="A1329" s="6">
        <v>2763</v>
      </c>
      <c r="B1329" s="5" t="s">
        <v>1373</v>
      </c>
      <c r="C1329" s="7" t="s">
        <v>10</v>
      </c>
      <c r="D1329" s="8">
        <v>307.25</v>
      </c>
    </row>
    <row r="1330" spans="1:4" x14ac:dyDescent="0.2">
      <c r="A1330" s="6">
        <v>2764</v>
      </c>
      <c r="B1330" s="5" t="s">
        <v>1374</v>
      </c>
      <c r="C1330" s="7" t="s">
        <v>10</v>
      </c>
      <c r="D1330" s="8">
        <v>307.25</v>
      </c>
    </row>
    <row r="1331" spans="1:4" x14ac:dyDescent="0.2">
      <c r="A1331" s="6">
        <v>2765</v>
      </c>
      <c r="B1331" s="5" t="s">
        <v>1375</v>
      </c>
      <c r="C1331" s="7" t="s">
        <v>280</v>
      </c>
      <c r="D1331" s="8">
        <v>321.42857142857144</v>
      </c>
    </row>
    <row r="1332" spans="1:4" x14ac:dyDescent="0.2">
      <c r="A1332" s="6">
        <v>2766</v>
      </c>
      <c r="B1332" s="5" t="s">
        <v>1376</v>
      </c>
      <c r="C1332" s="7" t="s">
        <v>280</v>
      </c>
      <c r="D1332" s="8">
        <f>337.5*1.05</f>
        <v>354.375</v>
      </c>
    </row>
    <row r="1333" spans="1:4" x14ac:dyDescent="0.2">
      <c r="A1333" s="6">
        <v>2767</v>
      </c>
      <c r="B1333" s="5" t="s">
        <v>1377</v>
      </c>
      <c r="C1333" s="7" t="s">
        <v>10</v>
      </c>
      <c r="D1333" s="8">
        <v>307.25</v>
      </c>
    </row>
    <row r="1334" spans="1:4" x14ac:dyDescent="0.2">
      <c r="A1334" s="6">
        <v>2768</v>
      </c>
      <c r="B1334" s="5" t="s">
        <v>1378</v>
      </c>
      <c r="C1334" s="7" t="s">
        <v>10</v>
      </c>
      <c r="D1334" s="8">
        <v>307.25</v>
      </c>
    </row>
    <row r="1335" spans="1:4" x14ac:dyDescent="0.2">
      <c r="A1335" s="6">
        <v>2769</v>
      </c>
      <c r="B1335" s="5" t="s">
        <v>1379</v>
      </c>
      <c r="C1335" s="7" t="s">
        <v>64</v>
      </c>
      <c r="D1335" s="8">
        <v>553.07000000000005</v>
      </c>
    </row>
    <row r="1336" spans="1:4" x14ac:dyDescent="0.2">
      <c r="A1336" s="6">
        <v>2770</v>
      </c>
      <c r="B1336" s="5" t="s">
        <v>1380</v>
      </c>
      <c r="C1336" s="7" t="s">
        <v>64</v>
      </c>
      <c r="D1336" s="8">
        <v>638.79999999999995</v>
      </c>
    </row>
    <row r="1337" spans="1:4" x14ac:dyDescent="0.2">
      <c r="A1337" s="6">
        <v>2771</v>
      </c>
      <c r="B1337" s="5" t="s">
        <v>1381</v>
      </c>
      <c r="C1337" s="7" t="s">
        <v>64</v>
      </c>
      <c r="D1337" s="8">
        <v>638.79999999999995</v>
      </c>
    </row>
    <row r="1338" spans="1:4" x14ac:dyDescent="0.2">
      <c r="A1338" s="6">
        <v>2772</v>
      </c>
      <c r="B1338" s="5" t="s">
        <v>1382</v>
      </c>
      <c r="C1338" s="7" t="s">
        <v>10</v>
      </c>
      <c r="D1338" s="8">
        <v>307.25</v>
      </c>
    </row>
    <row r="1339" spans="1:4" x14ac:dyDescent="0.2">
      <c r="A1339" s="6">
        <v>2773</v>
      </c>
      <c r="B1339" s="5" t="s">
        <v>1383</v>
      </c>
      <c r="C1339" s="7" t="s">
        <v>10</v>
      </c>
      <c r="D1339" s="8">
        <v>307.25</v>
      </c>
    </row>
    <row r="1340" spans="1:4" x14ac:dyDescent="0.2">
      <c r="A1340" s="6">
        <v>2774</v>
      </c>
      <c r="B1340" s="5" t="s">
        <v>1384</v>
      </c>
      <c r="C1340" s="7" t="s">
        <v>64</v>
      </c>
      <c r="D1340" s="8">
        <v>553.07000000000005</v>
      </c>
    </row>
    <row r="1341" spans="1:4" x14ac:dyDescent="0.2">
      <c r="A1341" s="6">
        <v>2775</v>
      </c>
      <c r="B1341" s="5" t="s">
        <v>1385</v>
      </c>
      <c r="C1341" s="7" t="s">
        <v>10</v>
      </c>
      <c r="D1341" s="8">
        <v>307.25</v>
      </c>
    </row>
    <row r="1342" spans="1:4" x14ac:dyDescent="0.2">
      <c r="A1342" s="6">
        <v>2776</v>
      </c>
      <c r="B1342" s="5" t="s">
        <v>1386</v>
      </c>
      <c r="C1342" s="7" t="s">
        <v>10</v>
      </c>
      <c r="D1342" s="8">
        <v>307.25</v>
      </c>
    </row>
    <row r="1343" spans="1:4" x14ac:dyDescent="0.2">
      <c r="A1343" s="6">
        <v>2777</v>
      </c>
      <c r="B1343" s="5" t="s">
        <v>1387</v>
      </c>
      <c r="C1343" s="7" t="s">
        <v>10</v>
      </c>
      <c r="D1343" s="8">
        <v>307.25</v>
      </c>
    </row>
    <row r="1344" spans="1:4" x14ac:dyDescent="0.2">
      <c r="A1344" s="6">
        <v>2778</v>
      </c>
      <c r="B1344" s="5" t="s">
        <v>1388</v>
      </c>
      <c r="C1344" s="7" t="s">
        <v>64</v>
      </c>
      <c r="D1344" s="8">
        <v>553.07000000000005</v>
      </c>
    </row>
    <row r="1345" spans="1:4" x14ac:dyDescent="0.2">
      <c r="A1345" s="6">
        <v>2779</v>
      </c>
      <c r="B1345" s="5" t="s">
        <v>1389</v>
      </c>
      <c r="C1345" s="7" t="s">
        <v>64</v>
      </c>
      <c r="D1345" s="8">
        <v>638.79999999999995</v>
      </c>
    </row>
    <row r="1346" spans="1:4" x14ac:dyDescent="0.2">
      <c r="A1346" s="6">
        <v>2780</v>
      </c>
      <c r="B1346" s="5" t="s">
        <v>1390</v>
      </c>
      <c r="C1346" s="7" t="s">
        <v>64</v>
      </c>
      <c r="D1346" s="8">
        <v>553.07000000000005</v>
      </c>
    </row>
    <row r="1347" spans="1:4" x14ac:dyDescent="0.2">
      <c r="A1347" s="6">
        <v>2781</v>
      </c>
      <c r="B1347" s="5" t="s">
        <v>1391</v>
      </c>
      <c r="C1347" s="7" t="s">
        <v>64</v>
      </c>
      <c r="D1347" s="8">
        <v>553.07000000000005</v>
      </c>
    </row>
    <row r="1348" spans="1:4" x14ac:dyDescent="0.2">
      <c r="A1348" s="6">
        <v>2782</v>
      </c>
      <c r="B1348" s="5" t="s">
        <v>1392</v>
      </c>
      <c r="C1348" s="7" t="s">
        <v>10</v>
      </c>
      <c r="D1348" s="8">
        <v>307.25</v>
      </c>
    </row>
    <row r="1349" spans="1:4" x14ac:dyDescent="0.2">
      <c r="A1349" s="6">
        <v>2783</v>
      </c>
      <c r="B1349" s="5" t="s">
        <v>1393</v>
      </c>
      <c r="C1349" s="7" t="s">
        <v>10</v>
      </c>
      <c r="D1349" s="8">
        <v>307.25</v>
      </c>
    </row>
    <row r="1350" spans="1:4" x14ac:dyDescent="0.2">
      <c r="A1350" s="6">
        <v>2784</v>
      </c>
      <c r="B1350" s="5" t="s">
        <v>1394</v>
      </c>
      <c r="C1350" s="7" t="s">
        <v>10</v>
      </c>
      <c r="D1350" s="8">
        <v>307.25</v>
      </c>
    </row>
    <row r="1351" spans="1:4" x14ac:dyDescent="0.2">
      <c r="A1351" s="6">
        <v>2785</v>
      </c>
      <c r="B1351" s="5" t="s">
        <v>1395</v>
      </c>
      <c r="C1351" s="7" t="s">
        <v>64</v>
      </c>
      <c r="D1351" s="8">
        <v>553.07000000000005</v>
      </c>
    </row>
    <row r="1352" spans="1:4" x14ac:dyDescent="0.2">
      <c r="A1352" s="6">
        <v>2786</v>
      </c>
      <c r="B1352" s="5" t="s">
        <v>1396</v>
      </c>
      <c r="C1352" s="7" t="s">
        <v>64</v>
      </c>
      <c r="D1352" s="8">
        <v>553.07000000000005</v>
      </c>
    </row>
    <row r="1353" spans="1:4" x14ac:dyDescent="0.2">
      <c r="A1353" s="6">
        <v>2787</v>
      </c>
      <c r="B1353" s="5" t="s">
        <v>1397</v>
      </c>
      <c r="C1353" s="7" t="s">
        <v>10</v>
      </c>
      <c r="D1353" s="8">
        <v>307.25</v>
      </c>
    </row>
    <row r="1354" spans="1:4" x14ac:dyDescent="0.2">
      <c r="A1354" s="6">
        <v>2788</v>
      </c>
      <c r="B1354" s="5" t="s">
        <v>1398</v>
      </c>
      <c r="C1354" s="7" t="s">
        <v>64</v>
      </c>
      <c r="D1354" s="8">
        <v>553.07000000000005</v>
      </c>
    </row>
    <row r="1355" spans="1:4" x14ac:dyDescent="0.2">
      <c r="A1355" s="6">
        <v>2789</v>
      </c>
      <c r="B1355" s="5" t="s">
        <v>1399</v>
      </c>
      <c r="C1355" s="7" t="s">
        <v>10</v>
      </c>
      <c r="D1355" s="8">
        <v>307.25</v>
      </c>
    </row>
    <row r="1356" spans="1:4" x14ac:dyDescent="0.2">
      <c r="A1356" s="6">
        <v>2790</v>
      </c>
      <c r="B1356" s="5" t="s">
        <v>1400</v>
      </c>
      <c r="C1356" s="7" t="s">
        <v>64</v>
      </c>
      <c r="D1356" s="8">
        <v>553.07000000000005</v>
      </c>
    </row>
    <row r="1357" spans="1:4" x14ac:dyDescent="0.2">
      <c r="A1357" s="6">
        <v>2791</v>
      </c>
      <c r="B1357" s="5" t="s">
        <v>1401</v>
      </c>
      <c r="C1357" s="7" t="s">
        <v>10</v>
      </c>
      <c r="D1357" s="8">
        <v>307.25</v>
      </c>
    </row>
    <row r="1358" spans="1:4" x14ac:dyDescent="0.2">
      <c r="A1358" s="6">
        <v>2792</v>
      </c>
      <c r="B1358" s="5" t="s">
        <v>1402</v>
      </c>
      <c r="C1358" s="7" t="s">
        <v>10</v>
      </c>
      <c r="D1358" s="8">
        <v>307.25</v>
      </c>
    </row>
    <row r="1359" spans="1:4" x14ac:dyDescent="0.2">
      <c r="A1359" s="6">
        <v>2793</v>
      </c>
      <c r="B1359" s="5" t="s">
        <v>1403</v>
      </c>
      <c r="C1359" s="7" t="s">
        <v>92</v>
      </c>
      <c r="D1359" s="8">
        <v>222.6</v>
      </c>
    </row>
    <row r="1360" spans="1:4" x14ac:dyDescent="0.2">
      <c r="A1360" s="6">
        <v>2794</v>
      </c>
      <c r="B1360" s="5" t="s">
        <v>1404</v>
      </c>
      <c r="C1360" s="7" t="s">
        <v>10</v>
      </c>
      <c r="D1360" s="8">
        <v>307.25</v>
      </c>
    </row>
    <row r="1361" spans="1:4" x14ac:dyDescent="0.2">
      <c r="A1361" s="6">
        <v>2795</v>
      </c>
      <c r="B1361" s="5" t="s">
        <v>1405</v>
      </c>
      <c r="C1361" s="7" t="s">
        <v>64</v>
      </c>
      <c r="D1361" s="8">
        <v>553.07000000000005</v>
      </c>
    </row>
    <row r="1362" spans="1:4" x14ac:dyDescent="0.2">
      <c r="A1362" s="6">
        <v>2796</v>
      </c>
      <c r="B1362" s="5" t="s">
        <v>1406</v>
      </c>
      <c r="C1362" s="7" t="s">
        <v>10</v>
      </c>
      <c r="D1362" s="8">
        <v>307.25</v>
      </c>
    </row>
    <row r="1363" spans="1:4" x14ac:dyDescent="0.2">
      <c r="A1363" s="6">
        <v>2797</v>
      </c>
      <c r="B1363" s="5" t="s">
        <v>1407</v>
      </c>
      <c r="C1363" s="7" t="s">
        <v>10</v>
      </c>
      <c r="D1363" s="8">
        <v>307.25</v>
      </c>
    </row>
    <row r="1364" spans="1:4" x14ac:dyDescent="0.2">
      <c r="A1364" s="6">
        <v>2798</v>
      </c>
      <c r="B1364" s="5" t="s">
        <v>1408</v>
      </c>
      <c r="C1364" s="7" t="s">
        <v>10</v>
      </c>
      <c r="D1364" s="8">
        <v>307.25</v>
      </c>
    </row>
    <row r="1365" spans="1:4" x14ac:dyDescent="0.2">
      <c r="A1365" s="6">
        <v>2799</v>
      </c>
      <c r="B1365" s="5" t="s">
        <v>1409</v>
      </c>
      <c r="C1365" s="7" t="s">
        <v>10</v>
      </c>
      <c r="D1365" s="8">
        <v>307.25</v>
      </c>
    </row>
    <row r="1366" spans="1:4" x14ac:dyDescent="0.2">
      <c r="A1366" s="6">
        <v>2800</v>
      </c>
      <c r="B1366" s="5" t="s">
        <v>1410</v>
      </c>
      <c r="C1366" s="7" t="s">
        <v>10</v>
      </c>
      <c r="D1366" s="8">
        <v>307.25</v>
      </c>
    </row>
    <row r="1367" spans="1:4" x14ac:dyDescent="0.2">
      <c r="A1367" s="6">
        <v>2801</v>
      </c>
      <c r="B1367" s="5" t="s">
        <v>1411</v>
      </c>
      <c r="C1367" s="7" t="s">
        <v>265</v>
      </c>
      <c r="D1367" s="8">
        <v>164</v>
      </c>
    </row>
    <row r="1368" spans="1:4" x14ac:dyDescent="0.2">
      <c r="A1368" s="6">
        <v>2802</v>
      </c>
      <c r="B1368" s="5" t="s">
        <v>1412</v>
      </c>
      <c r="C1368" s="7" t="s">
        <v>10</v>
      </c>
      <c r="D1368" s="8">
        <v>307.25</v>
      </c>
    </row>
    <row r="1369" spans="1:4" x14ac:dyDescent="0.2">
      <c r="A1369" s="6">
        <v>2803</v>
      </c>
      <c r="B1369" s="5" t="s">
        <v>1413</v>
      </c>
      <c r="C1369" s="7" t="s">
        <v>64</v>
      </c>
      <c r="D1369" s="8">
        <v>553.07000000000005</v>
      </c>
    </row>
    <row r="1370" spans="1:4" x14ac:dyDescent="0.2">
      <c r="A1370" s="6">
        <v>2804</v>
      </c>
      <c r="B1370" s="5" t="s">
        <v>1414</v>
      </c>
      <c r="C1370" s="7" t="s">
        <v>10</v>
      </c>
      <c r="D1370" s="8">
        <v>307.25</v>
      </c>
    </row>
    <row r="1371" spans="1:4" x14ac:dyDescent="0.2">
      <c r="A1371" s="6">
        <v>2805</v>
      </c>
      <c r="B1371" s="5" t="s">
        <v>1415</v>
      </c>
      <c r="C1371" s="7" t="s">
        <v>10</v>
      </c>
      <c r="D1371" s="8">
        <v>307.25</v>
      </c>
    </row>
    <row r="1372" spans="1:4" x14ac:dyDescent="0.2">
      <c r="A1372" s="6">
        <v>2806</v>
      </c>
      <c r="B1372" s="5" t="s">
        <v>1416</v>
      </c>
      <c r="C1372" s="7" t="s">
        <v>10</v>
      </c>
      <c r="D1372" s="8">
        <v>307.25</v>
      </c>
    </row>
    <row r="1373" spans="1:4" x14ac:dyDescent="0.2">
      <c r="A1373" s="6">
        <v>2807</v>
      </c>
      <c r="B1373" s="5" t="s">
        <v>1417</v>
      </c>
      <c r="C1373" s="7" t="s">
        <v>297</v>
      </c>
      <c r="D1373" s="8">
        <v>638.79999999999995</v>
      </c>
    </row>
    <row r="1374" spans="1:4" x14ac:dyDescent="0.2">
      <c r="A1374" s="6">
        <v>2808</v>
      </c>
      <c r="B1374" s="5" t="s">
        <v>1418</v>
      </c>
      <c r="C1374" s="7" t="s">
        <v>64</v>
      </c>
      <c r="D1374" s="8">
        <v>553.07000000000005</v>
      </c>
    </row>
    <row r="1375" spans="1:4" x14ac:dyDescent="0.2">
      <c r="A1375" s="6">
        <v>2809</v>
      </c>
      <c r="B1375" s="5" t="s">
        <v>1419</v>
      </c>
      <c r="C1375" s="7" t="s">
        <v>64</v>
      </c>
      <c r="D1375" s="8">
        <v>553.07000000000005</v>
      </c>
    </row>
    <row r="1376" spans="1:4" x14ac:dyDescent="0.2">
      <c r="A1376" s="6">
        <v>2810</v>
      </c>
      <c r="B1376" s="5" t="s">
        <v>1420</v>
      </c>
      <c r="C1376" s="7" t="s">
        <v>10</v>
      </c>
      <c r="D1376" s="8">
        <v>307.25</v>
      </c>
    </row>
    <row r="1377" spans="1:4" x14ac:dyDescent="0.2">
      <c r="A1377" s="6">
        <v>2811</v>
      </c>
      <c r="B1377" s="5" t="s">
        <v>1421</v>
      </c>
      <c r="C1377" s="7" t="s">
        <v>64</v>
      </c>
      <c r="D1377" s="8">
        <v>553.07000000000005</v>
      </c>
    </row>
    <row r="1378" spans="1:4" x14ac:dyDescent="0.2">
      <c r="A1378" s="6">
        <v>2812</v>
      </c>
      <c r="B1378" s="5" t="s">
        <v>1422</v>
      </c>
      <c r="C1378" s="7" t="s">
        <v>64</v>
      </c>
      <c r="D1378" s="8">
        <v>553.07000000000005</v>
      </c>
    </row>
    <row r="1379" spans="1:4" x14ac:dyDescent="0.2">
      <c r="A1379" s="6">
        <v>2813</v>
      </c>
      <c r="B1379" s="5" t="s">
        <v>1423</v>
      </c>
      <c r="C1379" s="7" t="s">
        <v>10</v>
      </c>
      <c r="D1379" s="8">
        <v>307.25</v>
      </c>
    </row>
    <row r="1380" spans="1:4" x14ac:dyDescent="0.2">
      <c r="A1380" s="6">
        <v>2814</v>
      </c>
      <c r="B1380" s="5" t="s">
        <v>1424</v>
      </c>
      <c r="C1380" s="7" t="s">
        <v>64</v>
      </c>
      <c r="D1380" s="8">
        <v>553.07000000000005</v>
      </c>
    </row>
    <row r="1381" spans="1:4" x14ac:dyDescent="0.2">
      <c r="A1381" s="6">
        <v>2815</v>
      </c>
      <c r="B1381" s="5" t="s">
        <v>1425</v>
      </c>
      <c r="C1381" s="7" t="s">
        <v>10</v>
      </c>
      <c r="D1381" s="8">
        <v>307.25</v>
      </c>
    </row>
    <row r="1382" spans="1:4" x14ac:dyDescent="0.2">
      <c r="A1382" s="6">
        <v>2816</v>
      </c>
      <c r="B1382" s="5" t="s">
        <v>1426</v>
      </c>
      <c r="C1382" s="7" t="s">
        <v>64</v>
      </c>
      <c r="D1382" s="8">
        <v>553.07000000000005</v>
      </c>
    </row>
    <row r="1383" spans="1:4" x14ac:dyDescent="0.2">
      <c r="A1383" s="6">
        <v>2817</v>
      </c>
      <c r="B1383" s="5" t="s">
        <v>1427</v>
      </c>
      <c r="C1383" s="7" t="s">
        <v>64</v>
      </c>
      <c r="D1383" s="8">
        <v>553.07000000000005</v>
      </c>
    </row>
    <row r="1384" spans="1:4" x14ac:dyDescent="0.2">
      <c r="A1384" s="6">
        <v>2818</v>
      </c>
      <c r="B1384" s="5" t="s">
        <v>1428</v>
      </c>
      <c r="C1384" s="7" t="s">
        <v>64</v>
      </c>
      <c r="D1384" s="8">
        <v>553.07000000000005</v>
      </c>
    </row>
    <row r="1385" spans="1:4" x14ac:dyDescent="0.2">
      <c r="A1385" s="6">
        <v>2819</v>
      </c>
      <c r="B1385" s="5" t="s">
        <v>1429</v>
      </c>
      <c r="C1385" s="7" t="s">
        <v>64</v>
      </c>
      <c r="D1385" s="8">
        <v>553.07000000000005</v>
      </c>
    </row>
    <row r="1386" spans="1:4" x14ac:dyDescent="0.2">
      <c r="A1386" s="6">
        <v>2820</v>
      </c>
      <c r="B1386" s="5" t="s">
        <v>1430</v>
      </c>
      <c r="C1386" s="7" t="s">
        <v>10</v>
      </c>
      <c r="D1386" s="8">
        <v>307.25</v>
      </c>
    </row>
    <row r="1387" spans="1:4" x14ac:dyDescent="0.2">
      <c r="A1387" s="6">
        <v>2821</v>
      </c>
      <c r="B1387" s="5" t="s">
        <v>1431</v>
      </c>
      <c r="C1387" s="7" t="s">
        <v>10</v>
      </c>
      <c r="D1387" s="8">
        <v>307.25</v>
      </c>
    </row>
    <row r="1388" spans="1:4" x14ac:dyDescent="0.2">
      <c r="A1388" s="6">
        <v>2822</v>
      </c>
      <c r="B1388" s="5" t="s">
        <v>1432</v>
      </c>
      <c r="C1388" s="7" t="s">
        <v>10</v>
      </c>
      <c r="D1388" s="8">
        <v>307.25</v>
      </c>
    </row>
    <row r="1389" spans="1:4" x14ac:dyDescent="0.2">
      <c r="A1389" s="6">
        <v>2823</v>
      </c>
      <c r="B1389" s="5" t="s">
        <v>1433</v>
      </c>
      <c r="C1389" s="7" t="s">
        <v>10</v>
      </c>
      <c r="D1389" s="8">
        <v>307.25</v>
      </c>
    </row>
    <row r="1390" spans="1:4" x14ac:dyDescent="0.2">
      <c r="A1390" s="6">
        <v>2824</v>
      </c>
      <c r="B1390" s="5" t="s">
        <v>1434</v>
      </c>
      <c r="C1390" s="7" t="s">
        <v>64</v>
      </c>
      <c r="D1390" s="8">
        <v>553.07000000000005</v>
      </c>
    </row>
    <row r="1391" spans="1:4" x14ac:dyDescent="0.2">
      <c r="A1391" s="6">
        <v>2825</v>
      </c>
      <c r="B1391" s="5" t="s">
        <v>1435</v>
      </c>
      <c r="C1391" s="7" t="s">
        <v>10</v>
      </c>
      <c r="D1391" s="8">
        <v>307.25</v>
      </c>
    </row>
    <row r="1392" spans="1:4" x14ac:dyDescent="0.2">
      <c r="A1392" s="6">
        <v>2826</v>
      </c>
      <c r="B1392" s="5" t="s">
        <v>1436</v>
      </c>
      <c r="C1392" s="7" t="s">
        <v>64</v>
      </c>
      <c r="D1392" s="8">
        <v>553.07000000000005</v>
      </c>
    </row>
    <row r="1393" spans="1:4" x14ac:dyDescent="0.2">
      <c r="A1393" s="6">
        <v>2827</v>
      </c>
      <c r="B1393" s="5" t="s">
        <v>1437</v>
      </c>
      <c r="C1393" s="7" t="s">
        <v>10</v>
      </c>
      <c r="D1393" s="8">
        <v>307.25</v>
      </c>
    </row>
    <row r="1394" spans="1:4" x14ac:dyDescent="0.2">
      <c r="A1394" s="6">
        <v>2828</v>
      </c>
      <c r="B1394" s="5" t="s">
        <v>1438</v>
      </c>
      <c r="C1394" s="7" t="s">
        <v>64</v>
      </c>
      <c r="D1394" s="8">
        <v>553.07000000000005</v>
      </c>
    </row>
    <row r="1395" spans="1:4" x14ac:dyDescent="0.2">
      <c r="A1395" s="6">
        <v>2829</v>
      </c>
      <c r="B1395" s="5" t="s">
        <v>1439</v>
      </c>
      <c r="C1395" s="7" t="s">
        <v>10</v>
      </c>
      <c r="D1395" s="8">
        <v>307.25</v>
      </c>
    </row>
    <row r="1396" spans="1:4" x14ac:dyDescent="0.2">
      <c r="A1396" s="6">
        <v>2830</v>
      </c>
      <c r="B1396" s="5" t="s">
        <v>1440</v>
      </c>
      <c r="C1396" s="7" t="s">
        <v>64</v>
      </c>
      <c r="D1396" s="8">
        <v>553.07000000000005</v>
      </c>
    </row>
    <row r="1397" spans="1:4" x14ac:dyDescent="0.2">
      <c r="A1397" s="6">
        <v>2831</v>
      </c>
      <c r="B1397" s="5" t="s">
        <v>1441</v>
      </c>
      <c r="C1397" s="7" t="s">
        <v>64</v>
      </c>
      <c r="D1397" s="8">
        <v>553.07000000000005</v>
      </c>
    </row>
    <row r="1398" spans="1:4" x14ac:dyDescent="0.2">
      <c r="A1398" s="6">
        <v>2832</v>
      </c>
      <c r="B1398" s="5" t="s">
        <v>1442</v>
      </c>
      <c r="C1398" s="7" t="s">
        <v>10</v>
      </c>
      <c r="D1398" s="8">
        <v>307.25</v>
      </c>
    </row>
    <row r="1399" spans="1:4" x14ac:dyDescent="0.2">
      <c r="A1399" s="6">
        <v>2833</v>
      </c>
      <c r="B1399" s="5" t="s">
        <v>1443</v>
      </c>
      <c r="C1399" s="7" t="s">
        <v>64</v>
      </c>
      <c r="D1399" s="8">
        <v>553.07000000000005</v>
      </c>
    </row>
    <row r="1400" spans="1:4" x14ac:dyDescent="0.2">
      <c r="A1400" s="6">
        <v>2834</v>
      </c>
      <c r="B1400" s="5" t="s">
        <v>1444</v>
      </c>
      <c r="C1400" s="7" t="s">
        <v>64</v>
      </c>
      <c r="D1400" s="8">
        <v>553.07000000000005</v>
      </c>
    </row>
    <row r="1401" spans="1:4" x14ac:dyDescent="0.2">
      <c r="A1401" s="6">
        <v>2835</v>
      </c>
      <c r="B1401" s="5" t="s">
        <v>1445</v>
      </c>
      <c r="C1401" s="7" t="s">
        <v>64</v>
      </c>
      <c r="D1401" s="8">
        <v>553.07000000000005</v>
      </c>
    </row>
    <row r="1402" spans="1:4" x14ac:dyDescent="0.2">
      <c r="A1402" s="6">
        <v>2836</v>
      </c>
      <c r="B1402" s="5" t="s">
        <v>1446</v>
      </c>
      <c r="C1402" s="7" t="s">
        <v>64</v>
      </c>
      <c r="D1402" s="8">
        <v>553.07000000000005</v>
      </c>
    </row>
    <row r="1403" spans="1:4" x14ac:dyDescent="0.2">
      <c r="A1403" s="6">
        <v>2837</v>
      </c>
      <c r="B1403" s="5" t="s">
        <v>1447</v>
      </c>
      <c r="C1403" s="7" t="s">
        <v>10</v>
      </c>
      <c r="D1403" s="8">
        <v>307.25</v>
      </c>
    </row>
    <row r="1404" spans="1:4" x14ac:dyDescent="0.2">
      <c r="A1404" s="6">
        <v>2838</v>
      </c>
      <c r="B1404" s="5" t="s">
        <v>1448</v>
      </c>
      <c r="C1404" s="7" t="s">
        <v>64</v>
      </c>
      <c r="D1404" s="8">
        <v>553.07000000000005</v>
      </c>
    </row>
    <row r="1405" spans="1:4" x14ac:dyDescent="0.2">
      <c r="A1405" s="6">
        <v>2839</v>
      </c>
      <c r="B1405" s="5" t="s">
        <v>1449</v>
      </c>
      <c r="C1405" s="7" t="s">
        <v>10</v>
      </c>
      <c r="D1405" s="8">
        <v>307.25</v>
      </c>
    </row>
    <row r="1406" spans="1:4" x14ac:dyDescent="0.2">
      <c r="A1406" s="6">
        <v>2840</v>
      </c>
      <c r="B1406" s="5" t="s">
        <v>1450</v>
      </c>
      <c r="C1406" s="7" t="s">
        <v>10</v>
      </c>
      <c r="D1406" s="8">
        <v>307.25</v>
      </c>
    </row>
    <row r="1407" spans="1:4" x14ac:dyDescent="0.2">
      <c r="A1407" s="6">
        <v>2841</v>
      </c>
      <c r="B1407" s="5" t="s">
        <v>1451</v>
      </c>
      <c r="C1407" s="7" t="s">
        <v>10</v>
      </c>
      <c r="D1407" s="8">
        <v>307.25</v>
      </c>
    </row>
    <row r="1408" spans="1:4" x14ac:dyDescent="0.2">
      <c r="A1408" s="6">
        <v>2842</v>
      </c>
      <c r="B1408" s="5" t="s">
        <v>1452</v>
      </c>
      <c r="C1408" s="7" t="s">
        <v>10</v>
      </c>
      <c r="D1408" s="8">
        <v>307.25</v>
      </c>
    </row>
    <row r="1409" spans="1:4" x14ac:dyDescent="0.2">
      <c r="A1409" s="6">
        <v>2843</v>
      </c>
      <c r="B1409" s="5" t="s">
        <v>1453</v>
      </c>
      <c r="C1409" s="7" t="s">
        <v>10</v>
      </c>
      <c r="D1409" s="8">
        <v>307.25</v>
      </c>
    </row>
    <row r="1410" spans="1:4" x14ac:dyDescent="0.2">
      <c r="A1410" s="6">
        <v>2844</v>
      </c>
      <c r="B1410" s="5" t="s">
        <v>1454</v>
      </c>
      <c r="C1410" s="7" t="s">
        <v>10</v>
      </c>
      <c r="D1410" s="8">
        <f>382.02*1.05</f>
        <v>401.12099999999998</v>
      </c>
    </row>
    <row r="1411" spans="1:4" x14ac:dyDescent="0.2">
      <c r="A1411" s="6">
        <v>2845</v>
      </c>
      <c r="B1411" s="5" t="s">
        <v>1455</v>
      </c>
      <c r="C1411" s="7" t="s">
        <v>10</v>
      </c>
      <c r="D1411" s="8">
        <v>297.51</v>
      </c>
    </row>
    <row r="1412" spans="1:4" x14ac:dyDescent="0.2">
      <c r="A1412" s="6">
        <v>2846</v>
      </c>
      <c r="B1412" s="5" t="s">
        <v>1456</v>
      </c>
      <c r="C1412" s="7" t="s">
        <v>10</v>
      </c>
      <c r="D1412" s="8">
        <v>307.25</v>
      </c>
    </row>
    <row r="1413" spans="1:4" x14ac:dyDescent="0.2">
      <c r="A1413" s="6">
        <v>2847</v>
      </c>
      <c r="B1413" s="5" t="s">
        <v>1457</v>
      </c>
      <c r="C1413" s="7" t="s">
        <v>10</v>
      </c>
      <c r="D1413" s="8">
        <v>402.57</v>
      </c>
    </row>
    <row r="1414" spans="1:4" x14ac:dyDescent="0.2">
      <c r="A1414" s="6">
        <v>2848</v>
      </c>
      <c r="B1414" s="5" t="s">
        <v>1458</v>
      </c>
      <c r="C1414" s="7" t="s">
        <v>10</v>
      </c>
      <c r="D1414" s="8">
        <v>307.25</v>
      </c>
    </row>
    <row r="1415" spans="1:4" x14ac:dyDescent="0.2">
      <c r="A1415" s="6">
        <v>2849</v>
      </c>
      <c r="B1415" s="5" t="s">
        <v>1459</v>
      </c>
      <c r="C1415" s="7" t="s">
        <v>10</v>
      </c>
      <c r="D1415" s="8">
        <v>307.25</v>
      </c>
    </row>
    <row r="1416" spans="1:4" x14ac:dyDescent="0.2">
      <c r="A1416" s="6">
        <v>2850</v>
      </c>
      <c r="B1416" s="5" t="s">
        <v>1460</v>
      </c>
      <c r="C1416" s="7" t="s">
        <v>10</v>
      </c>
      <c r="D1416" s="8">
        <v>307.25</v>
      </c>
    </row>
    <row r="1417" spans="1:4" x14ac:dyDescent="0.2">
      <c r="A1417" s="6">
        <v>2851</v>
      </c>
      <c r="B1417" s="5" t="s">
        <v>1461</v>
      </c>
      <c r="C1417" s="7" t="s">
        <v>10</v>
      </c>
      <c r="D1417" s="8">
        <v>307.25</v>
      </c>
    </row>
    <row r="1418" spans="1:4" x14ac:dyDescent="0.2">
      <c r="A1418" s="6">
        <v>2852</v>
      </c>
      <c r="B1418" s="5" t="s">
        <v>1462</v>
      </c>
      <c r="C1418" s="7" t="s">
        <v>64</v>
      </c>
      <c r="D1418" s="8">
        <v>553.07000000000005</v>
      </c>
    </row>
    <row r="1419" spans="1:4" x14ac:dyDescent="0.2">
      <c r="A1419" s="6">
        <v>2853</v>
      </c>
      <c r="B1419" s="5" t="s">
        <v>1463</v>
      </c>
      <c r="C1419" s="7" t="s">
        <v>10</v>
      </c>
      <c r="D1419" s="8">
        <v>307.25</v>
      </c>
    </row>
    <row r="1420" spans="1:4" x14ac:dyDescent="0.2">
      <c r="A1420" s="6">
        <v>2854</v>
      </c>
      <c r="B1420" s="5" t="s">
        <v>1464</v>
      </c>
      <c r="C1420" s="7" t="s">
        <v>10</v>
      </c>
      <c r="D1420" s="8">
        <v>307.25</v>
      </c>
    </row>
    <row r="1421" spans="1:4" x14ac:dyDescent="0.2">
      <c r="A1421" s="6">
        <v>2855</v>
      </c>
      <c r="B1421" s="5" t="s">
        <v>1465</v>
      </c>
      <c r="C1421" s="7" t="s">
        <v>10</v>
      </c>
      <c r="D1421" s="8">
        <v>307.25</v>
      </c>
    </row>
    <row r="1422" spans="1:4" x14ac:dyDescent="0.2">
      <c r="A1422" s="6">
        <v>2856</v>
      </c>
      <c r="B1422" s="5" t="s">
        <v>1466</v>
      </c>
      <c r="C1422" s="7" t="s">
        <v>10</v>
      </c>
      <c r="D1422" s="8">
        <v>307.25</v>
      </c>
    </row>
    <row r="1423" spans="1:4" x14ac:dyDescent="0.2">
      <c r="A1423" s="6">
        <v>2857</v>
      </c>
      <c r="B1423" s="5" t="s">
        <v>1467</v>
      </c>
      <c r="C1423" s="7" t="s">
        <v>10</v>
      </c>
      <c r="D1423" s="8">
        <v>307.25</v>
      </c>
    </row>
    <row r="1424" spans="1:4" x14ac:dyDescent="0.2">
      <c r="A1424" s="6">
        <v>2858</v>
      </c>
      <c r="B1424" s="5" t="s">
        <v>1468</v>
      </c>
      <c r="C1424" s="7" t="s">
        <v>64</v>
      </c>
      <c r="D1424" s="8">
        <v>553.07000000000005</v>
      </c>
    </row>
    <row r="1425" spans="1:4" x14ac:dyDescent="0.2">
      <c r="A1425" s="6">
        <v>2859</v>
      </c>
      <c r="B1425" s="5" t="s">
        <v>1469</v>
      </c>
      <c r="C1425" s="7" t="s">
        <v>10</v>
      </c>
      <c r="D1425" s="8">
        <v>307.25</v>
      </c>
    </row>
    <row r="1426" spans="1:4" x14ac:dyDescent="0.2">
      <c r="A1426" s="6">
        <v>2860</v>
      </c>
      <c r="B1426" s="5" t="s">
        <v>1470</v>
      </c>
      <c r="C1426" s="7" t="s">
        <v>10</v>
      </c>
      <c r="D1426" s="8">
        <v>307.25</v>
      </c>
    </row>
    <row r="1427" spans="1:4" x14ac:dyDescent="0.2">
      <c r="A1427" s="6">
        <v>2861</v>
      </c>
      <c r="B1427" s="5" t="s">
        <v>1471</v>
      </c>
      <c r="C1427" s="7" t="s">
        <v>10</v>
      </c>
      <c r="D1427" s="8">
        <v>307.25</v>
      </c>
    </row>
    <row r="1428" spans="1:4" x14ac:dyDescent="0.2">
      <c r="A1428" s="6">
        <v>2862</v>
      </c>
      <c r="B1428" s="5" t="s">
        <v>1472</v>
      </c>
      <c r="C1428" s="7" t="s">
        <v>10</v>
      </c>
      <c r="D1428" s="8">
        <v>350.97</v>
      </c>
    </row>
    <row r="1429" spans="1:4" x14ac:dyDescent="0.2">
      <c r="A1429" s="6">
        <v>2863</v>
      </c>
      <c r="B1429" s="5" t="s">
        <v>1473</v>
      </c>
      <c r="C1429" s="7" t="s">
        <v>10</v>
      </c>
      <c r="D1429" s="8">
        <v>307.25</v>
      </c>
    </row>
    <row r="1430" spans="1:4" x14ac:dyDescent="0.2">
      <c r="A1430" s="6">
        <v>2864</v>
      </c>
      <c r="B1430" s="5" t="s">
        <v>1474</v>
      </c>
      <c r="C1430" s="7" t="s">
        <v>64</v>
      </c>
      <c r="D1430" s="8">
        <v>553.07000000000005</v>
      </c>
    </row>
    <row r="1431" spans="1:4" x14ac:dyDescent="0.2">
      <c r="A1431" s="6">
        <v>2865</v>
      </c>
      <c r="B1431" s="5" t="s">
        <v>1475</v>
      </c>
      <c r="C1431" s="7" t="s">
        <v>64</v>
      </c>
      <c r="D1431" s="8">
        <v>553.07000000000005</v>
      </c>
    </row>
    <row r="1432" spans="1:4" x14ac:dyDescent="0.2">
      <c r="A1432" s="6">
        <v>2866</v>
      </c>
      <c r="B1432" s="5" t="s">
        <v>1476</v>
      </c>
      <c r="C1432" s="7" t="s">
        <v>10</v>
      </c>
      <c r="D1432" s="8">
        <v>307.25</v>
      </c>
    </row>
    <row r="1433" spans="1:4" x14ac:dyDescent="0.2">
      <c r="A1433" s="6">
        <v>2867</v>
      </c>
      <c r="B1433" s="5" t="s">
        <v>1477</v>
      </c>
      <c r="C1433" s="7" t="s">
        <v>10</v>
      </c>
      <c r="D1433" s="8">
        <v>307.25</v>
      </c>
    </row>
    <row r="1434" spans="1:4" x14ac:dyDescent="0.2">
      <c r="A1434" s="6">
        <v>2868</v>
      </c>
      <c r="B1434" s="5" t="s">
        <v>1478</v>
      </c>
      <c r="C1434" s="7" t="s">
        <v>10</v>
      </c>
      <c r="D1434" s="8">
        <v>307.25</v>
      </c>
    </row>
    <row r="1435" spans="1:4" x14ac:dyDescent="0.2">
      <c r="A1435" s="6">
        <v>2869</v>
      </c>
      <c r="B1435" s="5" t="s">
        <v>1479</v>
      </c>
      <c r="C1435" s="7" t="s">
        <v>10</v>
      </c>
      <c r="D1435" s="8">
        <v>307.25</v>
      </c>
    </row>
    <row r="1436" spans="1:4" x14ac:dyDescent="0.2">
      <c r="A1436" s="6">
        <v>2870</v>
      </c>
      <c r="B1436" s="5" t="s">
        <v>1480</v>
      </c>
      <c r="C1436" s="7" t="s">
        <v>10</v>
      </c>
      <c r="D1436" s="8">
        <v>307.25</v>
      </c>
    </row>
    <row r="1437" spans="1:4" x14ac:dyDescent="0.2">
      <c r="A1437" s="6">
        <v>2871</v>
      </c>
      <c r="B1437" s="5" t="s">
        <v>1481</v>
      </c>
      <c r="C1437" s="7" t="s">
        <v>10</v>
      </c>
      <c r="D1437" s="8">
        <v>307.25</v>
      </c>
    </row>
    <row r="1438" spans="1:4" x14ac:dyDescent="0.2">
      <c r="A1438" s="6">
        <v>2872</v>
      </c>
      <c r="B1438" s="5" t="s">
        <v>1482</v>
      </c>
      <c r="C1438" s="7" t="s">
        <v>10</v>
      </c>
      <c r="D1438" s="8">
        <v>307.25</v>
      </c>
    </row>
    <row r="1439" spans="1:4" x14ac:dyDescent="0.2">
      <c r="A1439" s="6">
        <v>2873</v>
      </c>
      <c r="B1439" s="5" t="s">
        <v>1483</v>
      </c>
      <c r="C1439" s="7" t="s">
        <v>10</v>
      </c>
      <c r="D1439" s="8">
        <v>307.25</v>
      </c>
    </row>
    <row r="1440" spans="1:4" x14ac:dyDescent="0.2">
      <c r="A1440" s="6">
        <v>2874</v>
      </c>
      <c r="B1440" s="5" t="s">
        <v>1484</v>
      </c>
      <c r="C1440" s="7" t="s">
        <v>10</v>
      </c>
      <c r="D1440" s="8">
        <v>307.25</v>
      </c>
    </row>
    <row r="1441" spans="1:4" x14ac:dyDescent="0.2">
      <c r="A1441" s="6">
        <v>2875</v>
      </c>
      <c r="B1441" s="5" t="s">
        <v>1485</v>
      </c>
      <c r="C1441" s="7" t="s">
        <v>10</v>
      </c>
      <c r="D1441" s="8">
        <v>307.25</v>
      </c>
    </row>
    <row r="1442" spans="1:4" x14ac:dyDescent="0.2">
      <c r="A1442" s="6">
        <v>2876</v>
      </c>
      <c r="B1442" s="5" t="s">
        <v>1486</v>
      </c>
      <c r="C1442" s="7" t="s">
        <v>10</v>
      </c>
      <c r="D1442" s="8">
        <v>307.25</v>
      </c>
    </row>
    <row r="1443" spans="1:4" x14ac:dyDescent="0.2">
      <c r="A1443" s="6">
        <v>2877</v>
      </c>
      <c r="B1443" s="5" t="s">
        <v>1487</v>
      </c>
      <c r="C1443" s="7" t="s">
        <v>10</v>
      </c>
      <c r="D1443" s="8">
        <v>307.25</v>
      </c>
    </row>
    <row r="1444" spans="1:4" x14ac:dyDescent="0.2">
      <c r="A1444" s="6">
        <v>2878</v>
      </c>
      <c r="B1444" s="5" t="s">
        <v>1488</v>
      </c>
      <c r="C1444" s="7" t="s">
        <v>10</v>
      </c>
      <c r="D1444" s="8">
        <v>307.25</v>
      </c>
    </row>
    <row r="1445" spans="1:4" x14ac:dyDescent="0.2">
      <c r="A1445" s="6">
        <v>2879</v>
      </c>
      <c r="B1445" s="5" t="s">
        <v>1489</v>
      </c>
      <c r="C1445" s="7" t="s">
        <v>10</v>
      </c>
      <c r="D1445" s="8">
        <v>307.25</v>
      </c>
    </row>
    <row r="1446" spans="1:4" x14ac:dyDescent="0.2">
      <c r="A1446" s="6">
        <v>2880</v>
      </c>
      <c r="B1446" s="5" t="s">
        <v>1490</v>
      </c>
      <c r="C1446" s="7" t="s">
        <v>10</v>
      </c>
      <c r="D1446" s="8">
        <v>307.25</v>
      </c>
    </row>
    <row r="1447" spans="1:4" x14ac:dyDescent="0.2">
      <c r="A1447" s="6">
        <v>2881</v>
      </c>
      <c r="B1447" s="5" t="s">
        <v>1491</v>
      </c>
      <c r="C1447" s="7" t="s">
        <v>64</v>
      </c>
      <c r="D1447" s="8">
        <v>553.07000000000005</v>
      </c>
    </row>
    <row r="1448" spans="1:4" x14ac:dyDescent="0.2">
      <c r="A1448" s="6">
        <v>2882</v>
      </c>
      <c r="B1448" s="5" t="s">
        <v>1492</v>
      </c>
      <c r="C1448" s="7" t="s">
        <v>64</v>
      </c>
      <c r="D1448" s="8">
        <v>553.07000000000005</v>
      </c>
    </row>
    <row r="1449" spans="1:4" x14ac:dyDescent="0.2">
      <c r="A1449" s="6">
        <v>2883</v>
      </c>
      <c r="B1449" s="5" t="s">
        <v>1493</v>
      </c>
      <c r="C1449" s="7" t="s">
        <v>10</v>
      </c>
      <c r="D1449" s="8">
        <v>307.25</v>
      </c>
    </row>
    <row r="1450" spans="1:4" x14ac:dyDescent="0.2">
      <c r="A1450" s="6">
        <v>2884</v>
      </c>
      <c r="B1450" s="5" t="s">
        <v>1494</v>
      </c>
      <c r="C1450" s="7" t="s">
        <v>64</v>
      </c>
      <c r="D1450" s="8">
        <v>553.07000000000005</v>
      </c>
    </row>
    <row r="1451" spans="1:4" x14ac:dyDescent="0.2">
      <c r="A1451" s="6">
        <v>2885</v>
      </c>
      <c r="B1451" s="5" t="s">
        <v>1495</v>
      </c>
      <c r="C1451" s="7" t="s">
        <v>64</v>
      </c>
      <c r="D1451" s="8">
        <v>553.07000000000005</v>
      </c>
    </row>
    <row r="1452" spans="1:4" x14ac:dyDescent="0.2">
      <c r="A1452" s="6">
        <v>2886</v>
      </c>
      <c r="B1452" s="5" t="s">
        <v>1496</v>
      </c>
      <c r="C1452" s="7" t="s">
        <v>10</v>
      </c>
      <c r="D1452" s="8">
        <v>307.25</v>
      </c>
    </row>
    <row r="1453" spans="1:4" x14ac:dyDescent="0.2">
      <c r="A1453" s="6">
        <v>2887</v>
      </c>
      <c r="B1453" s="5" t="s">
        <v>1497</v>
      </c>
      <c r="C1453" s="7" t="s">
        <v>64</v>
      </c>
      <c r="D1453" s="8">
        <v>553.07000000000005</v>
      </c>
    </row>
    <row r="1454" spans="1:4" x14ac:dyDescent="0.2">
      <c r="A1454" s="6">
        <v>2888</v>
      </c>
      <c r="B1454" s="5" t="s">
        <v>1498</v>
      </c>
      <c r="C1454" s="7" t="s">
        <v>10</v>
      </c>
      <c r="D1454" s="8">
        <v>307.25</v>
      </c>
    </row>
    <row r="1455" spans="1:4" x14ac:dyDescent="0.2">
      <c r="A1455" s="6">
        <v>2889</v>
      </c>
      <c r="B1455" s="5" t="s">
        <v>1499</v>
      </c>
      <c r="C1455" s="7" t="s">
        <v>10</v>
      </c>
      <c r="D1455" s="8">
        <v>307.25</v>
      </c>
    </row>
    <row r="1456" spans="1:4" x14ac:dyDescent="0.2">
      <c r="A1456" s="6">
        <v>2890</v>
      </c>
      <c r="B1456" s="5" t="s">
        <v>1500</v>
      </c>
      <c r="C1456" s="7" t="s">
        <v>64</v>
      </c>
      <c r="D1456" s="8">
        <v>553.07000000000005</v>
      </c>
    </row>
    <row r="1457" spans="1:4" x14ac:dyDescent="0.2">
      <c r="A1457" s="6">
        <v>2891</v>
      </c>
      <c r="B1457" s="5" t="s">
        <v>1501</v>
      </c>
      <c r="C1457" s="7" t="s">
        <v>10</v>
      </c>
      <c r="D1457" s="8">
        <v>307.25</v>
      </c>
    </row>
    <row r="1458" spans="1:4" x14ac:dyDescent="0.2">
      <c r="A1458" s="6">
        <v>2892</v>
      </c>
      <c r="B1458" s="5" t="s">
        <v>1502</v>
      </c>
      <c r="C1458" s="7" t="s">
        <v>64</v>
      </c>
      <c r="D1458" s="8">
        <v>553.07000000000005</v>
      </c>
    </row>
    <row r="1459" spans="1:4" x14ac:dyDescent="0.2">
      <c r="A1459" s="6">
        <v>2893</v>
      </c>
      <c r="B1459" s="5" t="s">
        <v>1503</v>
      </c>
      <c r="C1459" s="7" t="s">
        <v>10</v>
      </c>
      <c r="D1459" s="8">
        <v>307.25</v>
      </c>
    </row>
    <row r="1460" spans="1:4" x14ac:dyDescent="0.2">
      <c r="A1460" s="6">
        <v>2894</v>
      </c>
      <c r="B1460" s="5" t="s">
        <v>1504</v>
      </c>
      <c r="C1460" s="7" t="s">
        <v>64</v>
      </c>
      <c r="D1460" s="8">
        <v>553.07000000000005</v>
      </c>
    </row>
    <row r="1461" spans="1:4" x14ac:dyDescent="0.2">
      <c r="A1461" s="6">
        <v>2895</v>
      </c>
      <c r="B1461" s="5" t="s">
        <v>1505</v>
      </c>
      <c r="C1461" s="7" t="s">
        <v>64</v>
      </c>
      <c r="D1461" s="8">
        <v>553.07000000000005</v>
      </c>
    </row>
    <row r="1462" spans="1:4" x14ac:dyDescent="0.2">
      <c r="A1462" s="6">
        <v>2896</v>
      </c>
      <c r="B1462" s="5" t="s">
        <v>1506</v>
      </c>
      <c r="C1462" s="7" t="s">
        <v>265</v>
      </c>
      <c r="D1462" s="8">
        <v>214.28571428571428</v>
      </c>
    </row>
    <row r="1463" spans="1:4" x14ac:dyDescent="0.2">
      <c r="A1463" s="6">
        <v>2897</v>
      </c>
      <c r="B1463" s="5" t="s">
        <v>1507</v>
      </c>
      <c r="C1463" s="7" t="s">
        <v>10</v>
      </c>
      <c r="D1463" s="8">
        <v>307.25</v>
      </c>
    </row>
    <row r="1464" spans="1:4" x14ac:dyDescent="0.2">
      <c r="A1464" s="6">
        <v>2898</v>
      </c>
      <c r="B1464" s="5" t="s">
        <v>1508</v>
      </c>
      <c r="C1464" s="7" t="s">
        <v>64</v>
      </c>
      <c r="D1464" s="8">
        <v>553.07000000000005</v>
      </c>
    </row>
    <row r="1465" spans="1:4" x14ac:dyDescent="0.2">
      <c r="A1465" s="6">
        <v>2899</v>
      </c>
      <c r="B1465" s="5" t="s">
        <v>1509</v>
      </c>
      <c r="C1465" s="7" t="s">
        <v>10</v>
      </c>
      <c r="D1465" s="8">
        <v>307.25</v>
      </c>
    </row>
    <row r="1466" spans="1:4" x14ac:dyDescent="0.2">
      <c r="A1466" s="6">
        <v>2900</v>
      </c>
      <c r="B1466" s="5" t="s">
        <v>1510</v>
      </c>
      <c r="C1466" s="7" t="s">
        <v>10</v>
      </c>
      <c r="D1466" s="8">
        <v>307.25</v>
      </c>
    </row>
    <row r="1467" spans="1:4" x14ac:dyDescent="0.2">
      <c r="A1467" s="6">
        <v>2901</v>
      </c>
      <c r="B1467" s="5" t="s">
        <v>1511</v>
      </c>
      <c r="C1467" s="7" t="s">
        <v>64</v>
      </c>
      <c r="D1467" s="8">
        <v>553.07000000000005</v>
      </c>
    </row>
    <row r="1468" spans="1:4" x14ac:dyDescent="0.2">
      <c r="A1468" s="6">
        <v>2902</v>
      </c>
      <c r="B1468" s="5" t="s">
        <v>1512</v>
      </c>
      <c r="C1468" s="7" t="s">
        <v>64</v>
      </c>
      <c r="D1468" s="8">
        <v>553.07000000000005</v>
      </c>
    </row>
    <row r="1469" spans="1:4" x14ac:dyDescent="0.2">
      <c r="A1469" s="6">
        <v>2903</v>
      </c>
      <c r="B1469" s="5" t="s">
        <v>1513</v>
      </c>
      <c r="C1469" s="7" t="s">
        <v>64</v>
      </c>
      <c r="D1469" s="8">
        <v>553.07000000000005</v>
      </c>
    </row>
    <row r="1470" spans="1:4" x14ac:dyDescent="0.2">
      <c r="A1470" s="6">
        <v>2904</v>
      </c>
      <c r="B1470" s="5" t="s">
        <v>1514</v>
      </c>
      <c r="C1470" s="7" t="s">
        <v>64</v>
      </c>
      <c r="D1470" s="8">
        <v>553.07000000000005</v>
      </c>
    </row>
    <row r="1471" spans="1:4" x14ac:dyDescent="0.2">
      <c r="A1471" s="6">
        <v>2905</v>
      </c>
      <c r="B1471" s="5" t="s">
        <v>1515</v>
      </c>
      <c r="C1471" s="7" t="s">
        <v>64</v>
      </c>
      <c r="D1471" s="8">
        <v>553.07000000000005</v>
      </c>
    </row>
    <row r="1472" spans="1:4" x14ac:dyDescent="0.2">
      <c r="A1472" s="6">
        <v>2906</v>
      </c>
      <c r="B1472" s="5" t="s">
        <v>1516</v>
      </c>
      <c r="C1472" s="7" t="s">
        <v>10</v>
      </c>
      <c r="D1472" s="8">
        <v>307.25</v>
      </c>
    </row>
    <row r="1473" spans="1:4" x14ac:dyDescent="0.2">
      <c r="A1473" s="6">
        <v>2907</v>
      </c>
      <c r="B1473" s="5" t="s">
        <v>1517</v>
      </c>
      <c r="C1473" s="7" t="s">
        <v>10</v>
      </c>
      <c r="D1473" s="8">
        <v>307.25</v>
      </c>
    </row>
    <row r="1474" spans="1:4" x14ac:dyDescent="0.2">
      <c r="A1474" s="6">
        <v>2908</v>
      </c>
      <c r="B1474" s="5" t="s">
        <v>1518</v>
      </c>
      <c r="C1474" s="7" t="s">
        <v>10</v>
      </c>
      <c r="D1474" s="8">
        <v>307.25</v>
      </c>
    </row>
    <row r="1475" spans="1:4" x14ac:dyDescent="0.2">
      <c r="A1475" s="6">
        <v>2909</v>
      </c>
      <c r="B1475" s="5" t="s">
        <v>1519</v>
      </c>
      <c r="C1475" s="7" t="s">
        <v>10</v>
      </c>
      <c r="D1475" s="8">
        <v>307.25</v>
      </c>
    </row>
    <row r="1476" spans="1:4" x14ac:dyDescent="0.2">
      <c r="A1476" s="6">
        <v>2910</v>
      </c>
      <c r="B1476" s="5" t="s">
        <v>1520</v>
      </c>
      <c r="C1476" s="7" t="s">
        <v>64</v>
      </c>
      <c r="D1476" s="8">
        <v>553.07000000000005</v>
      </c>
    </row>
    <row r="1477" spans="1:4" x14ac:dyDescent="0.2">
      <c r="A1477" s="6">
        <v>2911</v>
      </c>
      <c r="B1477" s="5" t="s">
        <v>1521</v>
      </c>
      <c r="C1477" s="7" t="s">
        <v>10</v>
      </c>
      <c r="D1477" s="8">
        <v>307.25</v>
      </c>
    </row>
    <row r="1478" spans="1:4" x14ac:dyDescent="0.2">
      <c r="A1478" s="6">
        <v>2912</v>
      </c>
      <c r="B1478" s="5" t="s">
        <v>1522</v>
      </c>
      <c r="C1478" s="7" t="s">
        <v>10</v>
      </c>
      <c r="D1478" s="8">
        <v>307.25</v>
      </c>
    </row>
    <row r="1479" spans="1:4" x14ac:dyDescent="0.2">
      <c r="A1479" s="6">
        <v>2913</v>
      </c>
      <c r="B1479" s="5" t="s">
        <v>1523</v>
      </c>
      <c r="C1479" s="7" t="s">
        <v>64</v>
      </c>
      <c r="D1479" s="8">
        <v>553.07000000000005</v>
      </c>
    </row>
    <row r="1480" spans="1:4" x14ac:dyDescent="0.2">
      <c r="A1480" s="6">
        <v>2914</v>
      </c>
      <c r="B1480" s="5" t="s">
        <v>1524</v>
      </c>
      <c r="C1480" s="7" t="s">
        <v>10</v>
      </c>
      <c r="D1480" s="8">
        <v>307.25</v>
      </c>
    </row>
    <row r="1481" spans="1:4" x14ac:dyDescent="0.2">
      <c r="A1481" s="6">
        <v>2915</v>
      </c>
      <c r="B1481" s="5" t="s">
        <v>1525</v>
      </c>
      <c r="C1481" s="7" t="s">
        <v>10</v>
      </c>
      <c r="D1481" s="8">
        <v>307.25</v>
      </c>
    </row>
    <row r="1482" spans="1:4" x14ac:dyDescent="0.2">
      <c r="A1482" s="6">
        <v>2916</v>
      </c>
      <c r="B1482" s="5" t="s">
        <v>1526</v>
      </c>
      <c r="C1482" s="7" t="s">
        <v>64</v>
      </c>
      <c r="D1482" s="8">
        <v>553.07000000000005</v>
      </c>
    </row>
    <row r="1483" spans="1:4" x14ac:dyDescent="0.2">
      <c r="A1483" s="6">
        <v>2917</v>
      </c>
      <c r="B1483" s="5" t="s">
        <v>1527</v>
      </c>
      <c r="C1483" s="7" t="s">
        <v>64</v>
      </c>
      <c r="D1483" s="8">
        <v>553.07000000000005</v>
      </c>
    </row>
    <row r="1484" spans="1:4" x14ac:dyDescent="0.2">
      <c r="A1484" s="6">
        <v>2918</v>
      </c>
      <c r="B1484" s="5" t="s">
        <v>1528</v>
      </c>
      <c r="C1484" s="7" t="s">
        <v>10</v>
      </c>
      <c r="D1484" s="8">
        <v>307.25</v>
      </c>
    </row>
    <row r="1485" spans="1:4" x14ac:dyDescent="0.2">
      <c r="A1485" s="6">
        <v>2919</v>
      </c>
      <c r="B1485" s="5" t="s">
        <v>1529</v>
      </c>
      <c r="C1485" s="7" t="s">
        <v>64</v>
      </c>
      <c r="D1485" s="8">
        <v>553.07000000000005</v>
      </c>
    </row>
    <row r="1486" spans="1:4" x14ac:dyDescent="0.2">
      <c r="A1486" s="6">
        <v>2920</v>
      </c>
      <c r="B1486" s="5" t="s">
        <v>1530</v>
      </c>
      <c r="C1486" s="7" t="s">
        <v>10</v>
      </c>
      <c r="D1486" s="8">
        <v>307.25</v>
      </c>
    </row>
    <row r="1487" spans="1:4" x14ac:dyDescent="0.2">
      <c r="A1487" s="6">
        <v>2921</v>
      </c>
      <c r="B1487" s="5" t="s">
        <v>1531</v>
      </c>
      <c r="C1487" s="7" t="s">
        <v>10</v>
      </c>
      <c r="D1487" s="8">
        <v>307.25</v>
      </c>
    </row>
    <row r="1488" spans="1:4" x14ac:dyDescent="0.2">
      <c r="A1488" s="6">
        <v>2922</v>
      </c>
      <c r="B1488" s="5" t="s">
        <v>1532</v>
      </c>
      <c r="C1488" s="7" t="s">
        <v>10</v>
      </c>
      <c r="D1488" s="8">
        <v>307.25</v>
      </c>
    </row>
    <row r="1489" spans="1:4" x14ac:dyDescent="0.2">
      <c r="A1489" s="6">
        <v>2923</v>
      </c>
      <c r="B1489" s="5" t="s">
        <v>1533</v>
      </c>
      <c r="C1489" s="7" t="s">
        <v>64</v>
      </c>
      <c r="D1489" s="8">
        <v>553.07000000000005</v>
      </c>
    </row>
    <row r="1490" spans="1:4" x14ac:dyDescent="0.2">
      <c r="A1490" s="6">
        <v>2924</v>
      </c>
      <c r="B1490" s="5" t="s">
        <v>1534</v>
      </c>
      <c r="C1490" s="7" t="s">
        <v>10</v>
      </c>
      <c r="D1490" s="8">
        <v>307.25</v>
      </c>
    </row>
    <row r="1491" spans="1:4" x14ac:dyDescent="0.2">
      <c r="A1491" s="6">
        <v>2925</v>
      </c>
      <c r="B1491" s="5" t="s">
        <v>1535</v>
      </c>
      <c r="C1491" s="7" t="s">
        <v>1</v>
      </c>
      <c r="D1491" s="8">
        <v>695.82</v>
      </c>
    </row>
    <row r="1492" spans="1:4" x14ac:dyDescent="0.2">
      <c r="A1492" s="6">
        <v>2926</v>
      </c>
      <c r="B1492" s="5" t="s">
        <v>1536</v>
      </c>
      <c r="C1492" s="7" t="s">
        <v>10</v>
      </c>
      <c r="D1492" s="8">
        <v>307.25</v>
      </c>
    </row>
    <row r="1493" spans="1:4" x14ac:dyDescent="0.2">
      <c r="A1493" s="6">
        <v>2927</v>
      </c>
      <c r="B1493" s="5" t="s">
        <v>1537</v>
      </c>
      <c r="C1493" s="7" t="s">
        <v>64</v>
      </c>
      <c r="D1493" s="8">
        <v>553.07000000000005</v>
      </c>
    </row>
    <row r="1494" spans="1:4" x14ac:dyDescent="0.2">
      <c r="A1494" s="6">
        <v>2928</v>
      </c>
      <c r="B1494" s="5" t="s">
        <v>1538</v>
      </c>
      <c r="C1494" s="7" t="s">
        <v>64</v>
      </c>
      <c r="D1494" s="8">
        <v>553.07000000000005</v>
      </c>
    </row>
    <row r="1495" spans="1:4" x14ac:dyDescent="0.2">
      <c r="A1495" s="6">
        <v>2929</v>
      </c>
      <c r="B1495" s="5" t="s">
        <v>1539</v>
      </c>
      <c r="C1495" s="7" t="s">
        <v>64</v>
      </c>
      <c r="D1495" s="8">
        <v>553.07000000000005</v>
      </c>
    </row>
    <row r="1496" spans="1:4" x14ac:dyDescent="0.2">
      <c r="A1496" s="6">
        <v>2930</v>
      </c>
      <c r="B1496" s="5" t="s">
        <v>1540</v>
      </c>
      <c r="C1496" s="7" t="s">
        <v>64</v>
      </c>
      <c r="D1496" s="8">
        <v>553.07000000000005</v>
      </c>
    </row>
    <row r="1497" spans="1:4" x14ac:dyDescent="0.2">
      <c r="A1497" s="6">
        <v>2931</v>
      </c>
      <c r="B1497" s="5" t="s">
        <v>1541</v>
      </c>
      <c r="C1497" s="7" t="s">
        <v>10</v>
      </c>
      <c r="D1497" s="8">
        <v>307.25</v>
      </c>
    </row>
    <row r="1498" spans="1:4" x14ac:dyDescent="0.2">
      <c r="A1498" s="6">
        <v>2932</v>
      </c>
      <c r="B1498" s="5" t="s">
        <v>1542</v>
      </c>
      <c r="C1498" s="7" t="s">
        <v>64</v>
      </c>
      <c r="D1498" s="8">
        <v>553.07000000000005</v>
      </c>
    </row>
    <row r="1499" spans="1:4" x14ac:dyDescent="0.2">
      <c r="A1499" s="6">
        <v>2933</v>
      </c>
      <c r="B1499" s="5" t="s">
        <v>1543</v>
      </c>
      <c r="C1499" s="7" t="s">
        <v>10</v>
      </c>
      <c r="D1499" s="8">
        <v>307.25</v>
      </c>
    </row>
    <row r="1500" spans="1:4" x14ac:dyDescent="0.2">
      <c r="A1500" s="6">
        <v>2934</v>
      </c>
      <c r="B1500" s="5" t="s">
        <v>1544</v>
      </c>
      <c r="C1500" s="7" t="s">
        <v>64</v>
      </c>
      <c r="D1500" s="8">
        <v>553.07000000000005</v>
      </c>
    </row>
    <row r="1501" spans="1:4" x14ac:dyDescent="0.2">
      <c r="A1501" s="6">
        <v>2935</v>
      </c>
      <c r="B1501" s="5" t="s">
        <v>1545</v>
      </c>
      <c r="C1501" s="7" t="s">
        <v>64</v>
      </c>
      <c r="D1501" s="8">
        <v>553.07000000000005</v>
      </c>
    </row>
    <row r="1502" spans="1:4" x14ac:dyDescent="0.2">
      <c r="A1502" s="6">
        <v>2936</v>
      </c>
      <c r="B1502" s="5" t="s">
        <v>1546</v>
      </c>
      <c r="C1502" s="7" t="s">
        <v>64</v>
      </c>
      <c r="D1502" s="8">
        <v>553.07000000000005</v>
      </c>
    </row>
    <row r="1503" spans="1:4" x14ac:dyDescent="0.2">
      <c r="A1503" s="6">
        <v>2937</v>
      </c>
      <c r="B1503" s="5" t="s">
        <v>1547</v>
      </c>
      <c r="C1503" s="7" t="s">
        <v>64</v>
      </c>
      <c r="D1503" s="8">
        <v>553.07000000000005</v>
      </c>
    </row>
    <row r="1504" spans="1:4" x14ac:dyDescent="0.2">
      <c r="A1504" s="6">
        <v>2938</v>
      </c>
      <c r="B1504" s="5" t="s">
        <v>1548</v>
      </c>
      <c r="C1504" s="7" t="s">
        <v>10</v>
      </c>
      <c r="D1504" s="8">
        <v>307.25</v>
      </c>
    </row>
    <row r="1505" spans="1:4" x14ac:dyDescent="0.2">
      <c r="A1505" s="6">
        <v>2939</v>
      </c>
      <c r="B1505" s="5" t="s">
        <v>1549</v>
      </c>
      <c r="C1505" s="7" t="s">
        <v>10</v>
      </c>
      <c r="D1505" s="8">
        <v>273.48</v>
      </c>
    </row>
    <row r="1506" spans="1:4" x14ac:dyDescent="0.2">
      <c r="A1506" s="6">
        <v>2940</v>
      </c>
      <c r="B1506" s="5" t="s">
        <v>1550</v>
      </c>
      <c r="C1506" s="7" t="s">
        <v>10</v>
      </c>
      <c r="D1506" s="8">
        <v>307.25</v>
      </c>
    </row>
    <row r="1507" spans="1:4" x14ac:dyDescent="0.2">
      <c r="A1507" s="6">
        <v>2941</v>
      </c>
      <c r="B1507" s="5" t="s">
        <v>1551</v>
      </c>
      <c r="C1507" s="7" t="s">
        <v>64</v>
      </c>
      <c r="D1507" s="8">
        <v>553.07000000000005</v>
      </c>
    </row>
    <row r="1508" spans="1:4" x14ac:dyDescent="0.2">
      <c r="A1508" s="6">
        <v>2942</v>
      </c>
      <c r="B1508" s="5" t="s">
        <v>1552</v>
      </c>
      <c r="C1508" s="7" t="s">
        <v>64</v>
      </c>
      <c r="D1508" s="8">
        <v>553.07000000000005</v>
      </c>
    </row>
    <row r="1509" spans="1:4" x14ac:dyDescent="0.2">
      <c r="A1509" s="6">
        <v>2943</v>
      </c>
      <c r="B1509" s="5" t="s">
        <v>1553</v>
      </c>
      <c r="C1509" s="7" t="s">
        <v>10</v>
      </c>
      <c r="D1509" s="8">
        <v>307.25</v>
      </c>
    </row>
    <row r="1510" spans="1:4" x14ac:dyDescent="0.2">
      <c r="A1510" s="6">
        <v>2944</v>
      </c>
      <c r="B1510" s="5" t="s">
        <v>1554</v>
      </c>
      <c r="C1510" s="7" t="s">
        <v>10</v>
      </c>
      <c r="D1510" s="8">
        <v>307.25</v>
      </c>
    </row>
    <row r="1511" spans="1:4" x14ac:dyDescent="0.2">
      <c r="A1511" s="6">
        <v>2945</v>
      </c>
      <c r="B1511" s="5" t="s">
        <v>1555</v>
      </c>
      <c r="C1511" s="7" t="s">
        <v>10</v>
      </c>
      <c r="D1511" s="8">
        <v>307.25</v>
      </c>
    </row>
    <row r="1512" spans="1:4" x14ac:dyDescent="0.2">
      <c r="A1512" s="6">
        <v>2946</v>
      </c>
      <c r="B1512" s="5" t="s">
        <v>1556</v>
      </c>
      <c r="C1512" s="7" t="s">
        <v>10</v>
      </c>
      <c r="D1512" s="8">
        <v>307.25</v>
      </c>
    </row>
    <row r="1513" spans="1:4" x14ac:dyDescent="0.2">
      <c r="A1513" s="6">
        <v>2947</v>
      </c>
      <c r="B1513" s="5" t="s">
        <v>1557</v>
      </c>
      <c r="C1513" s="7" t="s">
        <v>10</v>
      </c>
      <c r="D1513" s="8">
        <v>307.25</v>
      </c>
    </row>
    <row r="1514" spans="1:4" x14ac:dyDescent="0.2">
      <c r="A1514" s="6">
        <v>2948</v>
      </c>
      <c r="B1514" s="5" t="s">
        <v>1558</v>
      </c>
      <c r="C1514" s="7" t="s">
        <v>64</v>
      </c>
      <c r="D1514" s="8">
        <v>553.07000000000005</v>
      </c>
    </row>
    <row r="1515" spans="1:4" x14ac:dyDescent="0.2">
      <c r="A1515" s="6">
        <v>2949</v>
      </c>
      <c r="B1515" s="5" t="s">
        <v>1559</v>
      </c>
      <c r="C1515" s="7" t="s">
        <v>64</v>
      </c>
      <c r="D1515" s="8">
        <v>553.07000000000005</v>
      </c>
    </row>
    <row r="1516" spans="1:4" x14ac:dyDescent="0.2">
      <c r="A1516" s="6">
        <v>2950</v>
      </c>
      <c r="B1516" s="5" t="s">
        <v>1560</v>
      </c>
      <c r="C1516" s="7" t="s">
        <v>10</v>
      </c>
      <c r="D1516" s="8">
        <v>307.25</v>
      </c>
    </row>
    <row r="1517" spans="1:4" x14ac:dyDescent="0.2">
      <c r="A1517" s="6">
        <v>2951</v>
      </c>
      <c r="B1517" s="5" t="s">
        <v>1561</v>
      </c>
      <c r="C1517" s="7" t="s">
        <v>10</v>
      </c>
      <c r="D1517" s="8">
        <v>307.25</v>
      </c>
    </row>
    <row r="1518" spans="1:4" x14ac:dyDescent="0.2">
      <c r="A1518" s="6">
        <v>2952</v>
      </c>
      <c r="B1518" s="5" t="s">
        <v>1562</v>
      </c>
      <c r="C1518" s="7" t="s">
        <v>10</v>
      </c>
      <c r="D1518" s="8">
        <v>307.25</v>
      </c>
    </row>
    <row r="1519" spans="1:4" x14ac:dyDescent="0.2">
      <c r="A1519" s="6">
        <v>2953</v>
      </c>
      <c r="B1519" s="5" t="s">
        <v>1563</v>
      </c>
      <c r="C1519" s="7" t="s">
        <v>64</v>
      </c>
      <c r="D1519" s="8">
        <v>553.07000000000005</v>
      </c>
    </row>
    <row r="1520" spans="1:4" x14ac:dyDescent="0.2">
      <c r="A1520" s="6">
        <v>2954</v>
      </c>
      <c r="B1520" s="5" t="s">
        <v>1564</v>
      </c>
      <c r="C1520" s="7" t="s">
        <v>10</v>
      </c>
      <c r="D1520" s="8">
        <v>307.25</v>
      </c>
    </row>
    <row r="1521" spans="1:4" x14ac:dyDescent="0.2">
      <c r="A1521" s="6">
        <v>2955</v>
      </c>
      <c r="B1521" s="5" t="s">
        <v>1565</v>
      </c>
      <c r="C1521" s="7" t="s">
        <v>10</v>
      </c>
      <c r="D1521" s="8">
        <v>307.25</v>
      </c>
    </row>
    <row r="1522" spans="1:4" x14ac:dyDescent="0.2">
      <c r="A1522" s="6">
        <v>2956</v>
      </c>
      <c r="B1522" s="5" t="s">
        <v>1566</v>
      </c>
      <c r="C1522" s="7" t="s">
        <v>10</v>
      </c>
      <c r="D1522" s="8">
        <v>307.25</v>
      </c>
    </row>
    <row r="1523" spans="1:4" x14ac:dyDescent="0.2">
      <c r="A1523" s="6">
        <v>2957</v>
      </c>
      <c r="B1523" s="5" t="s">
        <v>1567</v>
      </c>
      <c r="C1523" s="7" t="s">
        <v>64</v>
      </c>
      <c r="D1523" s="8">
        <v>553.07000000000005</v>
      </c>
    </row>
    <row r="1524" spans="1:4" x14ac:dyDescent="0.2">
      <c r="A1524" s="6">
        <v>2958</v>
      </c>
      <c r="B1524" s="5" t="s">
        <v>1568</v>
      </c>
      <c r="C1524" s="7" t="s">
        <v>64</v>
      </c>
      <c r="D1524" s="8">
        <v>553.07000000000005</v>
      </c>
    </row>
    <row r="1525" spans="1:4" x14ac:dyDescent="0.2">
      <c r="A1525" s="6">
        <v>2959</v>
      </c>
      <c r="B1525" s="5" t="s">
        <v>1569</v>
      </c>
      <c r="C1525" s="7" t="s">
        <v>64</v>
      </c>
      <c r="D1525" s="8">
        <v>553.07000000000005</v>
      </c>
    </row>
    <row r="1526" spans="1:4" x14ac:dyDescent="0.2">
      <c r="A1526" s="6">
        <v>2960</v>
      </c>
      <c r="B1526" s="5" t="s">
        <v>1570</v>
      </c>
      <c r="C1526" s="7" t="s">
        <v>10</v>
      </c>
      <c r="D1526" s="8">
        <v>307.25</v>
      </c>
    </row>
    <row r="1527" spans="1:4" x14ac:dyDescent="0.2">
      <c r="A1527" s="6">
        <v>2961</v>
      </c>
      <c r="B1527" s="5" t="s">
        <v>1571</v>
      </c>
      <c r="C1527" s="7" t="s">
        <v>10</v>
      </c>
      <c r="D1527" s="8">
        <v>307.25</v>
      </c>
    </row>
    <row r="1528" spans="1:4" x14ac:dyDescent="0.2">
      <c r="A1528" s="6">
        <v>2962</v>
      </c>
      <c r="B1528" s="5" t="s">
        <v>1572</v>
      </c>
      <c r="C1528" s="7" t="s">
        <v>64</v>
      </c>
      <c r="D1528" s="8">
        <v>553.07000000000005</v>
      </c>
    </row>
    <row r="1529" spans="1:4" x14ac:dyDescent="0.2">
      <c r="A1529" s="6">
        <v>2963</v>
      </c>
      <c r="B1529" s="5" t="s">
        <v>1573</v>
      </c>
      <c r="C1529" s="7" t="s">
        <v>10</v>
      </c>
      <c r="D1529" s="8">
        <v>307.25</v>
      </c>
    </row>
    <row r="1530" spans="1:4" x14ac:dyDescent="0.2">
      <c r="A1530" s="6">
        <v>2964</v>
      </c>
      <c r="B1530" s="5" t="s">
        <v>1574</v>
      </c>
      <c r="C1530" s="7" t="s">
        <v>64</v>
      </c>
      <c r="D1530" s="8">
        <v>553.07000000000005</v>
      </c>
    </row>
    <row r="1531" spans="1:4" x14ac:dyDescent="0.2">
      <c r="A1531" s="6">
        <v>2965</v>
      </c>
      <c r="B1531" s="5" t="s">
        <v>1575</v>
      </c>
      <c r="C1531" s="7" t="s">
        <v>10</v>
      </c>
      <c r="D1531" s="8">
        <v>307.25</v>
      </c>
    </row>
    <row r="1532" spans="1:4" x14ac:dyDescent="0.2">
      <c r="A1532" s="6">
        <v>2966</v>
      </c>
      <c r="B1532" s="5" t="s">
        <v>1576</v>
      </c>
      <c r="C1532" s="7" t="s">
        <v>10</v>
      </c>
      <c r="D1532" s="8">
        <v>307.25</v>
      </c>
    </row>
    <row r="1533" spans="1:4" x14ac:dyDescent="0.2">
      <c r="A1533" s="6">
        <v>2967</v>
      </c>
      <c r="B1533" s="5" t="s">
        <v>1577</v>
      </c>
      <c r="C1533" s="7" t="s">
        <v>10</v>
      </c>
      <c r="D1533" s="8">
        <v>307.25</v>
      </c>
    </row>
    <row r="1534" spans="1:4" x14ac:dyDescent="0.2">
      <c r="A1534" s="6">
        <v>2968</v>
      </c>
      <c r="B1534" s="5" t="s">
        <v>1578</v>
      </c>
      <c r="C1534" s="7" t="s">
        <v>10</v>
      </c>
      <c r="D1534" s="8">
        <v>307.25</v>
      </c>
    </row>
    <row r="1535" spans="1:4" x14ac:dyDescent="0.2">
      <c r="A1535" s="6">
        <v>2969</v>
      </c>
      <c r="B1535" s="5" t="s">
        <v>1579</v>
      </c>
      <c r="C1535" s="7" t="s">
        <v>10</v>
      </c>
      <c r="D1535" s="8">
        <v>307.25</v>
      </c>
    </row>
    <row r="1536" spans="1:4" x14ac:dyDescent="0.2">
      <c r="A1536" s="6">
        <v>2970</v>
      </c>
      <c r="B1536" s="5" t="s">
        <v>1580</v>
      </c>
      <c r="C1536" s="7" t="s">
        <v>64</v>
      </c>
      <c r="D1536" s="8">
        <v>553.07000000000005</v>
      </c>
    </row>
    <row r="1537" spans="1:4" x14ac:dyDescent="0.2">
      <c r="A1537" s="6">
        <v>2971</v>
      </c>
      <c r="B1537" s="5" t="s">
        <v>1581</v>
      </c>
      <c r="C1537" s="7" t="s">
        <v>64</v>
      </c>
      <c r="D1537" s="8">
        <v>553.07000000000005</v>
      </c>
    </row>
    <row r="1538" spans="1:4" x14ac:dyDescent="0.2">
      <c r="A1538" s="6">
        <v>2972</v>
      </c>
      <c r="B1538" s="5" t="s">
        <v>1582</v>
      </c>
      <c r="C1538" s="7" t="s">
        <v>64</v>
      </c>
      <c r="D1538" s="8">
        <v>553.07000000000005</v>
      </c>
    </row>
    <row r="1539" spans="1:4" x14ac:dyDescent="0.2">
      <c r="A1539" s="6">
        <v>2973</v>
      </c>
      <c r="B1539" s="5" t="s">
        <v>1583</v>
      </c>
      <c r="C1539" s="7" t="s">
        <v>10</v>
      </c>
      <c r="D1539" s="8">
        <v>307.25</v>
      </c>
    </row>
    <row r="1540" spans="1:4" x14ac:dyDescent="0.2">
      <c r="A1540" s="6">
        <v>2974</v>
      </c>
      <c r="B1540" s="5" t="s">
        <v>1584</v>
      </c>
      <c r="C1540" s="7" t="s">
        <v>64</v>
      </c>
      <c r="D1540" s="8">
        <v>553.07000000000005</v>
      </c>
    </row>
    <row r="1541" spans="1:4" x14ac:dyDescent="0.2">
      <c r="A1541" s="6">
        <v>2975</v>
      </c>
      <c r="B1541" s="5" t="s">
        <v>1585</v>
      </c>
      <c r="C1541" s="7" t="s">
        <v>64</v>
      </c>
      <c r="D1541" s="8">
        <v>553.07000000000005</v>
      </c>
    </row>
    <row r="1542" spans="1:4" x14ac:dyDescent="0.2">
      <c r="A1542" s="6">
        <v>2976</v>
      </c>
      <c r="B1542" s="5" t="s">
        <v>1586</v>
      </c>
      <c r="C1542" s="7" t="s">
        <v>10</v>
      </c>
      <c r="D1542" s="8">
        <v>307.25</v>
      </c>
    </row>
    <row r="1543" spans="1:4" x14ac:dyDescent="0.2">
      <c r="A1543" s="6">
        <v>2977</v>
      </c>
      <c r="B1543" s="5" t="s">
        <v>1587</v>
      </c>
      <c r="C1543" s="7" t="s">
        <v>10</v>
      </c>
      <c r="D1543" s="8">
        <v>307.25</v>
      </c>
    </row>
    <row r="1544" spans="1:4" x14ac:dyDescent="0.2">
      <c r="A1544" s="6">
        <v>2978</v>
      </c>
      <c r="B1544" s="5" t="s">
        <v>1588</v>
      </c>
      <c r="C1544" s="7" t="s">
        <v>64</v>
      </c>
      <c r="D1544" s="8">
        <v>553.07000000000005</v>
      </c>
    </row>
    <row r="1545" spans="1:4" x14ac:dyDescent="0.2">
      <c r="A1545" s="6">
        <v>2979</v>
      </c>
      <c r="B1545" s="5" t="s">
        <v>1589</v>
      </c>
      <c r="C1545" s="7" t="s">
        <v>64</v>
      </c>
      <c r="D1545" s="8">
        <v>553.07000000000005</v>
      </c>
    </row>
    <row r="1546" spans="1:4" x14ac:dyDescent="0.2">
      <c r="A1546" s="6">
        <v>2980</v>
      </c>
      <c r="B1546" s="5" t="s">
        <v>1590</v>
      </c>
      <c r="C1546" s="7" t="s">
        <v>10</v>
      </c>
      <c r="D1546" s="8">
        <v>307.25</v>
      </c>
    </row>
    <row r="1547" spans="1:4" x14ac:dyDescent="0.2">
      <c r="A1547" s="6">
        <v>2981</v>
      </c>
      <c r="B1547" s="5" t="s">
        <v>1591</v>
      </c>
      <c r="C1547" s="7" t="s">
        <v>10</v>
      </c>
      <c r="D1547" s="8">
        <v>307.25</v>
      </c>
    </row>
    <row r="1548" spans="1:4" x14ac:dyDescent="0.2">
      <c r="A1548" s="6">
        <v>2982</v>
      </c>
      <c r="B1548" s="5" t="s">
        <v>1592</v>
      </c>
      <c r="C1548" s="7" t="s">
        <v>10</v>
      </c>
      <c r="D1548" s="8">
        <v>307.25</v>
      </c>
    </row>
    <row r="1549" spans="1:4" x14ac:dyDescent="0.2">
      <c r="A1549" s="6">
        <v>2983</v>
      </c>
      <c r="B1549" s="5" t="s">
        <v>1593</v>
      </c>
      <c r="C1549" s="7" t="s">
        <v>64</v>
      </c>
      <c r="D1549" s="8">
        <v>553.07000000000005</v>
      </c>
    </row>
    <row r="1550" spans="1:4" x14ac:dyDescent="0.2">
      <c r="A1550" s="6">
        <v>2984</v>
      </c>
      <c r="B1550" s="5" t="s">
        <v>1594</v>
      </c>
      <c r="C1550" s="7" t="s">
        <v>10</v>
      </c>
      <c r="D1550" s="8">
        <v>307.25</v>
      </c>
    </row>
    <row r="1551" spans="1:4" x14ac:dyDescent="0.2">
      <c r="A1551" s="6">
        <v>2985</v>
      </c>
      <c r="B1551" s="5" t="s">
        <v>1595</v>
      </c>
      <c r="C1551" s="7" t="s">
        <v>10</v>
      </c>
      <c r="D1551" s="8">
        <v>307.25</v>
      </c>
    </row>
    <row r="1552" spans="1:4" x14ac:dyDescent="0.2">
      <c r="A1552" s="6">
        <v>2986</v>
      </c>
      <c r="B1552" s="5" t="s">
        <v>1596</v>
      </c>
      <c r="C1552" s="7" t="s">
        <v>10</v>
      </c>
      <c r="D1552" s="8">
        <v>307.25</v>
      </c>
    </row>
    <row r="1553" spans="1:4" x14ac:dyDescent="0.2">
      <c r="A1553" s="6">
        <v>2987</v>
      </c>
      <c r="B1553" s="5" t="s">
        <v>1597</v>
      </c>
      <c r="C1553" s="7" t="s">
        <v>10</v>
      </c>
      <c r="D1553" s="8">
        <v>307.25</v>
      </c>
    </row>
    <row r="1554" spans="1:4" x14ac:dyDescent="0.2">
      <c r="A1554" s="6">
        <v>2988</v>
      </c>
      <c r="B1554" s="5" t="s">
        <v>1598</v>
      </c>
      <c r="C1554" s="7" t="s">
        <v>10</v>
      </c>
      <c r="D1554" s="8">
        <v>307.25</v>
      </c>
    </row>
    <row r="1555" spans="1:4" x14ac:dyDescent="0.2">
      <c r="A1555" s="6">
        <v>2989</v>
      </c>
      <c r="B1555" s="5" t="s">
        <v>1599</v>
      </c>
      <c r="C1555" s="7" t="s">
        <v>10</v>
      </c>
      <c r="D1555" s="8">
        <v>307.25</v>
      </c>
    </row>
    <row r="1556" spans="1:4" x14ac:dyDescent="0.2">
      <c r="A1556" s="6">
        <v>2990</v>
      </c>
      <c r="B1556" s="5" t="s">
        <v>1600</v>
      </c>
      <c r="C1556" s="7" t="s">
        <v>10</v>
      </c>
      <c r="D1556" s="8">
        <v>307.25</v>
      </c>
    </row>
    <row r="1557" spans="1:4" x14ac:dyDescent="0.2">
      <c r="A1557" s="6">
        <v>2991</v>
      </c>
      <c r="B1557" s="5" t="s">
        <v>1601</v>
      </c>
      <c r="C1557" s="7" t="s">
        <v>10</v>
      </c>
      <c r="D1557" s="8">
        <v>307.25</v>
      </c>
    </row>
    <row r="1558" spans="1:4" x14ac:dyDescent="0.2">
      <c r="A1558" s="6">
        <v>2992</v>
      </c>
      <c r="B1558" s="5" t="s">
        <v>1602</v>
      </c>
      <c r="C1558" s="7" t="s">
        <v>64</v>
      </c>
      <c r="D1558" s="8">
        <v>553.07000000000005</v>
      </c>
    </row>
    <row r="1559" spans="1:4" x14ac:dyDescent="0.2">
      <c r="A1559" s="6">
        <v>2993</v>
      </c>
      <c r="B1559" s="5" t="s">
        <v>1603</v>
      </c>
      <c r="C1559" s="7" t="s">
        <v>10</v>
      </c>
      <c r="D1559" s="8">
        <v>307.25</v>
      </c>
    </row>
    <row r="1560" spans="1:4" x14ac:dyDescent="0.2">
      <c r="A1560" s="6">
        <v>2994</v>
      </c>
      <c r="B1560" s="5" t="s">
        <v>1604</v>
      </c>
      <c r="C1560" s="7" t="s">
        <v>10</v>
      </c>
      <c r="D1560" s="8">
        <v>307.25</v>
      </c>
    </row>
    <row r="1561" spans="1:4" x14ac:dyDescent="0.2">
      <c r="A1561" s="6">
        <v>2995</v>
      </c>
      <c r="B1561" s="5" t="s">
        <v>1605</v>
      </c>
      <c r="C1561" s="7" t="s">
        <v>10</v>
      </c>
      <c r="D1561" s="8">
        <v>307.25</v>
      </c>
    </row>
    <row r="1562" spans="1:4" x14ac:dyDescent="0.2">
      <c r="A1562" s="6">
        <v>2996</v>
      </c>
      <c r="B1562" s="5" t="s">
        <v>1606</v>
      </c>
      <c r="C1562" s="7" t="s">
        <v>10</v>
      </c>
      <c r="D1562" s="8">
        <v>307.25</v>
      </c>
    </row>
    <row r="1563" spans="1:4" x14ac:dyDescent="0.2">
      <c r="A1563" s="6">
        <v>2997</v>
      </c>
      <c r="B1563" s="5" t="s">
        <v>1607</v>
      </c>
      <c r="C1563" s="7" t="s">
        <v>10</v>
      </c>
      <c r="D1563" s="8">
        <v>307.25</v>
      </c>
    </row>
    <row r="1564" spans="1:4" x14ac:dyDescent="0.2">
      <c r="A1564" s="6">
        <v>2998</v>
      </c>
      <c r="B1564" s="5" t="s">
        <v>1608</v>
      </c>
      <c r="C1564" s="7" t="s">
        <v>10</v>
      </c>
      <c r="D1564" s="8">
        <v>307.25</v>
      </c>
    </row>
    <row r="1565" spans="1:4" x14ac:dyDescent="0.2">
      <c r="A1565" s="6">
        <v>2999</v>
      </c>
      <c r="B1565" s="5" t="s">
        <v>1609</v>
      </c>
      <c r="C1565" s="7" t="s">
        <v>64</v>
      </c>
      <c r="D1565" s="8">
        <v>553.07000000000005</v>
      </c>
    </row>
    <row r="1566" spans="1:4" x14ac:dyDescent="0.2">
      <c r="A1566" s="6">
        <v>3000</v>
      </c>
      <c r="B1566" s="5" t="s">
        <v>1610</v>
      </c>
      <c r="C1566" s="7" t="s">
        <v>10</v>
      </c>
      <c r="D1566" s="8">
        <v>307.25</v>
      </c>
    </row>
    <row r="1567" spans="1:4" x14ac:dyDescent="0.2">
      <c r="A1567" s="6">
        <v>3001</v>
      </c>
      <c r="B1567" s="5" t="s">
        <v>1611</v>
      </c>
      <c r="C1567" s="7" t="s">
        <v>10</v>
      </c>
      <c r="D1567" s="8">
        <v>307.25</v>
      </c>
    </row>
    <row r="1568" spans="1:4" x14ac:dyDescent="0.2">
      <c r="A1568" s="6">
        <v>3002</v>
      </c>
      <c r="B1568" s="5" t="s">
        <v>1612</v>
      </c>
      <c r="C1568" s="7" t="s">
        <v>10</v>
      </c>
      <c r="D1568" s="8">
        <v>307.25</v>
      </c>
    </row>
    <row r="1569" spans="1:4" x14ac:dyDescent="0.2">
      <c r="A1569" s="6">
        <v>3003</v>
      </c>
      <c r="B1569" s="5" t="s">
        <v>107</v>
      </c>
      <c r="C1569" s="7" t="s">
        <v>10</v>
      </c>
      <c r="D1569" s="8">
        <v>307.25</v>
      </c>
    </row>
    <row r="1570" spans="1:4" x14ac:dyDescent="0.2">
      <c r="A1570" s="6">
        <v>3004</v>
      </c>
      <c r="B1570" s="5" t="s">
        <v>1613</v>
      </c>
      <c r="C1570" s="7" t="s">
        <v>64</v>
      </c>
      <c r="D1570" s="8">
        <v>553.07000000000005</v>
      </c>
    </row>
    <row r="1571" spans="1:4" x14ac:dyDescent="0.2">
      <c r="A1571" s="6">
        <v>3005</v>
      </c>
      <c r="B1571" s="5" t="s">
        <v>1614</v>
      </c>
      <c r="C1571" s="7" t="s">
        <v>10</v>
      </c>
      <c r="D1571" s="8">
        <v>307.25</v>
      </c>
    </row>
    <row r="1572" spans="1:4" x14ac:dyDescent="0.2">
      <c r="A1572" s="6">
        <v>3006</v>
      </c>
      <c r="B1572" s="5" t="s">
        <v>1615</v>
      </c>
      <c r="C1572" s="7" t="s">
        <v>10</v>
      </c>
      <c r="D1572" s="8">
        <v>307.25</v>
      </c>
    </row>
    <row r="1573" spans="1:4" x14ac:dyDescent="0.2">
      <c r="A1573" s="6">
        <v>3007</v>
      </c>
      <c r="B1573" s="5" t="s">
        <v>1616</v>
      </c>
      <c r="C1573" s="7" t="s">
        <v>10</v>
      </c>
      <c r="D1573" s="8">
        <v>307.25</v>
      </c>
    </row>
    <row r="1574" spans="1:4" x14ac:dyDescent="0.2">
      <c r="A1574" s="6">
        <v>3008</v>
      </c>
      <c r="B1574" s="5" t="s">
        <v>1617</v>
      </c>
      <c r="C1574" s="7" t="s">
        <v>10</v>
      </c>
      <c r="D1574" s="8">
        <v>307.25</v>
      </c>
    </row>
    <row r="1575" spans="1:4" x14ac:dyDescent="0.2">
      <c r="A1575" s="6">
        <v>3009</v>
      </c>
      <c r="B1575" s="5" t="s">
        <v>1618</v>
      </c>
      <c r="C1575" s="7" t="s">
        <v>10</v>
      </c>
      <c r="D1575" s="8">
        <v>307.25</v>
      </c>
    </row>
    <row r="1576" spans="1:4" x14ac:dyDescent="0.2">
      <c r="A1576" s="6">
        <v>3010</v>
      </c>
      <c r="B1576" s="5" t="s">
        <v>1619</v>
      </c>
      <c r="C1576" s="7" t="s">
        <v>10</v>
      </c>
      <c r="D1576" s="8">
        <v>307.25</v>
      </c>
    </row>
    <row r="1577" spans="1:4" x14ac:dyDescent="0.2">
      <c r="A1577" s="6">
        <v>3011</v>
      </c>
      <c r="B1577" s="5" t="s">
        <v>1620</v>
      </c>
      <c r="C1577" s="7" t="s">
        <v>10</v>
      </c>
      <c r="D1577" s="8">
        <v>307.25</v>
      </c>
    </row>
    <row r="1578" spans="1:4" x14ac:dyDescent="0.2">
      <c r="A1578" s="6">
        <v>3012</v>
      </c>
      <c r="B1578" s="5" t="s">
        <v>1621</v>
      </c>
      <c r="C1578" s="7" t="s">
        <v>10</v>
      </c>
      <c r="D1578" s="8">
        <v>273.48</v>
      </c>
    </row>
    <row r="1579" spans="1:4" x14ac:dyDescent="0.2">
      <c r="A1579" s="6">
        <v>3013</v>
      </c>
      <c r="B1579" s="5" t="s">
        <v>1622</v>
      </c>
      <c r="C1579" s="7" t="s">
        <v>64</v>
      </c>
      <c r="D1579" s="8">
        <v>638.79999999999995</v>
      </c>
    </row>
    <row r="1580" spans="1:4" x14ac:dyDescent="0.2">
      <c r="A1580" s="6">
        <v>3014</v>
      </c>
      <c r="B1580" s="5" t="s">
        <v>1623</v>
      </c>
      <c r="C1580" s="7" t="s">
        <v>10</v>
      </c>
      <c r="D1580" s="8">
        <v>307.25</v>
      </c>
    </row>
    <row r="1581" spans="1:4" x14ac:dyDescent="0.2">
      <c r="A1581" s="6">
        <v>3015</v>
      </c>
      <c r="B1581" s="5" t="s">
        <v>1624</v>
      </c>
      <c r="C1581" s="7" t="s">
        <v>10</v>
      </c>
      <c r="D1581" s="8">
        <v>307.25</v>
      </c>
    </row>
    <row r="1582" spans="1:4" x14ac:dyDescent="0.2">
      <c r="A1582" s="6">
        <v>3016</v>
      </c>
      <c r="B1582" s="5" t="s">
        <v>1625</v>
      </c>
      <c r="C1582" s="7" t="s">
        <v>64</v>
      </c>
      <c r="D1582" s="8">
        <v>553.07000000000005</v>
      </c>
    </row>
    <row r="1583" spans="1:4" x14ac:dyDescent="0.2">
      <c r="A1583" s="6">
        <v>3017</v>
      </c>
      <c r="B1583" s="5" t="s">
        <v>1626</v>
      </c>
      <c r="C1583" s="7" t="s">
        <v>185</v>
      </c>
      <c r="D1583" s="8">
        <v>405</v>
      </c>
    </row>
    <row r="1584" spans="1:4" x14ac:dyDescent="0.2">
      <c r="A1584" s="6">
        <v>3018</v>
      </c>
      <c r="B1584" s="5" t="s">
        <v>1627</v>
      </c>
      <c r="C1584" s="7" t="s">
        <v>64</v>
      </c>
      <c r="D1584" s="8">
        <v>553.07000000000005</v>
      </c>
    </row>
    <row r="1585" spans="1:4" x14ac:dyDescent="0.2">
      <c r="A1585" s="6">
        <v>3019</v>
      </c>
      <c r="B1585" s="5" t="s">
        <v>1628</v>
      </c>
      <c r="C1585" s="7" t="s">
        <v>64</v>
      </c>
      <c r="D1585" s="8">
        <v>553.07000000000005</v>
      </c>
    </row>
    <row r="1586" spans="1:4" x14ac:dyDescent="0.2">
      <c r="A1586" s="6">
        <v>3020</v>
      </c>
      <c r="B1586" s="5" t="s">
        <v>1629</v>
      </c>
      <c r="C1586" s="7" t="s">
        <v>64</v>
      </c>
      <c r="D1586" s="8">
        <v>553.07000000000005</v>
      </c>
    </row>
    <row r="1587" spans="1:4" x14ac:dyDescent="0.2">
      <c r="A1587" s="6">
        <v>3021</v>
      </c>
      <c r="B1587" s="5" t="s">
        <v>1630</v>
      </c>
      <c r="C1587" s="7" t="s">
        <v>10</v>
      </c>
      <c r="D1587" s="8">
        <v>307.25</v>
      </c>
    </row>
    <row r="1588" spans="1:4" x14ac:dyDescent="0.2">
      <c r="A1588" s="6">
        <v>3022</v>
      </c>
      <c r="B1588" s="5" t="s">
        <v>1631</v>
      </c>
      <c r="C1588" s="7" t="s">
        <v>64</v>
      </c>
      <c r="D1588" s="8">
        <v>553.07000000000005</v>
      </c>
    </row>
    <row r="1589" spans="1:4" x14ac:dyDescent="0.2">
      <c r="A1589" s="6">
        <v>3023</v>
      </c>
      <c r="B1589" s="5" t="s">
        <v>1632</v>
      </c>
      <c r="C1589" s="7" t="s">
        <v>10</v>
      </c>
      <c r="D1589" s="8">
        <v>307.25</v>
      </c>
    </row>
    <row r="1590" spans="1:4" x14ac:dyDescent="0.2">
      <c r="A1590" s="6">
        <v>3024</v>
      </c>
      <c r="B1590" s="5" t="s">
        <v>1633</v>
      </c>
      <c r="C1590" s="7" t="s">
        <v>10</v>
      </c>
      <c r="D1590" s="8">
        <v>307.25</v>
      </c>
    </row>
    <row r="1591" spans="1:4" x14ac:dyDescent="0.2">
      <c r="A1591" s="6">
        <v>3025</v>
      </c>
      <c r="B1591" s="5" t="s">
        <v>1634</v>
      </c>
      <c r="C1591" s="7" t="s">
        <v>10</v>
      </c>
      <c r="D1591" s="8">
        <v>307.25</v>
      </c>
    </row>
    <row r="1592" spans="1:4" x14ac:dyDescent="0.2">
      <c r="A1592" s="6">
        <v>3026</v>
      </c>
      <c r="B1592" s="5" t="s">
        <v>1635</v>
      </c>
      <c r="C1592" s="7" t="s">
        <v>10</v>
      </c>
      <c r="D1592" s="8">
        <v>307.25</v>
      </c>
    </row>
    <row r="1593" spans="1:4" x14ac:dyDescent="0.2">
      <c r="A1593" s="6">
        <v>3027</v>
      </c>
      <c r="B1593" s="5" t="s">
        <v>1636</v>
      </c>
      <c r="C1593" s="7" t="s">
        <v>10</v>
      </c>
      <c r="D1593" s="8">
        <v>307.25</v>
      </c>
    </row>
    <row r="1594" spans="1:4" x14ac:dyDescent="0.2">
      <c r="A1594" s="6">
        <v>3028</v>
      </c>
      <c r="B1594" s="5" t="s">
        <v>1637</v>
      </c>
      <c r="C1594" s="7" t="s">
        <v>64</v>
      </c>
      <c r="D1594" s="8">
        <v>553.07000000000005</v>
      </c>
    </row>
    <row r="1595" spans="1:4" x14ac:dyDescent="0.2">
      <c r="A1595" s="6">
        <v>3029</v>
      </c>
      <c r="B1595" s="5" t="s">
        <v>1638</v>
      </c>
      <c r="C1595" s="7" t="s">
        <v>64</v>
      </c>
      <c r="D1595" s="8">
        <v>553.07000000000005</v>
      </c>
    </row>
    <row r="1596" spans="1:4" x14ac:dyDescent="0.2">
      <c r="A1596" s="6">
        <v>3030</v>
      </c>
      <c r="B1596" s="5" t="s">
        <v>1639</v>
      </c>
      <c r="C1596" s="7" t="s">
        <v>10</v>
      </c>
      <c r="D1596" s="8">
        <v>307.25</v>
      </c>
    </row>
    <row r="1597" spans="1:4" x14ac:dyDescent="0.2">
      <c r="A1597" s="6">
        <v>3031</v>
      </c>
      <c r="B1597" s="5" t="s">
        <v>1640</v>
      </c>
      <c r="C1597" s="7" t="s">
        <v>185</v>
      </c>
      <c r="D1597" s="8">
        <v>0</v>
      </c>
    </row>
    <row r="1598" spans="1:4" x14ac:dyDescent="0.2">
      <c r="A1598" s="6">
        <v>3032</v>
      </c>
      <c r="B1598" s="5" t="s">
        <v>1641</v>
      </c>
      <c r="C1598" s="7" t="s">
        <v>10</v>
      </c>
      <c r="D1598" s="8">
        <v>307.25</v>
      </c>
    </row>
    <row r="1599" spans="1:4" x14ac:dyDescent="0.2">
      <c r="A1599" s="6">
        <v>3033</v>
      </c>
      <c r="B1599" s="5" t="s">
        <v>1642</v>
      </c>
      <c r="C1599" s="7" t="s">
        <v>10</v>
      </c>
      <c r="D1599" s="8">
        <v>307.25</v>
      </c>
    </row>
    <row r="1600" spans="1:4" x14ac:dyDescent="0.2">
      <c r="A1600" s="6">
        <v>3034</v>
      </c>
      <c r="B1600" s="5" t="s">
        <v>1643</v>
      </c>
      <c r="C1600" s="7" t="s">
        <v>64</v>
      </c>
      <c r="D1600" s="8">
        <v>638.79999999999995</v>
      </c>
    </row>
    <row r="1601" spans="1:4" x14ac:dyDescent="0.2">
      <c r="A1601" s="6">
        <v>3035</v>
      </c>
      <c r="B1601" s="5" t="s">
        <v>1644</v>
      </c>
      <c r="C1601" s="7" t="s">
        <v>64</v>
      </c>
      <c r="D1601" s="8">
        <v>553.07000000000005</v>
      </c>
    </row>
    <row r="1602" spans="1:4" x14ac:dyDescent="0.2">
      <c r="A1602" s="6">
        <v>3036</v>
      </c>
      <c r="B1602" s="5" t="s">
        <v>1645</v>
      </c>
      <c r="C1602" s="7" t="s">
        <v>10</v>
      </c>
      <c r="D1602" s="8">
        <v>307.25</v>
      </c>
    </row>
    <row r="1603" spans="1:4" x14ac:dyDescent="0.2">
      <c r="A1603" s="6">
        <v>3037</v>
      </c>
      <c r="B1603" s="5" t="s">
        <v>1646</v>
      </c>
      <c r="C1603" s="7" t="s">
        <v>10</v>
      </c>
      <c r="D1603" s="8">
        <v>307.25</v>
      </c>
    </row>
    <row r="1604" spans="1:4" x14ac:dyDescent="0.2">
      <c r="A1604" s="6">
        <v>3038</v>
      </c>
      <c r="B1604" s="5" t="s">
        <v>1647</v>
      </c>
      <c r="C1604" s="7" t="s">
        <v>10</v>
      </c>
      <c r="D1604" s="8">
        <v>307.25</v>
      </c>
    </row>
    <row r="1605" spans="1:4" x14ac:dyDescent="0.2">
      <c r="A1605" s="6">
        <v>3039</v>
      </c>
      <c r="B1605" s="5" t="s">
        <v>1648</v>
      </c>
      <c r="C1605" s="7" t="s">
        <v>10</v>
      </c>
      <c r="D1605" s="8">
        <v>307.25</v>
      </c>
    </row>
    <row r="1606" spans="1:4" x14ac:dyDescent="0.2">
      <c r="A1606" s="6">
        <v>3040</v>
      </c>
      <c r="B1606" s="5" t="s">
        <v>1649</v>
      </c>
      <c r="C1606" s="7" t="s">
        <v>10</v>
      </c>
      <c r="D1606" s="8">
        <v>307.25</v>
      </c>
    </row>
    <row r="1607" spans="1:4" x14ac:dyDescent="0.2">
      <c r="A1607" s="6">
        <v>3041</v>
      </c>
      <c r="B1607" s="5" t="s">
        <v>1650</v>
      </c>
      <c r="C1607" s="7" t="s">
        <v>10</v>
      </c>
      <c r="D1607" s="8">
        <v>307.25</v>
      </c>
    </row>
    <row r="1608" spans="1:4" x14ac:dyDescent="0.2">
      <c r="A1608" s="6">
        <v>3042</v>
      </c>
      <c r="B1608" s="5" t="s">
        <v>1651</v>
      </c>
      <c r="C1608" s="7" t="s">
        <v>64</v>
      </c>
      <c r="D1608" s="8">
        <v>553.07000000000005</v>
      </c>
    </row>
    <row r="1609" spans="1:4" x14ac:dyDescent="0.2">
      <c r="A1609" s="6">
        <v>3043</v>
      </c>
      <c r="B1609" s="5" t="s">
        <v>1652</v>
      </c>
      <c r="C1609" s="7" t="s">
        <v>280</v>
      </c>
      <c r="D1609" s="8">
        <v>271.42857142857144</v>
      </c>
    </row>
    <row r="1610" spans="1:4" x14ac:dyDescent="0.2">
      <c r="A1610" s="6">
        <v>3044</v>
      </c>
      <c r="B1610" s="5" t="s">
        <v>1653</v>
      </c>
      <c r="C1610" s="7" t="s">
        <v>64</v>
      </c>
      <c r="D1610" s="8">
        <v>553.07000000000005</v>
      </c>
    </row>
    <row r="1611" spans="1:4" x14ac:dyDescent="0.2">
      <c r="A1611" s="6">
        <v>3045</v>
      </c>
      <c r="B1611" s="5" t="s">
        <v>1654</v>
      </c>
      <c r="C1611" s="7" t="s">
        <v>10</v>
      </c>
      <c r="D1611" s="8">
        <v>307.25</v>
      </c>
    </row>
    <row r="1612" spans="1:4" x14ac:dyDescent="0.2">
      <c r="A1612" s="6">
        <v>3046</v>
      </c>
      <c r="B1612" s="5" t="s">
        <v>1016</v>
      </c>
      <c r="C1612" s="7" t="s">
        <v>10</v>
      </c>
      <c r="D1612" s="8">
        <v>307.25</v>
      </c>
    </row>
    <row r="1613" spans="1:4" x14ac:dyDescent="0.2">
      <c r="A1613" s="6">
        <v>3047</v>
      </c>
      <c r="B1613" s="5" t="s">
        <v>1655</v>
      </c>
      <c r="C1613" s="7" t="s">
        <v>10</v>
      </c>
      <c r="D1613" s="8">
        <v>307.25</v>
      </c>
    </row>
    <row r="1614" spans="1:4" x14ac:dyDescent="0.2">
      <c r="A1614" s="6">
        <v>3048</v>
      </c>
      <c r="B1614" s="5" t="s">
        <v>1656</v>
      </c>
      <c r="C1614" s="7" t="s">
        <v>185</v>
      </c>
      <c r="D1614" s="8">
        <f>269.85*1.05</f>
        <v>283.34250000000003</v>
      </c>
    </row>
    <row r="1615" spans="1:4" x14ac:dyDescent="0.2">
      <c r="A1615" s="6">
        <v>3049</v>
      </c>
      <c r="B1615" s="5" t="s">
        <v>1657</v>
      </c>
      <c r="C1615" s="7" t="s">
        <v>64</v>
      </c>
      <c r="D1615" s="8">
        <v>553.07000000000005</v>
      </c>
    </row>
    <row r="1616" spans="1:4" x14ac:dyDescent="0.2">
      <c r="A1616" s="6">
        <v>3050</v>
      </c>
      <c r="B1616" s="5" t="s">
        <v>1658</v>
      </c>
      <c r="C1616" s="7" t="s">
        <v>10</v>
      </c>
      <c r="D1616" s="8">
        <v>307.25</v>
      </c>
    </row>
    <row r="1617" spans="1:4" x14ac:dyDescent="0.2">
      <c r="A1617" s="6">
        <v>3051</v>
      </c>
      <c r="B1617" s="5" t="s">
        <v>1659</v>
      </c>
      <c r="C1617" s="7" t="s">
        <v>10</v>
      </c>
      <c r="D1617" s="8">
        <v>307.25</v>
      </c>
    </row>
    <row r="1618" spans="1:4" x14ac:dyDescent="0.2">
      <c r="A1618" s="6">
        <v>3052</v>
      </c>
      <c r="B1618" s="5" t="s">
        <v>1660</v>
      </c>
      <c r="C1618" s="7" t="s">
        <v>64</v>
      </c>
      <c r="D1618" s="8">
        <v>553.07000000000005</v>
      </c>
    </row>
    <row r="1619" spans="1:4" x14ac:dyDescent="0.2">
      <c r="A1619" s="6">
        <v>3053</v>
      </c>
      <c r="B1619" s="5" t="s">
        <v>1661</v>
      </c>
      <c r="C1619" s="7" t="s">
        <v>10</v>
      </c>
      <c r="D1619" s="8">
        <v>307.25</v>
      </c>
    </row>
    <row r="1620" spans="1:4" x14ac:dyDescent="0.2">
      <c r="A1620" s="6">
        <v>3054</v>
      </c>
      <c r="B1620" s="5" t="s">
        <v>1662</v>
      </c>
      <c r="C1620" s="7" t="s">
        <v>10</v>
      </c>
      <c r="D1620" s="8">
        <v>307.25</v>
      </c>
    </row>
    <row r="1621" spans="1:4" x14ac:dyDescent="0.2">
      <c r="A1621" s="6">
        <v>3055</v>
      </c>
      <c r="B1621" s="5" t="s">
        <v>1663</v>
      </c>
      <c r="C1621" s="7" t="s">
        <v>280</v>
      </c>
      <c r="D1621" s="8">
        <v>271.42857142857144</v>
      </c>
    </row>
    <row r="1622" spans="1:4" x14ac:dyDescent="0.2">
      <c r="A1622" s="6">
        <v>3056</v>
      </c>
      <c r="B1622" s="5" t="s">
        <v>1664</v>
      </c>
      <c r="C1622" s="7" t="s">
        <v>10</v>
      </c>
      <c r="D1622" s="8">
        <v>307.25</v>
      </c>
    </row>
    <row r="1623" spans="1:4" x14ac:dyDescent="0.2">
      <c r="A1623" s="6">
        <v>3057</v>
      </c>
      <c r="B1623" s="5" t="s">
        <v>1665</v>
      </c>
      <c r="C1623" s="7" t="s">
        <v>10</v>
      </c>
      <c r="D1623" s="8">
        <v>307.25</v>
      </c>
    </row>
    <row r="1624" spans="1:4" x14ac:dyDescent="0.2">
      <c r="A1624" s="6">
        <v>3058</v>
      </c>
      <c r="B1624" s="5" t="s">
        <v>1666</v>
      </c>
      <c r="C1624" s="7" t="s">
        <v>10</v>
      </c>
      <c r="D1624" s="8">
        <v>307.25</v>
      </c>
    </row>
    <row r="1625" spans="1:4" x14ac:dyDescent="0.2">
      <c r="A1625" s="6">
        <v>3059</v>
      </c>
      <c r="B1625" s="5" t="s">
        <v>1667</v>
      </c>
      <c r="C1625" s="7" t="s">
        <v>10</v>
      </c>
      <c r="D1625" s="8">
        <v>307.25</v>
      </c>
    </row>
    <row r="1626" spans="1:4" x14ac:dyDescent="0.2">
      <c r="A1626" s="6">
        <v>3060</v>
      </c>
      <c r="B1626" s="5" t="s">
        <v>1668</v>
      </c>
      <c r="C1626" s="7" t="s">
        <v>10</v>
      </c>
      <c r="D1626" s="8">
        <v>307.25</v>
      </c>
    </row>
    <row r="1627" spans="1:4" x14ac:dyDescent="0.2">
      <c r="A1627" s="6">
        <v>3061</v>
      </c>
      <c r="B1627" s="5" t="s">
        <v>1669</v>
      </c>
      <c r="C1627" s="7" t="s">
        <v>265</v>
      </c>
      <c r="D1627" s="8">
        <v>200</v>
      </c>
    </row>
    <row r="1628" spans="1:4" x14ac:dyDescent="0.2">
      <c r="A1628" s="6">
        <v>3062</v>
      </c>
      <c r="B1628" s="5" t="s">
        <v>1670</v>
      </c>
      <c r="C1628" s="7" t="s">
        <v>280</v>
      </c>
      <c r="D1628" s="8">
        <v>257.14285714285717</v>
      </c>
    </row>
    <row r="1629" spans="1:4" x14ac:dyDescent="0.2">
      <c r="A1629" s="6">
        <v>3063</v>
      </c>
      <c r="B1629" s="5" t="s">
        <v>1671</v>
      </c>
      <c r="C1629" s="7" t="s">
        <v>10</v>
      </c>
      <c r="D1629" s="8">
        <v>307.25</v>
      </c>
    </row>
    <row r="1630" spans="1:4" x14ac:dyDescent="0.2">
      <c r="A1630" s="6">
        <v>3064</v>
      </c>
      <c r="B1630" s="5" t="s">
        <v>1672</v>
      </c>
      <c r="C1630" s="7" t="s">
        <v>64</v>
      </c>
      <c r="D1630" s="8">
        <v>553.07000000000005</v>
      </c>
    </row>
    <row r="1631" spans="1:4" x14ac:dyDescent="0.2">
      <c r="A1631" s="6">
        <v>3065</v>
      </c>
      <c r="B1631" s="5" t="s">
        <v>1673</v>
      </c>
      <c r="C1631" s="7" t="s">
        <v>10</v>
      </c>
      <c r="D1631" s="8">
        <v>307.25</v>
      </c>
    </row>
    <row r="1632" spans="1:4" x14ac:dyDescent="0.2">
      <c r="A1632" s="6">
        <v>3066</v>
      </c>
      <c r="B1632" s="5" t="s">
        <v>1674</v>
      </c>
      <c r="C1632" s="7" t="s">
        <v>64</v>
      </c>
      <c r="D1632" s="8">
        <v>553.07000000000005</v>
      </c>
    </row>
    <row r="1633" spans="1:4" x14ac:dyDescent="0.2">
      <c r="A1633" s="6">
        <v>3067</v>
      </c>
      <c r="B1633" s="5" t="s">
        <v>1675</v>
      </c>
      <c r="C1633" s="7" t="s">
        <v>64</v>
      </c>
      <c r="D1633" s="8">
        <v>553.07000000000005</v>
      </c>
    </row>
    <row r="1634" spans="1:4" x14ac:dyDescent="0.2">
      <c r="A1634" s="6">
        <v>3068</v>
      </c>
      <c r="B1634" s="5" t="s">
        <v>1676</v>
      </c>
      <c r="C1634" s="7" t="s">
        <v>280</v>
      </c>
      <c r="D1634" s="8">
        <v>235.71428571428572</v>
      </c>
    </row>
    <row r="1635" spans="1:4" x14ac:dyDescent="0.2">
      <c r="A1635" s="6">
        <v>3069</v>
      </c>
      <c r="B1635" s="5" t="s">
        <v>1677</v>
      </c>
      <c r="C1635" s="7" t="s">
        <v>10</v>
      </c>
      <c r="D1635" s="8">
        <v>307.25</v>
      </c>
    </row>
    <row r="1636" spans="1:4" x14ac:dyDescent="0.2">
      <c r="A1636" s="6">
        <v>3070</v>
      </c>
      <c r="B1636" s="5" t="s">
        <v>1678</v>
      </c>
      <c r="C1636" s="7" t="s">
        <v>64</v>
      </c>
      <c r="D1636" s="8">
        <v>553.07000000000005</v>
      </c>
    </row>
    <row r="1637" spans="1:4" x14ac:dyDescent="0.2">
      <c r="A1637" s="6">
        <v>3071</v>
      </c>
      <c r="B1637" s="5" t="s">
        <v>1679</v>
      </c>
      <c r="C1637" s="7" t="s">
        <v>10</v>
      </c>
      <c r="D1637" s="8">
        <v>307.25</v>
      </c>
    </row>
    <row r="1638" spans="1:4" x14ac:dyDescent="0.2">
      <c r="A1638" s="6">
        <v>3072</v>
      </c>
      <c r="B1638" s="5" t="s">
        <v>1680</v>
      </c>
      <c r="C1638" s="7" t="s">
        <v>280</v>
      </c>
      <c r="D1638" s="8">
        <v>275</v>
      </c>
    </row>
    <row r="1639" spans="1:4" x14ac:dyDescent="0.2">
      <c r="A1639" s="6">
        <v>3073</v>
      </c>
      <c r="B1639" s="5" t="s">
        <v>1681</v>
      </c>
      <c r="C1639" s="7" t="s">
        <v>64</v>
      </c>
      <c r="D1639" s="8">
        <v>553.07000000000005</v>
      </c>
    </row>
    <row r="1640" spans="1:4" x14ac:dyDescent="0.2">
      <c r="A1640" s="6">
        <v>3074</v>
      </c>
      <c r="B1640" s="5" t="s">
        <v>1682</v>
      </c>
      <c r="C1640" s="7" t="s">
        <v>10</v>
      </c>
      <c r="D1640" s="8">
        <v>307.25</v>
      </c>
    </row>
    <row r="1641" spans="1:4" x14ac:dyDescent="0.2">
      <c r="A1641" s="6">
        <v>3075</v>
      </c>
      <c r="B1641" s="5" t="s">
        <v>1683</v>
      </c>
      <c r="C1641" s="7" t="s">
        <v>64</v>
      </c>
      <c r="D1641" s="8">
        <v>553.07000000000005</v>
      </c>
    </row>
    <row r="1642" spans="1:4" x14ac:dyDescent="0.2">
      <c r="A1642" s="6">
        <v>3076</v>
      </c>
      <c r="B1642" s="5" t="s">
        <v>1684</v>
      </c>
      <c r="C1642" s="7" t="s">
        <v>64</v>
      </c>
      <c r="D1642" s="8">
        <v>553.07000000000005</v>
      </c>
    </row>
    <row r="1643" spans="1:4" x14ac:dyDescent="0.2">
      <c r="A1643" s="6">
        <v>3077</v>
      </c>
      <c r="B1643" s="5" t="s">
        <v>1685</v>
      </c>
      <c r="C1643" s="7" t="s">
        <v>92</v>
      </c>
      <c r="D1643" s="8">
        <f>2841.95/7</f>
        <v>405.99285714285713</v>
      </c>
    </row>
    <row r="1644" spans="1:4" x14ac:dyDescent="0.2">
      <c r="A1644" s="6">
        <v>3078</v>
      </c>
      <c r="B1644" s="5" t="s">
        <v>1686</v>
      </c>
      <c r="C1644" s="7" t="s">
        <v>10</v>
      </c>
      <c r="D1644" s="8">
        <v>307.25</v>
      </c>
    </row>
    <row r="1645" spans="1:4" x14ac:dyDescent="0.2">
      <c r="A1645" s="6">
        <v>3079</v>
      </c>
      <c r="B1645" s="5" t="s">
        <v>1687</v>
      </c>
      <c r="C1645" s="7" t="s">
        <v>10</v>
      </c>
      <c r="D1645" s="8">
        <v>307.25</v>
      </c>
    </row>
    <row r="1646" spans="1:4" x14ac:dyDescent="0.2">
      <c r="A1646" s="6">
        <v>3080</v>
      </c>
      <c r="B1646" s="5" t="s">
        <v>1688</v>
      </c>
      <c r="C1646" s="7" t="s">
        <v>10</v>
      </c>
      <c r="D1646" s="8">
        <v>307.25</v>
      </c>
    </row>
    <row r="1647" spans="1:4" x14ac:dyDescent="0.2">
      <c r="A1647" s="6">
        <v>3081</v>
      </c>
      <c r="B1647" s="5" t="s">
        <v>1689</v>
      </c>
      <c r="C1647" s="7" t="s">
        <v>10</v>
      </c>
      <c r="D1647" s="8">
        <v>307.25</v>
      </c>
    </row>
    <row r="1648" spans="1:4" x14ac:dyDescent="0.2">
      <c r="A1648" s="6">
        <v>3082</v>
      </c>
      <c r="B1648" s="5" t="s">
        <v>1690</v>
      </c>
      <c r="C1648" s="7" t="s">
        <v>10</v>
      </c>
      <c r="D1648" s="8">
        <v>307.25</v>
      </c>
    </row>
    <row r="1649" spans="1:4" x14ac:dyDescent="0.2">
      <c r="A1649" s="6">
        <v>3083</v>
      </c>
      <c r="B1649" s="5" t="s">
        <v>1691</v>
      </c>
      <c r="C1649" s="7" t="s">
        <v>297</v>
      </c>
      <c r="D1649" s="8">
        <v>242.85714285714286</v>
      </c>
    </row>
    <row r="1650" spans="1:4" x14ac:dyDescent="0.2">
      <c r="A1650" s="6">
        <v>3084</v>
      </c>
      <c r="B1650" s="5" t="s">
        <v>1692</v>
      </c>
      <c r="C1650" s="7" t="s">
        <v>64</v>
      </c>
      <c r="D1650" s="8">
        <v>553.07000000000005</v>
      </c>
    </row>
    <row r="1651" spans="1:4" x14ac:dyDescent="0.2">
      <c r="A1651" s="6">
        <v>3085</v>
      </c>
      <c r="B1651" s="5" t="s">
        <v>1693</v>
      </c>
      <c r="C1651" s="7" t="s">
        <v>64</v>
      </c>
      <c r="D1651" s="8">
        <v>553.07000000000005</v>
      </c>
    </row>
    <row r="1652" spans="1:4" x14ac:dyDescent="0.2">
      <c r="A1652" s="6">
        <v>3086</v>
      </c>
      <c r="B1652" s="5" t="s">
        <v>1694</v>
      </c>
      <c r="C1652" s="7" t="s">
        <v>10</v>
      </c>
      <c r="D1652" s="8">
        <v>307.25</v>
      </c>
    </row>
    <row r="1653" spans="1:4" x14ac:dyDescent="0.2">
      <c r="A1653" s="6">
        <v>3087</v>
      </c>
      <c r="B1653" s="5" t="s">
        <v>1695</v>
      </c>
      <c r="C1653" s="7" t="s">
        <v>10</v>
      </c>
      <c r="D1653" s="8">
        <v>307.25</v>
      </c>
    </row>
    <row r="1654" spans="1:4" x14ac:dyDescent="0.2">
      <c r="A1654" s="6">
        <v>3088</v>
      </c>
      <c r="B1654" s="5" t="s">
        <v>1696</v>
      </c>
      <c r="C1654" s="7" t="s">
        <v>64</v>
      </c>
      <c r="D1654" s="8">
        <v>553.07000000000005</v>
      </c>
    </row>
    <row r="1655" spans="1:4" x14ac:dyDescent="0.2">
      <c r="A1655" s="6">
        <v>3089</v>
      </c>
      <c r="B1655" s="5" t="s">
        <v>1697</v>
      </c>
      <c r="C1655" s="7" t="s">
        <v>64</v>
      </c>
      <c r="D1655" s="8">
        <v>553.07000000000005</v>
      </c>
    </row>
    <row r="1656" spans="1:4" x14ac:dyDescent="0.2">
      <c r="A1656" s="6">
        <v>3090</v>
      </c>
      <c r="B1656" s="5" t="s">
        <v>1698</v>
      </c>
      <c r="C1656" s="7" t="s">
        <v>10</v>
      </c>
      <c r="D1656" s="8">
        <v>307.25</v>
      </c>
    </row>
    <row r="1657" spans="1:4" x14ac:dyDescent="0.2">
      <c r="A1657" s="6">
        <v>3091</v>
      </c>
      <c r="B1657" s="5" t="s">
        <v>1699</v>
      </c>
      <c r="C1657" s="7" t="s">
        <v>254</v>
      </c>
      <c r="D1657" s="8"/>
    </row>
    <row r="1658" spans="1:4" x14ac:dyDescent="0.2">
      <c r="A1658" s="6">
        <v>3092</v>
      </c>
      <c r="B1658" s="5" t="s">
        <v>1700</v>
      </c>
      <c r="C1658" s="7" t="s">
        <v>64</v>
      </c>
      <c r="D1658" s="8">
        <v>553.07000000000005</v>
      </c>
    </row>
    <row r="1659" spans="1:4" x14ac:dyDescent="0.2">
      <c r="A1659" s="6">
        <v>3093</v>
      </c>
      <c r="B1659" s="5" t="s">
        <v>1701</v>
      </c>
      <c r="C1659" s="7" t="s">
        <v>10</v>
      </c>
      <c r="D1659" s="8">
        <v>307.25</v>
      </c>
    </row>
    <row r="1660" spans="1:4" x14ac:dyDescent="0.2">
      <c r="A1660" s="6">
        <v>3094</v>
      </c>
      <c r="B1660" s="5" t="s">
        <v>1702</v>
      </c>
      <c r="C1660" s="7" t="s">
        <v>10</v>
      </c>
      <c r="D1660" s="8">
        <v>307.25</v>
      </c>
    </row>
    <row r="1661" spans="1:4" x14ac:dyDescent="0.2">
      <c r="A1661" s="6">
        <v>3095</v>
      </c>
      <c r="B1661" s="5" t="s">
        <v>1703</v>
      </c>
      <c r="C1661" s="7" t="s">
        <v>64</v>
      </c>
      <c r="D1661" s="8">
        <v>553.07000000000005</v>
      </c>
    </row>
    <row r="1662" spans="1:4" x14ac:dyDescent="0.2">
      <c r="A1662" s="6">
        <v>3096</v>
      </c>
      <c r="B1662" s="5" t="s">
        <v>1704</v>
      </c>
      <c r="C1662" s="7" t="s">
        <v>10</v>
      </c>
      <c r="D1662" s="8">
        <v>307.25</v>
      </c>
    </row>
    <row r="1663" spans="1:4" x14ac:dyDescent="0.2">
      <c r="A1663" s="6">
        <v>3097</v>
      </c>
      <c r="B1663" s="5" t="s">
        <v>1705</v>
      </c>
      <c r="C1663" s="7" t="s">
        <v>64</v>
      </c>
      <c r="D1663" s="8">
        <v>553.07000000000005</v>
      </c>
    </row>
    <row r="1664" spans="1:4" x14ac:dyDescent="0.2">
      <c r="A1664" s="6">
        <v>3098</v>
      </c>
      <c r="B1664" s="5" t="s">
        <v>1706</v>
      </c>
      <c r="C1664" s="7" t="s">
        <v>64</v>
      </c>
      <c r="D1664" s="8">
        <v>553.07000000000005</v>
      </c>
    </row>
    <row r="1665" spans="1:4" x14ac:dyDescent="0.2">
      <c r="A1665" s="6">
        <v>3099</v>
      </c>
      <c r="B1665" s="5" t="s">
        <v>1707</v>
      </c>
      <c r="C1665" s="7" t="s">
        <v>10</v>
      </c>
      <c r="D1665" s="8">
        <v>307.25</v>
      </c>
    </row>
    <row r="1666" spans="1:4" x14ac:dyDescent="0.2">
      <c r="A1666" s="6">
        <v>3100</v>
      </c>
      <c r="B1666" s="5" t="s">
        <v>1708</v>
      </c>
      <c r="C1666" s="7" t="s">
        <v>10</v>
      </c>
      <c r="D1666" s="8">
        <v>307.25</v>
      </c>
    </row>
    <row r="1667" spans="1:4" x14ac:dyDescent="0.2">
      <c r="A1667" s="6">
        <v>3101</v>
      </c>
      <c r="B1667" s="5" t="s">
        <v>1709</v>
      </c>
      <c r="C1667" s="7" t="s">
        <v>10</v>
      </c>
      <c r="D1667" s="8">
        <v>307.25</v>
      </c>
    </row>
    <row r="1668" spans="1:4" x14ac:dyDescent="0.2">
      <c r="A1668" s="6">
        <v>3102</v>
      </c>
      <c r="B1668" s="5" t="s">
        <v>1710</v>
      </c>
      <c r="C1668" s="7" t="s">
        <v>64</v>
      </c>
      <c r="D1668" s="8">
        <v>553.07000000000005</v>
      </c>
    </row>
    <row r="1669" spans="1:4" x14ac:dyDescent="0.2">
      <c r="A1669" s="6">
        <v>3103</v>
      </c>
      <c r="B1669" s="5" t="s">
        <v>1711</v>
      </c>
      <c r="C1669" s="7" t="s">
        <v>10</v>
      </c>
      <c r="D1669" s="8">
        <v>307.25</v>
      </c>
    </row>
    <row r="1670" spans="1:4" x14ac:dyDescent="0.2">
      <c r="A1670" s="6">
        <v>3104</v>
      </c>
      <c r="B1670" s="5" t="s">
        <v>1712</v>
      </c>
      <c r="C1670" s="7" t="s">
        <v>64</v>
      </c>
      <c r="D1670" s="8">
        <v>553.07000000000005</v>
      </c>
    </row>
    <row r="1671" spans="1:4" x14ac:dyDescent="0.2">
      <c r="A1671" s="6">
        <v>3105</v>
      </c>
      <c r="B1671" s="5" t="s">
        <v>1713</v>
      </c>
      <c r="C1671" s="7" t="s">
        <v>64</v>
      </c>
      <c r="D1671" s="8">
        <v>553.07000000000005</v>
      </c>
    </row>
    <row r="1672" spans="1:4" x14ac:dyDescent="0.2">
      <c r="A1672" s="6">
        <v>3106</v>
      </c>
      <c r="B1672" s="5" t="s">
        <v>1714</v>
      </c>
      <c r="C1672" s="7" t="s">
        <v>10</v>
      </c>
      <c r="D1672" s="8">
        <v>307.25</v>
      </c>
    </row>
    <row r="1673" spans="1:4" x14ac:dyDescent="0.2">
      <c r="A1673" s="6">
        <v>3107</v>
      </c>
      <c r="B1673" s="5" t="s">
        <v>1715</v>
      </c>
      <c r="C1673" s="7" t="s">
        <v>64</v>
      </c>
      <c r="D1673" s="8">
        <v>553.07000000000005</v>
      </c>
    </row>
    <row r="1674" spans="1:4" x14ac:dyDescent="0.2">
      <c r="A1674" s="6">
        <v>3108</v>
      </c>
      <c r="B1674" s="5" t="s">
        <v>1716</v>
      </c>
      <c r="C1674" s="7" t="s">
        <v>10</v>
      </c>
      <c r="D1674" s="8">
        <v>307.25</v>
      </c>
    </row>
    <row r="1675" spans="1:4" x14ac:dyDescent="0.2">
      <c r="A1675" s="6">
        <v>3109</v>
      </c>
      <c r="B1675" s="5" t="s">
        <v>1717</v>
      </c>
      <c r="C1675" s="7" t="s">
        <v>64</v>
      </c>
      <c r="D1675" s="8">
        <v>553.07000000000005</v>
      </c>
    </row>
    <row r="1676" spans="1:4" x14ac:dyDescent="0.2">
      <c r="A1676" s="6">
        <v>3110</v>
      </c>
      <c r="B1676" s="5" t="s">
        <v>1718</v>
      </c>
      <c r="C1676" s="7" t="s">
        <v>64</v>
      </c>
      <c r="D1676" s="8">
        <v>800</v>
      </c>
    </row>
    <row r="1677" spans="1:4" x14ac:dyDescent="0.2">
      <c r="A1677" s="6">
        <v>3111</v>
      </c>
      <c r="B1677" s="5" t="s">
        <v>1719</v>
      </c>
      <c r="C1677" s="7" t="s">
        <v>10</v>
      </c>
      <c r="D1677" s="8">
        <v>307.25</v>
      </c>
    </row>
    <row r="1678" spans="1:4" x14ac:dyDescent="0.2">
      <c r="A1678" s="6">
        <v>3112</v>
      </c>
      <c r="B1678" s="5" t="s">
        <v>1720</v>
      </c>
      <c r="C1678" s="7" t="s">
        <v>10</v>
      </c>
      <c r="D1678" s="8">
        <v>307.25</v>
      </c>
    </row>
    <row r="1679" spans="1:4" x14ac:dyDescent="0.2">
      <c r="A1679" s="6">
        <v>3113</v>
      </c>
      <c r="B1679" s="5" t="s">
        <v>1721</v>
      </c>
      <c r="C1679" s="7" t="s">
        <v>64</v>
      </c>
      <c r="D1679" s="8">
        <v>553.07000000000005</v>
      </c>
    </row>
    <row r="1680" spans="1:4" x14ac:dyDescent="0.2">
      <c r="A1680" s="6">
        <v>3114</v>
      </c>
      <c r="B1680" s="5" t="s">
        <v>1722</v>
      </c>
      <c r="C1680" s="7" t="s">
        <v>64</v>
      </c>
      <c r="D1680" s="8">
        <v>553.07000000000005</v>
      </c>
    </row>
    <row r="1681" spans="1:4" x14ac:dyDescent="0.2">
      <c r="A1681" s="6">
        <v>3115</v>
      </c>
      <c r="B1681" s="5" t="s">
        <v>1723</v>
      </c>
      <c r="C1681" s="7" t="s">
        <v>64</v>
      </c>
      <c r="D1681" s="8">
        <v>553.07000000000005</v>
      </c>
    </row>
    <row r="1682" spans="1:4" x14ac:dyDescent="0.2">
      <c r="A1682" s="6">
        <v>3116</v>
      </c>
      <c r="B1682" s="5" t="s">
        <v>1724</v>
      </c>
      <c r="C1682" s="7" t="s">
        <v>64</v>
      </c>
      <c r="D1682" s="8">
        <v>553.07000000000005</v>
      </c>
    </row>
    <row r="1683" spans="1:4" x14ac:dyDescent="0.2">
      <c r="A1683" s="6">
        <v>3117</v>
      </c>
      <c r="B1683" s="5" t="s">
        <v>1725</v>
      </c>
      <c r="C1683" s="7" t="s">
        <v>10</v>
      </c>
      <c r="D1683" s="8">
        <v>307.25</v>
      </c>
    </row>
    <row r="1684" spans="1:4" x14ac:dyDescent="0.2">
      <c r="A1684" s="6">
        <v>3118</v>
      </c>
      <c r="B1684" s="5" t="s">
        <v>1726</v>
      </c>
      <c r="C1684" s="7" t="s">
        <v>10</v>
      </c>
      <c r="D1684" s="8">
        <v>307.25</v>
      </c>
    </row>
    <row r="1685" spans="1:4" x14ac:dyDescent="0.2">
      <c r="A1685" s="6">
        <v>3119</v>
      </c>
      <c r="B1685" s="5" t="s">
        <v>1727</v>
      </c>
      <c r="C1685" s="7" t="s">
        <v>10</v>
      </c>
      <c r="D1685" s="8">
        <v>307.25</v>
      </c>
    </row>
    <row r="1686" spans="1:4" x14ac:dyDescent="0.2">
      <c r="A1686" s="6">
        <v>3120</v>
      </c>
      <c r="B1686" s="5" t="s">
        <v>1728</v>
      </c>
      <c r="C1686" s="7" t="s">
        <v>10</v>
      </c>
      <c r="D1686" s="8">
        <v>307.25</v>
      </c>
    </row>
    <row r="1687" spans="1:4" x14ac:dyDescent="0.2">
      <c r="A1687" s="6">
        <v>3121</v>
      </c>
      <c r="B1687" s="5" t="s">
        <v>1729</v>
      </c>
      <c r="C1687" s="7" t="s">
        <v>64</v>
      </c>
      <c r="D1687" s="8">
        <v>553.07000000000005</v>
      </c>
    </row>
    <row r="1688" spans="1:4" x14ac:dyDescent="0.2">
      <c r="A1688" s="6">
        <v>3122</v>
      </c>
      <c r="B1688" s="5" t="s">
        <v>1730</v>
      </c>
      <c r="C1688" s="7" t="s">
        <v>10</v>
      </c>
      <c r="D1688" s="8">
        <v>307.25</v>
      </c>
    </row>
    <row r="1689" spans="1:4" x14ac:dyDescent="0.2">
      <c r="A1689" s="6">
        <v>3123</v>
      </c>
      <c r="B1689" s="5" t="s">
        <v>1731</v>
      </c>
      <c r="C1689" s="7" t="s">
        <v>64</v>
      </c>
      <c r="D1689" s="8">
        <v>553.07000000000005</v>
      </c>
    </row>
    <row r="1690" spans="1:4" x14ac:dyDescent="0.2">
      <c r="A1690" s="6">
        <v>3124</v>
      </c>
      <c r="B1690" s="5" t="s">
        <v>1732</v>
      </c>
      <c r="C1690" s="7" t="s">
        <v>64</v>
      </c>
      <c r="D1690" s="8">
        <v>553.07000000000005</v>
      </c>
    </row>
    <row r="1691" spans="1:4" x14ac:dyDescent="0.2">
      <c r="A1691" s="6">
        <v>3125</v>
      </c>
      <c r="B1691" s="5" t="s">
        <v>1733</v>
      </c>
      <c r="C1691" s="7" t="s">
        <v>297</v>
      </c>
      <c r="D1691" s="8">
        <v>269.62</v>
      </c>
    </row>
    <row r="1692" spans="1:4" x14ac:dyDescent="0.2">
      <c r="A1692" s="6">
        <v>3126</v>
      </c>
      <c r="B1692" s="5" t="s">
        <v>1734</v>
      </c>
      <c r="C1692" s="7" t="s">
        <v>10</v>
      </c>
      <c r="D1692" s="8">
        <v>307.25</v>
      </c>
    </row>
    <row r="1693" spans="1:4" x14ac:dyDescent="0.2">
      <c r="A1693" s="6">
        <v>3127</v>
      </c>
      <c r="B1693" s="5" t="s">
        <v>1735</v>
      </c>
      <c r="C1693" s="7" t="s">
        <v>10</v>
      </c>
      <c r="D1693" s="8">
        <v>307.25</v>
      </c>
    </row>
    <row r="1694" spans="1:4" x14ac:dyDescent="0.2">
      <c r="A1694" s="6">
        <v>3128</v>
      </c>
      <c r="B1694" s="5" t="s">
        <v>1736</v>
      </c>
      <c r="C1694" s="7" t="s">
        <v>64</v>
      </c>
      <c r="D1694" s="8">
        <v>553.07000000000005</v>
      </c>
    </row>
    <row r="1695" spans="1:4" x14ac:dyDescent="0.2">
      <c r="A1695" s="6">
        <v>3129</v>
      </c>
      <c r="B1695" s="5" t="s">
        <v>1737</v>
      </c>
      <c r="C1695" s="7" t="s">
        <v>10</v>
      </c>
      <c r="D1695" s="8">
        <v>307.25</v>
      </c>
    </row>
    <row r="1696" spans="1:4" x14ac:dyDescent="0.2">
      <c r="A1696" s="6">
        <v>3130</v>
      </c>
      <c r="B1696" s="5" t="s">
        <v>1738</v>
      </c>
      <c r="C1696" s="7" t="s">
        <v>10</v>
      </c>
      <c r="D1696" s="8">
        <v>307.25</v>
      </c>
    </row>
    <row r="1697" spans="1:4" x14ac:dyDescent="0.2">
      <c r="A1697" s="6">
        <v>3131</v>
      </c>
      <c r="B1697" s="5" t="s">
        <v>1739</v>
      </c>
      <c r="C1697" s="7" t="s">
        <v>10</v>
      </c>
      <c r="D1697" s="8">
        <v>307.25</v>
      </c>
    </row>
    <row r="1698" spans="1:4" x14ac:dyDescent="0.2">
      <c r="A1698" s="6">
        <v>3132</v>
      </c>
      <c r="B1698" s="5" t="s">
        <v>1740</v>
      </c>
      <c r="C1698" s="7" t="s">
        <v>64</v>
      </c>
      <c r="D1698" s="8">
        <v>553.07000000000005</v>
      </c>
    </row>
    <row r="1699" spans="1:4" x14ac:dyDescent="0.2">
      <c r="A1699" s="6">
        <v>3133</v>
      </c>
      <c r="B1699" s="5" t="s">
        <v>1741</v>
      </c>
      <c r="C1699" s="7" t="s">
        <v>10</v>
      </c>
      <c r="D1699" s="8">
        <v>257.14</v>
      </c>
    </row>
    <row r="1700" spans="1:4" x14ac:dyDescent="0.2">
      <c r="A1700" s="6">
        <v>3134</v>
      </c>
      <c r="B1700" s="5" t="s">
        <v>1742</v>
      </c>
      <c r="C1700" s="7" t="s">
        <v>10</v>
      </c>
      <c r="D1700" s="8">
        <v>307.25</v>
      </c>
    </row>
    <row r="1701" spans="1:4" x14ac:dyDescent="0.2">
      <c r="A1701" s="6">
        <v>3135</v>
      </c>
      <c r="B1701" s="5" t="s">
        <v>1743</v>
      </c>
      <c r="C1701" s="7" t="s">
        <v>99</v>
      </c>
      <c r="D1701" s="8"/>
    </row>
    <row r="1702" spans="1:4" x14ac:dyDescent="0.2">
      <c r="A1702" s="6">
        <v>3136</v>
      </c>
      <c r="B1702" s="5" t="s">
        <v>1744</v>
      </c>
      <c r="C1702" s="7" t="s">
        <v>10</v>
      </c>
      <c r="D1702" s="8">
        <v>307.25</v>
      </c>
    </row>
    <row r="1703" spans="1:4" x14ac:dyDescent="0.2">
      <c r="A1703" s="6">
        <v>3137</v>
      </c>
      <c r="B1703" s="5" t="s">
        <v>1745</v>
      </c>
      <c r="C1703" s="7" t="s">
        <v>64</v>
      </c>
      <c r="D1703" s="8">
        <v>553.07000000000005</v>
      </c>
    </row>
    <row r="1704" spans="1:4" x14ac:dyDescent="0.2">
      <c r="A1704" s="6">
        <v>3138</v>
      </c>
      <c r="B1704" s="5" t="s">
        <v>1746</v>
      </c>
      <c r="C1704" s="7" t="s">
        <v>10</v>
      </c>
      <c r="D1704" s="8">
        <v>307.25</v>
      </c>
    </row>
    <row r="1705" spans="1:4" x14ac:dyDescent="0.2">
      <c r="A1705" s="6">
        <v>3139</v>
      </c>
      <c r="B1705" s="5" t="s">
        <v>1747</v>
      </c>
      <c r="C1705" s="7" t="s">
        <v>10</v>
      </c>
      <c r="D1705" s="8">
        <v>307.25</v>
      </c>
    </row>
    <row r="1706" spans="1:4" x14ac:dyDescent="0.2">
      <c r="A1706" s="6">
        <v>3140</v>
      </c>
      <c r="B1706" s="5" t="s">
        <v>1748</v>
      </c>
      <c r="C1706" s="7" t="s">
        <v>10</v>
      </c>
      <c r="D1706" s="8">
        <v>307.25</v>
      </c>
    </row>
    <row r="1707" spans="1:4" x14ac:dyDescent="0.2">
      <c r="A1707" s="6">
        <v>3141</v>
      </c>
      <c r="B1707" s="5" t="s">
        <v>1749</v>
      </c>
      <c r="C1707" s="7" t="s">
        <v>64</v>
      </c>
      <c r="D1707" s="8">
        <v>553.07000000000005</v>
      </c>
    </row>
    <row r="1708" spans="1:4" x14ac:dyDescent="0.2">
      <c r="A1708" s="6">
        <v>3142</v>
      </c>
      <c r="B1708" s="5" t="s">
        <v>1750</v>
      </c>
      <c r="C1708" s="7" t="s">
        <v>10</v>
      </c>
      <c r="D1708" s="8">
        <v>307.25</v>
      </c>
    </row>
    <row r="1709" spans="1:4" x14ac:dyDescent="0.2">
      <c r="A1709" s="6">
        <v>3143</v>
      </c>
      <c r="B1709" s="5" t="s">
        <v>1751</v>
      </c>
      <c r="C1709" s="7" t="s">
        <v>64</v>
      </c>
      <c r="D1709" s="8">
        <v>553.07000000000005</v>
      </c>
    </row>
    <row r="1710" spans="1:4" x14ac:dyDescent="0.2">
      <c r="A1710" s="6">
        <v>3144</v>
      </c>
      <c r="B1710" s="5" t="s">
        <v>1752</v>
      </c>
      <c r="C1710" s="7" t="s">
        <v>10</v>
      </c>
      <c r="D1710" s="8">
        <v>307.25</v>
      </c>
    </row>
    <row r="1711" spans="1:4" x14ac:dyDescent="0.2">
      <c r="A1711" s="6">
        <v>3145</v>
      </c>
      <c r="B1711" s="5" t="s">
        <v>1753</v>
      </c>
      <c r="C1711" s="7" t="s">
        <v>10</v>
      </c>
      <c r="D1711" s="8">
        <v>307.25</v>
      </c>
    </row>
    <row r="1712" spans="1:4" x14ac:dyDescent="0.2">
      <c r="A1712" s="6">
        <v>3146</v>
      </c>
      <c r="B1712" s="5" t="s">
        <v>1754</v>
      </c>
      <c r="C1712" s="7" t="s">
        <v>64</v>
      </c>
      <c r="D1712" s="8">
        <v>553.07000000000005</v>
      </c>
    </row>
    <row r="1713" spans="1:4" x14ac:dyDescent="0.2">
      <c r="A1713" s="6">
        <v>3147</v>
      </c>
      <c r="B1713" s="5" t="s">
        <v>1755</v>
      </c>
      <c r="C1713" s="7" t="s">
        <v>64</v>
      </c>
      <c r="D1713" s="8">
        <v>553.07000000000005</v>
      </c>
    </row>
    <row r="1714" spans="1:4" x14ac:dyDescent="0.2">
      <c r="A1714" s="6">
        <v>3148</v>
      </c>
      <c r="B1714" s="5" t="s">
        <v>1756</v>
      </c>
      <c r="C1714" s="7" t="s">
        <v>10</v>
      </c>
      <c r="D1714" s="8">
        <v>307.25</v>
      </c>
    </row>
    <row r="1715" spans="1:4" x14ac:dyDescent="0.2">
      <c r="A1715" s="6">
        <v>3149</v>
      </c>
      <c r="B1715" s="5" t="s">
        <v>1757</v>
      </c>
      <c r="C1715" s="7" t="s">
        <v>10</v>
      </c>
      <c r="D1715" s="8">
        <v>307.25</v>
      </c>
    </row>
    <row r="1716" spans="1:4" x14ac:dyDescent="0.2">
      <c r="A1716" s="6">
        <v>3150</v>
      </c>
      <c r="B1716" s="5" t="s">
        <v>1758</v>
      </c>
      <c r="C1716" s="7" t="s">
        <v>10</v>
      </c>
      <c r="D1716" s="8">
        <v>307.25</v>
      </c>
    </row>
    <row r="1717" spans="1:4" x14ac:dyDescent="0.2">
      <c r="A1717" s="6">
        <v>3151</v>
      </c>
      <c r="B1717" s="5" t="s">
        <v>1759</v>
      </c>
      <c r="C1717" s="7" t="s">
        <v>10</v>
      </c>
      <c r="D1717" s="8">
        <v>307.25</v>
      </c>
    </row>
    <row r="1718" spans="1:4" x14ac:dyDescent="0.2">
      <c r="A1718" s="6">
        <v>3152</v>
      </c>
      <c r="B1718" s="5" t="s">
        <v>1760</v>
      </c>
      <c r="C1718" s="7" t="s">
        <v>10</v>
      </c>
      <c r="D1718" s="8">
        <v>307.25</v>
      </c>
    </row>
    <row r="1719" spans="1:4" x14ac:dyDescent="0.2">
      <c r="A1719" s="6">
        <v>3153</v>
      </c>
      <c r="B1719" s="5" t="s">
        <v>1761</v>
      </c>
      <c r="C1719" s="7" t="s">
        <v>64</v>
      </c>
      <c r="D1719" s="8">
        <v>553.07000000000005</v>
      </c>
    </row>
    <row r="1720" spans="1:4" x14ac:dyDescent="0.2">
      <c r="A1720" s="6">
        <v>3154</v>
      </c>
      <c r="B1720" s="5" t="s">
        <v>1762</v>
      </c>
      <c r="C1720" s="7" t="s">
        <v>10</v>
      </c>
      <c r="D1720" s="8">
        <v>307.25</v>
      </c>
    </row>
    <row r="1721" spans="1:4" x14ac:dyDescent="0.2">
      <c r="A1721" s="6">
        <v>3155</v>
      </c>
      <c r="B1721" s="5" t="s">
        <v>1763</v>
      </c>
      <c r="C1721" s="7" t="s">
        <v>10</v>
      </c>
      <c r="D1721" s="8">
        <v>307.25</v>
      </c>
    </row>
    <row r="1722" spans="1:4" x14ac:dyDescent="0.2">
      <c r="A1722" s="6">
        <v>3156</v>
      </c>
      <c r="B1722" s="5" t="s">
        <v>1764</v>
      </c>
      <c r="C1722" s="7" t="s">
        <v>10</v>
      </c>
      <c r="D1722" s="8">
        <v>307.25</v>
      </c>
    </row>
    <row r="1723" spans="1:4" x14ac:dyDescent="0.2">
      <c r="A1723" s="6">
        <v>3157</v>
      </c>
      <c r="B1723" s="5" t="s">
        <v>1765</v>
      </c>
      <c r="C1723" s="7" t="s">
        <v>10</v>
      </c>
      <c r="D1723" s="8">
        <v>307.25</v>
      </c>
    </row>
    <row r="1724" spans="1:4" x14ac:dyDescent="0.2">
      <c r="A1724" s="6">
        <v>3158</v>
      </c>
      <c r="B1724" s="5" t="s">
        <v>1766</v>
      </c>
      <c r="C1724" s="7" t="s">
        <v>10</v>
      </c>
      <c r="D1724" s="8">
        <v>307.25</v>
      </c>
    </row>
    <row r="1725" spans="1:4" x14ac:dyDescent="0.2">
      <c r="A1725" s="6">
        <v>3159</v>
      </c>
      <c r="B1725" s="5" t="s">
        <v>1767</v>
      </c>
      <c r="C1725" s="7" t="s">
        <v>10</v>
      </c>
      <c r="D1725" s="8">
        <v>307.25</v>
      </c>
    </row>
    <row r="1726" spans="1:4" x14ac:dyDescent="0.2">
      <c r="A1726" s="6">
        <v>3160</v>
      </c>
      <c r="B1726" s="5" t="s">
        <v>1768</v>
      </c>
      <c r="C1726" s="7" t="s">
        <v>10</v>
      </c>
      <c r="D1726" s="8">
        <v>307.25</v>
      </c>
    </row>
    <row r="1727" spans="1:4" x14ac:dyDescent="0.2">
      <c r="A1727" s="6">
        <v>3161</v>
      </c>
      <c r="B1727" s="5" t="s">
        <v>1769</v>
      </c>
      <c r="C1727" s="7" t="s">
        <v>10</v>
      </c>
      <c r="D1727" s="8">
        <v>307.25</v>
      </c>
    </row>
    <row r="1728" spans="1:4" x14ac:dyDescent="0.2">
      <c r="A1728" s="6">
        <v>3162</v>
      </c>
      <c r="B1728" s="5" t="s">
        <v>1770</v>
      </c>
      <c r="C1728" s="7" t="s">
        <v>64</v>
      </c>
      <c r="D1728" s="8">
        <v>553.07000000000005</v>
      </c>
    </row>
    <row r="1729" spans="1:4" x14ac:dyDescent="0.2">
      <c r="A1729" s="6">
        <v>3163</v>
      </c>
      <c r="B1729" s="5" t="s">
        <v>1771</v>
      </c>
      <c r="C1729" s="7" t="s">
        <v>64</v>
      </c>
      <c r="D1729" s="8">
        <v>553.07000000000005</v>
      </c>
    </row>
    <row r="1730" spans="1:4" x14ac:dyDescent="0.2">
      <c r="A1730" s="6">
        <v>3164</v>
      </c>
      <c r="B1730" s="5" t="s">
        <v>1772</v>
      </c>
      <c r="C1730" s="7" t="s">
        <v>64</v>
      </c>
      <c r="D1730" s="8">
        <v>553.07000000000005</v>
      </c>
    </row>
    <row r="1731" spans="1:4" x14ac:dyDescent="0.2">
      <c r="A1731" s="6">
        <v>3165</v>
      </c>
      <c r="B1731" s="5" t="s">
        <v>1773</v>
      </c>
      <c r="C1731" s="7" t="s">
        <v>10</v>
      </c>
      <c r="D1731" s="8">
        <v>307.25</v>
      </c>
    </row>
    <row r="1732" spans="1:4" x14ac:dyDescent="0.2">
      <c r="A1732" s="6">
        <v>3166</v>
      </c>
      <c r="B1732" s="5" t="s">
        <v>1774</v>
      </c>
      <c r="C1732" s="7" t="s">
        <v>64</v>
      </c>
      <c r="D1732" s="8">
        <v>553.07000000000005</v>
      </c>
    </row>
    <row r="1733" spans="1:4" x14ac:dyDescent="0.2">
      <c r="A1733" s="6">
        <v>3167</v>
      </c>
      <c r="B1733" s="5" t="s">
        <v>1775</v>
      </c>
      <c r="C1733" s="7" t="s">
        <v>10</v>
      </c>
      <c r="D1733" s="8">
        <v>307.25</v>
      </c>
    </row>
    <row r="1734" spans="1:4" x14ac:dyDescent="0.2">
      <c r="A1734" s="6">
        <v>3168</v>
      </c>
      <c r="B1734" s="5" t="s">
        <v>1776</v>
      </c>
      <c r="C1734" s="7" t="s">
        <v>10</v>
      </c>
      <c r="D1734" s="8">
        <v>307.25</v>
      </c>
    </row>
    <row r="1735" spans="1:4" x14ac:dyDescent="0.2">
      <c r="A1735" s="6">
        <v>3169</v>
      </c>
      <c r="B1735" s="5" t="s">
        <v>1777</v>
      </c>
      <c r="C1735" s="7" t="s">
        <v>64</v>
      </c>
      <c r="D1735" s="8">
        <v>553.07000000000005</v>
      </c>
    </row>
    <row r="1736" spans="1:4" x14ac:dyDescent="0.2">
      <c r="A1736" s="6">
        <v>3170</v>
      </c>
      <c r="B1736" s="5" t="s">
        <v>1778</v>
      </c>
      <c r="C1736" s="7" t="s">
        <v>10</v>
      </c>
      <c r="D1736" s="8">
        <v>307.25</v>
      </c>
    </row>
    <row r="1737" spans="1:4" x14ac:dyDescent="0.2">
      <c r="A1737" s="6">
        <v>3171</v>
      </c>
      <c r="B1737" s="5" t="s">
        <v>1779</v>
      </c>
      <c r="C1737" s="7" t="s">
        <v>10</v>
      </c>
      <c r="D1737" s="8">
        <v>307.25</v>
      </c>
    </row>
    <row r="1738" spans="1:4" x14ac:dyDescent="0.2">
      <c r="A1738" s="6">
        <v>3172</v>
      </c>
      <c r="B1738" s="5" t="s">
        <v>1780</v>
      </c>
      <c r="C1738" s="7" t="s">
        <v>10</v>
      </c>
      <c r="D1738" s="8">
        <v>307.25</v>
      </c>
    </row>
    <row r="1739" spans="1:4" x14ac:dyDescent="0.2">
      <c r="A1739" s="6">
        <v>3173</v>
      </c>
      <c r="B1739" s="5" t="s">
        <v>1781</v>
      </c>
      <c r="C1739" s="7" t="s">
        <v>10</v>
      </c>
      <c r="D1739" s="8">
        <v>307.25</v>
      </c>
    </row>
    <row r="1740" spans="1:4" x14ac:dyDescent="0.2">
      <c r="A1740" s="6">
        <v>3174</v>
      </c>
      <c r="B1740" s="5" t="s">
        <v>1782</v>
      </c>
      <c r="C1740" s="7" t="s">
        <v>64</v>
      </c>
      <c r="D1740" s="8">
        <v>553.07000000000005</v>
      </c>
    </row>
    <row r="1741" spans="1:4" x14ac:dyDescent="0.2">
      <c r="A1741" s="6">
        <v>3175</v>
      </c>
      <c r="B1741" s="5" t="s">
        <v>1783</v>
      </c>
      <c r="C1741" s="7" t="s">
        <v>10</v>
      </c>
      <c r="D1741" s="8">
        <v>307.25</v>
      </c>
    </row>
    <row r="1742" spans="1:4" x14ac:dyDescent="0.2">
      <c r="A1742" s="6">
        <v>3176</v>
      </c>
      <c r="B1742" s="5" t="s">
        <v>1784</v>
      </c>
      <c r="C1742" s="7" t="s">
        <v>64</v>
      </c>
      <c r="D1742" s="8">
        <v>553.07000000000005</v>
      </c>
    </row>
    <row r="1743" spans="1:4" x14ac:dyDescent="0.2">
      <c r="A1743" s="6">
        <v>3177</v>
      </c>
      <c r="B1743" s="5" t="s">
        <v>1785</v>
      </c>
      <c r="C1743" s="7" t="s">
        <v>64</v>
      </c>
      <c r="D1743" s="8">
        <v>553.07000000000005</v>
      </c>
    </row>
    <row r="1744" spans="1:4" x14ac:dyDescent="0.2">
      <c r="A1744" s="6">
        <v>3178</v>
      </c>
      <c r="B1744" s="5" t="s">
        <v>1786</v>
      </c>
      <c r="C1744" s="7" t="s">
        <v>10</v>
      </c>
      <c r="D1744" s="8">
        <v>353.9</v>
      </c>
    </row>
    <row r="1745" spans="1:4" x14ac:dyDescent="0.2">
      <c r="A1745" s="6">
        <v>3179</v>
      </c>
      <c r="B1745" s="5" t="s">
        <v>1787</v>
      </c>
      <c r="C1745" s="7" t="s">
        <v>280</v>
      </c>
      <c r="D1745" s="8">
        <v>189.73</v>
      </c>
    </row>
    <row r="1746" spans="1:4" x14ac:dyDescent="0.2">
      <c r="A1746" s="6">
        <v>3180</v>
      </c>
      <c r="B1746" s="5" t="s">
        <v>1788</v>
      </c>
      <c r="C1746" s="7" t="s">
        <v>10</v>
      </c>
      <c r="D1746" s="8">
        <v>307.25</v>
      </c>
    </row>
    <row r="1747" spans="1:4" x14ac:dyDescent="0.2">
      <c r="A1747" s="6">
        <v>3181</v>
      </c>
      <c r="B1747" s="5" t="s">
        <v>1789</v>
      </c>
      <c r="C1747" s="7" t="s">
        <v>64</v>
      </c>
      <c r="D1747" s="8">
        <v>553.07000000000005</v>
      </c>
    </row>
    <row r="1748" spans="1:4" x14ac:dyDescent="0.2">
      <c r="A1748" s="6">
        <v>3182</v>
      </c>
      <c r="B1748" s="5" t="s">
        <v>1790</v>
      </c>
      <c r="C1748" s="7" t="s">
        <v>64</v>
      </c>
      <c r="D1748" s="8">
        <v>553.07000000000005</v>
      </c>
    </row>
    <row r="1749" spans="1:4" x14ac:dyDescent="0.2">
      <c r="A1749" s="6">
        <v>3183</v>
      </c>
      <c r="B1749" s="5" t="s">
        <v>1791</v>
      </c>
      <c r="C1749" s="7" t="s">
        <v>64</v>
      </c>
      <c r="D1749" s="8">
        <v>638.79999999999995</v>
      </c>
    </row>
    <row r="1750" spans="1:4" x14ac:dyDescent="0.2">
      <c r="A1750" s="6">
        <v>3184</v>
      </c>
      <c r="B1750" s="5" t="s">
        <v>1792</v>
      </c>
      <c r="C1750" s="7" t="s">
        <v>10</v>
      </c>
      <c r="D1750" s="8">
        <v>307.25</v>
      </c>
    </row>
    <row r="1751" spans="1:4" x14ac:dyDescent="0.2">
      <c r="A1751" s="6">
        <v>3185</v>
      </c>
      <c r="B1751" s="5" t="s">
        <v>1793</v>
      </c>
      <c r="C1751" s="7" t="s">
        <v>10</v>
      </c>
      <c r="D1751" s="8">
        <v>307.25</v>
      </c>
    </row>
    <row r="1752" spans="1:4" x14ac:dyDescent="0.2">
      <c r="A1752" s="6">
        <v>3186</v>
      </c>
      <c r="B1752" s="5" t="s">
        <v>1794</v>
      </c>
      <c r="C1752" s="7" t="s">
        <v>64</v>
      </c>
      <c r="D1752" s="8">
        <v>553.07000000000005</v>
      </c>
    </row>
    <row r="1753" spans="1:4" x14ac:dyDescent="0.2">
      <c r="A1753" s="6">
        <v>3187</v>
      </c>
      <c r="B1753" s="5" t="s">
        <v>1795</v>
      </c>
      <c r="C1753" s="7" t="s">
        <v>64</v>
      </c>
      <c r="D1753" s="8">
        <v>553.07000000000005</v>
      </c>
    </row>
    <row r="1754" spans="1:4" x14ac:dyDescent="0.2">
      <c r="A1754" s="6">
        <v>3188</v>
      </c>
      <c r="B1754" s="5" t="s">
        <v>1796</v>
      </c>
      <c r="C1754" s="7" t="s">
        <v>10</v>
      </c>
      <c r="D1754" s="8">
        <v>307.25</v>
      </c>
    </row>
    <row r="1755" spans="1:4" x14ac:dyDescent="0.2">
      <c r="A1755" s="6">
        <v>3189</v>
      </c>
      <c r="B1755" s="5" t="s">
        <v>1797</v>
      </c>
      <c r="C1755" s="7" t="s">
        <v>10</v>
      </c>
      <c r="D1755" s="8">
        <v>307.25</v>
      </c>
    </row>
    <row r="1756" spans="1:4" x14ac:dyDescent="0.2">
      <c r="A1756" s="6">
        <v>3190</v>
      </c>
      <c r="B1756" s="5" t="s">
        <v>1798</v>
      </c>
      <c r="C1756" s="7" t="s">
        <v>280</v>
      </c>
      <c r="D1756" s="8">
        <v>257.14285714285717</v>
      </c>
    </row>
    <row r="1757" spans="1:4" x14ac:dyDescent="0.2">
      <c r="A1757" s="6">
        <v>3191</v>
      </c>
      <c r="B1757" s="5" t="s">
        <v>1799</v>
      </c>
      <c r="C1757" s="7" t="s">
        <v>280</v>
      </c>
      <c r="D1757" s="8">
        <v>257.14285714285717</v>
      </c>
    </row>
    <row r="1758" spans="1:4" x14ac:dyDescent="0.2">
      <c r="A1758" s="6">
        <v>3192</v>
      </c>
      <c r="B1758" s="5" t="s">
        <v>1800</v>
      </c>
      <c r="C1758" s="7" t="s">
        <v>10</v>
      </c>
      <c r="D1758" s="8">
        <v>307.25</v>
      </c>
    </row>
    <row r="1759" spans="1:4" x14ac:dyDescent="0.2">
      <c r="A1759" s="6">
        <v>3193</v>
      </c>
      <c r="B1759" s="5" t="s">
        <v>1801</v>
      </c>
      <c r="C1759" s="7" t="s">
        <v>10</v>
      </c>
      <c r="D1759" s="8">
        <v>307.25</v>
      </c>
    </row>
    <row r="1760" spans="1:4" x14ac:dyDescent="0.2">
      <c r="A1760" s="6">
        <v>3194</v>
      </c>
      <c r="B1760" s="5" t="s">
        <v>1802</v>
      </c>
      <c r="C1760" s="7" t="s">
        <v>10</v>
      </c>
      <c r="D1760" s="8">
        <v>307.25</v>
      </c>
    </row>
    <row r="1761" spans="1:4" x14ac:dyDescent="0.2">
      <c r="A1761" s="6">
        <v>3195</v>
      </c>
      <c r="B1761" s="5" t="s">
        <v>1803</v>
      </c>
      <c r="C1761" s="7" t="s">
        <v>10</v>
      </c>
      <c r="D1761" s="8">
        <v>307.25</v>
      </c>
    </row>
    <row r="1762" spans="1:4" x14ac:dyDescent="0.2">
      <c r="A1762" s="6">
        <v>3196</v>
      </c>
      <c r="B1762" s="5" t="s">
        <v>1804</v>
      </c>
      <c r="C1762" s="7" t="s">
        <v>10</v>
      </c>
      <c r="D1762" s="8">
        <v>307.25</v>
      </c>
    </row>
    <row r="1763" spans="1:4" x14ac:dyDescent="0.2">
      <c r="A1763" s="6">
        <v>3197</v>
      </c>
      <c r="B1763" s="5" t="s">
        <v>1805</v>
      </c>
      <c r="C1763" s="7" t="s">
        <v>64</v>
      </c>
      <c r="D1763" s="8">
        <v>553.07000000000005</v>
      </c>
    </row>
    <row r="1764" spans="1:4" x14ac:dyDescent="0.2">
      <c r="A1764" s="6">
        <v>3198</v>
      </c>
      <c r="B1764" s="5" t="s">
        <v>1806</v>
      </c>
      <c r="C1764" s="7" t="s">
        <v>10</v>
      </c>
      <c r="D1764" s="8">
        <v>307.25</v>
      </c>
    </row>
    <row r="1765" spans="1:4" x14ac:dyDescent="0.2">
      <c r="A1765" s="6">
        <v>3199</v>
      </c>
      <c r="B1765" s="5" t="s">
        <v>1807</v>
      </c>
      <c r="C1765" s="7" t="s">
        <v>64</v>
      </c>
      <c r="D1765" s="8">
        <v>553.07000000000005</v>
      </c>
    </row>
    <row r="1766" spans="1:4" x14ac:dyDescent="0.2">
      <c r="A1766" s="6">
        <v>3200</v>
      </c>
      <c r="B1766" s="5" t="s">
        <v>1808</v>
      </c>
      <c r="C1766" s="7" t="s">
        <v>10</v>
      </c>
      <c r="D1766" s="8">
        <v>307.25</v>
      </c>
    </row>
    <row r="1767" spans="1:4" x14ac:dyDescent="0.2">
      <c r="A1767" s="6">
        <v>3201</v>
      </c>
      <c r="B1767" s="5" t="s">
        <v>1809</v>
      </c>
      <c r="C1767" s="7" t="s">
        <v>64</v>
      </c>
      <c r="D1767" s="8">
        <v>553.07000000000005</v>
      </c>
    </row>
    <row r="1768" spans="1:4" x14ac:dyDescent="0.2">
      <c r="A1768" s="6">
        <v>3202</v>
      </c>
      <c r="B1768" s="5" t="s">
        <v>1810</v>
      </c>
      <c r="C1768" s="7" t="s">
        <v>64</v>
      </c>
      <c r="D1768" s="8">
        <v>553.07000000000005</v>
      </c>
    </row>
    <row r="1769" spans="1:4" x14ac:dyDescent="0.2">
      <c r="A1769" s="6">
        <v>3203</v>
      </c>
      <c r="B1769" s="5" t="s">
        <v>1811</v>
      </c>
      <c r="C1769" s="7" t="s">
        <v>10</v>
      </c>
      <c r="D1769" s="8">
        <v>307.25</v>
      </c>
    </row>
    <row r="1770" spans="1:4" x14ac:dyDescent="0.2">
      <c r="A1770" s="6">
        <v>3204</v>
      </c>
      <c r="B1770" s="5" t="s">
        <v>1812</v>
      </c>
      <c r="C1770" s="7" t="s">
        <v>10</v>
      </c>
      <c r="D1770" s="8">
        <v>307.25</v>
      </c>
    </row>
    <row r="1771" spans="1:4" x14ac:dyDescent="0.2">
      <c r="A1771" s="6">
        <v>3205</v>
      </c>
      <c r="B1771" s="5" t="s">
        <v>1813</v>
      </c>
      <c r="C1771" s="7" t="s">
        <v>10</v>
      </c>
      <c r="D1771" s="8">
        <v>307.25</v>
      </c>
    </row>
    <row r="1772" spans="1:4" x14ac:dyDescent="0.2">
      <c r="A1772" s="6">
        <v>3206</v>
      </c>
      <c r="B1772" s="5" t="s">
        <v>1814</v>
      </c>
      <c r="C1772" s="7" t="s">
        <v>64</v>
      </c>
      <c r="D1772" s="8">
        <v>553.07000000000005</v>
      </c>
    </row>
    <row r="1773" spans="1:4" x14ac:dyDescent="0.2">
      <c r="A1773" s="6">
        <v>3207</v>
      </c>
      <c r="B1773" s="5" t="s">
        <v>1815</v>
      </c>
      <c r="C1773" s="7" t="s">
        <v>10</v>
      </c>
      <c r="D1773" s="8">
        <v>307.25</v>
      </c>
    </row>
    <row r="1774" spans="1:4" x14ac:dyDescent="0.2">
      <c r="A1774" s="6">
        <v>3208</v>
      </c>
      <c r="B1774" s="5" t="s">
        <v>1816</v>
      </c>
      <c r="C1774" s="7" t="s">
        <v>92</v>
      </c>
      <c r="D1774" s="8">
        <v>309.572</v>
      </c>
    </row>
    <row r="1775" spans="1:4" x14ac:dyDescent="0.2">
      <c r="A1775" s="6">
        <v>3209</v>
      </c>
      <c r="B1775" s="5" t="s">
        <v>1817</v>
      </c>
      <c r="C1775" s="7" t="s">
        <v>64</v>
      </c>
      <c r="D1775" s="8">
        <v>553.07000000000005</v>
      </c>
    </row>
    <row r="1776" spans="1:4" x14ac:dyDescent="0.2">
      <c r="A1776" s="6">
        <v>3210</v>
      </c>
      <c r="B1776" s="5" t="s">
        <v>1818</v>
      </c>
      <c r="C1776" s="7" t="s">
        <v>280</v>
      </c>
      <c r="D1776" s="8">
        <v>275</v>
      </c>
    </row>
    <row r="1777" spans="1:4" x14ac:dyDescent="0.2">
      <c r="A1777" s="6">
        <v>3211</v>
      </c>
      <c r="B1777" s="5" t="s">
        <v>1819</v>
      </c>
      <c r="C1777" s="7" t="s">
        <v>64</v>
      </c>
      <c r="D1777" s="8">
        <v>553.07000000000005</v>
      </c>
    </row>
    <row r="1778" spans="1:4" x14ac:dyDescent="0.2">
      <c r="A1778" s="6">
        <v>3212</v>
      </c>
      <c r="B1778" s="5" t="s">
        <v>1820</v>
      </c>
      <c r="C1778" s="7" t="s">
        <v>64</v>
      </c>
      <c r="D1778" s="8">
        <v>553.07000000000005</v>
      </c>
    </row>
    <row r="1779" spans="1:4" x14ac:dyDescent="0.2">
      <c r="A1779" s="6">
        <v>3213</v>
      </c>
      <c r="B1779" s="5" t="s">
        <v>1821</v>
      </c>
      <c r="C1779" s="7" t="s">
        <v>64</v>
      </c>
      <c r="D1779" s="8">
        <v>357.14</v>
      </c>
    </row>
    <row r="1780" spans="1:4" x14ac:dyDescent="0.2">
      <c r="A1780" s="6">
        <v>3214</v>
      </c>
      <c r="B1780" s="5" t="s">
        <v>1822</v>
      </c>
      <c r="C1780" s="7" t="s">
        <v>10</v>
      </c>
      <c r="D1780" s="8">
        <v>307.25</v>
      </c>
    </row>
    <row r="1781" spans="1:4" x14ac:dyDescent="0.2">
      <c r="A1781" s="6">
        <v>3215</v>
      </c>
      <c r="B1781" s="5" t="s">
        <v>1823</v>
      </c>
      <c r="C1781" s="7" t="s">
        <v>64</v>
      </c>
      <c r="D1781" s="8">
        <v>553.07000000000005</v>
      </c>
    </row>
    <row r="1782" spans="1:4" x14ac:dyDescent="0.2">
      <c r="A1782" s="6">
        <v>3216</v>
      </c>
      <c r="B1782" s="5" t="s">
        <v>1824</v>
      </c>
      <c r="C1782" s="7" t="s">
        <v>64</v>
      </c>
      <c r="D1782" s="8">
        <v>553.07000000000005</v>
      </c>
    </row>
    <row r="1783" spans="1:4" x14ac:dyDescent="0.2">
      <c r="A1783" s="6">
        <v>3217</v>
      </c>
      <c r="B1783" s="5" t="s">
        <v>1825</v>
      </c>
      <c r="C1783" s="7" t="s">
        <v>64</v>
      </c>
      <c r="D1783" s="8">
        <v>357.14</v>
      </c>
    </row>
    <row r="1784" spans="1:4" x14ac:dyDescent="0.2">
      <c r="A1784" s="6">
        <v>3218</v>
      </c>
      <c r="B1784" s="5" t="s">
        <v>1826</v>
      </c>
      <c r="C1784" s="7" t="s">
        <v>64</v>
      </c>
      <c r="D1784" s="8">
        <v>357.14</v>
      </c>
    </row>
    <row r="1785" spans="1:4" x14ac:dyDescent="0.2">
      <c r="A1785" s="6">
        <v>3219</v>
      </c>
      <c r="B1785" s="5" t="s">
        <v>1827</v>
      </c>
      <c r="C1785" s="7" t="s">
        <v>64</v>
      </c>
      <c r="D1785" s="8">
        <v>553.07000000000005</v>
      </c>
    </row>
    <row r="1786" spans="1:4" x14ac:dyDescent="0.2">
      <c r="A1786" s="6">
        <v>3220</v>
      </c>
      <c r="B1786" s="5" t="s">
        <v>1828</v>
      </c>
      <c r="C1786" s="7" t="s">
        <v>10</v>
      </c>
      <c r="D1786" s="8">
        <v>307.25</v>
      </c>
    </row>
    <row r="1787" spans="1:4" x14ac:dyDescent="0.2">
      <c r="A1787" s="6">
        <v>3221</v>
      </c>
      <c r="B1787" s="5" t="s">
        <v>1829</v>
      </c>
      <c r="C1787" s="7" t="s">
        <v>64</v>
      </c>
      <c r="D1787" s="8">
        <v>553.07000000000005</v>
      </c>
    </row>
    <row r="1788" spans="1:4" x14ac:dyDescent="0.2">
      <c r="A1788" s="6">
        <v>3222</v>
      </c>
      <c r="B1788" s="5" t="s">
        <v>1830</v>
      </c>
      <c r="C1788" s="7" t="s">
        <v>92</v>
      </c>
      <c r="D1788" s="8">
        <v>239</v>
      </c>
    </row>
    <row r="1789" spans="1:4" x14ac:dyDescent="0.2">
      <c r="A1789" s="6">
        <v>3223</v>
      </c>
      <c r="B1789" s="5" t="s">
        <v>1831</v>
      </c>
      <c r="C1789" s="7" t="s">
        <v>92</v>
      </c>
      <c r="D1789" s="8">
        <v>239</v>
      </c>
    </row>
    <row r="1790" spans="1:4" x14ac:dyDescent="0.2">
      <c r="A1790" s="6">
        <v>3224</v>
      </c>
      <c r="B1790" s="5" t="s">
        <v>1832</v>
      </c>
      <c r="C1790" s="7" t="s">
        <v>64</v>
      </c>
      <c r="D1790" s="8">
        <v>553.07000000000005</v>
      </c>
    </row>
    <row r="1791" spans="1:4" x14ac:dyDescent="0.2">
      <c r="A1791" s="6">
        <v>3225</v>
      </c>
      <c r="B1791" s="5" t="s">
        <v>1833</v>
      </c>
      <c r="C1791" s="7" t="s">
        <v>64</v>
      </c>
      <c r="D1791" s="8">
        <v>553.07000000000005</v>
      </c>
    </row>
    <row r="1792" spans="1:4" x14ac:dyDescent="0.2">
      <c r="A1792" s="6">
        <v>3226</v>
      </c>
      <c r="B1792" s="5" t="s">
        <v>1834</v>
      </c>
      <c r="C1792" s="7" t="s">
        <v>10</v>
      </c>
      <c r="D1792" s="8">
        <v>307.25</v>
      </c>
    </row>
    <row r="1793" spans="1:4" x14ac:dyDescent="0.2">
      <c r="A1793" s="6">
        <v>3227</v>
      </c>
      <c r="B1793" s="5" t="s">
        <v>1835</v>
      </c>
      <c r="C1793" s="7" t="s">
        <v>10</v>
      </c>
      <c r="D1793" s="8">
        <v>307.25</v>
      </c>
    </row>
    <row r="1794" spans="1:4" x14ac:dyDescent="0.2">
      <c r="A1794" s="6">
        <v>3228</v>
      </c>
      <c r="B1794" s="5" t="s">
        <v>1836</v>
      </c>
      <c r="C1794" s="7" t="s">
        <v>10</v>
      </c>
      <c r="D1794" s="8">
        <v>307.25</v>
      </c>
    </row>
    <row r="1795" spans="1:4" x14ac:dyDescent="0.2">
      <c r="A1795" s="6">
        <v>3229</v>
      </c>
      <c r="B1795" s="5" t="s">
        <v>1837</v>
      </c>
      <c r="C1795" s="7" t="s">
        <v>10</v>
      </c>
      <c r="D1795" s="8">
        <v>307.25</v>
      </c>
    </row>
    <row r="1796" spans="1:4" x14ac:dyDescent="0.2">
      <c r="A1796" s="6">
        <v>3230</v>
      </c>
      <c r="B1796" s="5" t="s">
        <v>1838</v>
      </c>
      <c r="C1796" s="7" t="s">
        <v>10</v>
      </c>
      <c r="D1796" s="8">
        <v>307.25</v>
      </c>
    </row>
    <row r="1797" spans="1:4" x14ac:dyDescent="0.2">
      <c r="A1797" s="6">
        <v>3231</v>
      </c>
      <c r="B1797" s="5" t="s">
        <v>1839</v>
      </c>
      <c r="C1797" s="7" t="s">
        <v>10</v>
      </c>
      <c r="D1797" s="8">
        <v>307.25</v>
      </c>
    </row>
    <row r="1798" spans="1:4" x14ac:dyDescent="0.2">
      <c r="A1798" s="6">
        <v>3232</v>
      </c>
      <c r="B1798" s="5" t="s">
        <v>1840</v>
      </c>
      <c r="C1798" s="7" t="s">
        <v>64</v>
      </c>
      <c r="D1798" s="8">
        <v>553.07000000000005</v>
      </c>
    </row>
    <row r="1799" spans="1:4" x14ac:dyDescent="0.2">
      <c r="A1799" s="6">
        <v>3233</v>
      </c>
      <c r="B1799" s="5" t="s">
        <v>1841</v>
      </c>
      <c r="C1799" s="7" t="s">
        <v>64</v>
      </c>
      <c r="D1799" s="8">
        <v>553.07000000000005</v>
      </c>
    </row>
    <row r="1800" spans="1:4" x14ac:dyDescent="0.2">
      <c r="A1800" s="6">
        <v>3234</v>
      </c>
      <c r="B1800" s="5" t="s">
        <v>1842</v>
      </c>
      <c r="C1800" s="7" t="s">
        <v>64</v>
      </c>
      <c r="D1800" s="8">
        <v>553.07000000000005</v>
      </c>
    </row>
    <row r="1801" spans="1:4" x14ac:dyDescent="0.2">
      <c r="A1801" s="6">
        <v>3235</v>
      </c>
      <c r="B1801" s="5" t="s">
        <v>1843</v>
      </c>
      <c r="C1801" s="7" t="s">
        <v>64</v>
      </c>
      <c r="D1801" s="8">
        <v>553.07000000000005</v>
      </c>
    </row>
    <row r="1802" spans="1:4" x14ac:dyDescent="0.2">
      <c r="A1802" s="6">
        <v>3236</v>
      </c>
      <c r="B1802" s="5" t="s">
        <v>1844</v>
      </c>
      <c r="C1802" s="7" t="s">
        <v>10</v>
      </c>
      <c r="D1802" s="8">
        <v>307.25</v>
      </c>
    </row>
    <row r="1803" spans="1:4" x14ac:dyDescent="0.2">
      <c r="A1803" s="6">
        <v>3237</v>
      </c>
      <c r="B1803" s="5" t="s">
        <v>1845</v>
      </c>
      <c r="C1803" s="7" t="s">
        <v>64</v>
      </c>
      <c r="D1803" s="8">
        <v>553.07000000000005</v>
      </c>
    </row>
    <row r="1804" spans="1:4" x14ac:dyDescent="0.2">
      <c r="A1804" s="6">
        <v>3238</v>
      </c>
      <c r="B1804" s="5" t="s">
        <v>1846</v>
      </c>
      <c r="C1804" s="7" t="s">
        <v>64</v>
      </c>
      <c r="D1804" s="8">
        <v>553.07000000000005</v>
      </c>
    </row>
    <row r="1805" spans="1:4" x14ac:dyDescent="0.2">
      <c r="A1805" s="6">
        <v>3239</v>
      </c>
      <c r="B1805" s="5" t="s">
        <v>1847</v>
      </c>
      <c r="C1805" s="7" t="s">
        <v>10</v>
      </c>
      <c r="D1805" s="8">
        <v>307.25</v>
      </c>
    </row>
    <row r="1806" spans="1:4" x14ac:dyDescent="0.2">
      <c r="A1806" s="6">
        <v>3240</v>
      </c>
      <c r="B1806" s="5" t="s">
        <v>1848</v>
      </c>
      <c r="C1806" s="7" t="s">
        <v>64</v>
      </c>
      <c r="D1806" s="8">
        <v>553.07000000000005</v>
      </c>
    </row>
    <row r="1807" spans="1:4" x14ac:dyDescent="0.2">
      <c r="A1807" s="6">
        <v>3241</v>
      </c>
      <c r="B1807" s="5" t="s">
        <v>1849</v>
      </c>
      <c r="C1807" s="7" t="s">
        <v>10</v>
      </c>
      <c r="D1807" s="8">
        <v>307.25</v>
      </c>
    </row>
    <row r="1808" spans="1:4" x14ac:dyDescent="0.2">
      <c r="A1808" s="6">
        <v>3242</v>
      </c>
      <c r="B1808" s="5" t="s">
        <v>1850</v>
      </c>
      <c r="C1808" s="7" t="s">
        <v>64</v>
      </c>
      <c r="D1808" s="8">
        <v>553.07000000000005</v>
      </c>
    </row>
    <row r="1809" spans="1:4" x14ac:dyDescent="0.2">
      <c r="A1809" s="6">
        <v>3243</v>
      </c>
      <c r="B1809" s="5" t="s">
        <v>1851</v>
      </c>
      <c r="C1809" s="7" t="s">
        <v>10</v>
      </c>
      <c r="D1809" s="8">
        <v>307.25</v>
      </c>
    </row>
    <row r="1810" spans="1:4" x14ac:dyDescent="0.2">
      <c r="A1810" s="6">
        <v>3244</v>
      </c>
      <c r="B1810" s="5" t="s">
        <v>1852</v>
      </c>
      <c r="C1810" s="7" t="s">
        <v>297</v>
      </c>
      <c r="D1810" s="8">
        <v>300</v>
      </c>
    </row>
    <row r="1811" spans="1:4" x14ac:dyDescent="0.2">
      <c r="A1811" s="6">
        <v>3245</v>
      </c>
      <c r="B1811" s="5" t="s">
        <v>1853</v>
      </c>
      <c r="C1811" s="7" t="s">
        <v>64</v>
      </c>
      <c r="D1811" s="8">
        <v>800</v>
      </c>
    </row>
    <row r="1812" spans="1:4" x14ac:dyDescent="0.2">
      <c r="A1812" s="6">
        <v>3246</v>
      </c>
      <c r="B1812" s="5" t="s">
        <v>1854</v>
      </c>
      <c r="C1812" s="7" t="s">
        <v>64</v>
      </c>
      <c r="D1812" s="8">
        <v>553.07000000000005</v>
      </c>
    </row>
    <row r="1813" spans="1:4" x14ac:dyDescent="0.2">
      <c r="A1813" s="6">
        <v>3247</v>
      </c>
      <c r="B1813" s="5" t="s">
        <v>1855</v>
      </c>
      <c r="C1813" s="7" t="s">
        <v>10</v>
      </c>
      <c r="D1813" s="8">
        <v>307.25</v>
      </c>
    </row>
    <row r="1814" spans="1:4" x14ac:dyDescent="0.2">
      <c r="A1814" s="6">
        <v>3248</v>
      </c>
      <c r="B1814" s="5" t="s">
        <v>1856</v>
      </c>
      <c r="C1814" s="7" t="s">
        <v>10</v>
      </c>
      <c r="D1814" s="8">
        <v>307.25</v>
      </c>
    </row>
    <row r="1815" spans="1:4" x14ac:dyDescent="0.2">
      <c r="A1815" s="6">
        <v>3249</v>
      </c>
      <c r="B1815" s="5" t="s">
        <v>1857</v>
      </c>
      <c r="C1815" s="7" t="s">
        <v>64</v>
      </c>
      <c r="D1815" s="8">
        <v>553.07000000000005</v>
      </c>
    </row>
    <row r="1816" spans="1:4" x14ac:dyDescent="0.2">
      <c r="A1816" s="6">
        <v>3250</v>
      </c>
      <c r="B1816" s="5" t="s">
        <v>1858</v>
      </c>
      <c r="C1816" s="7" t="s">
        <v>64</v>
      </c>
      <c r="D1816" s="8">
        <v>553.07000000000005</v>
      </c>
    </row>
    <row r="1817" spans="1:4" x14ac:dyDescent="0.2">
      <c r="A1817" s="6">
        <v>3251</v>
      </c>
      <c r="B1817" s="5" t="s">
        <v>1859</v>
      </c>
      <c r="C1817" s="7" t="s">
        <v>64</v>
      </c>
      <c r="D1817" s="8">
        <v>553.07000000000005</v>
      </c>
    </row>
    <row r="1818" spans="1:4" x14ac:dyDescent="0.2">
      <c r="A1818" s="6">
        <v>3252</v>
      </c>
      <c r="B1818" s="5" t="s">
        <v>1860</v>
      </c>
      <c r="C1818" s="7" t="s">
        <v>64</v>
      </c>
      <c r="D1818" s="8">
        <v>553.07000000000005</v>
      </c>
    </row>
    <row r="1819" spans="1:4" x14ac:dyDescent="0.2">
      <c r="A1819" s="6">
        <v>3253</v>
      </c>
      <c r="B1819" s="5" t="s">
        <v>1861</v>
      </c>
      <c r="C1819" s="7" t="s">
        <v>10</v>
      </c>
      <c r="D1819" s="8">
        <v>307.25</v>
      </c>
    </row>
    <row r="1820" spans="1:4" x14ac:dyDescent="0.2">
      <c r="A1820" s="6">
        <v>3254</v>
      </c>
      <c r="B1820" s="5" t="s">
        <v>1862</v>
      </c>
      <c r="C1820" s="7" t="s">
        <v>10</v>
      </c>
      <c r="D1820" s="8">
        <v>307.25</v>
      </c>
    </row>
    <row r="1821" spans="1:4" x14ac:dyDescent="0.2">
      <c r="A1821" s="6">
        <v>3255</v>
      </c>
      <c r="B1821" s="5" t="s">
        <v>1863</v>
      </c>
      <c r="C1821" s="7" t="s">
        <v>10</v>
      </c>
      <c r="D1821" s="8">
        <v>307.25</v>
      </c>
    </row>
    <row r="1822" spans="1:4" x14ac:dyDescent="0.2">
      <c r="A1822" s="6">
        <v>3256</v>
      </c>
      <c r="B1822" s="5" t="s">
        <v>1864</v>
      </c>
      <c r="C1822" s="7" t="s">
        <v>10</v>
      </c>
      <c r="D1822" s="8">
        <v>307.25</v>
      </c>
    </row>
    <row r="1823" spans="1:4" x14ac:dyDescent="0.2">
      <c r="A1823" s="6">
        <v>3257</v>
      </c>
      <c r="B1823" s="5" t="s">
        <v>1865</v>
      </c>
      <c r="C1823" s="7" t="s">
        <v>10</v>
      </c>
      <c r="D1823" s="8">
        <v>307.25</v>
      </c>
    </row>
    <row r="1824" spans="1:4" x14ac:dyDescent="0.2">
      <c r="A1824" s="6">
        <v>3258</v>
      </c>
      <c r="B1824" s="5" t="s">
        <v>1866</v>
      </c>
      <c r="C1824" s="7" t="s">
        <v>64</v>
      </c>
      <c r="D1824" s="8">
        <v>800</v>
      </c>
    </row>
    <row r="1825" spans="1:4" x14ac:dyDescent="0.2">
      <c r="A1825" s="6">
        <v>3259</v>
      </c>
      <c r="B1825" s="5" t="s">
        <v>1867</v>
      </c>
      <c r="C1825" s="7" t="s">
        <v>10</v>
      </c>
      <c r="D1825" s="8">
        <v>307.25</v>
      </c>
    </row>
    <row r="1826" spans="1:4" x14ac:dyDescent="0.2">
      <c r="A1826" s="6">
        <v>3260</v>
      </c>
      <c r="B1826" s="5" t="s">
        <v>1868</v>
      </c>
      <c r="C1826" s="7" t="s">
        <v>10</v>
      </c>
      <c r="D1826" s="8">
        <v>307.25</v>
      </c>
    </row>
    <row r="1827" spans="1:4" x14ac:dyDescent="0.2">
      <c r="A1827" s="6">
        <v>3261</v>
      </c>
      <c r="B1827" s="5" t="s">
        <v>1869</v>
      </c>
      <c r="C1827" s="7" t="s">
        <v>10</v>
      </c>
      <c r="D1827" s="8">
        <v>307.25</v>
      </c>
    </row>
    <row r="1828" spans="1:4" x14ac:dyDescent="0.2">
      <c r="A1828" s="6">
        <v>3262</v>
      </c>
      <c r="B1828" s="5" t="s">
        <v>1870</v>
      </c>
      <c r="C1828" s="7" t="s">
        <v>64</v>
      </c>
      <c r="D1828" s="8">
        <v>553.07000000000005</v>
      </c>
    </row>
    <row r="1829" spans="1:4" x14ac:dyDescent="0.2">
      <c r="A1829" s="6">
        <v>3263</v>
      </c>
      <c r="B1829" s="5" t="s">
        <v>1871</v>
      </c>
      <c r="C1829" s="7" t="s">
        <v>10</v>
      </c>
      <c r="D1829" s="8">
        <v>307.25</v>
      </c>
    </row>
    <row r="1830" spans="1:4" x14ac:dyDescent="0.2">
      <c r="A1830" s="6">
        <v>3264</v>
      </c>
      <c r="B1830" s="5" t="s">
        <v>1872</v>
      </c>
      <c r="C1830" s="7" t="s">
        <v>64</v>
      </c>
      <c r="D1830" s="8">
        <v>553.07000000000005</v>
      </c>
    </row>
    <row r="1831" spans="1:4" x14ac:dyDescent="0.2">
      <c r="A1831" s="6">
        <v>3265</v>
      </c>
      <c r="B1831" s="5" t="s">
        <v>1873</v>
      </c>
      <c r="C1831" s="7" t="s">
        <v>64</v>
      </c>
      <c r="D1831" s="8">
        <v>553.07000000000005</v>
      </c>
    </row>
    <row r="1832" spans="1:4" x14ac:dyDescent="0.2">
      <c r="A1832" s="6">
        <v>3266</v>
      </c>
      <c r="B1832" s="5" t="s">
        <v>1874</v>
      </c>
      <c r="C1832" s="7" t="s">
        <v>64</v>
      </c>
      <c r="D1832" s="8">
        <v>553.07000000000005</v>
      </c>
    </row>
    <row r="1833" spans="1:4" x14ac:dyDescent="0.2">
      <c r="A1833" s="6">
        <v>3267</v>
      </c>
      <c r="B1833" s="5" t="s">
        <v>1875</v>
      </c>
      <c r="C1833" s="7" t="s">
        <v>64</v>
      </c>
      <c r="D1833" s="8">
        <v>553.07000000000005</v>
      </c>
    </row>
    <row r="1834" spans="1:4" x14ac:dyDescent="0.2">
      <c r="A1834" s="6">
        <v>3268</v>
      </c>
      <c r="B1834" s="5" t="s">
        <v>1876</v>
      </c>
      <c r="C1834" s="7" t="s">
        <v>10</v>
      </c>
      <c r="D1834" s="8">
        <v>307.25</v>
      </c>
    </row>
    <row r="1835" spans="1:4" x14ac:dyDescent="0.2">
      <c r="A1835" s="6">
        <v>3269</v>
      </c>
      <c r="B1835" s="5" t="s">
        <v>1877</v>
      </c>
      <c r="C1835" s="7" t="s">
        <v>10</v>
      </c>
      <c r="D1835" s="8">
        <v>307.25</v>
      </c>
    </row>
    <row r="1836" spans="1:4" x14ac:dyDescent="0.2">
      <c r="A1836" s="6">
        <v>3270</v>
      </c>
      <c r="B1836" s="5" t="s">
        <v>1878</v>
      </c>
      <c r="C1836" s="7" t="s">
        <v>10</v>
      </c>
      <c r="D1836" s="8">
        <v>307.25</v>
      </c>
    </row>
    <row r="1837" spans="1:4" x14ac:dyDescent="0.2">
      <c r="A1837" s="6">
        <v>3271</v>
      </c>
      <c r="B1837" s="5" t="s">
        <v>1879</v>
      </c>
      <c r="C1837" s="7" t="s">
        <v>10</v>
      </c>
      <c r="D1837" s="8">
        <v>307.25</v>
      </c>
    </row>
    <row r="1838" spans="1:4" x14ac:dyDescent="0.2">
      <c r="A1838" s="6">
        <v>3272</v>
      </c>
      <c r="B1838" s="5" t="s">
        <v>1880</v>
      </c>
      <c r="C1838" s="7" t="s">
        <v>10</v>
      </c>
      <c r="D1838" s="8">
        <v>307.25</v>
      </c>
    </row>
    <row r="1839" spans="1:4" x14ac:dyDescent="0.2">
      <c r="A1839" s="6">
        <v>3273</v>
      </c>
      <c r="B1839" s="5" t="s">
        <v>1881</v>
      </c>
      <c r="C1839" s="7" t="s">
        <v>10</v>
      </c>
      <c r="D1839" s="8">
        <v>307.25</v>
      </c>
    </row>
    <row r="1840" spans="1:4" x14ac:dyDescent="0.2">
      <c r="A1840" s="6">
        <v>3274</v>
      </c>
      <c r="B1840" s="5" t="s">
        <v>1882</v>
      </c>
      <c r="C1840" s="7" t="s">
        <v>579</v>
      </c>
      <c r="D1840" s="8">
        <v>248.8</v>
      </c>
    </row>
    <row r="1841" spans="1:4" x14ac:dyDescent="0.2">
      <c r="A1841" s="6">
        <v>3275</v>
      </c>
      <c r="B1841" s="5" t="s">
        <v>1883</v>
      </c>
      <c r="C1841" s="7" t="s">
        <v>64</v>
      </c>
      <c r="D1841" s="8">
        <v>357.14</v>
      </c>
    </row>
    <row r="1842" spans="1:4" x14ac:dyDescent="0.2">
      <c r="A1842" s="6">
        <v>3276</v>
      </c>
      <c r="B1842" s="5" t="s">
        <v>1884</v>
      </c>
      <c r="C1842" s="7" t="s">
        <v>64</v>
      </c>
      <c r="D1842" s="8">
        <v>553.07000000000005</v>
      </c>
    </row>
    <row r="1843" spans="1:4" x14ac:dyDescent="0.2">
      <c r="A1843" s="6">
        <v>3277</v>
      </c>
      <c r="B1843" s="5" t="s">
        <v>1885</v>
      </c>
      <c r="C1843" s="7" t="s">
        <v>10</v>
      </c>
      <c r="D1843" s="8">
        <v>307.25</v>
      </c>
    </row>
    <row r="1844" spans="1:4" x14ac:dyDescent="0.2">
      <c r="A1844" s="6">
        <v>3278</v>
      </c>
      <c r="B1844" s="5" t="s">
        <v>1886</v>
      </c>
      <c r="C1844" s="7" t="s">
        <v>10</v>
      </c>
      <c r="D1844" s="8">
        <v>307.25</v>
      </c>
    </row>
    <row r="1845" spans="1:4" x14ac:dyDescent="0.2">
      <c r="A1845" s="6">
        <v>3279</v>
      </c>
      <c r="B1845" s="5" t="s">
        <v>1887</v>
      </c>
      <c r="C1845" s="7" t="s">
        <v>64</v>
      </c>
      <c r="D1845" s="8">
        <v>553.07000000000005</v>
      </c>
    </row>
    <row r="1846" spans="1:4" x14ac:dyDescent="0.2">
      <c r="A1846" s="6">
        <v>3280</v>
      </c>
      <c r="B1846" s="5" t="s">
        <v>1888</v>
      </c>
      <c r="C1846" s="7" t="s">
        <v>10</v>
      </c>
      <c r="D1846" s="8">
        <v>307.25</v>
      </c>
    </row>
    <row r="1847" spans="1:4" x14ac:dyDescent="0.2">
      <c r="A1847" s="6">
        <v>3281</v>
      </c>
      <c r="B1847" s="5" t="s">
        <v>1889</v>
      </c>
      <c r="C1847" s="7" t="s">
        <v>64</v>
      </c>
      <c r="D1847" s="8">
        <v>553.07000000000005</v>
      </c>
    </row>
    <row r="1848" spans="1:4" x14ac:dyDescent="0.2">
      <c r="A1848" s="6">
        <v>3282</v>
      </c>
      <c r="B1848" s="5" t="s">
        <v>1890</v>
      </c>
      <c r="C1848" s="7" t="s">
        <v>64</v>
      </c>
      <c r="D1848" s="8">
        <v>553.07000000000005</v>
      </c>
    </row>
    <row r="1849" spans="1:4" x14ac:dyDescent="0.2">
      <c r="A1849" s="6">
        <v>3283</v>
      </c>
      <c r="B1849" s="5" t="s">
        <v>1891</v>
      </c>
      <c r="C1849" s="7" t="s">
        <v>64</v>
      </c>
      <c r="D1849" s="8">
        <v>553.07000000000005</v>
      </c>
    </row>
    <row r="1850" spans="1:4" x14ac:dyDescent="0.2">
      <c r="A1850" s="6">
        <v>3284</v>
      </c>
      <c r="B1850" s="5" t="s">
        <v>1892</v>
      </c>
      <c r="C1850" s="7" t="s">
        <v>10</v>
      </c>
      <c r="D1850" s="8">
        <v>307.25</v>
      </c>
    </row>
    <row r="1851" spans="1:4" x14ac:dyDescent="0.2">
      <c r="A1851" s="6">
        <v>3285</v>
      </c>
      <c r="B1851" s="5" t="s">
        <v>1893</v>
      </c>
      <c r="C1851" s="7" t="s">
        <v>10</v>
      </c>
      <c r="D1851" s="8">
        <v>307.25</v>
      </c>
    </row>
    <row r="1852" spans="1:4" x14ac:dyDescent="0.2">
      <c r="A1852" s="6">
        <v>3286</v>
      </c>
      <c r="B1852" s="5" t="s">
        <v>1894</v>
      </c>
      <c r="C1852" s="7" t="s">
        <v>64</v>
      </c>
      <c r="D1852" s="8">
        <v>553.07000000000005</v>
      </c>
    </row>
    <row r="1853" spans="1:4" x14ac:dyDescent="0.2">
      <c r="A1853" s="6">
        <v>3287</v>
      </c>
      <c r="B1853" s="5" t="s">
        <v>1895</v>
      </c>
      <c r="C1853" s="7" t="s">
        <v>10</v>
      </c>
      <c r="D1853" s="8">
        <v>307.25</v>
      </c>
    </row>
    <row r="1854" spans="1:4" x14ac:dyDescent="0.2">
      <c r="A1854" s="6">
        <v>3288</v>
      </c>
      <c r="B1854" s="5" t="s">
        <v>1896</v>
      </c>
      <c r="C1854" s="7" t="s">
        <v>10</v>
      </c>
      <c r="D1854" s="8">
        <v>307.25</v>
      </c>
    </row>
    <row r="1855" spans="1:4" x14ac:dyDescent="0.2">
      <c r="A1855" s="6">
        <v>3289</v>
      </c>
      <c r="B1855" s="5" t="s">
        <v>1897</v>
      </c>
      <c r="C1855" s="7" t="s">
        <v>10</v>
      </c>
      <c r="D1855" s="8">
        <v>307.25</v>
      </c>
    </row>
    <row r="1856" spans="1:4" x14ac:dyDescent="0.2">
      <c r="A1856" s="6">
        <v>3290</v>
      </c>
      <c r="B1856" s="5" t="s">
        <v>1898</v>
      </c>
      <c r="C1856" s="7" t="s">
        <v>10</v>
      </c>
      <c r="D1856" s="8">
        <v>307.25</v>
      </c>
    </row>
    <row r="1857" spans="1:4" x14ac:dyDescent="0.2">
      <c r="A1857" s="6">
        <v>3291</v>
      </c>
      <c r="B1857" s="5" t="s">
        <v>1899</v>
      </c>
      <c r="C1857" s="7" t="s">
        <v>297</v>
      </c>
      <c r="D1857" s="8">
        <f>381.25*1.05</f>
        <v>400.3125</v>
      </c>
    </row>
    <row r="1858" spans="1:4" x14ac:dyDescent="0.2">
      <c r="A1858" s="6">
        <v>3292</v>
      </c>
      <c r="B1858" s="5" t="s">
        <v>1900</v>
      </c>
      <c r="C1858" s="7" t="s">
        <v>64</v>
      </c>
      <c r="D1858" s="8">
        <v>553.07000000000005</v>
      </c>
    </row>
    <row r="1859" spans="1:4" x14ac:dyDescent="0.2">
      <c r="A1859" s="6">
        <v>3293</v>
      </c>
      <c r="B1859" s="5" t="s">
        <v>1901</v>
      </c>
      <c r="C1859" s="7" t="s">
        <v>64</v>
      </c>
      <c r="D1859" s="8">
        <v>553.07000000000005</v>
      </c>
    </row>
    <row r="1860" spans="1:4" x14ac:dyDescent="0.2">
      <c r="A1860" s="6">
        <v>3294</v>
      </c>
      <c r="B1860" s="5" t="s">
        <v>1902</v>
      </c>
      <c r="C1860" s="7" t="s">
        <v>10</v>
      </c>
      <c r="D1860" s="8">
        <v>307.25</v>
      </c>
    </row>
    <row r="1861" spans="1:4" x14ac:dyDescent="0.2">
      <c r="A1861" s="6">
        <v>3295</v>
      </c>
      <c r="B1861" s="5" t="s">
        <v>1903</v>
      </c>
      <c r="C1861" s="7" t="s">
        <v>10</v>
      </c>
      <c r="D1861" s="8">
        <v>307.25</v>
      </c>
    </row>
    <row r="1862" spans="1:4" x14ac:dyDescent="0.2">
      <c r="A1862" s="6">
        <v>3296</v>
      </c>
      <c r="B1862" s="5" t="s">
        <v>1904</v>
      </c>
      <c r="C1862" s="7" t="s">
        <v>10</v>
      </c>
      <c r="D1862" s="8">
        <v>307.25</v>
      </c>
    </row>
    <row r="1863" spans="1:4" x14ac:dyDescent="0.2">
      <c r="A1863" s="6">
        <v>3297</v>
      </c>
      <c r="B1863" s="5" t="s">
        <v>1905</v>
      </c>
      <c r="C1863" s="7" t="s">
        <v>10</v>
      </c>
      <c r="D1863" s="8">
        <v>307.25</v>
      </c>
    </row>
    <row r="1864" spans="1:4" x14ac:dyDescent="0.2">
      <c r="A1864" s="6">
        <v>3298</v>
      </c>
      <c r="B1864" s="5" t="s">
        <v>1906</v>
      </c>
      <c r="C1864" s="7" t="s">
        <v>579</v>
      </c>
      <c r="D1864" s="8">
        <v>592</v>
      </c>
    </row>
    <row r="1865" spans="1:4" x14ac:dyDescent="0.2">
      <c r="A1865" s="6">
        <v>3299</v>
      </c>
      <c r="B1865" s="5" t="s">
        <v>1907</v>
      </c>
      <c r="C1865" s="7" t="s">
        <v>64</v>
      </c>
      <c r="D1865" s="8">
        <v>553.07000000000005</v>
      </c>
    </row>
    <row r="1866" spans="1:4" x14ac:dyDescent="0.2">
      <c r="A1866" s="6">
        <v>3300</v>
      </c>
      <c r="B1866" s="5" t="s">
        <v>1908</v>
      </c>
      <c r="C1866" s="7" t="s">
        <v>10</v>
      </c>
      <c r="D1866" s="8">
        <v>307.25</v>
      </c>
    </row>
    <row r="1867" spans="1:4" x14ac:dyDescent="0.2">
      <c r="A1867" s="6">
        <v>3301</v>
      </c>
      <c r="B1867" s="5" t="s">
        <v>1909</v>
      </c>
      <c r="C1867" s="7" t="s">
        <v>10</v>
      </c>
      <c r="D1867" s="8">
        <v>307.25</v>
      </c>
    </row>
    <row r="1868" spans="1:4" x14ac:dyDescent="0.2">
      <c r="A1868" s="6">
        <v>3302</v>
      </c>
      <c r="B1868" s="5" t="s">
        <v>1910</v>
      </c>
      <c r="C1868" s="7" t="s">
        <v>64</v>
      </c>
      <c r="D1868" s="8">
        <v>553.07000000000005</v>
      </c>
    </row>
    <row r="1869" spans="1:4" x14ac:dyDescent="0.2">
      <c r="A1869" s="6">
        <v>3303</v>
      </c>
      <c r="B1869" s="5" t="s">
        <v>1911</v>
      </c>
      <c r="C1869" s="7" t="s">
        <v>64</v>
      </c>
      <c r="D1869" s="8">
        <v>553.07000000000005</v>
      </c>
    </row>
    <row r="1870" spans="1:4" x14ac:dyDescent="0.2">
      <c r="A1870" s="6">
        <v>3304</v>
      </c>
      <c r="B1870" s="5" t="s">
        <v>1912</v>
      </c>
      <c r="C1870" s="7" t="s">
        <v>10</v>
      </c>
      <c r="D1870" s="8">
        <v>307.25</v>
      </c>
    </row>
    <row r="1871" spans="1:4" x14ac:dyDescent="0.2">
      <c r="A1871" s="6">
        <v>3305</v>
      </c>
      <c r="B1871" s="5" t="s">
        <v>1913</v>
      </c>
      <c r="C1871" s="7" t="s">
        <v>10</v>
      </c>
      <c r="D1871" s="8">
        <v>307.25</v>
      </c>
    </row>
    <row r="1872" spans="1:4" x14ac:dyDescent="0.2">
      <c r="A1872" s="6">
        <v>3306</v>
      </c>
      <c r="B1872" s="5" t="s">
        <v>1914</v>
      </c>
      <c r="C1872" s="7" t="s">
        <v>64</v>
      </c>
      <c r="D1872" s="8">
        <v>553.07000000000005</v>
      </c>
    </row>
    <row r="1873" spans="1:4" x14ac:dyDescent="0.2">
      <c r="A1873" s="6">
        <v>3307</v>
      </c>
      <c r="B1873" s="5" t="s">
        <v>1915</v>
      </c>
      <c r="C1873" s="7" t="s">
        <v>64</v>
      </c>
      <c r="D1873" s="8">
        <v>553.07000000000005</v>
      </c>
    </row>
    <row r="1874" spans="1:4" x14ac:dyDescent="0.2">
      <c r="A1874" s="6">
        <v>3308</v>
      </c>
      <c r="B1874" s="5" t="s">
        <v>1916</v>
      </c>
      <c r="C1874" s="7" t="s">
        <v>10</v>
      </c>
      <c r="D1874" s="8">
        <v>307.25</v>
      </c>
    </row>
    <row r="1875" spans="1:4" x14ac:dyDescent="0.2">
      <c r="A1875" s="6">
        <v>3309</v>
      </c>
      <c r="B1875" s="5" t="s">
        <v>1917</v>
      </c>
      <c r="C1875" s="7" t="s">
        <v>10</v>
      </c>
      <c r="D1875" s="8">
        <v>307.25</v>
      </c>
    </row>
    <row r="1876" spans="1:4" x14ac:dyDescent="0.2">
      <c r="A1876" s="6">
        <v>3310</v>
      </c>
      <c r="B1876" s="5" t="s">
        <v>1918</v>
      </c>
      <c r="C1876" s="7" t="s">
        <v>10</v>
      </c>
      <c r="D1876" s="8">
        <v>307.25</v>
      </c>
    </row>
    <row r="1877" spans="1:4" x14ac:dyDescent="0.2">
      <c r="A1877" s="6">
        <v>3311</v>
      </c>
      <c r="B1877" s="5" t="s">
        <v>1919</v>
      </c>
      <c r="C1877" s="7" t="s">
        <v>10</v>
      </c>
      <c r="D1877" s="8">
        <v>307.25</v>
      </c>
    </row>
    <row r="1878" spans="1:4" x14ac:dyDescent="0.2">
      <c r="A1878" s="6">
        <v>3312</v>
      </c>
      <c r="B1878" s="5" t="s">
        <v>1920</v>
      </c>
      <c r="C1878" s="7" t="s">
        <v>64</v>
      </c>
      <c r="D1878" s="8">
        <v>553.07000000000005</v>
      </c>
    </row>
    <row r="1879" spans="1:4" x14ac:dyDescent="0.2">
      <c r="A1879" s="6">
        <v>3313</v>
      </c>
      <c r="B1879" s="5" t="s">
        <v>1921</v>
      </c>
      <c r="C1879" s="7" t="s">
        <v>64</v>
      </c>
      <c r="D1879" s="8">
        <v>553.07000000000005</v>
      </c>
    </row>
    <row r="1880" spans="1:4" x14ac:dyDescent="0.2">
      <c r="A1880" s="6">
        <v>3314</v>
      </c>
      <c r="B1880" s="5" t="s">
        <v>1922</v>
      </c>
      <c r="C1880" s="7" t="s">
        <v>64</v>
      </c>
      <c r="D1880" s="8">
        <v>553.07000000000005</v>
      </c>
    </row>
    <row r="1881" spans="1:4" x14ac:dyDescent="0.2">
      <c r="A1881" s="6">
        <v>3315</v>
      </c>
      <c r="B1881" s="5" t="s">
        <v>1923</v>
      </c>
      <c r="C1881" s="7" t="s">
        <v>64</v>
      </c>
      <c r="D1881" s="8">
        <v>638.79999999999995</v>
      </c>
    </row>
    <row r="1882" spans="1:4" x14ac:dyDescent="0.2">
      <c r="A1882" s="6">
        <v>3316</v>
      </c>
      <c r="B1882" s="5" t="s">
        <v>1924</v>
      </c>
      <c r="C1882" s="7" t="s">
        <v>64</v>
      </c>
      <c r="D1882" s="8">
        <v>553.07000000000005</v>
      </c>
    </row>
    <row r="1883" spans="1:4" x14ac:dyDescent="0.2">
      <c r="A1883" s="6">
        <v>3317</v>
      </c>
      <c r="B1883" s="5" t="s">
        <v>1925</v>
      </c>
      <c r="C1883" s="7" t="s">
        <v>10</v>
      </c>
      <c r="D1883" s="8">
        <v>307.25</v>
      </c>
    </row>
    <row r="1884" spans="1:4" x14ac:dyDescent="0.2">
      <c r="A1884" s="6">
        <v>3318</v>
      </c>
      <c r="B1884" s="5" t="s">
        <v>1926</v>
      </c>
      <c r="C1884" s="7" t="s">
        <v>10</v>
      </c>
      <c r="D1884" s="8">
        <v>307.25</v>
      </c>
    </row>
    <row r="1885" spans="1:4" x14ac:dyDescent="0.2">
      <c r="A1885" s="6">
        <v>3319</v>
      </c>
      <c r="B1885" s="5" t="s">
        <v>1927</v>
      </c>
      <c r="C1885" s="7" t="s">
        <v>10</v>
      </c>
      <c r="D1885" s="8">
        <v>307.25</v>
      </c>
    </row>
    <row r="1886" spans="1:4" x14ac:dyDescent="0.2">
      <c r="A1886" s="6">
        <v>3320</v>
      </c>
      <c r="B1886" s="5" t="s">
        <v>1928</v>
      </c>
      <c r="C1886" s="7" t="s">
        <v>64</v>
      </c>
      <c r="D1886" s="8">
        <v>553.07000000000005</v>
      </c>
    </row>
    <row r="1887" spans="1:4" x14ac:dyDescent="0.2">
      <c r="A1887" s="6">
        <v>3321</v>
      </c>
      <c r="B1887" s="5" t="s">
        <v>1929</v>
      </c>
      <c r="C1887" s="7" t="s">
        <v>10</v>
      </c>
      <c r="D1887" s="8">
        <v>307.25</v>
      </c>
    </row>
    <row r="1888" spans="1:4" x14ac:dyDescent="0.2">
      <c r="A1888" s="6">
        <v>3322</v>
      </c>
      <c r="B1888" s="5" t="s">
        <v>1930</v>
      </c>
      <c r="C1888" s="7" t="s">
        <v>10</v>
      </c>
      <c r="D1888" s="8">
        <v>307.25</v>
      </c>
    </row>
    <row r="1889" spans="1:4" x14ac:dyDescent="0.2">
      <c r="A1889" s="6">
        <v>3323</v>
      </c>
      <c r="B1889" s="5" t="s">
        <v>1931</v>
      </c>
      <c r="C1889" s="7" t="s">
        <v>10</v>
      </c>
      <c r="D1889" s="8">
        <v>307.25</v>
      </c>
    </row>
    <row r="1890" spans="1:4" x14ac:dyDescent="0.2">
      <c r="A1890" s="6">
        <v>3324</v>
      </c>
      <c r="B1890" s="5" t="s">
        <v>1932</v>
      </c>
      <c r="C1890" s="7" t="s">
        <v>579</v>
      </c>
      <c r="D1890" s="8">
        <v>248.8</v>
      </c>
    </row>
    <row r="1891" spans="1:4" x14ac:dyDescent="0.2">
      <c r="A1891" s="6">
        <v>3325</v>
      </c>
      <c r="B1891" s="5" t="s">
        <v>1933</v>
      </c>
      <c r="C1891" s="7" t="s">
        <v>579</v>
      </c>
      <c r="D1891" s="8">
        <v>248.8</v>
      </c>
    </row>
    <row r="1892" spans="1:4" x14ac:dyDescent="0.2">
      <c r="A1892" s="6">
        <v>3326</v>
      </c>
      <c r="B1892" s="5" t="s">
        <v>1934</v>
      </c>
      <c r="C1892" s="7" t="s">
        <v>10</v>
      </c>
      <c r="D1892" s="8">
        <v>307.25</v>
      </c>
    </row>
    <row r="1893" spans="1:4" x14ac:dyDescent="0.2">
      <c r="A1893" s="6">
        <v>3327</v>
      </c>
      <c r="B1893" s="5" t="s">
        <v>1935</v>
      </c>
      <c r="C1893" s="7" t="s">
        <v>579</v>
      </c>
      <c r="D1893" s="8">
        <v>248.8</v>
      </c>
    </row>
    <row r="1894" spans="1:4" x14ac:dyDescent="0.2">
      <c r="A1894" s="6">
        <v>3328</v>
      </c>
      <c r="B1894" s="5" t="s">
        <v>1936</v>
      </c>
      <c r="C1894" s="7" t="s">
        <v>579</v>
      </c>
      <c r="D1894" s="8">
        <v>248.8</v>
      </c>
    </row>
    <row r="1895" spans="1:4" x14ac:dyDescent="0.2">
      <c r="A1895" s="6">
        <v>3329</v>
      </c>
      <c r="B1895" s="5" t="s">
        <v>1937</v>
      </c>
      <c r="C1895" s="7" t="s">
        <v>579</v>
      </c>
      <c r="D1895" s="8">
        <v>528</v>
      </c>
    </row>
    <row r="1896" spans="1:4" x14ac:dyDescent="0.2">
      <c r="A1896" s="6">
        <v>3330</v>
      </c>
      <c r="B1896" s="5" t="s">
        <v>1938</v>
      </c>
      <c r="C1896" s="7" t="s">
        <v>64</v>
      </c>
      <c r="D1896" s="8">
        <v>553.07000000000005</v>
      </c>
    </row>
    <row r="1897" spans="1:4" x14ac:dyDescent="0.2">
      <c r="A1897" s="6">
        <v>3331</v>
      </c>
      <c r="B1897" s="5" t="s">
        <v>1939</v>
      </c>
      <c r="C1897" s="7" t="s">
        <v>10</v>
      </c>
      <c r="D1897" s="8">
        <v>307.25</v>
      </c>
    </row>
    <row r="1898" spans="1:4" x14ac:dyDescent="0.2">
      <c r="A1898" s="6">
        <v>3332</v>
      </c>
      <c r="B1898" s="5" t="s">
        <v>1940</v>
      </c>
      <c r="C1898" s="7" t="s">
        <v>10</v>
      </c>
      <c r="D1898" s="8">
        <v>307.25</v>
      </c>
    </row>
    <row r="1899" spans="1:4" x14ac:dyDescent="0.2">
      <c r="A1899" s="6">
        <v>3333</v>
      </c>
      <c r="B1899" s="5" t="s">
        <v>1941</v>
      </c>
      <c r="C1899" s="7" t="s">
        <v>10</v>
      </c>
      <c r="D1899" s="8">
        <v>307.25</v>
      </c>
    </row>
    <row r="1900" spans="1:4" x14ac:dyDescent="0.2">
      <c r="A1900" s="6">
        <v>3334</v>
      </c>
      <c r="B1900" s="5" t="s">
        <v>1942</v>
      </c>
      <c r="C1900" s="7" t="s">
        <v>10</v>
      </c>
      <c r="D1900" s="8">
        <v>307.25</v>
      </c>
    </row>
    <row r="1901" spans="1:4" x14ac:dyDescent="0.2">
      <c r="A1901" s="6">
        <v>3335</v>
      </c>
      <c r="B1901" s="5" t="s">
        <v>1943</v>
      </c>
      <c r="C1901" s="7" t="s">
        <v>64</v>
      </c>
      <c r="D1901" s="8">
        <v>553.07000000000005</v>
      </c>
    </row>
    <row r="1902" spans="1:4" x14ac:dyDescent="0.2">
      <c r="A1902" s="6">
        <v>3336</v>
      </c>
      <c r="B1902" s="5" t="s">
        <v>1944</v>
      </c>
      <c r="C1902" s="7" t="s">
        <v>10</v>
      </c>
      <c r="D1902" s="8">
        <v>307.25</v>
      </c>
    </row>
    <row r="1903" spans="1:4" x14ac:dyDescent="0.2">
      <c r="A1903" s="6">
        <v>3337</v>
      </c>
      <c r="B1903" s="5" t="s">
        <v>1945</v>
      </c>
      <c r="C1903" s="7" t="s">
        <v>579</v>
      </c>
      <c r="D1903" s="8">
        <v>500</v>
      </c>
    </row>
    <row r="1904" spans="1:4" x14ac:dyDescent="0.2">
      <c r="A1904" s="6">
        <v>3338</v>
      </c>
      <c r="B1904" s="5" t="s">
        <v>1946</v>
      </c>
      <c r="C1904" s="7" t="s">
        <v>10</v>
      </c>
      <c r="D1904" s="8">
        <v>307.25</v>
      </c>
    </row>
    <row r="1905" spans="1:4" x14ac:dyDescent="0.2">
      <c r="A1905" s="6">
        <v>3339</v>
      </c>
      <c r="B1905" s="5" t="s">
        <v>1947</v>
      </c>
      <c r="C1905" s="7" t="s">
        <v>10</v>
      </c>
      <c r="D1905" s="8">
        <v>307.25</v>
      </c>
    </row>
    <row r="1906" spans="1:4" x14ac:dyDescent="0.2">
      <c r="A1906" s="6">
        <v>3340</v>
      </c>
      <c r="B1906" s="5" t="s">
        <v>1948</v>
      </c>
      <c r="C1906" s="7" t="s">
        <v>10</v>
      </c>
      <c r="D1906" s="8">
        <v>307.25</v>
      </c>
    </row>
    <row r="1907" spans="1:4" x14ac:dyDescent="0.2">
      <c r="A1907" s="6">
        <v>3341</v>
      </c>
      <c r="B1907" s="5" t="s">
        <v>1949</v>
      </c>
      <c r="C1907" s="7" t="s">
        <v>10</v>
      </c>
      <c r="D1907" s="8">
        <v>307.25</v>
      </c>
    </row>
    <row r="1908" spans="1:4" x14ac:dyDescent="0.2">
      <c r="A1908" s="6">
        <v>3342</v>
      </c>
      <c r="B1908" s="5" t="s">
        <v>1950</v>
      </c>
      <c r="C1908" s="7" t="s">
        <v>10</v>
      </c>
      <c r="D1908" s="8">
        <v>307.25</v>
      </c>
    </row>
    <row r="1909" spans="1:4" x14ac:dyDescent="0.2">
      <c r="A1909" s="6">
        <v>3343</v>
      </c>
      <c r="B1909" s="5" t="s">
        <v>1951</v>
      </c>
      <c r="C1909" s="7" t="s">
        <v>10</v>
      </c>
      <c r="D1909" s="8">
        <v>307.25</v>
      </c>
    </row>
    <row r="1910" spans="1:4" x14ac:dyDescent="0.2">
      <c r="A1910" s="6">
        <v>3344</v>
      </c>
      <c r="B1910" s="5" t="s">
        <v>1952</v>
      </c>
      <c r="C1910" s="7" t="s">
        <v>64</v>
      </c>
      <c r="D1910" s="8">
        <v>553.07000000000005</v>
      </c>
    </row>
    <row r="1911" spans="1:4" x14ac:dyDescent="0.2">
      <c r="A1911" s="6">
        <v>3345</v>
      </c>
      <c r="B1911" s="5" t="s">
        <v>1953</v>
      </c>
      <c r="C1911" s="7" t="s">
        <v>10</v>
      </c>
      <c r="D1911" s="8">
        <v>307.25</v>
      </c>
    </row>
    <row r="1912" spans="1:4" x14ac:dyDescent="0.2">
      <c r="A1912" s="6">
        <v>3346</v>
      </c>
      <c r="B1912" s="5" t="s">
        <v>1954</v>
      </c>
      <c r="C1912" s="7" t="s">
        <v>10</v>
      </c>
      <c r="D1912" s="8">
        <v>307.25</v>
      </c>
    </row>
    <row r="1913" spans="1:4" x14ac:dyDescent="0.2">
      <c r="A1913" s="6">
        <v>3347</v>
      </c>
      <c r="B1913" s="5" t="s">
        <v>1955</v>
      </c>
      <c r="C1913" s="7" t="s">
        <v>64</v>
      </c>
      <c r="D1913" s="8">
        <v>553.07000000000005</v>
      </c>
    </row>
    <row r="1914" spans="1:4" x14ac:dyDescent="0.2">
      <c r="A1914" s="6">
        <v>3348</v>
      </c>
      <c r="B1914" s="5" t="s">
        <v>1956</v>
      </c>
      <c r="C1914" s="7" t="s">
        <v>10</v>
      </c>
      <c r="D1914" s="8">
        <v>307.25</v>
      </c>
    </row>
    <row r="1915" spans="1:4" x14ac:dyDescent="0.2">
      <c r="A1915" s="6">
        <v>3349</v>
      </c>
      <c r="B1915" s="5" t="s">
        <v>1957</v>
      </c>
      <c r="C1915" s="7" t="s">
        <v>10</v>
      </c>
      <c r="D1915" s="8">
        <v>307.25</v>
      </c>
    </row>
    <row r="1916" spans="1:4" x14ac:dyDescent="0.2">
      <c r="A1916" s="6">
        <v>3350</v>
      </c>
      <c r="B1916" s="5" t="s">
        <v>1958</v>
      </c>
      <c r="C1916" s="7" t="s">
        <v>10</v>
      </c>
      <c r="D1916" s="8">
        <v>600</v>
      </c>
    </row>
    <row r="1917" spans="1:4" x14ac:dyDescent="0.2">
      <c r="A1917" s="6">
        <v>3351</v>
      </c>
      <c r="B1917" s="5" t="s">
        <v>1959</v>
      </c>
      <c r="C1917" s="7" t="s">
        <v>64</v>
      </c>
      <c r="D1917" s="8">
        <v>553.07000000000005</v>
      </c>
    </row>
    <row r="1918" spans="1:4" x14ac:dyDescent="0.2">
      <c r="A1918" s="6">
        <v>3352</v>
      </c>
      <c r="B1918" s="5" t="s">
        <v>1960</v>
      </c>
      <c r="C1918" s="7" t="s">
        <v>10</v>
      </c>
      <c r="D1918" s="8">
        <v>307.25</v>
      </c>
    </row>
    <row r="1919" spans="1:4" x14ac:dyDescent="0.2">
      <c r="A1919" s="6">
        <v>3353</v>
      </c>
      <c r="B1919" s="5" t="s">
        <v>1961</v>
      </c>
      <c r="C1919" s="7" t="s">
        <v>297</v>
      </c>
      <c r="D1919" s="8">
        <v>293</v>
      </c>
    </row>
    <row r="1920" spans="1:4" x14ac:dyDescent="0.2">
      <c r="A1920" s="6">
        <v>3354</v>
      </c>
      <c r="B1920" s="5" t="s">
        <v>1962</v>
      </c>
      <c r="C1920" s="7" t="s">
        <v>10</v>
      </c>
      <c r="D1920" s="8">
        <v>307.25</v>
      </c>
    </row>
    <row r="1921" spans="1:4" x14ac:dyDescent="0.2">
      <c r="A1921" s="6">
        <v>3355</v>
      </c>
      <c r="B1921" s="5" t="s">
        <v>1963</v>
      </c>
      <c r="C1921" s="7" t="s">
        <v>10</v>
      </c>
      <c r="D1921" s="8">
        <v>307.25</v>
      </c>
    </row>
    <row r="1922" spans="1:4" x14ac:dyDescent="0.2">
      <c r="A1922" s="6">
        <v>3356</v>
      </c>
      <c r="B1922" s="5" t="s">
        <v>1964</v>
      </c>
      <c r="C1922" s="7" t="s">
        <v>10</v>
      </c>
      <c r="D1922" s="8">
        <v>307.25</v>
      </c>
    </row>
    <row r="1923" spans="1:4" x14ac:dyDescent="0.2">
      <c r="A1923" s="6">
        <v>3357</v>
      </c>
      <c r="B1923" s="5" t="s">
        <v>1965</v>
      </c>
      <c r="C1923" s="7" t="s">
        <v>64</v>
      </c>
      <c r="D1923" s="8">
        <v>553.07000000000005</v>
      </c>
    </row>
    <row r="1924" spans="1:4" x14ac:dyDescent="0.2">
      <c r="A1924" s="6">
        <v>3358</v>
      </c>
      <c r="B1924" s="5" t="s">
        <v>1966</v>
      </c>
      <c r="C1924" s="7" t="s">
        <v>297</v>
      </c>
      <c r="D1924" s="8">
        <f>381.25*1.05</f>
        <v>400.3125</v>
      </c>
    </row>
    <row r="1925" spans="1:4" x14ac:dyDescent="0.2">
      <c r="A1925" s="6">
        <v>3359</v>
      </c>
      <c r="B1925" s="5" t="s">
        <v>1967</v>
      </c>
      <c r="C1925" s="7" t="s">
        <v>297</v>
      </c>
      <c r="D1925" s="8">
        <f>381.25*1.05</f>
        <v>400.3125</v>
      </c>
    </row>
    <row r="1926" spans="1:4" x14ac:dyDescent="0.2">
      <c r="A1926" s="6">
        <v>3360</v>
      </c>
      <c r="B1926" s="5" t="s">
        <v>1968</v>
      </c>
      <c r="C1926" s="7" t="s">
        <v>64</v>
      </c>
      <c r="D1926" s="8">
        <v>553.07000000000005</v>
      </c>
    </row>
    <row r="1927" spans="1:4" x14ac:dyDescent="0.2">
      <c r="A1927" s="6">
        <v>3361</v>
      </c>
      <c r="B1927" s="5" t="s">
        <v>1969</v>
      </c>
      <c r="C1927" s="7" t="s">
        <v>64</v>
      </c>
      <c r="D1927" s="8">
        <v>553.07000000000005</v>
      </c>
    </row>
    <row r="1928" spans="1:4" x14ac:dyDescent="0.2">
      <c r="A1928" s="6">
        <v>3362</v>
      </c>
      <c r="B1928" s="5" t="s">
        <v>1970</v>
      </c>
      <c r="C1928" s="7" t="s">
        <v>64</v>
      </c>
      <c r="D1928" s="8">
        <v>553.07000000000005</v>
      </c>
    </row>
    <row r="1929" spans="1:4" x14ac:dyDescent="0.2">
      <c r="A1929" s="6">
        <v>3363</v>
      </c>
      <c r="B1929" s="5" t="s">
        <v>1971</v>
      </c>
      <c r="C1929" s="7" t="s">
        <v>64</v>
      </c>
      <c r="D1929" s="8">
        <v>553.07000000000005</v>
      </c>
    </row>
    <row r="1930" spans="1:4" x14ac:dyDescent="0.2">
      <c r="A1930" s="6">
        <v>3364</v>
      </c>
      <c r="B1930" s="5" t="s">
        <v>1972</v>
      </c>
      <c r="C1930" s="7" t="s">
        <v>64</v>
      </c>
      <c r="D1930" s="8">
        <v>553.07000000000005</v>
      </c>
    </row>
    <row r="1931" spans="1:4" x14ac:dyDescent="0.2">
      <c r="A1931" s="6">
        <v>3365</v>
      </c>
      <c r="B1931" s="5" t="s">
        <v>1973</v>
      </c>
      <c r="C1931" s="7" t="s">
        <v>10</v>
      </c>
      <c r="D1931" s="8">
        <v>307.25</v>
      </c>
    </row>
    <row r="1932" spans="1:4" x14ac:dyDescent="0.2">
      <c r="A1932" s="6">
        <v>3366</v>
      </c>
      <c r="B1932" s="5" t="s">
        <v>1974</v>
      </c>
      <c r="C1932" s="7" t="s">
        <v>10</v>
      </c>
      <c r="D1932" s="8">
        <v>307.25</v>
      </c>
    </row>
    <row r="1933" spans="1:4" x14ac:dyDescent="0.2">
      <c r="A1933" s="6">
        <v>3367</v>
      </c>
      <c r="B1933" s="5" t="s">
        <v>1975</v>
      </c>
      <c r="C1933" s="7" t="s">
        <v>10</v>
      </c>
      <c r="D1933" s="8">
        <v>307.25</v>
      </c>
    </row>
    <row r="1934" spans="1:4" x14ac:dyDescent="0.2">
      <c r="A1934" s="6">
        <v>3368</v>
      </c>
      <c r="B1934" s="5" t="s">
        <v>1976</v>
      </c>
      <c r="C1934" s="7" t="s">
        <v>10</v>
      </c>
      <c r="D1934" s="8">
        <v>307.25</v>
      </c>
    </row>
    <row r="1935" spans="1:4" x14ac:dyDescent="0.2">
      <c r="A1935" s="6">
        <v>3369</v>
      </c>
      <c r="B1935" s="5" t="s">
        <v>1977</v>
      </c>
      <c r="C1935" s="7" t="s">
        <v>10</v>
      </c>
      <c r="D1935" s="8">
        <v>307.25</v>
      </c>
    </row>
    <row r="1936" spans="1:4" x14ac:dyDescent="0.2">
      <c r="A1936" s="6">
        <v>3370</v>
      </c>
      <c r="B1936" s="5" t="s">
        <v>1978</v>
      </c>
      <c r="C1936" s="7" t="s">
        <v>10</v>
      </c>
      <c r="D1936" s="8">
        <v>307.25</v>
      </c>
    </row>
    <row r="1937" spans="1:4" x14ac:dyDescent="0.2">
      <c r="A1937" s="6">
        <v>3371</v>
      </c>
      <c r="B1937" s="5" t="s">
        <v>1979</v>
      </c>
      <c r="C1937" s="7" t="s">
        <v>64</v>
      </c>
      <c r="D1937" s="8">
        <v>553.07000000000005</v>
      </c>
    </row>
    <row r="1938" spans="1:4" x14ac:dyDescent="0.2">
      <c r="A1938" s="6">
        <v>3372</v>
      </c>
      <c r="B1938" s="5" t="s">
        <v>1980</v>
      </c>
      <c r="C1938" s="7" t="s">
        <v>10</v>
      </c>
      <c r="D1938" s="8">
        <v>307.25</v>
      </c>
    </row>
    <row r="1939" spans="1:4" x14ac:dyDescent="0.2">
      <c r="A1939" s="6">
        <v>3373</v>
      </c>
      <c r="B1939" s="5" t="s">
        <v>1981</v>
      </c>
      <c r="C1939" s="7" t="s">
        <v>297</v>
      </c>
      <c r="D1939" s="8">
        <v>385.32900000000001</v>
      </c>
    </row>
    <row r="1940" spans="1:4" x14ac:dyDescent="0.2">
      <c r="A1940" s="6">
        <v>3374</v>
      </c>
      <c r="B1940" s="5" t="s">
        <v>1982</v>
      </c>
      <c r="C1940" s="7" t="s">
        <v>10</v>
      </c>
      <c r="D1940" s="8">
        <v>307.25</v>
      </c>
    </row>
    <row r="1941" spans="1:4" x14ac:dyDescent="0.2">
      <c r="A1941" s="6">
        <v>3375</v>
      </c>
      <c r="B1941" s="5" t="s">
        <v>1983</v>
      </c>
      <c r="C1941" s="7" t="s">
        <v>297</v>
      </c>
      <c r="D1941" s="8">
        <f>381.25*1.05</f>
        <v>400.3125</v>
      </c>
    </row>
    <row r="1942" spans="1:4" x14ac:dyDescent="0.2">
      <c r="A1942" s="6">
        <v>3376</v>
      </c>
      <c r="B1942" s="5" t="s">
        <v>1984</v>
      </c>
      <c r="C1942" s="7" t="s">
        <v>64</v>
      </c>
      <c r="D1942" s="8">
        <v>553.07000000000005</v>
      </c>
    </row>
    <row r="1943" spans="1:4" x14ac:dyDescent="0.2">
      <c r="A1943" s="6">
        <v>3377</v>
      </c>
      <c r="B1943" s="5" t="s">
        <v>1985</v>
      </c>
      <c r="C1943" s="7" t="s">
        <v>10</v>
      </c>
      <c r="D1943" s="8">
        <v>307.25</v>
      </c>
    </row>
    <row r="1944" spans="1:4" x14ac:dyDescent="0.2">
      <c r="A1944" s="6">
        <v>3378</v>
      </c>
      <c r="B1944" s="5" t="s">
        <v>1986</v>
      </c>
      <c r="C1944" s="7" t="s">
        <v>10</v>
      </c>
      <c r="D1944" s="8">
        <v>307.25</v>
      </c>
    </row>
    <row r="1945" spans="1:4" x14ac:dyDescent="0.2">
      <c r="A1945" s="6">
        <v>3379</v>
      </c>
      <c r="B1945" s="5" t="s">
        <v>1987</v>
      </c>
      <c r="C1945" s="7" t="s">
        <v>10</v>
      </c>
      <c r="D1945" s="8">
        <v>307.25</v>
      </c>
    </row>
    <row r="1946" spans="1:4" x14ac:dyDescent="0.2">
      <c r="A1946" s="6">
        <v>3380</v>
      </c>
      <c r="B1946" s="5" t="s">
        <v>1988</v>
      </c>
      <c r="C1946" s="7" t="s">
        <v>10</v>
      </c>
      <c r="D1946" s="8">
        <v>257.14</v>
      </c>
    </row>
    <row r="1947" spans="1:4" x14ac:dyDescent="0.2">
      <c r="A1947" s="6">
        <v>3381</v>
      </c>
      <c r="B1947" s="5" t="s">
        <v>1989</v>
      </c>
      <c r="C1947" s="7" t="s">
        <v>10</v>
      </c>
      <c r="D1947" s="8">
        <v>307.25</v>
      </c>
    </row>
    <row r="1948" spans="1:4" x14ac:dyDescent="0.2">
      <c r="A1948" s="6">
        <v>3382</v>
      </c>
      <c r="B1948" s="5" t="s">
        <v>1990</v>
      </c>
      <c r="C1948" s="7" t="s">
        <v>10</v>
      </c>
      <c r="D1948" s="8">
        <v>307.25</v>
      </c>
    </row>
    <row r="1949" spans="1:4" x14ac:dyDescent="0.2">
      <c r="A1949" s="6">
        <v>3383</v>
      </c>
      <c r="B1949" s="5" t="s">
        <v>1991</v>
      </c>
      <c r="C1949" s="7" t="s">
        <v>10</v>
      </c>
      <c r="D1949" s="8">
        <v>307.25</v>
      </c>
    </row>
    <row r="1950" spans="1:4" x14ac:dyDescent="0.2">
      <c r="A1950" s="6">
        <v>3384</v>
      </c>
      <c r="B1950" s="5" t="s">
        <v>1992</v>
      </c>
      <c r="C1950" s="7" t="s">
        <v>64</v>
      </c>
      <c r="D1950" s="8">
        <v>553.07000000000005</v>
      </c>
    </row>
    <row r="1951" spans="1:4" x14ac:dyDescent="0.2">
      <c r="A1951" s="6">
        <v>3385</v>
      </c>
      <c r="B1951" s="5" t="s">
        <v>1993</v>
      </c>
      <c r="C1951" s="7" t="s">
        <v>10</v>
      </c>
      <c r="D1951" s="8">
        <v>307.25</v>
      </c>
    </row>
    <row r="1952" spans="1:4" x14ac:dyDescent="0.2">
      <c r="A1952" s="6">
        <v>3386</v>
      </c>
      <c r="B1952" s="5" t="s">
        <v>1994</v>
      </c>
      <c r="C1952" s="7" t="s">
        <v>10</v>
      </c>
      <c r="D1952" s="8">
        <v>307.25</v>
      </c>
    </row>
    <row r="1953" spans="1:4" x14ac:dyDescent="0.2">
      <c r="A1953" s="6">
        <v>3387</v>
      </c>
      <c r="B1953" s="5" t="s">
        <v>1995</v>
      </c>
      <c r="C1953" s="7" t="s">
        <v>64</v>
      </c>
      <c r="D1953" s="8">
        <v>553.07000000000005</v>
      </c>
    </row>
    <row r="1954" spans="1:4" x14ac:dyDescent="0.2">
      <c r="A1954" s="6">
        <v>3388</v>
      </c>
      <c r="B1954" s="5" t="s">
        <v>1996</v>
      </c>
      <c r="C1954" s="7" t="s">
        <v>64</v>
      </c>
      <c r="D1954" s="8">
        <v>553.07000000000005</v>
      </c>
    </row>
    <row r="1955" spans="1:4" x14ac:dyDescent="0.2">
      <c r="A1955" s="6">
        <v>3389</v>
      </c>
      <c r="B1955" s="5" t="s">
        <v>1997</v>
      </c>
      <c r="C1955" s="7" t="s">
        <v>64</v>
      </c>
      <c r="D1955" s="8">
        <v>553.07000000000005</v>
      </c>
    </row>
    <row r="1956" spans="1:4" x14ac:dyDescent="0.2">
      <c r="A1956" s="6">
        <v>3390</v>
      </c>
      <c r="B1956" s="5" t="s">
        <v>1998</v>
      </c>
      <c r="C1956" s="7" t="s">
        <v>64</v>
      </c>
      <c r="D1956" s="8">
        <v>553.07000000000005</v>
      </c>
    </row>
    <row r="1957" spans="1:4" x14ac:dyDescent="0.2">
      <c r="A1957" s="6">
        <v>3391</v>
      </c>
      <c r="B1957" s="5" t="s">
        <v>1999</v>
      </c>
      <c r="C1957" s="7" t="s">
        <v>10</v>
      </c>
      <c r="D1957" s="8">
        <v>307.25</v>
      </c>
    </row>
    <row r="1958" spans="1:4" x14ac:dyDescent="0.2">
      <c r="A1958" s="6">
        <v>3392</v>
      </c>
      <c r="B1958" s="5" t="s">
        <v>2000</v>
      </c>
      <c r="C1958" s="7" t="s">
        <v>10</v>
      </c>
      <c r="D1958" s="8">
        <v>307.25</v>
      </c>
    </row>
    <row r="1959" spans="1:4" x14ac:dyDescent="0.2">
      <c r="A1959" s="6">
        <v>3393</v>
      </c>
      <c r="B1959" s="5" t="s">
        <v>2001</v>
      </c>
      <c r="C1959" s="7" t="s">
        <v>10</v>
      </c>
      <c r="D1959" s="8">
        <v>600</v>
      </c>
    </row>
    <row r="1960" spans="1:4" x14ac:dyDescent="0.2">
      <c r="A1960" s="6">
        <v>3394</v>
      </c>
      <c r="B1960" s="5" t="s">
        <v>2002</v>
      </c>
      <c r="C1960" s="7" t="s">
        <v>10</v>
      </c>
      <c r="D1960" s="8">
        <v>307.25</v>
      </c>
    </row>
    <row r="1961" spans="1:4" x14ac:dyDescent="0.2">
      <c r="A1961" s="6">
        <v>3395</v>
      </c>
      <c r="B1961" s="5" t="s">
        <v>2003</v>
      </c>
      <c r="C1961" s="7" t="s">
        <v>10</v>
      </c>
      <c r="D1961" s="8">
        <v>307.25</v>
      </c>
    </row>
    <row r="1962" spans="1:4" x14ac:dyDescent="0.2">
      <c r="A1962" s="6">
        <v>3396</v>
      </c>
      <c r="B1962" s="5" t="s">
        <v>2004</v>
      </c>
      <c r="C1962" s="7" t="s">
        <v>64</v>
      </c>
      <c r="D1962" s="8">
        <v>553.07000000000005</v>
      </c>
    </row>
    <row r="1963" spans="1:4" x14ac:dyDescent="0.2">
      <c r="A1963" s="6">
        <v>3397</v>
      </c>
      <c r="B1963" s="5" t="s">
        <v>2005</v>
      </c>
      <c r="C1963" s="7" t="s">
        <v>265</v>
      </c>
      <c r="D1963" s="8">
        <v>354.88</v>
      </c>
    </row>
    <row r="1964" spans="1:4" x14ac:dyDescent="0.2">
      <c r="A1964" s="6">
        <v>3398</v>
      </c>
      <c r="B1964" s="5" t="s">
        <v>2006</v>
      </c>
      <c r="C1964" s="7" t="s">
        <v>10</v>
      </c>
      <c r="D1964" s="8">
        <v>307.25</v>
      </c>
    </row>
    <row r="1965" spans="1:4" x14ac:dyDescent="0.2">
      <c r="A1965" s="6">
        <v>3399</v>
      </c>
      <c r="B1965" s="5" t="s">
        <v>2007</v>
      </c>
      <c r="C1965" s="7" t="s">
        <v>64</v>
      </c>
      <c r="D1965" s="8">
        <v>553.07000000000005</v>
      </c>
    </row>
    <row r="1966" spans="1:4" x14ac:dyDescent="0.2">
      <c r="A1966" s="6">
        <v>3400</v>
      </c>
      <c r="B1966" s="5" t="s">
        <v>2008</v>
      </c>
      <c r="C1966" s="7" t="s">
        <v>64</v>
      </c>
      <c r="D1966" s="8">
        <v>553.07000000000005</v>
      </c>
    </row>
    <row r="1967" spans="1:4" x14ac:dyDescent="0.2">
      <c r="A1967" s="6">
        <v>3401</v>
      </c>
      <c r="B1967" s="5" t="s">
        <v>2009</v>
      </c>
      <c r="C1967" s="7" t="s">
        <v>64</v>
      </c>
      <c r="D1967" s="8">
        <v>553.07000000000005</v>
      </c>
    </row>
    <row r="1968" spans="1:4" x14ac:dyDescent="0.2">
      <c r="A1968" s="6">
        <v>3402</v>
      </c>
      <c r="B1968" s="5" t="s">
        <v>2010</v>
      </c>
      <c r="C1968" s="7" t="s">
        <v>64</v>
      </c>
      <c r="D1968" s="8">
        <v>553.07000000000005</v>
      </c>
    </row>
    <row r="1969" spans="1:4" x14ac:dyDescent="0.2">
      <c r="A1969" s="6">
        <v>3403</v>
      </c>
      <c r="B1969" s="5" t="s">
        <v>2011</v>
      </c>
      <c r="C1969" s="7" t="s">
        <v>10</v>
      </c>
      <c r="D1969" s="8">
        <v>307.25</v>
      </c>
    </row>
    <row r="1970" spans="1:4" x14ac:dyDescent="0.2">
      <c r="A1970" s="6">
        <v>3404</v>
      </c>
      <c r="B1970" s="5" t="s">
        <v>2012</v>
      </c>
      <c r="C1970" s="7" t="s">
        <v>10</v>
      </c>
      <c r="D1970" s="8">
        <v>307.25</v>
      </c>
    </row>
    <row r="1971" spans="1:4" x14ac:dyDescent="0.2">
      <c r="A1971" s="6">
        <v>3405</v>
      </c>
      <c r="B1971" s="5" t="s">
        <v>2013</v>
      </c>
      <c r="C1971" s="7" t="s">
        <v>64</v>
      </c>
      <c r="D1971" s="8">
        <v>553.07000000000005</v>
      </c>
    </row>
    <row r="1972" spans="1:4" x14ac:dyDescent="0.2">
      <c r="A1972" s="6">
        <v>3406</v>
      </c>
      <c r="B1972" s="5" t="s">
        <v>2014</v>
      </c>
      <c r="C1972" s="7" t="s">
        <v>10</v>
      </c>
      <c r="D1972" s="8">
        <v>307.25</v>
      </c>
    </row>
    <row r="1973" spans="1:4" x14ac:dyDescent="0.2">
      <c r="A1973" s="6">
        <v>3407</v>
      </c>
      <c r="B1973" s="5" t="s">
        <v>2015</v>
      </c>
      <c r="C1973" s="7" t="s">
        <v>10</v>
      </c>
      <c r="D1973" s="8">
        <v>354.88</v>
      </c>
    </row>
    <row r="1974" spans="1:4" x14ac:dyDescent="0.2">
      <c r="A1974" s="6">
        <v>3408</v>
      </c>
      <c r="B1974" s="5" t="s">
        <v>2016</v>
      </c>
      <c r="C1974" s="7" t="s">
        <v>10</v>
      </c>
      <c r="D1974" s="8">
        <v>307.25</v>
      </c>
    </row>
    <row r="1975" spans="1:4" x14ac:dyDescent="0.2">
      <c r="A1975" s="6">
        <v>3409</v>
      </c>
      <c r="B1975" s="5" t="s">
        <v>2017</v>
      </c>
      <c r="C1975" s="7" t="s">
        <v>10</v>
      </c>
      <c r="D1975" s="8">
        <v>307.25</v>
      </c>
    </row>
    <row r="1976" spans="1:4" x14ac:dyDescent="0.2">
      <c r="A1976" s="6">
        <v>3410</v>
      </c>
      <c r="B1976" s="5" t="s">
        <v>2018</v>
      </c>
      <c r="C1976" s="7" t="s">
        <v>64</v>
      </c>
      <c r="D1976" s="8">
        <v>638.79999999999995</v>
      </c>
    </row>
    <row r="1977" spans="1:4" x14ac:dyDescent="0.2">
      <c r="A1977" s="6">
        <v>3411</v>
      </c>
      <c r="B1977" s="5" t="s">
        <v>2019</v>
      </c>
      <c r="C1977" s="7" t="s">
        <v>64</v>
      </c>
      <c r="D1977" s="8">
        <v>638.79999999999995</v>
      </c>
    </row>
    <row r="1978" spans="1:4" x14ac:dyDescent="0.2">
      <c r="A1978" s="6">
        <v>3412</v>
      </c>
      <c r="B1978" s="5" t="s">
        <v>2020</v>
      </c>
      <c r="C1978" s="7" t="s">
        <v>64</v>
      </c>
      <c r="D1978" s="8">
        <v>553.07000000000005</v>
      </c>
    </row>
    <row r="1979" spans="1:4" x14ac:dyDescent="0.2">
      <c r="A1979" s="6">
        <v>3413</v>
      </c>
      <c r="B1979" s="5" t="s">
        <v>2021</v>
      </c>
      <c r="C1979" s="7" t="s">
        <v>64</v>
      </c>
      <c r="D1979" s="8">
        <v>553.07000000000005</v>
      </c>
    </row>
    <row r="1980" spans="1:4" x14ac:dyDescent="0.2">
      <c r="A1980" s="6">
        <v>3414</v>
      </c>
      <c r="B1980" s="5" t="s">
        <v>2022</v>
      </c>
      <c r="C1980" s="7" t="s">
        <v>10</v>
      </c>
      <c r="D1980" s="8">
        <v>307.25</v>
      </c>
    </row>
    <row r="1981" spans="1:4" x14ac:dyDescent="0.2">
      <c r="A1981" s="6">
        <v>3415</v>
      </c>
      <c r="B1981" s="5" t="s">
        <v>2023</v>
      </c>
      <c r="C1981" s="7" t="s">
        <v>10</v>
      </c>
      <c r="D1981" s="8">
        <v>307.25</v>
      </c>
    </row>
    <row r="1982" spans="1:4" x14ac:dyDescent="0.2">
      <c r="A1982" s="6">
        <v>3416</v>
      </c>
      <c r="B1982" s="5" t="s">
        <v>2024</v>
      </c>
      <c r="C1982" s="7" t="s">
        <v>64</v>
      </c>
      <c r="D1982" s="8">
        <v>553.07000000000005</v>
      </c>
    </row>
    <row r="1983" spans="1:4" x14ac:dyDescent="0.2">
      <c r="A1983" s="6">
        <v>3417</v>
      </c>
      <c r="B1983" s="5" t="s">
        <v>2025</v>
      </c>
      <c r="C1983" s="7" t="s">
        <v>52</v>
      </c>
      <c r="D1983" s="8">
        <v>179</v>
      </c>
    </row>
    <row r="1984" spans="1:4" x14ac:dyDescent="0.2">
      <c r="A1984" s="6">
        <v>3418</v>
      </c>
      <c r="B1984" s="5" t="s">
        <v>2026</v>
      </c>
      <c r="C1984" s="7" t="s">
        <v>52</v>
      </c>
      <c r="D1984" s="8">
        <f>179*1.042</f>
        <v>186.518</v>
      </c>
    </row>
    <row r="1985" spans="1:4" x14ac:dyDescent="0.2">
      <c r="A1985" s="6">
        <v>3419</v>
      </c>
      <c r="B1985" s="5" t="s">
        <v>2027</v>
      </c>
      <c r="C1985" s="7" t="s">
        <v>10</v>
      </c>
      <c r="D1985" s="8">
        <v>307.25</v>
      </c>
    </row>
    <row r="1986" spans="1:4" x14ac:dyDescent="0.2">
      <c r="A1986" s="6">
        <v>3420</v>
      </c>
      <c r="B1986" s="5" t="s">
        <v>2028</v>
      </c>
      <c r="C1986" s="7" t="s">
        <v>10</v>
      </c>
      <c r="D1986" s="8">
        <v>307.25</v>
      </c>
    </row>
    <row r="1987" spans="1:4" x14ac:dyDescent="0.2">
      <c r="A1987" s="6">
        <v>3421</v>
      </c>
      <c r="B1987" s="5" t="s">
        <v>2029</v>
      </c>
      <c r="C1987" s="7" t="s">
        <v>10</v>
      </c>
      <c r="D1987" s="8">
        <v>307.25</v>
      </c>
    </row>
    <row r="1988" spans="1:4" x14ac:dyDescent="0.2">
      <c r="A1988" s="6">
        <v>3422</v>
      </c>
      <c r="B1988" s="5" t="s">
        <v>2030</v>
      </c>
      <c r="C1988" s="7" t="s">
        <v>92</v>
      </c>
      <c r="D1988" s="8">
        <v>177.71428571428572</v>
      </c>
    </row>
    <row r="1989" spans="1:4" x14ac:dyDescent="0.2">
      <c r="A1989" s="6">
        <v>3423</v>
      </c>
      <c r="B1989" s="5" t="s">
        <v>2031</v>
      </c>
      <c r="C1989" s="7" t="s">
        <v>52</v>
      </c>
      <c r="D1989" s="8">
        <v>179</v>
      </c>
    </row>
    <row r="1990" spans="1:4" x14ac:dyDescent="0.2">
      <c r="A1990" s="6">
        <v>3424</v>
      </c>
      <c r="B1990" s="5" t="s">
        <v>2032</v>
      </c>
      <c r="C1990" s="7" t="s">
        <v>10</v>
      </c>
      <c r="D1990" s="8">
        <v>307.25</v>
      </c>
    </row>
    <row r="1991" spans="1:4" x14ac:dyDescent="0.2">
      <c r="A1991" s="6">
        <v>3425</v>
      </c>
      <c r="B1991" s="5" t="s">
        <v>2033</v>
      </c>
      <c r="C1991" s="7" t="s">
        <v>10</v>
      </c>
      <c r="D1991" s="8">
        <v>307.25</v>
      </c>
    </row>
    <row r="1992" spans="1:4" x14ac:dyDescent="0.2">
      <c r="A1992" s="6">
        <v>3426</v>
      </c>
      <c r="B1992" s="5" t="s">
        <v>2034</v>
      </c>
      <c r="C1992" s="7" t="s">
        <v>10</v>
      </c>
      <c r="D1992" s="8">
        <v>307.25</v>
      </c>
    </row>
    <row r="1993" spans="1:4" x14ac:dyDescent="0.2">
      <c r="A1993" s="6">
        <v>3427</v>
      </c>
      <c r="B1993" s="5" t="s">
        <v>2035</v>
      </c>
      <c r="C1993" s="7" t="s">
        <v>64</v>
      </c>
      <c r="D1993" s="8">
        <v>553.07000000000005</v>
      </c>
    </row>
    <row r="1994" spans="1:4" x14ac:dyDescent="0.2">
      <c r="A1994" s="6">
        <v>3428</v>
      </c>
      <c r="B1994" s="5" t="s">
        <v>2036</v>
      </c>
      <c r="C1994" s="7" t="s">
        <v>52</v>
      </c>
      <c r="D1994" s="8">
        <v>179</v>
      </c>
    </row>
    <row r="1995" spans="1:4" x14ac:dyDescent="0.2">
      <c r="A1995" s="6">
        <v>3429</v>
      </c>
      <c r="B1995" s="5" t="s">
        <v>2037</v>
      </c>
      <c r="C1995" s="7" t="s">
        <v>52</v>
      </c>
      <c r="D1995" s="8">
        <v>179</v>
      </c>
    </row>
    <row r="1996" spans="1:4" x14ac:dyDescent="0.2">
      <c r="A1996" s="6">
        <v>3430</v>
      </c>
      <c r="B1996" s="5" t="s">
        <v>2038</v>
      </c>
      <c r="C1996" s="7" t="s">
        <v>52</v>
      </c>
      <c r="D1996" s="8">
        <v>179</v>
      </c>
    </row>
    <row r="1997" spans="1:4" x14ac:dyDescent="0.2">
      <c r="A1997" s="6">
        <v>3431</v>
      </c>
      <c r="B1997" s="5" t="s">
        <v>2039</v>
      </c>
      <c r="C1997" s="7" t="s">
        <v>10</v>
      </c>
      <c r="D1997" s="8">
        <v>307.25</v>
      </c>
    </row>
    <row r="1998" spans="1:4" x14ac:dyDescent="0.2">
      <c r="A1998" s="6">
        <v>3432</v>
      </c>
      <c r="B1998" s="5" t="s">
        <v>2040</v>
      </c>
      <c r="C1998" s="7" t="s">
        <v>64</v>
      </c>
      <c r="D1998" s="8">
        <v>553.07000000000005</v>
      </c>
    </row>
    <row r="1999" spans="1:4" x14ac:dyDescent="0.2">
      <c r="A1999" s="6">
        <v>3433</v>
      </c>
      <c r="B1999" s="5" t="s">
        <v>2041</v>
      </c>
      <c r="C1999" s="7" t="s">
        <v>64</v>
      </c>
      <c r="D1999" s="8">
        <v>553.07000000000005</v>
      </c>
    </row>
    <row r="2000" spans="1:4" x14ac:dyDescent="0.2">
      <c r="A2000" s="6">
        <v>3434</v>
      </c>
      <c r="B2000" s="5" t="s">
        <v>2042</v>
      </c>
      <c r="C2000" s="7" t="s">
        <v>64</v>
      </c>
      <c r="D2000" s="8">
        <v>553.07000000000005</v>
      </c>
    </row>
    <row r="2001" spans="1:4" x14ac:dyDescent="0.2">
      <c r="A2001" s="6">
        <v>3435</v>
      </c>
      <c r="B2001" s="5" t="s">
        <v>2043</v>
      </c>
      <c r="C2001" s="7" t="s">
        <v>10</v>
      </c>
      <c r="D2001" s="8">
        <v>307.25</v>
      </c>
    </row>
    <row r="2002" spans="1:4" x14ac:dyDescent="0.2">
      <c r="A2002" s="6">
        <v>3436</v>
      </c>
      <c r="B2002" s="5" t="s">
        <v>2044</v>
      </c>
      <c r="C2002" s="7" t="s">
        <v>10</v>
      </c>
      <c r="D2002" s="8">
        <v>307.25</v>
      </c>
    </row>
    <row r="2003" spans="1:4" x14ac:dyDescent="0.2">
      <c r="A2003" s="6">
        <v>3437</v>
      </c>
      <c r="B2003" s="5" t="s">
        <v>2045</v>
      </c>
      <c r="C2003" s="7" t="s">
        <v>297</v>
      </c>
      <c r="D2003" s="8">
        <v>194</v>
      </c>
    </row>
    <row r="2004" spans="1:4" x14ac:dyDescent="0.2">
      <c r="A2004" s="6">
        <v>3438</v>
      </c>
      <c r="B2004" s="5" t="s">
        <v>2046</v>
      </c>
      <c r="C2004" s="7" t="s">
        <v>10</v>
      </c>
      <c r="D2004" s="8">
        <v>307.25</v>
      </c>
    </row>
    <row r="2005" spans="1:4" x14ac:dyDescent="0.2">
      <c r="A2005" s="6">
        <v>3439</v>
      </c>
      <c r="B2005" s="5" t="s">
        <v>2047</v>
      </c>
      <c r="C2005" s="7" t="s">
        <v>64</v>
      </c>
      <c r="D2005" s="8">
        <v>553.07000000000005</v>
      </c>
    </row>
    <row r="2006" spans="1:4" x14ac:dyDescent="0.2">
      <c r="A2006" s="6">
        <v>3440</v>
      </c>
      <c r="B2006" s="5" t="s">
        <v>2048</v>
      </c>
      <c r="C2006" s="7" t="s">
        <v>64</v>
      </c>
      <c r="D2006" s="8">
        <v>553.07000000000005</v>
      </c>
    </row>
    <row r="2007" spans="1:4" x14ac:dyDescent="0.2">
      <c r="A2007" s="6">
        <v>3441</v>
      </c>
      <c r="B2007" s="5" t="s">
        <v>2049</v>
      </c>
      <c r="C2007" s="7" t="s">
        <v>10</v>
      </c>
      <c r="D2007" s="8">
        <v>307.25</v>
      </c>
    </row>
    <row r="2008" spans="1:4" x14ac:dyDescent="0.2">
      <c r="A2008" s="6">
        <v>3442</v>
      </c>
      <c r="B2008" s="5" t="s">
        <v>2050</v>
      </c>
      <c r="C2008" s="7" t="s">
        <v>297</v>
      </c>
      <c r="D2008" s="8">
        <v>307.125</v>
      </c>
    </row>
    <row r="2009" spans="1:4" x14ac:dyDescent="0.2">
      <c r="A2009" s="6">
        <v>3443</v>
      </c>
      <c r="B2009" s="5" t="s">
        <v>2051</v>
      </c>
      <c r="C2009" s="7" t="s">
        <v>297</v>
      </c>
      <c r="D2009" s="8">
        <f>381.25*1.05</f>
        <v>400.3125</v>
      </c>
    </row>
    <row r="2010" spans="1:4" x14ac:dyDescent="0.2">
      <c r="A2010" s="6">
        <v>3444</v>
      </c>
      <c r="B2010" s="5" t="s">
        <v>2052</v>
      </c>
      <c r="C2010" s="7" t="s">
        <v>10</v>
      </c>
      <c r="D2010" s="8">
        <v>307.25</v>
      </c>
    </row>
    <row r="2011" spans="1:4" x14ac:dyDescent="0.2">
      <c r="A2011" s="6">
        <v>3445</v>
      </c>
      <c r="B2011" s="5" t="s">
        <v>2053</v>
      </c>
      <c r="C2011" s="7" t="s">
        <v>64</v>
      </c>
      <c r="D2011" s="8">
        <v>553.07000000000005</v>
      </c>
    </row>
    <row r="2012" spans="1:4" x14ac:dyDescent="0.2">
      <c r="A2012" s="6">
        <v>3446</v>
      </c>
      <c r="B2012" s="5" t="s">
        <v>2054</v>
      </c>
      <c r="C2012" s="7" t="s">
        <v>10</v>
      </c>
      <c r="D2012" s="8">
        <v>307.25</v>
      </c>
    </row>
    <row r="2013" spans="1:4" x14ac:dyDescent="0.2">
      <c r="A2013" s="6">
        <v>3447</v>
      </c>
      <c r="B2013" s="5" t="s">
        <v>2055</v>
      </c>
      <c r="C2013" s="7" t="s">
        <v>10</v>
      </c>
      <c r="D2013" s="8">
        <v>307.25</v>
      </c>
    </row>
    <row r="2014" spans="1:4" x14ac:dyDescent="0.2">
      <c r="A2014" s="6">
        <v>3448</v>
      </c>
      <c r="B2014" s="5" t="s">
        <v>2056</v>
      </c>
      <c r="C2014" s="7" t="s">
        <v>579</v>
      </c>
      <c r="D2014" s="8">
        <v>248.8</v>
      </c>
    </row>
    <row r="2015" spans="1:4" x14ac:dyDescent="0.2">
      <c r="A2015" s="6">
        <v>3449</v>
      </c>
      <c r="B2015" s="5" t="s">
        <v>2057</v>
      </c>
      <c r="C2015" s="7" t="s">
        <v>579</v>
      </c>
      <c r="D2015" s="8">
        <v>248.8</v>
      </c>
    </row>
    <row r="2016" spans="1:4" x14ac:dyDescent="0.2">
      <c r="A2016" s="6">
        <v>3450</v>
      </c>
      <c r="B2016" s="5" t="s">
        <v>2058</v>
      </c>
      <c r="C2016" s="7" t="s">
        <v>64</v>
      </c>
      <c r="D2016" s="8">
        <v>553.07000000000005</v>
      </c>
    </row>
    <row r="2017" spans="1:4" x14ac:dyDescent="0.2">
      <c r="A2017" s="6">
        <v>3451</v>
      </c>
      <c r="B2017" s="5" t="s">
        <v>2059</v>
      </c>
      <c r="C2017" s="7" t="s">
        <v>64</v>
      </c>
      <c r="D2017" s="8">
        <v>553.07000000000005</v>
      </c>
    </row>
    <row r="2018" spans="1:4" x14ac:dyDescent="0.2">
      <c r="A2018" s="6">
        <v>3452</v>
      </c>
      <c r="B2018" s="5" t="s">
        <v>2060</v>
      </c>
      <c r="C2018" s="7" t="s">
        <v>64</v>
      </c>
      <c r="D2018" s="8">
        <v>553.07000000000005</v>
      </c>
    </row>
    <row r="2019" spans="1:4" x14ac:dyDescent="0.2">
      <c r="A2019" s="6">
        <v>3453</v>
      </c>
      <c r="B2019" s="5" t="s">
        <v>2061</v>
      </c>
      <c r="C2019" s="7" t="s">
        <v>64</v>
      </c>
      <c r="D2019" s="8">
        <v>553.07000000000005</v>
      </c>
    </row>
    <row r="2020" spans="1:4" x14ac:dyDescent="0.2">
      <c r="A2020" s="6">
        <v>3454</v>
      </c>
      <c r="B2020" s="5" t="s">
        <v>2062</v>
      </c>
      <c r="C2020" s="7" t="s">
        <v>10</v>
      </c>
      <c r="D2020" s="8">
        <v>354.88</v>
      </c>
    </row>
    <row r="2021" spans="1:4" x14ac:dyDescent="0.2">
      <c r="A2021" s="6">
        <v>3455</v>
      </c>
      <c r="B2021" s="5" t="s">
        <v>2063</v>
      </c>
      <c r="C2021" s="7" t="s">
        <v>10</v>
      </c>
      <c r="D2021" s="8">
        <v>307.25</v>
      </c>
    </row>
    <row r="2022" spans="1:4" x14ac:dyDescent="0.2">
      <c r="A2022" s="6">
        <v>3456</v>
      </c>
      <c r="B2022" s="5" t="s">
        <v>2064</v>
      </c>
      <c r="C2022" s="7" t="s">
        <v>10</v>
      </c>
      <c r="D2022" s="8">
        <v>307.25</v>
      </c>
    </row>
    <row r="2023" spans="1:4" x14ac:dyDescent="0.2">
      <c r="A2023" s="6">
        <v>3457</v>
      </c>
      <c r="B2023" s="5" t="s">
        <v>2065</v>
      </c>
      <c r="C2023" s="7" t="s">
        <v>64</v>
      </c>
      <c r="D2023" s="8">
        <v>553.07000000000005</v>
      </c>
    </row>
    <row r="2024" spans="1:4" x14ac:dyDescent="0.2">
      <c r="A2024" s="6">
        <v>3458</v>
      </c>
      <c r="B2024" s="5" t="s">
        <v>2066</v>
      </c>
      <c r="C2024" s="7" t="s">
        <v>64</v>
      </c>
      <c r="D2024" s="8">
        <v>553.07000000000005</v>
      </c>
    </row>
    <row r="2025" spans="1:4" x14ac:dyDescent="0.2">
      <c r="A2025" s="6">
        <v>3459</v>
      </c>
      <c r="B2025" s="5" t="s">
        <v>2067</v>
      </c>
      <c r="C2025" s="7" t="s">
        <v>10</v>
      </c>
      <c r="D2025" s="8">
        <v>307.25</v>
      </c>
    </row>
    <row r="2026" spans="1:4" x14ac:dyDescent="0.2">
      <c r="A2026" s="6">
        <v>3460</v>
      </c>
      <c r="B2026" s="5" t="s">
        <v>2068</v>
      </c>
      <c r="C2026" s="7" t="s">
        <v>10</v>
      </c>
      <c r="D2026" s="8">
        <v>307.25</v>
      </c>
    </row>
    <row r="2027" spans="1:4" x14ac:dyDescent="0.2">
      <c r="A2027" s="6">
        <v>3461</v>
      </c>
      <c r="B2027" s="5" t="s">
        <v>2069</v>
      </c>
      <c r="C2027" s="7" t="s">
        <v>10</v>
      </c>
      <c r="D2027" s="8">
        <v>307.25</v>
      </c>
    </row>
    <row r="2028" spans="1:4" x14ac:dyDescent="0.2">
      <c r="A2028" s="6">
        <v>3462</v>
      </c>
      <c r="B2028" s="5" t="s">
        <v>2070</v>
      </c>
      <c r="C2028" s="7" t="s">
        <v>10</v>
      </c>
      <c r="D2028" s="8">
        <v>307.25</v>
      </c>
    </row>
    <row r="2029" spans="1:4" x14ac:dyDescent="0.2">
      <c r="A2029" s="6">
        <v>3463</v>
      </c>
      <c r="B2029" s="5" t="s">
        <v>2071</v>
      </c>
      <c r="C2029" s="7" t="s">
        <v>10</v>
      </c>
      <c r="D2029" s="8">
        <v>307.25</v>
      </c>
    </row>
    <row r="2030" spans="1:4" x14ac:dyDescent="0.2">
      <c r="A2030" s="6">
        <v>3464</v>
      </c>
      <c r="B2030" s="5" t="s">
        <v>2072</v>
      </c>
      <c r="C2030" s="7" t="s">
        <v>64</v>
      </c>
      <c r="D2030" s="8">
        <v>553.07000000000005</v>
      </c>
    </row>
    <row r="2031" spans="1:4" x14ac:dyDescent="0.2">
      <c r="A2031" s="6">
        <v>3465</v>
      </c>
      <c r="B2031" s="5" t="s">
        <v>2073</v>
      </c>
      <c r="C2031" s="7" t="s">
        <v>64</v>
      </c>
      <c r="D2031" s="8">
        <v>553.07000000000005</v>
      </c>
    </row>
    <row r="2032" spans="1:4" x14ac:dyDescent="0.2">
      <c r="A2032" s="6">
        <v>3466</v>
      </c>
      <c r="B2032" s="5" t="s">
        <v>2074</v>
      </c>
      <c r="C2032" s="7" t="s">
        <v>10</v>
      </c>
      <c r="D2032" s="8">
        <v>307.25</v>
      </c>
    </row>
    <row r="2033" spans="1:4" x14ac:dyDescent="0.2">
      <c r="A2033" s="6">
        <v>3467</v>
      </c>
      <c r="B2033" s="5" t="s">
        <v>2075</v>
      </c>
      <c r="C2033" s="7" t="s">
        <v>64</v>
      </c>
      <c r="D2033" s="8">
        <v>553.07000000000005</v>
      </c>
    </row>
    <row r="2034" spans="1:4" x14ac:dyDescent="0.2">
      <c r="A2034" s="6">
        <v>3468</v>
      </c>
      <c r="B2034" s="5" t="s">
        <v>2076</v>
      </c>
      <c r="C2034" s="7" t="s">
        <v>10</v>
      </c>
      <c r="D2034" s="8">
        <v>307.25</v>
      </c>
    </row>
    <row r="2035" spans="1:4" x14ac:dyDescent="0.2">
      <c r="A2035" s="6">
        <v>3469</v>
      </c>
      <c r="B2035" s="5" t="s">
        <v>2077</v>
      </c>
      <c r="C2035" s="7" t="s">
        <v>10</v>
      </c>
      <c r="D2035" s="8">
        <v>307.25</v>
      </c>
    </row>
    <row r="2036" spans="1:4" x14ac:dyDescent="0.2">
      <c r="A2036" s="6">
        <v>3470</v>
      </c>
      <c r="B2036" s="5" t="s">
        <v>2078</v>
      </c>
      <c r="C2036" s="7" t="s">
        <v>64</v>
      </c>
      <c r="D2036" s="8">
        <v>553.07000000000005</v>
      </c>
    </row>
    <row r="2037" spans="1:4" x14ac:dyDescent="0.2">
      <c r="A2037" s="6">
        <v>3471</v>
      </c>
      <c r="B2037" s="5" t="s">
        <v>2079</v>
      </c>
      <c r="C2037" s="7" t="s">
        <v>10</v>
      </c>
      <c r="D2037" s="8">
        <v>307.25</v>
      </c>
    </row>
    <row r="2038" spans="1:4" x14ac:dyDescent="0.2">
      <c r="A2038" s="6">
        <v>3472</v>
      </c>
      <c r="B2038" s="5" t="s">
        <v>2080</v>
      </c>
      <c r="C2038" s="7" t="s">
        <v>64</v>
      </c>
      <c r="D2038" s="8">
        <v>553.07000000000005</v>
      </c>
    </row>
    <row r="2039" spans="1:4" x14ac:dyDescent="0.2">
      <c r="A2039" s="6">
        <v>3473</v>
      </c>
      <c r="B2039" s="5" t="s">
        <v>2081</v>
      </c>
      <c r="C2039" s="7" t="s">
        <v>10</v>
      </c>
      <c r="D2039" s="8">
        <v>307.25</v>
      </c>
    </row>
    <row r="2040" spans="1:4" x14ac:dyDescent="0.2">
      <c r="A2040" s="6">
        <v>3474</v>
      </c>
      <c r="B2040" s="5" t="s">
        <v>2082</v>
      </c>
      <c r="C2040" s="7" t="s">
        <v>579</v>
      </c>
      <c r="D2040" s="8">
        <v>272.20999999999998</v>
      </c>
    </row>
    <row r="2041" spans="1:4" x14ac:dyDescent="0.2">
      <c r="A2041" s="6">
        <v>3475</v>
      </c>
      <c r="B2041" s="5" t="s">
        <v>2083</v>
      </c>
      <c r="C2041" s="7" t="s">
        <v>64</v>
      </c>
      <c r="D2041" s="8">
        <v>553.07000000000005</v>
      </c>
    </row>
    <row r="2042" spans="1:4" x14ac:dyDescent="0.2">
      <c r="A2042" s="6">
        <v>3476</v>
      </c>
      <c r="B2042" s="5" t="s">
        <v>2084</v>
      </c>
      <c r="C2042" s="7" t="s">
        <v>64</v>
      </c>
      <c r="D2042" s="8">
        <v>553.07000000000005</v>
      </c>
    </row>
    <row r="2043" spans="1:4" x14ac:dyDescent="0.2">
      <c r="A2043" s="6">
        <v>3477</v>
      </c>
      <c r="B2043" s="5" t="s">
        <v>2085</v>
      </c>
      <c r="C2043" s="7" t="s">
        <v>64</v>
      </c>
      <c r="D2043" s="8">
        <v>553.07000000000005</v>
      </c>
    </row>
    <row r="2044" spans="1:4" x14ac:dyDescent="0.2">
      <c r="A2044" s="6">
        <v>3478</v>
      </c>
      <c r="B2044" s="5" t="s">
        <v>2086</v>
      </c>
      <c r="C2044" s="7" t="s">
        <v>64</v>
      </c>
      <c r="D2044" s="8">
        <v>553.07000000000005</v>
      </c>
    </row>
    <row r="2045" spans="1:4" x14ac:dyDescent="0.2">
      <c r="A2045" s="6">
        <v>3479</v>
      </c>
      <c r="B2045" s="5" t="s">
        <v>2087</v>
      </c>
      <c r="C2045" s="7" t="s">
        <v>10</v>
      </c>
      <c r="D2045" s="8">
        <v>307.25</v>
      </c>
    </row>
    <row r="2046" spans="1:4" x14ac:dyDescent="0.2">
      <c r="A2046" s="6">
        <v>3480</v>
      </c>
      <c r="B2046" s="5" t="s">
        <v>2088</v>
      </c>
      <c r="C2046" s="7" t="s">
        <v>64</v>
      </c>
      <c r="D2046" s="8">
        <v>553.07000000000005</v>
      </c>
    </row>
    <row r="2047" spans="1:4" x14ac:dyDescent="0.2">
      <c r="A2047" s="6">
        <v>3481</v>
      </c>
      <c r="B2047" s="5" t="s">
        <v>2089</v>
      </c>
      <c r="C2047" s="7" t="s">
        <v>10</v>
      </c>
      <c r="D2047" s="8">
        <v>307.25</v>
      </c>
    </row>
    <row r="2048" spans="1:4" x14ac:dyDescent="0.2">
      <c r="A2048" s="6">
        <v>3482</v>
      </c>
      <c r="B2048" s="5" t="s">
        <v>2090</v>
      </c>
      <c r="C2048" s="7" t="s">
        <v>64</v>
      </c>
      <c r="D2048" s="8">
        <v>553.07000000000005</v>
      </c>
    </row>
    <row r="2049" spans="1:4" x14ac:dyDescent="0.2">
      <c r="A2049" s="6">
        <v>3483</v>
      </c>
      <c r="B2049" s="5" t="s">
        <v>2091</v>
      </c>
      <c r="C2049" s="7" t="s">
        <v>10</v>
      </c>
      <c r="D2049" s="8">
        <v>307.25</v>
      </c>
    </row>
    <row r="2050" spans="1:4" x14ac:dyDescent="0.2">
      <c r="A2050" s="6">
        <v>3484</v>
      </c>
      <c r="B2050" s="5" t="s">
        <v>2092</v>
      </c>
      <c r="C2050" s="7" t="s">
        <v>64</v>
      </c>
      <c r="D2050" s="8">
        <v>553.07000000000005</v>
      </c>
    </row>
    <row r="2051" spans="1:4" x14ac:dyDescent="0.2">
      <c r="A2051" s="6">
        <v>3485</v>
      </c>
      <c r="B2051" s="5" t="s">
        <v>2093</v>
      </c>
      <c r="C2051" s="7" t="s">
        <v>64</v>
      </c>
      <c r="D2051" s="8">
        <v>553.07000000000005</v>
      </c>
    </row>
    <row r="2052" spans="1:4" x14ac:dyDescent="0.2">
      <c r="A2052" s="6">
        <v>3486</v>
      </c>
      <c r="B2052" s="5" t="s">
        <v>2094</v>
      </c>
      <c r="C2052" s="7" t="s">
        <v>10</v>
      </c>
      <c r="D2052" s="8">
        <v>307.25</v>
      </c>
    </row>
    <row r="2053" spans="1:4" x14ac:dyDescent="0.2">
      <c r="A2053" s="6">
        <v>3487</v>
      </c>
      <c r="B2053" s="5" t="s">
        <v>2095</v>
      </c>
      <c r="C2053" s="7" t="s">
        <v>10</v>
      </c>
      <c r="D2053" s="8">
        <v>307.25</v>
      </c>
    </row>
    <row r="2054" spans="1:4" x14ac:dyDescent="0.2">
      <c r="A2054" s="6">
        <v>3488</v>
      </c>
      <c r="B2054" s="5" t="s">
        <v>2096</v>
      </c>
      <c r="C2054" s="7" t="s">
        <v>10</v>
      </c>
      <c r="D2054" s="8">
        <v>307.25</v>
      </c>
    </row>
    <row r="2055" spans="1:4" x14ac:dyDescent="0.2">
      <c r="A2055" s="6">
        <v>3489</v>
      </c>
      <c r="B2055" s="5" t="s">
        <v>2097</v>
      </c>
      <c r="C2055" s="7" t="s">
        <v>10</v>
      </c>
      <c r="D2055" s="8">
        <v>307.25</v>
      </c>
    </row>
    <row r="2056" spans="1:4" x14ac:dyDescent="0.2">
      <c r="A2056" s="6">
        <v>3490</v>
      </c>
      <c r="B2056" s="5" t="s">
        <v>2098</v>
      </c>
      <c r="C2056" s="7" t="s">
        <v>64</v>
      </c>
      <c r="D2056" s="8">
        <v>553.07000000000005</v>
      </c>
    </row>
    <row r="2057" spans="1:4" x14ac:dyDescent="0.2">
      <c r="A2057" s="6">
        <v>3491</v>
      </c>
      <c r="B2057" s="5" t="s">
        <v>2099</v>
      </c>
      <c r="C2057" s="7" t="s">
        <v>10</v>
      </c>
      <c r="D2057" s="8">
        <v>307.25</v>
      </c>
    </row>
    <row r="2058" spans="1:4" x14ac:dyDescent="0.2">
      <c r="A2058" s="6">
        <v>3492</v>
      </c>
      <c r="B2058" s="5" t="s">
        <v>2100</v>
      </c>
      <c r="C2058" s="7" t="s">
        <v>10</v>
      </c>
      <c r="D2058" s="8">
        <v>307.25</v>
      </c>
    </row>
    <row r="2059" spans="1:4" x14ac:dyDescent="0.2">
      <c r="A2059" s="6">
        <v>3493</v>
      </c>
      <c r="B2059" s="5" t="s">
        <v>2101</v>
      </c>
      <c r="C2059" s="7" t="s">
        <v>10</v>
      </c>
      <c r="D2059" s="8">
        <v>307.25</v>
      </c>
    </row>
    <row r="2060" spans="1:4" x14ac:dyDescent="0.2">
      <c r="A2060" s="6">
        <v>3494</v>
      </c>
      <c r="B2060" s="5" t="s">
        <v>2102</v>
      </c>
      <c r="C2060" s="7" t="s">
        <v>64</v>
      </c>
      <c r="D2060" s="8">
        <v>553.07000000000005</v>
      </c>
    </row>
    <row r="2061" spans="1:4" x14ac:dyDescent="0.2">
      <c r="A2061" s="6">
        <v>3495</v>
      </c>
      <c r="B2061" s="5" t="s">
        <v>2103</v>
      </c>
      <c r="C2061" s="7" t="s">
        <v>10</v>
      </c>
      <c r="D2061" s="8">
        <v>307.25</v>
      </c>
    </row>
    <row r="2062" spans="1:4" x14ac:dyDescent="0.2">
      <c r="A2062" s="6">
        <v>3496</v>
      </c>
      <c r="B2062" s="5" t="s">
        <v>2104</v>
      </c>
      <c r="C2062" s="7" t="s">
        <v>10</v>
      </c>
      <c r="D2062" s="8">
        <v>307.25</v>
      </c>
    </row>
    <row r="2063" spans="1:4" x14ac:dyDescent="0.2">
      <c r="A2063" s="6">
        <v>3497</v>
      </c>
      <c r="B2063" s="5" t="s">
        <v>2105</v>
      </c>
      <c r="C2063" s="7" t="s">
        <v>10</v>
      </c>
      <c r="D2063" s="8">
        <v>307.25</v>
      </c>
    </row>
    <row r="2064" spans="1:4" x14ac:dyDescent="0.2">
      <c r="A2064" s="6">
        <v>3498</v>
      </c>
      <c r="B2064" s="5" t="s">
        <v>2106</v>
      </c>
      <c r="C2064" s="7" t="s">
        <v>64</v>
      </c>
      <c r="D2064" s="8">
        <v>553.07000000000005</v>
      </c>
    </row>
    <row r="2065" spans="1:4" x14ac:dyDescent="0.2">
      <c r="A2065" s="6">
        <v>3499</v>
      </c>
      <c r="B2065" s="5" t="s">
        <v>2107</v>
      </c>
      <c r="C2065" s="7" t="s">
        <v>64</v>
      </c>
      <c r="D2065" s="8">
        <v>553.07000000000005</v>
      </c>
    </row>
    <row r="2066" spans="1:4" x14ac:dyDescent="0.2">
      <c r="A2066" s="6">
        <v>3500</v>
      </c>
      <c r="B2066" s="5" t="s">
        <v>2108</v>
      </c>
      <c r="C2066" s="7" t="s">
        <v>10</v>
      </c>
      <c r="D2066" s="8">
        <v>307.25</v>
      </c>
    </row>
    <row r="2067" spans="1:4" x14ac:dyDescent="0.2">
      <c r="A2067" s="6">
        <v>3501</v>
      </c>
      <c r="B2067" s="5" t="s">
        <v>2109</v>
      </c>
      <c r="C2067" s="7" t="s">
        <v>10</v>
      </c>
      <c r="D2067" s="8">
        <v>307.25</v>
      </c>
    </row>
    <row r="2068" spans="1:4" x14ac:dyDescent="0.2">
      <c r="A2068" s="6">
        <v>3502</v>
      </c>
      <c r="B2068" s="5" t="s">
        <v>2110</v>
      </c>
      <c r="C2068" s="7" t="s">
        <v>10</v>
      </c>
      <c r="D2068" s="8">
        <v>307.25</v>
      </c>
    </row>
    <row r="2069" spans="1:4" x14ac:dyDescent="0.2">
      <c r="A2069" s="6">
        <v>3503</v>
      </c>
      <c r="B2069" s="5" t="s">
        <v>2111</v>
      </c>
      <c r="C2069" s="7" t="s">
        <v>297</v>
      </c>
      <c r="D2069" s="8">
        <f>269.85*1.05</f>
        <v>283.34250000000003</v>
      </c>
    </row>
    <row r="2070" spans="1:4" x14ac:dyDescent="0.2">
      <c r="A2070" s="6">
        <v>3504</v>
      </c>
      <c r="B2070" s="5" t="s">
        <v>2112</v>
      </c>
      <c r="C2070" s="7" t="s">
        <v>10</v>
      </c>
      <c r="D2070" s="8">
        <v>307.25</v>
      </c>
    </row>
    <row r="2071" spans="1:4" x14ac:dyDescent="0.2">
      <c r="A2071" s="6">
        <v>3505</v>
      </c>
      <c r="B2071" s="5" t="s">
        <v>956</v>
      </c>
      <c r="C2071" s="7" t="s">
        <v>64</v>
      </c>
      <c r="D2071" s="8">
        <v>553.07000000000005</v>
      </c>
    </row>
    <row r="2072" spans="1:4" x14ac:dyDescent="0.2">
      <c r="A2072" s="6">
        <v>3506</v>
      </c>
      <c r="B2072" s="5" t="s">
        <v>2113</v>
      </c>
      <c r="C2072" s="7" t="s">
        <v>64</v>
      </c>
      <c r="D2072" s="8">
        <v>553.07000000000005</v>
      </c>
    </row>
    <row r="2073" spans="1:4" x14ac:dyDescent="0.2">
      <c r="A2073" s="6">
        <v>3507</v>
      </c>
      <c r="B2073" s="5" t="s">
        <v>2114</v>
      </c>
      <c r="C2073" s="7" t="s">
        <v>10</v>
      </c>
      <c r="D2073" s="8">
        <v>307.25</v>
      </c>
    </row>
    <row r="2074" spans="1:4" x14ac:dyDescent="0.2">
      <c r="A2074" s="6">
        <v>3508</v>
      </c>
      <c r="B2074" s="5" t="s">
        <v>2115</v>
      </c>
      <c r="C2074" s="7" t="s">
        <v>64</v>
      </c>
      <c r="D2074" s="8">
        <v>553.07000000000005</v>
      </c>
    </row>
    <row r="2075" spans="1:4" x14ac:dyDescent="0.2">
      <c r="A2075" s="6">
        <v>3509</v>
      </c>
      <c r="B2075" s="5" t="s">
        <v>2116</v>
      </c>
      <c r="C2075" s="7" t="s">
        <v>10</v>
      </c>
      <c r="D2075" s="8">
        <v>307.25</v>
      </c>
    </row>
    <row r="2076" spans="1:4" x14ac:dyDescent="0.2">
      <c r="A2076" s="6">
        <v>3510</v>
      </c>
      <c r="B2076" s="5" t="s">
        <v>2117</v>
      </c>
      <c r="C2076" s="7" t="s">
        <v>10</v>
      </c>
      <c r="D2076" s="8">
        <v>307.25</v>
      </c>
    </row>
    <row r="2077" spans="1:4" x14ac:dyDescent="0.2">
      <c r="A2077" s="6">
        <v>3511</v>
      </c>
      <c r="B2077" s="5" t="s">
        <v>2118</v>
      </c>
      <c r="C2077" s="7" t="s">
        <v>10</v>
      </c>
      <c r="D2077" s="8">
        <v>307.25</v>
      </c>
    </row>
    <row r="2078" spans="1:4" x14ac:dyDescent="0.2">
      <c r="A2078" s="6">
        <v>3512</v>
      </c>
      <c r="B2078" s="5" t="s">
        <v>2119</v>
      </c>
      <c r="C2078" s="7" t="s">
        <v>10</v>
      </c>
      <c r="D2078" s="8">
        <v>307.25</v>
      </c>
    </row>
    <row r="2079" spans="1:4" x14ac:dyDescent="0.2">
      <c r="A2079" s="6">
        <v>3513</v>
      </c>
      <c r="B2079" s="5" t="s">
        <v>2120</v>
      </c>
      <c r="C2079" s="7" t="s">
        <v>64</v>
      </c>
      <c r="D2079" s="8">
        <v>553.07000000000005</v>
      </c>
    </row>
    <row r="2080" spans="1:4" x14ac:dyDescent="0.2">
      <c r="A2080" s="6">
        <v>3514</v>
      </c>
      <c r="B2080" s="5" t="s">
        <v>2121</v>
      </c>
      <c r="C2080" s="7" t="s">
        <v>10</v>
      </c>
      <c r="D2080" s="8">
        <v>307.25</v>
      </c>
    </row>
    <row r="2081" spans="1:4" x14ac:dyDescent="0.2">
      <c r="A2081" s="6">
        <v>3515</v>
      </c>
      <c r="B2081" s="5" t="s">
        <v>2122</v>
      </c>
      <c r="C2081" s="7" t="s">
        <v>64</v>
      </c>
      <c r="D2081" s="8">
        <v>553.07000000000005</v>
      </c>
    </row>
    <row r="2082" spans="1:4" x14ac:dyDescent="0.2">
      <c r="A2082" s="6">
        <v>3516</v>
      </c>
      <c r="B2082" s="5" t="s">
        <v>2123</v>
      </c>
      <c r="C2082" s="7" t="s">
        <v>10</v>
      </c>
      <c r="D2082" s="8">
        <v>307.25</v>
      </c>
    </row>
    <row r="2083" spans="1:4" x14ac:dyDescent="0.2">
      <c r="A2083" s="6">
        <v>3517</v>
      </c>
      <c r="B2083" s="5" t="s">
        <v>2124</v>
      </c>
      <c r="C2083" s="7" t="s">
        <v>10</v>
      </c>
      <c r="D2083" s="8">
        <v>307.25</v>
      </c>
    </row>
    <row r="2084" spans="1:4" x14ac:dyDescent="0.2">
      <c r="A2084" s="6">
        <v>3518</v>
      </c>
      <c r="B2084" s="5" t="s">
        <v>2125</v>
      </c>
      <c r="C2084" s="7" t="s">
        <v>64</v>
      </c>
      <c r="D2084" s="8">
        <v>553.07000000000005</v>
      </c>
    </row>
    <row r="2085" spans="1:4" x14ac:dyDescent="0.2">
      <c r="A2085" s="6">
        <v>3519</v>
      </c>
      <c r="B2085" s="5" t="s">
        <v>2126</v>
      </c>
      <c r="C2085" s="7" t="s">
        <v>64</v>
      </c>
      <c r="D2085" s="8">
        <v>553.07000000000005</v>
      </c>
    </row>
    <row r="2086" spans="1:4" x14ac:dyDescent="0.2">
      <c r="A2086" s="6">
        <v>3520</v>
      </c>
      <c r="B2086" s="5" t="s">
        <v>2127</v>
      </c>
      <c r="C2086" s="7" t="s">
        <v>64</v>
      </c>
      <c r="D2086" s="8">
        <v>553.07000000000005</v>
      </c>
    </row>
    <row r="2087" spans="1:4" x14ac:dyDescent="0.2">
      <c r="A2087" s="6">
        <v>3521</v>
      </c>
      <c r="B2087" s="5" t="s">
        <v>2128</v>
      </c>
      <c r="C2087" s="7" t="s">
        <v>10</v>
      </c>
      <c r="D2087" s="8">
        <v>307.25</v>
      </c>
    </row>
    <row r="2088" spans="1:4" x14ac:dyDescent="0.2">
      <c r="A2088" s="6">
        <v>3522</v>
      </c>
      <c r="B2088" s="5" t="s">
        <v>2129</v>
      </c>
      <c r="C2088" s="7" t="s">
        <v>64</v>
      </c>
      <c r="D2088" s="8">
        <v>553.07000000000005</v>
      </c>
    </row>
    <row r="2089" spans="1:4" x14ac:dyDescent="0.2">
      <c r="A2089" s="6">
        <v>3523</v>
      </c>
      <c r="B2089" s="5" t="s">
        <v>2130</v>
      </c>
      <c r="C2089" s="7" t="s">
        <v>10</v>
      </c>
      <c r="D2089" s="8">
        <v>307.25</v>
      </c>
    </row>
    <row r="2090" spans="1:4" x14ac:dyDescent="0.2">
      <c r="A2090" s="6">
        <v>3524</v>
      </c>
      <c r="B2090" s="5" t="s">
        <v>2131</v>
      </c>
      <c r="C2090" s="7" t="s">
        <v>10</v>
      </c>
      <c r="D2090" s="8">
        <v>307.25</v>
      </c>
    </row>
    <row r="2091" spans="1:4" x14ac:dyDescent="0.2">
      <c r="A2091" s="6">
        <v>3525</v>
      </c>
      <c r="B2091" s="5" t="s">
        <v>2132</v>
      </c>
      <c r="C2091" s="7" t="s">
        <v>10</v>
      </c>
      <c r="D2091" s="8">
        <v>307.25</v>
      </c>
    </row>
    <row r="2092" spans="1:4" x14ac:dyDescent="0.2">
      <c r="A2092" s="6">
        <v>3526</v>
      </c>
      <c r="B2092" s="5" t="s">
        <v>2133</v>
      </c>
      <c r="C2092" s="7" t="s">
        <v>10</v>
      </c>
      <c r="D2092" s="8">
        <v>307.25</v>
      </c>
    </row>
    <row r="2093" spans="1:4" x14ac:dyDescent="0.2">
      <c r="A2093" s="6">
        <v>3527</v>
      </c>
      <c r="B2093" s="5" t="s">
        <v>2134</v>
      </c>
      <c r="C2093" s="7" t="s">
        <v>280</v>
      </c>
      <c r="D2093" s="8">
        <v>365.88</v>
      </c>
    </row>
    <row r="2094" spans="1:4" x14ac:dyDescent="0.2">
      <c r="A2094" s="6">
        <v>3528</v>
      </c>
      <c r="B2094" s="5" t="s">
        <v>2135</v>
      </c>
      <c r="C2094" s="7" t="s">
        <v>10</v>
      </c>
      <c r="D2094" s="8">
        <v>307.25</v>
      </c>
    </row>
    <row r="2095" spans="1:4" x14ac:dyDescent="0.2">
      <c r="A2095" s="6">
        <v>3529</v>
      </c>
      <c r="B2095" s="5" t="s">
        <v>2136</v>
      </c>
      <c r="C2095" s="7" t="s">
        <v>10</v>
      </c>
      <c r="D2095" s="8">
        <v>307.25</v>
      </c>
    </row>
    <row r="2096" spans="1:4" x14ac:dyDescent="0.2">
      <c r="A2096" s="6">
        <v>3530</v>
      </c>
      <c r="B2096" s="5" t="s">
        <v>2137</v>
      </c>
      <c r="C2096" s="7" t="s">
        <v>64</v>
      </c>
      <c r="D2096" s="8">
        <v>553.07000000000005</v>
      </c>
    </row>
    <row r="2097" spans="1:4" x14ac:dyDescent="0.2">
      <c r="A2097" s="6">
        <v>3531</v>
      </c>
      <c r="B2097" s="5" t="s">
        <v>2138</v>
      </c>
      <c r="C2097" s="7" t="s">
        <v>297</v>
      </c>
      <c r="D2097" s="8">
        <f>381.25*1.05</f>
        <v>400.3125</v>
      </c>
    </row>
    <row r="2098" spans="1:4" x14ac:dyDescent="0.2">
      <c r="A2098" s="6">
        <v>3532</v>
      </c>
      <c r="B2098" s="5" t="s">
        <v>2139</v>
      </c>
      <c r="C2098" s="7" t="s">
        <v>185</v>
      </c>
      <c r="D2098" s="8">
        <v>560</v>
      </c>
    </row>
    <row r="2099" spans="1:4" x14ac:dyDescent="0.2">
      <c r="A2099" s="6">
        <v>3533</v>
      </c>
      <c r="B2099" s="5" t="s">
        <v>2140</v>
      </c>
      <c r="C2099" s="7" t="s">
        <v>10</v>
      </c>
      <c r="D2099" s="8">
        <v>307.25</v>
      </c>
    </row>
    <row r="2100" spans="1:4" x14ac:dyDescent="0.2">
      <c r="A2100" s="6">
        <v>3534</v>
      </c>
      <c r="B2100" s="5" t="s">
        <v>2141</v>
      </c>
      <c r="C2100" s="7" t="s">
        <v>10</v>
      </c>
      <c r="D2100" s="8">
        <v>307.25</v>
      </c>
    </row>
    <row r="2101" spans="1:4" x14ac:dyDescent="0.2">
      <c r="A2101" s="6">
        <v>3535</v>
      </c>
      <c r="B2101" s="5" t="s">
        <v>2142</v>
      </c>
      <c r="C2101" s="7" t="s">
        <v>64</v>
      </c>
      <c r="D2101" s="8">
        <v>553.07000000000005</v>
      </c>
    </row>
    <row r="2102" spans="1:4" x14ac:dyDescent="0.2">
      <c r="A2102" s="6">
        <v>3536</v>
      </c>
      <c r="B2102" s="5" t="s">
        <v>2143</v>
      </c>
      <c r="C2102" s="7" t="s">
        <v>64</v>
      </c>
      <c r="D2102" s="8">
        <v>553.07000000000005</v>
      </c>
    </row>
    <row r="2103" spans="1:4" x14ac:dyDescent="0.2">
      <c r="A2103" s="6">
        <v>3537</v>
      </c>
      <c r="B2103" s="5" t="s">
        <v>2144</v>
      </c>
      <c r="C2103" s="7" t="s">
        <v>280</v>
      </c>
      <c r="D2103" s="8">
        <v>365.88</v>
      </c>
    </row>
    <row r="2104" spans="1:4" x14ac:dyDescent="0.2">
      <c r="A2104" s="6">
        <v>3538</v>
      </c>
      <c r="B2104" s="5" t="s">
        <v>2145</v>
      </c>
      <c r="C2104" s="7" t="s">
        <v>10</v>
      </c>
      <c r="D2104" s="8">
        <v>307.25</v>
      </c>
    </row>
    <row r="2105" spans="1:4" x14ac:dyDescent="0.2">
      <c r="A2105" s="6">
        <v>3539</v>
      </c>
      <c r="B2105" s="5" t="s">
        <v>2146</v>
      </c>
      <c r="C2105" s="7" t="s">
        <v>10</v>
      </c>
      <c r="D2105" s="8">
        <v>307.25</v>
      </c>
    </row>
    <row r="2106" spans="1:4" x14ac:dyDescent="0.2">
      <c r="A2106" s="6">
        <v>3540</v>
      </c>
      <c r="B2106" s="5" t="s">
        <v>2147</v>
      </c>
      <c r="C2106" s="7" t="s">
        <v>10</v>
      </c>
      <c r="D2106" s="8">
        <v>307.25</v>
      </c>
    </row>
    <row r="2107" spans="1:4" x14ac:dyDescent="0.2">
      <c r="A2107" s="6">
        <v>3541</v>
      </c>
      <c r="B2107" s="5" t="s">
        <v>2148</v>
      </c>
      <c r="C2107" s="7" t="s">
        <v>10</v>
      </c>
      <c r="D2107" s="8">
        <v>307.25</v>
      </c>
    </row>
    <row r="2108" spans="1:4" x14ac:dyDescent="0.2">
      <c r="A2108" s="6">
        <v>3542</v>
      </c>
      <c r="B2108" s="5" t="s">
        <v>2149</v>
      </c>
      <c r="C2108" s="7" t="s">
        <v>10</v>
      </c>
      <c r="D2108" s="8">
        <v>307.25</v>
      </c>
    </row>
    <row r="2109" spans="1:4" x14ac:dyDescent="0.2">
      <c r="A2109" s="6">
        <v>3543</v>
      </c>
      <c r="B2109" s="5" t="s">
        <v>2150</v>
      </c>
      <c r="C2109" s="7" t="s">
        <v>10</v>
      </c>
      <c r="D2109" s="8">
        <v>307.25</v>
      </c>
    </row>
    <row r="2110" spans="1:4" x14ac:dyDescent="0.2">
      <c r="A2110" s="6">
        <v>3544</v>
      </c>
      <c r="B2110" s="5" t="s">
        <v>2151</v>
      </c>
      <c r="C2110" s="7" t="s">
        <v>64</v>
      </c>
      <c r="D2110" s="8">
        <v>553.07000000000005</v>
      </c>
    </row>
    <row r="2111" spans="1:4" x14ac:dyDescent="0.2">
      <c r="A2111" s="6">
        <v>3545</v>
      </c>
      <c r="B2111" s="5" t="s">
        <v>2152</v>
      </c>
      <c r="C2111" s="7" t="s">
        <v>10</v>
      </c>
      <c r="D2111" s="8">
        <v>307.25</v>
      </c>
    </row>
    <row r="2112" spans="1:4" x14ac:dyDescent="0.2">
      <c r="A2112" s="6">
        <v>3546</v>
      </c>
      <c r="B2112" s="5" t="s">
        <v>2153</v>
      </c>
      <c r="C2112" s="7" t="s">
        <v>10</v>
      </c>
      <c r="D2112" s="8">
        <v>307.25</v>
      </c>
    </row>
    <row r="2113" spans="1:4" x14ac:dyDescent="0.2">
      <c r="A2113" s="6">
        <v>3547</v>
      </c>
      <c r="B2113" s="5" t="s">
        <v>2154</v>
      </c>
      <c r="C2113" s="7" t="s">
        <v>10</v>
      </c>
      <c r="D2113" s="8">
        <v>307.25</v>
      </c>
    </row>
    <row r="2114" spans="1:4" x14ac:dyDescent="0.2">
      <c r="A2114" s="6">
        <v>3548</v>
      </c>
      <c r="B2114" s="5" t="s">
        <v>2155</v>
      </c>
      <c r="C2114" s="7" t="s">
        <v>10</v>
      </c>
      <c r="D2114" s="8">
        <v>307.25</v>
      </c>
    </row>
    <row r="2115" spans="1:4" x14ac:dyDescent="0.2">
      <c r="A2115" s="6">
        <v>3549</v>
      </c>
      <c r="B2115" s="5" t="s">
        <v>2156</v>
      </c>
      <c r="C2115" s="7" t="s">
        <v>10</v>
      </c>
      <c r="D2115" s="8">
        <v>307.25</v>
      </c>
    </row>
    <row r="2116" spans="1:4" x14ac:dyDescent="0.2">
      <c r="A2116" s="6">
        <v>3550</v>
      </c>
      <c r="B2116" s="5" t="s">
        <v>2157</v>
      </c>
      <c r="C2116" s="7" t="s">
        <v>10</v>
      </c>
      <c r="D2116" s="8">
        <v>307.25</v>
      </c>
    </row>
    <row r="2117" spans="1:4" x14ac:dyDescent="0.2">
      <c r="A2117" s="6">
        <v>3551</v>
      </c>
      <c r="B2117" s="5" t="s">
        <v>2158</v>
      </c>
      <c r="C2117" s="7" t="s">
        <v>297</v>
      </c>
      <c r="D2117" s="8">
        <v>385.32900000000001</v>
      </c>
    </row>
    <row r="2118" spans="1:4" x14ac:dyDescent="0.2">
      <c r="A2118" s="6">
        <v>3552</v>
      </c>
      <c r="B2118" s="5" t="s">
        <v>2159</v>
      </c>
      <c r="C2118" s="7" t="s">
        <v>10</v>
      </c>
      <c r="D2118" s="8">
        <v>307.25</v>
      </c>
    </row>
    <row r="2119" spans="1:4" x14ac:dyDescent="0.2">
      <c r="A2119" s="6">
        <v>3553</v>
      </c>
      <c r="B2119" s="5" t="s">
        <v>2160</v>
      </c>
      <c r="C2119" s="7" t="s">
        <v>10</v>
      </c>
      <c r="D2119" s="8">
        <v>307.25</v>
      </c>
    </row>
    <row r="2120" spans="1:4" x14ac:dyDescent="0.2">
      <c r="A2120" s="6">
        <v>3554</v>
      </c>
      <c r="B2120" s="5" t="s">
        <v>2161</v>
      </c>
      <c r="C2120" s="7" t="s">
        <v>64</v>
      </c>
      <c r="D2120" s="8">
        <v>553.07000000000005</v>
      </c>
    </row>
    <row r="2121" spans="1:4" x14ac:dyDescent="0.2">
      <c r="A2121" s="6">
        <v>3555</v>
      </c>
      <c r="B2121" s="5" t="s">
        <v>2162</v>
      </c>
      <c r="C2121" s="7" t="s">
        <v>297</v>
      </c>
      <c r="D2121" s="8">
        <f>304.77*1.05</f>
        <v>320.00849999999997</v>
      </c>
    </row>
    <row r="2122" spans="1:4" x14ac:dyDescent="0.2">
      <c r="A2122" s="6">
        <v>3556</v>
      </c>
      <c r="B2122" s="5" t="s">
        <v>2163</v>
      </c>
      <c r="C2122" s="7" t="s">
        <v>64</v>
      </c>
      <c r="D2122" s="8">
        <v>638.79999999999995</v>
      </c>
    </row>
    <row r="2123" spans="1:4" x14ac:dyDescent="0.2">
      <c r="A2123" s="6">
        <v>3557</v>
      </c>
      <c r="B2123" s="5" t="s">
        <v>2164</v>
      </c>
      <c r="C2123" s="7" t="s">
        <v>10</v>
      </c>
      <c r="D2123" s="8">
        <v>307.25</v>
      </c>
    </row>
    <row r="2124" spans="1:4" x14ac:dyDescent="0.2">
      <c r="A2124" s="6">
        <v>3558</v>
      </c>
      <c r="B2124" s="5" t="s">
        <v>2165</v>
      </c>
      <c r="C2124" s="7" t="s">
        <v>10</v>
      </c>
      <c r="D2124" s="8">
        <v>307.25</v>
      </c>
    </row>
    <row r="2125" spans="1:4" x14ac:dyDescent="0.2">
      <c r="A2125" s="6">
        <v>3559</v>
      </c>
      <c r="B2125" s="5" t="s">
        <v>2166</v>
      </c>
      <c r="C2125" s="7" t="s">
        <v>10</v>
      </c>
      <c r="D2125" s="8">
        <v>307.25</v>
      </c>
    </row>
    <row r="2126" spans="1:4" x14ac:dyDescent="0.2">
      <c r="A2126" s="6">
        <v>3560</v>
      </c>
      <c r="B2126" s="5" t="s">
        <v>2167</v>
      </c>
      <c r="C2126" s="7" t="s">
        <v>64</v>
      </c>
      <c r="D2126" s="8">
        <v>553.07000000000005</v>
      </c>
    </row>
    <row r="2127" spans="1:4" x14ac:dyDescent="0.2">
      <c r="A2127" s="6">
        <v>3561</v>
      </c>
      <c r="B2127" s="5" t="s">
        <v>2168</v>
      </c>
      <c r="C2127" s="7" t="s">
        <v>10</v>
      </c>
      <c r="D2127" s="8">
        <v>307.25</v>
      </c>
    </row>
    <row r="2128" spans="1:4" x14ac:dyDescent="0.2">
      <c r="A2128" s="6">
        <v>3562</v>
      </c>
      <c r="B2128" s="5" t="s">
        <v>2169</v>
      </c>
      <c r="C2128" s="7" t="s">
        <v>10</v>
      </c>
      <c r="D2128" s="8">
        <v>307.25</v>
      </c>
    </row>
    <row r="2129" spans="1:4" x14ac:dyDescent="0.2">
      <c r="A2129" s="6">
        <v>3563</v>
      </c>
      <c r="B2129" s="5" t="s">
        <v>2170</v>
      </c>
      <c r="C2129" s="7" t="s">
        <v>64</v>
      </c>
      <c r="D2129" s="8">
        <v>553.07000000000005</v>
      </c>
    </row>
    <row r="2130" spans="1:4" x14ac:dyDescent="0.2">
      <c r="A2130" s="6">
        <v>3564</v>
      </c>
      <c r="B2130" s="5" t="s">
        <v>2171</v>
      </c>
      <c r="C2130" s="7" t="s">
        <v>10</v>
      </c>
      <c r="D2130" s="8">
        <v>307.25</v>
      </c>
    </row>
    <row r="2131" spans="1:4" x14ac:dyDescent="0.2">
      <c r="A2131" s="6">
        <v>3565</v>
      </c>
      <c r="B2131" s="5" t="s">
        <v>2172</v>
      </c>
      <c r="C2131" s="7" t="s">
        <v>10</v>
      </c>
      <c r="D2131" s="8">
        <v>307.25</v>
      </c>
    </row>
    <row r="2132" spans="1:4" x14ac:dyDescent="0.2">
      <c r="A2132" s="6">
        <v>3566</v>
      </c>
      <c r="B2132" s="5" t="s">
        <v>2173</v>
      </c>
      <c r="C2132" s="7" t="s">
        <v>10</v>
      </c>
      <c r="D2132" s="8">
        <v>307.25</v>
      </c>
    </row>
    <row r="2133" spans="1:4" x14ac:dyDescent="0.2">
      <c r="A2133" s="6">
        <v>3567</v>
      </c>
      <c r="B2133" s="5" t="s">
        <v>2174</v>
      </c>
      <c r="C2133" s="7" t="s">
        <v>10</v>
      </c>
      <c r="D2133" s="8">
        <v>307.25</v>
      </c>
    </row>
    <row r="2134" spans="1:4" x14ac:dyDescent="0.2">
      <c r="A2134" s="6">
        <v>3568</v>
      </c>
      <c r="B2134" s="5" t="s">
        <v>2175</v>
      </c>
      <c r="C2134" s="7" t="s">
        <v>64</v>
      </c>
      <c r="D2134" s="8">
        <v>553.07000000000005</v>
      </c>
    </row>
    <row r="2135" spans="1:4" x14ac:dyDescent="0.2">
      <c r="A2135" s="6">
        <v>3569</v>
      </c>
      <c r="B2135" s="5" t="s">
        <v>2176</v>
      </c>
      <c r="C2135" s="7" t="s">
        <v>64</v>
      </c>
      <c r="D2135" s="8">
        <v>553.07000000000005</v>
      </c>
    </row>
    <row r="2136" spans="1:4" x14ac:dyDescent="0.2">
      <c r="A2136" s="6">
        <v>3570</v>
      </c>
      <c r="B2136" s="5" t="s">
        <v>2177</v>
      </c>
      <c r="C2136" s="7" t="s">
        <v>10</v>
      </c>
      <c r="D2136" s="8">
        <v>307.25</v>
      </c>
    </row>
    <row r="2137" spans="1:4" x14ac:dyDescent="0.2">
      <c r="A2137" s="6">
        <v>3571</v>
      </c>
      <c r="B2137" s="5" t="s">
        <v>2178</v>
      </c>
      <c r="C2137" s="7" t="s">
        <v>10</v>
      </c>
      <c r="D2137" s="8">
        <v>307.25</v>
      </c>
    </row>
    <row r="2138" spans="1:4" x14ac:dyDescent="0.2">
      <c r="A2138" s="6">
        <v>3572</v>
      </c>
      <c r="B2138" s="5" t="s">
        <v>2179</v>
      </c>
      <c r="C2138" s="7" t="s">
        <v>10</v>
      </c>
      <c r="D2138" s="8">
        <v>307.25</v>
      </c>
    </row>
    <row r="2139" spans="1:4" x14ac:dyDescent="0.2">
      <c r="A2139" s="6">
        <v>3573</v>
      </c>
      <c r="B2139" s="5" t="s">
        <v>2180</v>
      </c>
      <c r="C2139" s="7" t="s">
        <v>10</v>
      </c>
      <c r="D2139" s="8">
        <v>307.25</v>
      </c>
    </row>
    <row r="2140" spans="1:4" x14ac:dyDescent="0.2">
      <c r="A2140" s="6">
        <v>3574</v>
      </c>
      <c r="B2140" s="5" t="s">
        <v>2181</v>
      </c>
      <c r="C2140" s="7" t="s">
        <v>10</v>
      </c>
      <c r="D2140" s="8">
        <v>307.25</v>
      </c>
    </row>
    <row r="2141" spans="1:4" x14ac:dyDescent="0.2">
      <c r="A2141" s="6">
        <v>3575</v>
      </c>
      <c r="B2141" s="5" t="s">
        <v>2182</v>
      </c>
      <c r="C2141" s="7" t="s">
        <v>64</v>
      </c>
      <c r="D2141" s="8">
        <v>553.07000000000005</v>
      </c>
    </row>
    <row r="2142" spans="1:4" x14ac:dyDescent="0.2">
      <c r="A2142" s="6">
        <v>3576</v>
      </c>
      <c r="B2142" s="5" t="s">
        <v>2183</v>
      </c>
      <c r="C2142" s="7" t="s">
        <v>64</v>
      </c>
      <c r="D2142" s="8">
        <v>553.07000000000005</v>
      </c>
    </row>
    <row r="2143" spans="1:4" x14ac:dyDescent="0.2">
      <c r="A2143" s="6">
        <v>3577</v>
      </c>
      <c r="B2143" s="5" t="s">
        <v>2184</v>
      </c>
      <c r="C2143" s="7" t="s">
        <v>64</v>
      </c>
      <c r="D2143" s="8">
        <v>553.07000000000005</v>
      </c>
    </row>
    <row r="2144" spans="1:4" x14ac:dyDescent="0.2">
      <c r="A2144" s="6">
        <v>3578</v>
      </c>
      <c r="B2144" s="5" t="s">
        <v>2185</v>
      </c>
      <c r="C2144" s="7" t="s">
        <v>64</v>
      </c>
      <c r="D2144" s="8">
        <v>553.07000000000005</v>
      </c>
    </row>
    <row r="2145" spans="1:4" x14ac:dyDescent="0.2">
      <c r="A2145" s="6">
        <v>3579</v>
      </c>
      <c r="B2145" s="5" t="s">
        <v>2186</v>
      </c>
      <c r="C2145" s="7" t="s">
        <v>64</v>
      </c>
      <c r="D2145" s="8">
        <v>553.07000000000005</v>
      </c>
    </row>
    <row r="2146" spans="1:4" x14ac:dyDescent="0.2">
      <c r="A2146" s="6">
        <v>3580</v>
      </c>
      <c r="B2146" s="5" t="s">
        <v>2187</v>
      </c>
      <c r="C2146" s="7" t="s">
        <v>10</v>
      </c>
      <c r="D2146" s="8">
        <v>307.25</v>
      </c>
    </row>
    <row r="2147" spans="1:4" x14ac:dyDescent="0.2">
      <c r="A2147" s="6">
        <v>3581</v>
      </c>
      <c r="B2147" s="5" t="s">
        <v>2188</v>
      </c>
      <c r="C2147" s="7" t="s">
        <v>10</v>
      </c>
      <c r="D2147" s="8">
        <v>307.25</v>
      </c>
    </row>
    <row r="2148" spans="1:4" x14ac:dyDescent="0.2">
      <c r="A2148" s="6">
        <v>3582</v>
      </c>
      <c r="B2148" s="5" t="s">
        <v>2189</v>
      </c>
      <c r="C2148" s="7" t="s">
        <v>64</v>
      </c>
      <c r="D2148" s="8">
        <v>553.07000000000005</v>
      </c>
    </row>
    <row r="2149" spans="1:4" x14ac:dyDescent="0.2">
      <c r="A2149" s="6">
        <v>3583</v>
      </c>
      <c r="B2149" s="5" t="s">
        <v>2190</v>
      </c>
      <c r="C2149" s="7" t="s">
        <v>10</v>
      </c>
      <c r="D2149" s="8">
        <v>307.25</v>
      </c>
    </row>
    <row r="2150" spans="1:4" x14ac:dyDescent="0.2">
      <c r="A2150" s="6">
        <v>3584</v>
      </c>
      <c r="B2150" s="5" t="s">
        <v>2191</v>
      </c>
      <c r="C2150" s="7" t="s">
        <v>10</v>
      </c>
      <c r="D2150" s="8">
        <v>307.25</v>
      </c>
    </row>
    <row r="2151" spans="1:4" x14ac:dyDescent="0.2">
      <c r="A2151" s="6">
        <v>3585</v>
      </c>
      <c r="B2151" s="5" t="s">
        <v>2192</v>
      </c>
      <c r="C2151" s="7" t="s">
        <v>10</v>
      </c>
      <c r="D2151" s="8">
        <v>307.25</v>
      </c>
    </row>
    <row r="2152" spans="1:4" x14ac:dyDescent="0.2">
      <c r="A2152" s="6">
        <v>3586</v>
      </c>
      <c r="B2152" s="5" t="s">
        <v>2193</v>
      </c>
      <c r="C2152" s="7" t="s">
        <v>64</v>
      </c>
      <c r="D2152" s="8">
        <v>553.07000000000005</v>
      </c>
    </row>
    <row r="2153" spans="1:4" x14ac:dyDescent="0.2">
      <c r="A2153" s="6">
        <v>3587</v>
      </c>
      <c r="B2153" s="5" t="s">
        <v>2194</v>
      </c>
      <c r="C2153" s="7" t="s">
        <v>10</v>
      </c>
      <c r="D2153" s="8">
        <v>307.25</v>
      </c>
    </row>
    <row r="2154" spans="1:4" x14ac:dyDescent="0.2">
      <c r="A2154" s="6">
        <v>3588</v>
      </c>
      <c r="B2154" s="5" t="s">
        <v>2195</v>
      </c>
      <c r="C2154" s="7" t="s">
        <v>64</v>
      </c>
      <c r="D2154" s="8">
        <v>553.07000000000005</v>
      </c>
    </row>
    <row r="2155" spans="1:4" x14ac:dyDescent="0.2">
      <c r="A2155" s="6">
        <v>3589</v>
      </c>
      <c r="B2155" s="5" t="s">
        <v>2196</v>
      </c>
      <c r="C2155" s="7" t="s">
        <v>10</v>
      </c>
      <c r="D2155" s="8">
        <v>307.25</v>
      </c>
    </row>
    <row r="2156" spans="1:4" x14ac:dyDescent="0.2">
      <c r="A2156" s="6">
        <v>3590</v>
      </c>
      <c r="B2156" s="5" t="s">
        <v>2197</v>
      </c>
      <c r="C2156" s="7" t="s">
        <v>52</v>
      </c>
      <c r="D2156" s="8">
        <v>193.98</v>
      </c>
    </row>
    <row r="2157" spans="1:4" x14ac:dyDescent="0.2">
      <c r="A2157" s="6">
        <v>3591</v>
      </c>
      <c r="B2157" s="5" t="s">
        <v>2198</v>
      </c>
      <c r="C2157" s="7" t="s">
        <v>52</v>
      </c>
      <c r="D2157" s="8">
        <v>193.98</v>
      </c>
    </row>
    <row r="2158" spans="1:4" x14ac:dyDescent="0.2">
      <c r="A2158" s="6">
        <v>3592</v>
      </c>
      <c r="B2158" s="5" t="s">
        <v>2199</v>
      </c>
      <c r="C2158" s="7" t="s">
        <v>10</v>
      </c>
      <c r="D2158" s="8">
        <v>307.25</v>
      </c>
    </row>
    <row r="2159" spans="1:4" x14ac:dyDescent="0.2">
      <c r="A2159" s="6">
        <v>3593</v>
      </c>
      <c r="B2159" s="5" t="s">
        <v>2200</v>
      </c>
      <c r="C2159" s="7" t="s">
        <v>10</v>
      </c>
      <c r="D2159" s="8">
        <v>307.25</v>
      </c>
    </row>
    <row r="2160" spans="1:4" x14ac:dyDescent="0.2">
      <c r="A2160" s="6">
        <v>3594</v>
      </c>
      <c r="B2160" s="5" t="s">
        <v>2201</v>
      </c>
      <c r="C2160" s="7" t="s">
        <v>10</v>
      </c>
      <c r="D2160" s="8">
        <v>307.25</v>
      </c>
    </row>
    <row r="2161" spans="1:4" x14ac:dyDescent="0.2">
      <c r="A2161" s="6">
        <v>3595</v>
      </c>
      <c r="B2161" s="5" t="s">
        <v>2202</v>
      </c>
      <c r="C2161" s="7" t="s">
        <v>10</v>
      </c>
      <c r="D2161" s="8">
        <v>307.25</v>
      </c>
    </row>
    <row r="2162" spans="1:4" x14ac:dyDescent="0.2">
      <c r="A2162" s="6">
        <v>3596</v>
      </c>
      <c r="B2162" s="5" t="s">
        <v>2203</v>
      </c>
      <c r="C2162" s="7" t="s">
        <v>64</v>
      </c>
      <c r="D2162" s="8">
        <v>553.07000000000005</v>
      </c>
    </row>
    <row r="2163" spans="1:4" x14ac:dyDescent="0.2">
      <c r="A2163" s="6">
        <v>3597</v>
      </c>
      <c r="B2163" s="5" t="s">
        <v>2204</v>
      </c>
      <c r="C2163" s="7" t="s">
        <v>10</v>
      </c>
      <c r="D2163" s="8">
        <v>307.25</v>
      </c>
    </row>
    <row r="2164" spans="1:4" x14ac:dyDescent="0.2">
      <c r="A2164" s="6">
        <v>3598</v>
      </c>
      <c r="B2164" s="5" t="s">
        <v>2205</v>
      </c>
      <c r="C2164" s="7" t="s">
        <v>10</v>
      </c>
      <c r="D2164" s="8">
        <v>307.25</v>
      </c>
    </row>
    <row r="2165" spans="1:4" x14ac:dyDescent="0.2">
      <c r="A2165" s="6">
        <v>3599</v>
      </c>
      <c r="B2165" s="5" t="s">
        <v>2206</v>
      </c>
      <c r="C2165" s="7" t="s">
        <v>297</v>
      </c>
      <c r="D2165" s="8">
        <v>269.62</v>
      </c>
    </row>
    <row r="2166" spans="1:4" x14ac:dyDescent="0.2">
      <c r="A2166" s="6">
        <v>3600</v>
      </c>
      <c r="B2166" s="5" t="s">
        <v>2207</v>
      </c>
      <c r="C2166" s="7" t="s">
        <v>10</v>
      </c>
      <c r="D2166" s="8">
        <v>307.25</v>
      </c>
    </row>
    <row r="2167" spans="1:4" x14ac:dyDescent="0.2">
      <c r="A2167" s="6">
        <v>3601</v>
      </c>
      <c r="B2167" s="5" t="s">
        <v>2208</v>
      </c>
      <c r="C2167" s="7" t="s">
        <v>64</v>
      </c>
      <c r="D2167" s="8">
        <v>638.79999999999995</v>
      </c>
    </row>
    <row r="2168" spans="1:4" x14ac:dyDescent="0.2">
      <c r="A2168" s="6">
        <v>3602</v>
      </c>
      <c r="B2168" s="5" t="s">
        <v>2209</v>
      </c>
      <c r="C2168" s="7" t="s">
        <v>64</v>
      </c>
      <c r="D2168" s="8">
        <v>553.07000000000005</v>
      </c>
    </row>
    <row r="2169" spans="1:4" x14ac:dyDescent="0.2">
      <c r="A2169" s="6">
        <v>3603</v>
      </c>
      <c r="B2169" s="5" t="s">
        <v>2210</v>
      </c>
      <c r="C2169" s="7" t="s">
        <v>10</v>
      </c>
      <c r="D2169" s="8">
        <v>307.25</v>
      </c>
    </row>
    <row r="2170" spans="1:4" x14ac:dyDescent="0.2">
      <c r="A2170" s="6">
        <v>3604</v>
      </c>
      <c r="B2170" s="5" t="s">
        <v>2211</v>
      </c>
      <c r="C2170" s="7" t="s">
        <v>10</v>
      </c>
      <c r="D2170" s="8">
        <v>307.25</v>
      </c>
    </row>
    <row r="2171" spans="1:4" x14ac:dyDescent="0.2">
      <c r="A2171" s="6">
        <v>3605</v>
      </c>
      <c r="B2171" s="5" t="s">
        <v>2212</v>
      </c>
      <c r="C2171" s="7" t="s">
        <v>297</v>
      </c>
      <c r="D2171" s="8">
        <v>270.27</v>
      </c>
    </row>
    <row r="2172" spans="1:4" x14ac:dyDescent="0.2">
      <c r="A2172" s="6">
        <v>3606</v>
      </c>
      <c r="B2172" s="5" t="s">
        <v>2213</v>
      </c>
      <c r="C2172" s="7" t="s">
        <v>10</v>
      </c>
      <c r="D2172" s="8">
        <v>307.25</v>
      </c>
    </row>
    <row r="2173" spans="1:4" x14ac:dyDescent="0.2">
      <c r="A2173" s="6">
        <v>3607</v>
      </c>
      <c r="B2173" s="5" t="s">
        <v>2214</v>
      </c>
      <c r="C2173" s="7" t="s">
        <v>10</v>
      </c>
      <c r="D2173" s="8">
        <v>307.25</v>
      </c>
    </row>
    <row r="2174" spans="1:4" x14ac:dyDescent="0.2">
      <c r="A2174" s="6">
        <v>3608</v>
      </c>
      <c r="B2174" s="5" t="s">
        <v>2215</v>
      </c>
      <c r="C2174" s="7" t="s">
        <v>10</v>
      </c>
      <c r="D2174" s="8">
        <v>400</v>
      </c>
    </row>
    <row r="2175" spans="1:4" x14ac:dyDescent="0.2">
      <c r="A2175" s="6">
        <v>3609</v>
      </c>
      <c r="B2175" s="5" t="s">
        <v>2216</v>
      </c>
      <c r="C2175" s="7" t="s">
        <v>10</v>
      </c>
      <c r="D2175" s="8">
        <v>307.25</v>
      </c>
    </row>
    <row r="2176" spans="1:4" x14ac:dyDescent="0.2">
      <c r="A2176" s="6">
        <v>3610</v>
      </c>
      <c r="B2176" s="5" t="s">
        <v>2217</v>
      </c>
      <c r="C2176" s="7" t="s">
        <v>265</v>
      </c>
      <c r="D2176" s="8">
        <v>687.86</v>
      </c>
    </row>
    <row r="2177" spans="1:4" x14ac:dyDescent="0.2">
      <c r="A2177" s="6">
        <v>3611</v>
      </c>
      <c r="B2177" s="5" t="s">
        <v>2218</v>
      </c>
      <c r="C2177" s="7" t="s">
        <v>10</v>
      </c>
      <c r="D2177" s="8">
        <v>307.25</v>
      </c>
    </row>
    <row r="2178" spans="1:4" x14ac:dyDescent="0.2">
      <c r="A2178" s="6">
        <v>3612</v>
      </c>
      <c r="B2178" s="5" t="s">
        <v>2219</v>
      </c>
      <c r="C2178" s="7" t="s">
        <v>64</v>
      </c>
      <c r="D2178" s="8">
        <v>553.07000000000005</v>
      </c>
    </row>
    <row r="2179" spans="1:4" x14ac:dyDescent="0.2">
      <c r="A2179" s="6">
        <v>3613</v>
      </c>
      <c r="B2179" s="5" t="s">
        <v>2220</v>
      </c>
      <c r="C2179" s="7" t="s">
        <v>10</v>
      </c>
      <c r="D2179" s="8">
        <v>307.25</v>
      </c>
    </row>
    <row r="2180" spans="1:4" x14ac:dyDescent="0.2">
      <c r="A2180" s="6">
        <v>3614</v>
      </c>
      <c r="B2180" s="5" t="s">
        <v>2221</v>
      </c>
      <c r="C2180" s="7" t="s">
        <v>10</v>
      </c>
      <c r="D2180" s="8">
        <v>307.25</v>
      </c>
    </row>
    <row r="2181" spans="1:4" x14ac:dyDescent="0.2">
      <c r="A2181" s="6">
        <v>3615</v>
      </c>
      <c r="B2181" s="5" t="s">
        <v>2222</v>
      </c>
      <c r="C2181" s="7" t="s">
        <v>10</v>
      </c>
      <c r="D2181" s="8">
        <v>307.25</v>
      </c>
    </row>
    <row r="2182" spans="1:4" x14ac:dyDescent="0.2">
      <c r="A2182" s="6">
        <v>3616</v>
      </c>
      <c r="B2182" s="5" t="s">
        <v>2223</v>
      </c>
      <c r="C2182" s="7" t="s">
        <v>10</v>
      </c>
      <c r="D2182" s="8">
        <v>307.25</v>
      </c>
    </row>
    <row r="2183" spans="1:4" x14ac:dyDescent="0.2">
      <c r="A2183" s="6">
        <v>3617</v>
      </c>
      <c r="B2183" s="5" t="s">
        <v>2224</v>
      </c>
      <c r="C2183" s="7" t="s">
        <v>297</v>
      </c>
      <c r="D2183" s="8">
        <f>304.77*1.05</f>
        <v>320.00849999999997</v>
      </c>
    </row>
    <row r="2184" spans="1:4" x14ac:dyDescent="0.2">
      <c r="A2184" s="6">
        <v>3618</v>
      </c>
      <c r="B2184" s="5" t="s">
        <v>2225</v>
      </c>
      <c r="C2184" s="7" t="s">
        <v>297</v>
      </c>
      <c r="D2184" s="8">
        <f>304.77*1.05</f>
        <v>320.00849999999997</v>
      </c>
    </row>
    <row r="2185" spans="1:4" x14ac:dyDescent="0.2">
      <c r="A2185" s="6">
        <v>3619</v>
      </c>
      <c r="B2185" s="5" t="s">
        <v>2226</v>
      </c>
      <c r="C2185" s="7" t="s">
        <v>297</v>
      </c>
      <c r="D2185" s="8">
        <v>270.43</v>
      </c>
    </row>
    <row r="2186" spans="1:4" x14ac:dyDescent="0.2">
      <c r="A2186" s="6">
        <v>3620</v>
      </c>
      <c r="B2186" s="5" t="s">
        <v>2227</v>
      </c>
      <c r="C2186" s="7" t="s">
        <v>297</v>
      </c>
      <c r="D2186" s="8">
        <v>270.27</v>
      </c>
    </row>
    <row r="2187" spans="1:4" x14ac:dyDescent="0.2">
      <c r="A2187" s="6">
        <v>3621</v>
      </c>
      <c r="B2187" s="5" t="s">
        <v>2228</v>
      </c>
      <c r="C2187" s="7" t="s">
        <v>10</v>
      </c>
      <c r="D2187" s="8">
        <v>307.25</v>
      </c>
    </row>
    <row r="2188" spans="1:4" x14ac:dyDescent="0.2">
      <c r="A2188" s="6">
        <v>3622</v>
      </c>
      <c r="B2188" s="5" t="s">
        <v>2229</v>
      </c>
      <c r="C2188" s="7" t="s">
        <v>10</v>
      </c>
      <c r="D2188" s="8">
        <v>307.25</v>
      </c>
    </row>
    <row r="2189" spans="1:4" x14ac:dyDescent="0.2">
      <c r="A2189" s="6">
        <v>3623</v>
      </c>
      <c r="B2189" s="5" t="s">
        <v>2230</v>
      </c>
      <c r="C2189" s="7" t="s">
        <v>52</v>
      </c>
      <c r="D2189" s="8">
        <v>193.98</v>
      </c>
    </row>
    <row r="2190" spans="1:4" x14ac:dyDescent="0.2">
      <c r="A2190" s="6">
        <v>3624</v>
      </c>
      <c r="B2190" s="5" t="s">
        <v>2231</v>
      </c>
      <c r="C2190" s="7" t="s">
        <v>52</v>
      </c>
      <c r="D2190" s="8">
        <v>193.98</v>
      </c>
    </row>
    <row r="2191" spans="1:4" x14ac:dyDescent="0.2">
      <c r="A2191" s="6">
        <v>3625</v>
      </c>
      <c r="B2191" s="5" t="s">
        <v>2232</v>
      </c>
      <c r="C2191" s="7" t="s">
        <v>64</v>
      </c>
      <c r="D2191" s="8">
        <v>553.07000000000005</v>
      </c>
    </row>
    <row r="2192" spans="1:4" x14ac:dyDescent="0.2">
      <c r="A2192" s="6">
        <v>3626</v>
      </c>
      <c r="B2192" s="5" t="s">
        <v>2233</v>
      </c>
      <c r="C2192" s="7" t="s">
        <v>52</v>
      </c>
      <c r="D2192" s="8">
        <v>193.98</v>
      </c>
    </row>
    <row r="2193" spans="1:4" x14ac:dyDescent="0.2">
      <c r="A2193" s="6">
        <v>3627</v>
      </c>
      <c r="B2193" s="5" t="s">
        <v>2234</v>
      </c>
      <c r="C2193" s="7" t="s">
        <v>10</v>
      </c>
      <c r="D2193" s="8">
        <v>307.25</v>
      </c>
    </row>
    <row r="2194" spans="1:4" x14ac:dyDescent="0.2">
      <c r="A2194" s="6">
        <v>3628</v>
      </c>
      <c r="B2194" s="5" t="s">
        <v>2235</v>
      </c>
      <c r="C2194" s="7" t="s">
        <v>10</v>
      </c>
      <c r="D2194" s="8">
        <v>307.25</v>
      </c>
    </row>
    <row r="2195" spans="1:4" x14ac:dyDescent="0.2">
      <c r="A2195" s="6">
        <v>3629</v>
      </c>
      <c r="B2195" s="5" t="s">
        <v>2236</v>
      </c>
      <c r="C2195" s="7" t="s">
        <v>52</v>
      </c>
      <c r="D2195" s="8">
        <v>193.98</v>
      </c>
    </row>
    <row r="2196" spans="1:4" x14ac:dyDescent="0.2">
      <c r="A2196" s="6">
        <v>3630</v>
      </c>
      <c r="B2196" s="5" t="s">
        <v>2237</v>
      </c>
      <c r="C2196" s="7" t="s">
        <v>10</v>
      </c>
      <c r="D2196" s="8">
        <v>307.25</v>
      </c>
    </row>
    <row r="2197" spans="1:4" x14ac:dyDescent="0.2">
      <c r="A2197" s="6">
        <v>3631</v>
      </c>
      <c r="B2197" s="5" t="s">
        <v>2238</v>
      </c>
      <c r="C2197" s="7" t="s">
        <v>10</v>
      </c>
      <c r="D2197" s="8">
        <v>307.25</v>
      </c>
    </row>
    <row r="2198" spans="1:4" x14ac:dyDescent="0.2">
      <c r="A2198" s="6">
        <v>3632</v>
      </c>
      <c r="B2198" s="5" t="s">
        <v>2239</v>
      </c>
      <c r="C2198" s="7" t="s">
        <v>10</v>
      </c>
      <c r="D2198" s="8">
        <v>307.25</v>
      </c>
    </row>
    <row r="2199" spans="1:4" x14ac:dyDescent="0.2">
      <c r="A2199" s="6">
        <v>3633</v>
      </c>
      <c r="B2199" s="5" t="s">
        <v>2240</v>
      </c>
      <c r="C2199" s="7" t="s">
        <v>64</v>
      </c>
      <c r="D2199" s="8">
        <v>553.07000000000005</v>
      </c>
    </row>
    <row r="2200" spans="1:4" x14ac:dyDescent="0.2">
      <c r="A2200" s="6">
        <v>3634</v>
      </c>
      <c r="B2200" s="5" t="s">
        <v>2241</v>
      </c>
      <c r="C2200" s="7" t="s">
        <v>10</v>
      </c>
      <c r="D2200" s="8">
        <v>307.25</v>
      </c>
    </row>
    <row r="2201" spans="1:4" x14ac:dyDescent="0.2">
      <c r="A2201" s="6">
        <v>3635</v>
      </c>
      <c r="B2201" s="5" t="s">
        <v>2242</v>
      </c>
      <c r="C2201" s="7" t="s">
        <v>64</v>
      </c>
      <c r="D2201" s="8">
        <v>553.07000000000005</v>
      </c>
    </row>
    <row r="2202" spans="1:4" x14ac:dyDescent="0.2">
      <c r="A2202" s="6">
        <v>3636</v>
      </c>
      <c r="B2202" s="5" t="s">
        <v>2243</v>
      </c>
      <c r="C2202" s="7" t="s">
        <v>10</v>
      </c>
      <c r="D2202" s="8">
        <v>307.25</v>
      </c>
    </row>
    <row r="2203" spans="1:4" x14ac:dyDescent="0.2">
      <c r="A2203" s="6">
        <v>3637</v>
      </c>
      <c r="B2203" s="5" t="s">
        <v>2244</v>
      </c>
      <c r="C2203" s="7" t="s">
        <v>10</v>
      </c>
      <c r="D2203" s="8">
        <v>307.25</v>
      </c>
    </row>
    <row r="2204" spans="1:4" x14ac:dyDescent="0.2">
      <c r="A2204" s="6">
        <v>3638</v>
      </c>
      <c r="B2204" s="5" t="s">
        <v>2245</v>
      </c>
      <c r="C2204" s="7" t="s">
        <v>64</v>
      </c>
      <c r="D2204" s="8">
        <v>553.07000000000005</v>
      </c>
    </row>
    <row r="2205" spans="1:4" x14ac:dyDescent="0.2">
      <c r="A2205" s="6">
        <v>3639</v>
      </c>
      <c r="B2205" s="5" t="s">
        <v>2246</v>
      </c>
      <c r="C2205" s="7" t="s">
        <v>10</v>
      </c>
      <c r="D2205" s="8">
        <v>307.25</v>
      </c>
    </row>
    <row r="2206" spans="1:4" x14ac:dyDescent="0.2">
      <c r="A2206" s="6">
        <v>3640</v>
      </c>
      <c r="B2206" s="5" t="s">
        <v>2247</v>
      </c>
      <c r="C2206" s="7" t="s">
        <v>10</v>
      </c>
      <c r="D2206" s="8">
        <v>307.25</v>
      </c>
    </row>
    <row r="2207" spans="1:4" x14ac:dyDescent="0.2">
      <c r="A2207" s="6">
        <v>3641</v>
      </c>
      <c r="B2207" s="5" t="s">
        <v>2248</v>
      </c>
      <c r="C2207" s="7" t="s">
        <v>64</v>
      </c>
      <c r="D2207" s="8">
        <v>553.07000000000005</v>
      </c>
    </row>
    <row r="2208" spans="1:4" x14ac:dyDescent="0.2">
      <c r="A2208" s="6">
        <v>3642</v>
      </c>
      <c r="B2208" s="5" t="s">
        <v>2249</v>
      </c>
      <c r="C2208" s="7" t="s">
        <v>10</v>
      </c>
      <c r="D2208" s="8">
        <v>307.25</v>
      </c>
    </row>
    <row r="2209" spans="1:4" x14ac:dyDescent="0.2">
      <c r="A2209" s="6">
        <v>3643</v>
      </c>
      <c r="B2209" s="5" t="s">
        <v>2250</v>
      </c>
      <c r="C2209" s="7" t="s">
        <v>10</v>
      </c>
      <c r="D2209" s="8">
        <v>307.25</v>
      </c>
    </row>
    <row r="2210" spans="1:4" x14ac:dyDescent="0.2">
      <c r="A2210" s="6">
        <v>3644</v>
      </c>
      <c r="B2210" s="5" t="s">
        <v>2251</v>
      </c>
      <c r="C2210" s="7" t="s">
        <v>10</v>
      </c>
      <c r="D2210" s="8">
        <v>307.25</v>
      </c>
    </row>
    <row r="2211" spans="1:4" x14ac:dyDescent="0.2">
      <c r="A2211" s="6">
        <v>3645</v>
      </c>
      <c r="B2211" s="5" t="s">
        <v>2252</v>
      </c>
      <c r="C2211" s="7" t="s">
        <v>10</v>
      </c>
      <c r="D2211" s="8">
        <v>307.25</v>
      </c>
    </row>
    <row r="2212" spans="1:4" x14ac:dyDescent="0.2">
      <c r="A2212" s="6">
        <v>3646</v>
      </c>
      <c r="B2212" s="5" t="s">
        <v>2253</v>
      </c>
      <c r="C2212" s="7" t="s">
        <v>68</v>
      </c>
      <c r="D2212" s="8">
        <v>308.108</v>
      </c>
    </row>
    <row r="2213" spans="1:4" x14ac:dyDescent="0.2">
      <c r="A2213" s="6">
        <v>3647</v>
      </c>
      <c r="B2213" s="5" t="s">
        <v>2254</v>
      </c>
      <c r="C2213" s="7" t="s">
        <v>64</v>
      </c>
      <c r="D2213" s="8">
        <v>553.07000000000005</v>
      </c>
    </row>
    <row r="2214" spans="1:4" x14ac:dyDescent="0.2">
      <c r="A2214" s="6">
        <v>3648</v>
      </c>
      <c r="B2214" s="5" t="s">
        <v>2255</v>
      </c>
      <c r="C2214" s="7" t="s">
        <v>10</v>
      </c>
      <c r="D2214" s="8">
        <v>307.25</v>
      </c>
    </row>
    <row r="2215" spans="1:4" x14ac:dyDescent="0.2">
      <c r="A2215" s="6">
        <v>3649</v>
      </c>
      <c r="B2215" s="5" t="s">
        <v>2256</v>
      </c>
      <c r="C2215" s="7" t="s">
        <v>10</v>
      </c>
      <c r="D2215" s="8">
        <v>307.25</v>
      </c>
    </row>
    <row r="2216" spans="1:4" x14ac:dyDescent="0.2">
      <c r="A2216" s="6">
        <v>3650</v>
      </c>
      <c r="B2216" s="5" t="s">
        <v>2257</v>
      </c>
      <c r="C2216" s="7" t="s">
        <v>10</v>
      </c>
      <c r="D2216" s="8">
        <v>307.25</v>
      </c>
    </row>
    <row r="2217" spans="1:4" x14ac:dyDescent="0.2">
      <c r="A2217" s="6">
        <v>3651</v>
      </c>
      <c r="B2217" s="5" t="s">
        <v>2258</v>
      </c>
      <c r="C2217" s="7" t="s">
        <v>68</v>
      </c>
      <c r="D2217" s="8">
        <v>334.45</v>
      </c>
    </row>
    <row r="2218" spans="1:4" x14ac:dyDescent="0.2">
      <c r="A2218" s="6">
        <v>3652</v>
      </c>
      <c r="B2218" s="5" t="s">
        <v>2259</v>
      </c>
      <c r="C2218" s="7" t="s">
        <v>10</v>
      </c>
      <c r="D2218" s="8">
        <v>307.25</v>
      </c>
    </row>
    <row r="2219" spans="1:4" x14ac:dyDescent="0.2">
      <c r="A2219" s="6">
        <v>3653</v>
      </c>
      <c r="B2219" s="5" t="s">
        <v>2260</v>
      </c>
      <c r="C2219" s="7" t="s">
        <v>10</v>
      </c>
      <c r="D2219" s="8">
        <v>307.25</v>
      </c>
    </row>
    <row r="2220" spans="1:4" x14ac:dyDescent="0.2">
      <c r="A2220" s="6">
        <v>3654</v>
      </c>
      <c r="B2220" s="5" t="s">
        <v>2261</v>
      </c>
      <c r="C2220" s="7" t="s">
        <v>10</v>
      </c>
      <c r="D2220" s="8">
        <v>307.25</v>
      </c>
    </row>
    <row r="2221" spans="1:4" x14ac:dyDescent="0.2">
      <c r="A2221" s="6">
        <v>3655</v>
      </c>
      <c r="B2221" s="5" t="s">
        <v>2262</v>
      </c>
      <c r="C2221" s="7" t="s">
        <v>10</v>
      </c>
      <c r="D2221" s="8">
        <v>354.88</v>
      </c>
    </row>
    <row r="2222" spans="1:4" x14ac:dyDescent="0.2">
      <c r="A2222" s="6">
        <v>3656</v>
      </c>
      <c r="B2222" s="5" t="s">
        <v>2263</v>
      </c>
      <c r="C2222" s="7" t="s">
        <v>10</v>
      </c>
      <c r="D2222" s="8">
        <v>307.25</v>
      </c>
    </row>
    <row r="2223" spans="1:4" x14ac:dyDescent="0.2">
      <c r="A2223" s="6">
        <v>3657</v>
      </c>
      <c r="B2223" s="5" t="s">
        <v>2264</v>
      </c>
      <c r="C2223" s="7" t="s">
        <v>64</v>
      </c>
      <c r="D2223" s="8">
        <v>553.07000000000005</v>
      </c>
    </row>
    <row r="2224" spans="1:4" x14ac:dyDescent="0.2">
      <c r="A2224" s="6">
        <v>3658</v>
      </c>
      <c r="B2224" s="5" t="s">
        <v>2265</v>
      </c>
      <c r="C2224" s="7" t="s">
        <v>64</v>
      </c>
      <c r="D2224" s="8">
        <v>553.07000000000005</v>
      </c>
    </row>
    <row r="2225" spans="1:4" x14ac:dyDescent="0.2">
      <c r="A2225" s="6">
        <v>3659</v>
      </c>
      <c r="B2225" s="5" t="s">
        <v>2266</v>
      </c>
      <c r="C2225" s="7" t="s">
        <v>64</v>
      </c>
      <c r="D2225" s="8">
        <v>553.07000000000005</v>
      </c>
    </row>
    <row r="2226" spans="1:4" x14ac:dyDescent="0.2">
      <c r="A2226" s="6">
        <v>3660</v>
      </c>
      <c r="B2226" s="5" t="s">
        <v>2267</v>
      </c>
      <c r="C2226" s="7" t="s">
        <v>10</v>
      </c>
      <c r="D2226" s="8">
        <v>307.25</v>
      </c>
    </row>
    <row r="2227" spans="1:4" x14ac:dyDescent="0.2">
      <c r="A2227" s="6">
        <v>3661</v>
      </c>
      <c r="B2227" s="5" t="s">
        <v>2268</v>
      </c>
      <c r="C2227" s="7" t="s">
        <v>10</v>
      </c>
      <c r="D2227" s="8">
        <v>307.25</v>
      </c>
    </row>
    <row r="2228" spans="1:4" x14ac:dyDescent="0.2">
      <c r="A2228" s="6">
        <v>3662</v>
      </c>
      <c r="B2228" s="5" t="s">
        <v>2269</v>
      </c>
      <c r="C2228" s="7" t="s">
        <v>64</v>
      </c>
      <c r="D2228" s="8">
        <v>553.07000000000005</v>
      </c>
    </row>
    <row r="2229" spans="1:4" x14ac:dyDescent="0.2">
      <c r="A2229" s="6">
        <v>3663</v>
      </c>
      <c r="B2229" s="5" t="s">
        <v>2270</v>
      </c>
      <c r="C2229" s="7" t="s">
        <v>10</v>
      </c>
      <c r="D2229" s="8">
        <v>307.25</v>
      </c>
    </row>
    <row r="2230" spans="1:4" x14ac:dyDescent="0.2">
      <c r="A2230" s="6">
        <v>3664</v>
      </c>
      <c r="B2230" s="5" t="s">
        <v>2271</v>
      </c>
      <c r="C2230" s="7" t="s">
        <v>10</v>
      </c>
      <c r="D2230" s="8">
        <v>307.25</v>
      </c>
    </row>
    <row r="2231" spans="1:4" x14ac:dyDescent="0.2">
      <c r="A2231" s="6">
        <v>3665</v>
      </c>
      <c r="B2231" s="5" t="s">
        <v>2272</v>
      </c>
      <c r="C2231" s="7" t="s">
        <v>297</v>
      </c>
      <c r="D2231" s="8">
        <v>270.27</v>
      </c>
    </row>
    <row r="2232" spans="1:4" x14ac:dyDescent="0.2">
      <c r="A2232" s="6">
        <v>3666</v>
      </c>
      <c r="B2232" s="5" t="s">
        <v>2273</v>
      </c>
      <c r="C2232" s="7" t="s">
        <v>64</v>
      </c>
      <c r="D2232" s="8">
        <v>553.07000000000005</v>
      </c>
    </row>
    <row r="2233" spans="1:4" x14ac:dyDescent="0.2">
      <c r="A2233" s="6">
        <v>3667</v>
      </c>
      <c r="B2233" s="5" t="s">
        <v>2274</v>
      </c>
      <c r="C2233" s="7" t="s">
        <v>10</v>
      </c>
      <c r="D2233" s="8">
        <v>307.25</v>
      </c>
    </row>
    <row r="2234" spans="1:4" x14ac:dyDescent="0.2">
      <c r="A2234" s="6">
        <v>3668</v>
      </c>
      <c r="B2234" s="5" t="s">
        <v>2275</v>
      </c>
      <c r="C2234" s="7" t="s">
        <v>10</v>
      </c>
      <c r="D2234" s="8">
        <v>307.25</v>
      </c>
    </row>
    <row r="2235" spans="1:4" x14ac:dyDescent="0.2">
      <c r="A2235" s="6">
        <v>3669</v>
      </c>
      <c r="B2235" s="5" t="s">
        <v>2276</v>
      </c>
      <c r="C2235" s="7" t="s">
        <v>64</v>
      </c>
      <c r="D2235" s="8">
        <v>553.07000000000005</v>
      </c>
    </row>
    <row r="2236" spans="1:4" x14ac:dyDescent="0.2">
      <c r="A2236" s="6">
        <v>3670</v>
      </c>
      <c r="B2236" s="5" t="s">
        <v>2277</v>
      </c>
      <c r="C2236" s="7" t="s">
        <v>64</v>
      </c>
      <c r="D2236" s="8">
        <v>553.07000000000005</v>
      </c>
    </row>
    <row r="2237" spans="1:4" x14ac:dyDescent="0.2">
      <c r="A2237" s="6">
        <v>3671</v>
      </c>
      <c r="B2237" s="5" t="s">
        <v>2278</v>
      </c>
      <c r="C2237" s="7" t="s">
        <v>10</v>
      </c>
      <c r="D2237" s="8">
        <v>307.25</v>
      </c>
    </row>
    <row r="2238" spans="1:4" x14ac:dyDescent="0.2">
      <c r="A2238" s="6">
        <v>3672</v>
      </c>
      <c r="B2238" s="5" t="s">
        <v>2279</v>
      </c>
      <c r="C2238" s="7" t="s">
        <v>64</v>
      </c>
      <c r="D2238" s="8">
        <v>638.79999999999995</v>
      </c>
    </row>
    <row r="2239" spans="1:4" x14ac:dyDescent="0.2">
      <c r="A2239" s="6">
        <v>3673</v>
      </c>
      <c r="B2239" s="5" t="s">
        <v>2280</v>
      </c>
      <c r="C2239" s="7" t="s">
        <v>265</v>
      </c>
      <c r="D2239" s="8">
        <v>248.06</v>
      </c>
    </row>
    <row r="2240" spans="1:4" x14ac:dyDescent="0.2">
      <c r="A2240" s="6">
        <v>3674</v>
      </c>
      <c r="B2240" s="5" t="s">
        <v>2281</v>
      </c>
      <c r="C2240" s="7" t="s">
        <v>10</v>
      </c>
      <c r="D2240" s="8">
        <v>307.25</v>
      </c>
    </row>
    <row r="2241" spans="1:4" x14ac:dyDescent="0.2">
      <c r="A2241" s="6">
        <v>3675</v>
      </c>
      <c r="B2241" s="5" t="s">
        <v>2282</v>
      </c>
      <c r="C2241" s="7" t="s">
        <v>297</v>
      </c>
      <c r="D2241" s="8">
        <v>439.9</v>
      </c>
    </row>
    <row r="2242" spans="1:4" x14ac:dyDescent="0.2">
      <c r="A2242" s="6">
        <v>3676</v>
      </c>
      <c r="B2242" s="5" t="s">
        <v>2283</v>
      </c>
      <c r="C2242" s="7" t="s">
        <v>64</v>
      </c>
      <c r="D2242" s="8">
        <v>553.07000000000005</v>
      </c>
    </row>
    <row r="2243" spans="1:4" x14ac:dyDescent="0.2">
      <c r="A2243" s="6">
        <v>3677</v>
      </c>
      <c r="B2243" s="5" t="s">
        <v>2284</v>
      </c>
      <c r="C2243" s="7" t="s">
        <v>10</v>
      </c>
      <c r="D2243" s="8">
        <v>307.25</v>
      </c>
    </row>
    <row r="2244" spans="1:4" x14ac:dyDescent="0.2">
      <c r="A2244" s="6">
        <v>3678</v>
      </c>
      <c r="B2244" s="5" t="s">
        <v>2285</v>
      </c>
      <c r="C2244" s="7" t="s">
        <v>10</v>
      </c>
      <c r="D2244" s="8">
        <v>307.25</v>
      </c>
    </row>
    <row r="2245" spans="1:4" x14ac:dyDescent="0.2">
      <c r="A2245" s="6">
        <v>3679</v>
      </c>
      <c r="B2245" s="5" t="s">
        <v>2286</v>
      </c>
      <c r="C2245" s="7" t="s">
        <v>10</v>
      </c>
      <c r="D2245" s="8">
        <v>307.25</v>
      </c>
    </row>
    <row r="2246" spans="1:4" x14ac:dyDescent="0.2">
      <c r="A2246" s="6">
        <v>3680</v>
      </c>
      <c r="B2246" s="5" t="s">
        <v>2287</v>
      </c>
      <c r="C2246" s="7" t="s">
        <v>64</v>
      </c>
      <c r="D2246" s="8">
        <v>553.07000000000005</v>
      </c>
    </row>
    <row r="2247" spans="1:4" x14ac:dyDescent="0.2">
      <c r="A2247" s="6">
        <v>3681</v>
      </c>
      <c r="B2247" s="5" t="s">
        <v>2288</v>
      </c>
      <c r="C2247" s="7" t="s">
        <v>10</v>
      </c>
      <c r="D2247" s="8">
        <v>307.25</v>
      </c>
    </row>
    <row r="2248" spans="1:4" x14ac:dyDescent="0.2">
      <c r="A2248" s="6">
        <v>3682</v>
      </c>
      <c r="B2248" s="5" t="s">
        <v>2289</v>
      </c>
      <c r="C2248" s="7" t="s">
        <v>64</v>
      </c>
      <c r="D2248" s="8">
        <v>660</v>
      </c>
    </row>
    <row r="2249" spans="1:4" x14ac:dyDescent="0.2">
      <c r="A2249" s="6">
        <v>3683</v>
      </c>
      <c r="B2249" s="5" t="s">
        <v>2290</v>
      </c>
      <c r="C2249" s="7" t="s">
        <v>10</v>
      </c>
      <c r="D2249" s="8">
        <v>307.25</v>
      </c>
    </row>
    <row r="2250" spans="1:4" x14ac:dyDescent="0.2">
      <c r="A2250" s="6">
        <v>3684</v>
      </c>
      <c r="B2250" s="5" t="s">
        <v>2291</v>
      </c>
      <c r="C2250" s="7" t="s">
        <v>64</v>
      </c>
      <c r="D2250" s="8">
        <v>553.07000000000005</v>
      </c>
    </row>
    <row r="2251" spans="1:4" x14ac:dyDescent="0.2">
      <c r="A2251" s="6">
        <v>3685</v>
      </c>
      <c r="B2251" s="5" t="s">
        <v>2292</v>
      </c>
      <c r="C2251" s="7" t="s">
        <v>10</v>
      </c>
      <c r="D2251" s="8">
        <v>307.25</v>
      </c>
    </row>
    <row r="2252" spans="1:4" x14ac:dyDescent="0.2">
      <c r="A2252" s="6">
        <v>3686</v>
      </c>
      <c r="B2252" s="5" t="s">
        <v>2293</v>
      </c>
      <c r="C2252" s="7" t="s">
        <v>64</v>
      </c>
      <c r="D2252" s="8">
        <v>553.07000000000005</v>
      </c>
    </row>
    <row r="2253" spans="1:4" x14ac:dyDescent="0.2">
      <c r="A2253" s="6">
        <v>3687</v>
      </c>
      <c r="B2253" s="5" t="s">
        <v>2294</v>
      </c>
      <c r="C2253" s="7" t="s">
        <v>64</v>
      </c>
      <c r="D2253" s="8">
        <v>553.07000000000005</v>
      </c>
    </row>
    <row r="2254" spans="1:4" x14ac:dyDescent="0.2">
      <c r="A2254" s="6">
        <v>3688</v>
      </c>
      <c r="B2254" s="5" t="s">
        <v>2295</v>
      </c>
      <c r="C2254" s="7" t="s">
        <v>64</v>
      </c>
      <c r="D2254" s="8">
        <v>553.07000000000005</v>
      </c>
    </row>
    <row r="2255" spans="1:4" x14ac:dyDescent="0.2">
      <c r="A2255" s="6">
        <v>3689</v>
      </c>
      <c r="B2255" s="5" t="s">
        <v>2296</v>
      </c>
      <c r="C2255" s="7" t="s">
        <v>64</v>
      </c>
      <c r="D2255" s="8">
        <v>553.07000000000005</v>
      </c>
    </row>
    <row r="2256" spans="1:4" x14ac:dyDescent="0.2">
      <c r="A2256" s="6">
        <v>3690</v>
      </c>
      <c r="B2256" s="5" t="s">
        <v>2297</v>
      </c>
      <c r="C2256" s="7" t="s">
        <v>64</v>
      </c>
      <c r="D2256" s="8">
        <v>553.07000000000005</v>
      </c>
    </row>
    <row r="2257" spans="1:4" x14ac:dyDescent="0.2">
      <c r="A2257" s="6">
        <v>3691</v>
      </c>
      <c r="B2257" s="5" t="s">
        <v>2298</v>
      </c>
      <c r="C2257" s="7" t="s">
        <v>64</v>
      </c>
      <c r="D2257" s="8">
        <v>553.07000000000005</v>
      </c>
    </row>
    <row r="2258" spans="1:4" x14ac:dyDescent="0.2">
      <c r="A2258" s="6">
        <v>3692</v>
      </c>
      <c r="B2258" s="5" t="s">
        <v>2299</v>
      </c>
      <c r="C2258" s="7" t="s">
        <v>10</v>
      </c>
      <c r="D2258" s="8">
        <v>307.25</v>
      </c>
    </row>
    <row r="2259" spans="1:4" x14ac:dyDescent="0.2">
      <c r="A2259" s="6">
        <v>3693</v>
      </c>
      <c r="B2259" s="5" t="s">
        <v>2300</v>
      </c>
      <c r="C2259" s="7" t="s">
        <v>10</v>
      </c>
      <c r="D2259" s="8">
        <v>307.25</v>
      </c>
    </row>
    <row r="2260" spans="1:4" x14ac:dyDescent="0.2">
      <c r="A2260" s="6">
        <v>3694</v>
      </c>
      <c r="B2260" s="5" t="s">
        <v>2301</v>
      </c>
      <c r="C2260" s="7" t="s">
        <v>10</v>
      </c>
      <c r="D2260" s="8">
        <v>307.25</v>
      </c>
    </row>
    <row r="2261" spans="1:4" x14ac:dyDescent="0.2">
      <c r="A2261" s="6">
        <v>3695</v>
      </c>
      <c r="B2261" s="5" t="s">
        <v>2302</v>
      </c>
      <c r="C2261" s="7" t="s">
        <v>10</v>
      </c>
      <c r="D2261" s="8">
        <v>307.25</v>
      </c>
    </row>
    <row r="2262" spans="1:4" x14ac:dyDescent="0.2">
      <c r="A2262" s="6">
        <v>3696</v>
      </c>
      <c r="B2262" s="5" t="s">
        <v>2303</v>
      </c>
      <c r="C2262" s="7" t="s">
        <v>10</v>
      </c>
      <c r="D2262" s="8">
        <v>307.25</v>
      </c>
    </row>
    <row r="2263" spans="1:4" x14ac:dyDescent="0.2">
      <c r="A2263" s="6">
        <v>3697</v>
      </c>
      <c r="B2263" s="5" t="s">
        <v>2304</v>
      </c>
      <c r="C2263" s="7" t="s">
        <v>64</v>
      </c>
      <c r="D2263" s="8">
        <v>553.07000000000005</v>
      </c>
    </row>
    <row r="2264" spans="1:4" x14ac:dyDescent="0.2">
      <c r="A2264" s="6">
        <v>3698</v>
      </c>
      <c r="B2264" s="5" t="s">
        <v>2305</v>
      </c>
      <c r="C2264" s="7" t="s">
        <v>10</v>
      </c>
      <c r="D2264" s="8">
        <v>307.25</v>
      </c>
    </row>
    <row r="2265" spans="1:4" x14ac:dyDescent="0.2">
      <c r="A2265" s="6">
        <v>3699</v>
      </c>
      <c r="B2265" s="5" t="s">
        <v>2306</v>
      </c>
      <c r="C2265" s="7" t="s">
        <v>64</v>
      </c>
      <c r="D2265" s="8">
        <v>553.07000000000005</v>
      </c>
    </row>
    <row r="2266" spans="1:4" x14ac:dyDescent="0.2">
      <c r="A2266" s="6">
        <v>3700</v>
      </c>
      <c r="B2266" s="5" t="s">
        <v>2307</v>
      </c>
      <c r="C2266" s="7" t="s">
        <v>10</v>
      </c>
      <c r="D2266" s="8">
        <v>307.25</v>
      </c>
    </row>
    <row r="2267" spans="1:4" x14ac:dyDescent="0.2">
      <c r="A2267" s="6">
        <v>3701</v>
      </c>
      <c r="B2267" s="5" t="s">
        <v>2308</v>
      </c>
      <c r="C2267" s="7" t="s">
        <v>64</v>
      </c>
      <c r="D2267" s="8">
        <v>553.07000000000005</v>
      </c>
    </row>
    <row r="2268" spans="1:4" x14ac:dyDescent="0.2">
      <c r="A2268" s="6">
        <v>3702</v>
      </c>
      <c r="B2268" s="5" t="s">
        <v>2309</v>
      </c>
      <c r="C2268" s="7" t="s">
        <v>64</v>
      </c>
      <c r="D2268" s="8">
        <v>553.07000000000005</v>
      </c>
    </row>
    <row r="2269" spans="1:4" x14ac:dyDescent="0.2">
      <c r="A2269" s="6">
        <v>3703</v>
      </c>
      <c r="B2269" s="5" t="s">
        <v>2310</v>
      </c>
      <c r="C2269" s="7" t="s">
        <v>64</v>
      </c>
      <c r="D2269" s="8">
        <v>553.07000000000005</v>
      </c>
    </row>
    <row r="2270" spans="1:4" x14ac:dyDescent="0.2">
      <c r="A2270" s="6">
        <v>3704</v>
      </c>
      <c r="B2270" s="5" t="s">
        <v>2311</v>
      </c>
      <c r="C2270" s="7" t="s">
        <v>64</v>
      </c>
      <c r="D2270" s="8">
        <v>553.07000000000005</v>
      </c>
    </row>
    <row r="2271" spans="1:4" x14ac:dyDescent="0.2">
      <c r="A2271" s="6">
        <v>3705</v>
      </c>
      <c r="B2271" s="5" t="s">
        <v>2312</v>
      </c>
      <c r="C2271" s="7" t="s">
        <v>10</v>
      </c>
      <c r="D2271" s="8">
        <v>307.25</v>
      </c>
    </row>
    <row r="2272" spans="1:4" x14ac:dyDescent="0.2">
      <c r="A2272" s="6">
        <v>3706</v>
      </c>
      <c r="B2272" s="5" t="s">
        <v>2313</v>
      </c>
      <c r="C2272" s="7" t="s">
        <v>10</v>
      </c>
      <c r="D2272" s="8">
        <v>307.25</v>
      </c>
    </row>
    <row r="2273" spans="1:4" x14ac:dyDescent="0.2">
      <c r="A2273" s="6">
        <v>3707</v>
      </c>
      <c r="B2273" s="5" t="s">
        <v>2314</v>
      </c>
      <c r="C2273" s="7" t="s">
        <v>10</v>
      </c>
      <c r="D2273" s="8">
        <v>307.25</v>
      </c>
    </row>
    <row r="2274" spans="1:4" x14ac:dyDescent="0.2">
      <c r="A2274" s="6">
        <v>3708</v>
      </c>
      <c r="B2274" s="5" t="s">
        <v>2315</v>
      </c>
      <c r="C2274" s="7" t="s">
        <v>10</v>
      </c>
      <c r="D2274" s="8">
        <v>307.25</v>
      </c>
    </row>
    <row r="2275" spans="1:4" x14ac:dyDescent="0.2">
      <c r="A2275" s="6">
        <v>3709</v>
      </c>
      <c r="B2275" s="5" t="s">
        <v>2316</v>
      </c>
      <c r="C2275" s="7" t="s">
        <v>10</v>
      </c>
      <c r="D2275" s="8">
        <v>307.25</v>
      </c>
    </row>
    <row r="2276" spans="1:4" x14ac:dyDescent="0.2">
      <c r="A2276" s="6">
        <v>3710</v>
      </c>
      <c r="B2276" s="5" t="s">
        <v>2317</v>
      </c>
      <c r="C2276" s="7" t="s">
        <v>10</v>
      </c>
      <c r="D2276" s="8">
        <v>307.25</v>
      </c>
    </row>
    <row r="2277" spans="1:4" x14ac:dyDescent="0.2">
      <c r="A2277" s="6">
        <v>3711</v>
      </c>
      <c r="B2277" s="5" t="s">
        <v>2318</v>
      </c>
      <c r="C2277" s="7" t="s">
        <v>64</v>
      </c>
      <c r="D2277" s="8">
        <v>553.07000000000005</v>
      </c>
    </row>
    <row r="2278" spans="1:4" x14ac:dyDescent="0.2">
      <c r="A2278" s="6">
        <v>3712</v>
      </c>
      <c r="B2278" s="5" t="s">
        <v>2319</v>
      </c>
      <c r="C2278" s="7" t="s">
        <v>10</v>
      </c>
      <c r="D2278" s="8">
        <v>307.25</v>
      </c>
    </row>
    <row r="2279" spans="1:4" x14ac:dyDescent="0.2">
      <c r="A2279" s="6">
        <v>3713</v>
      </c>
      <c r="B2279" s="5" t="s">
        <v>2320</v>
      </c>
      <c r="C2279" s="7" t="s">
        <v>64</v>
      </c>
      <c r="D2279" s="8">
        <v>553.07000000000005</v>
      </c>
    </row>
    <row r="2280" spans="1:4" x14ac:dyDescent="0.2">
      <c r="A2280" s="6">
        <v>3714</v>
      </c>
      <c r="B2280" s="5" t="s">
        <v>2321</v>
      </c>
      <c r="C2280" s="7" t="s">
        <v>10</v>
      </c>
      <c r="D2280" s="8">
        <v>307.25</v>
      </c>
    </row>
    <row r="2281" spans="1:4" x14ac:dyDescent="0.2">
      <c r="A2281" s="6">
        <v>3715</v>
      </c>
      <c r="B2281" s="5" t="s">
        <v>2322</v>
      </c>
      <c r="C2281" s="7" t="s">
        <v>10</v>
      </c>
      <c r="D2281" s="8">
        <v>307.25</v>
      </c>
    </row>
    <row r="2282" spans="1:4" x14ac:dyDescent="0.2">
      <c r="A2282" s="6">
        <v>3716</v>
      </c>
      <c r="B2282" s="5" t="s">
        <v>2323</v>
      </c>
      <c r="C2282" s="7" t="s">
        <v>10</v>
      </c>
      <c r="D2282" s="8">
        <v>307.25</v>
      </c>
    </row>
    <row r="2283" spans="1:4" x14ac:dyDescent="0.2">
      <c r="A2283" s="6">
        <v>3717</v>
      </c>
      <c r="B2283" s="5" t="s">
        <v>2324</v>
      </c>
      <c r="C2283" s="7" t="s">
        <v>64</v>
      </c>
      <c r="D2283" s="8">
        <v>553.07000000000005</v>
      </c>
    </row>
    <row r="2284" spans="1:4" x14ac:dyDescent="0.2">
      <c r="A2284" s="6">
        <v>3718</v>
      </c>
      <c r="B2284" s="5" t="s">
        <v>2325</v>
      </c>
      <c r="C2284" s="7" t="s">
        <v>64</v>
      </c>
      <c r="D2284" s="8">
        <v>553.07000000000005</v>
      </c>
    </row>
    <row r="2285" spans="1:4" x14ac:dyDescent="0.2">
      <c r="A2285" s="6">
        <v>3719</v>
      </c>
      <c r="B2285" s="5" t="s">
        <v>2326</v>
      </c>
      <c r="C2285" s="7" t="s">
        <v>64</v>
      </c>
      <c r="D2285" s="8">
        <v>553.07000000000005</v>
      </c>
    </row>
    <row r="2286" spans="1:4" x14ac:dyDescent="0.2">
      <c r="A2286" s="6">
        <v>3720</v>
      </c>
      <c r="B2286" s="5" t="s">
        <v>2327</v>
      </c>
      <c r="C2286" s="7" t="s">
        <v>10</v>
      </c>
      <c r="D2286" s="8">
        <f>312.39*1.05</f>
        <v>328.0095</v>
      </c>
    </row>
    <row r="2287" spans="1:4" x14ac:dyDescent="0.2">
      <c r="A2287" s="6">
        <v>3721</v>
      </c>
      <c r="B2287" s="5" t="s">
        <v>2328</v>
      </c>
      <c r="C2287" s="7" t="s">
        <v>10</v>
      </c>
      <c r="D2287" s="8">
        <v>273.48</v>
      </c>
    </row>
    <row r="2288" spans="1:4" x14ac:dyDescent="0.2">
      <c r="A2288" s="6">
        <v>3722</v>
      </c>
      <c r="B2288" s="5" t="s">
        <v>2329</v>
      </c>
      <c r="C2288" s="7" t="s">
        <v>10</v>
      </c>
      <c r="D2288" s="8">
        <v>307.25</v>
      </c>
    </row>
    <row r="2289" spans="1:4" x14ac:dyDescent="0.2">
      <c r="A2289" s="6">
        <v>3723</v>
      </c>
      <c r="B2289" s="5" t="s">
        <v>2330</v>
      </c>
      <c r="C2289" s="7" t="s">
        <v>10</v>
      </c>
      <c r="D2289" s="8">
        <v>307.25</v>
      </c>
    </row>
    <row r="2290" spans="1:4" x14ac:dyDescent="0.2">
      <c r="A2290" s="6">
        <v>3724</v>
      </c>
      <c r="B2290" s="5" t="s">
        <v>2331</v>
      </c>
      <c r="C2290" s="7" t="s">
        <v>10</v>
      </c>
      <c r="D2290" s="8">
        <v>307.25</v>
      </c>
    </row>
    <row r="2291" spans="1:4" x14ac:dyDescent="0.2">
      <c r="A2291" s="6">
        <v>3725</v>
      </c>
      <c r="B2291" s="5" t="s">
        <v>2332</v>
      </c>
      <c r="C2291" s="7" t="s">
        <v>10</v>
      </c>
      <c r="D2291" s="8">
        <v>307.25</v>
      </c>
    </row>
    <row r="2292" spans="1:4" x14ac:dyDescent="0.2">
      <c r="A2292" s="6">
        <v>3726</v>
      </c>
      <c r="B2292" s="5" t="s">
        <v>2333</v>
      </c>
      <c r="C2292" s="7" t="s">
        <v>92</v>
      </c>
      <c r="D2292" s="8">
        <f>323.05*1.05</f>
        <v>339.20250000000004</v>
      </c>
    </row>
    <row r="2293" spans="1:4" x14ac:dyDescent="0.2">
      <c r="A2293" s="6">
        <v>3727</v>
      </c>
      <c r="B2293" s="5" t="s">
        <v>2334</v>
      </c>
      <c r="C2293" s="7" t="s">
        <v>10</v>
      </c>
      <c r="D2293" s="8">
        <v>307.25</v>
      </c>
    </row>
    <row r="2294" spans="1:4" x14ac:dyDescent="0.2">
      <c r="A2294" s="6">
        <v>3728</v>
      </c>
      <c r="B2294" s="5" t="s">
        <v>2335</v>
      </c>
      <c r="C2294" s="7" t="s">
        <v>10</v>
      </c>
      <c r="D2294" s="8">
        <v>307.25</v>
      </c>
    </row>
    <row r="2295" spans="1:4" x14ac:dyDescent="0.2">
      <c r="A2295" s="6">
        <v>3729</v>
      </c>
      <c r="B2295" s="5" t="s">
        <v>2336</v>
      </c>
      <c r="C2295" s="7" t="s">
        <v>10</v>
      </c>
      <c r="D2295" s="8">
        <v>307.25</v>
      </c>
    </row>
    <row r="2296" spans="1:4" x14ac:dyDescent="0.2">
      <c r="A2296" s="6">
        <v>3730</v>
      </c>
      <c r="B2296" s="5" t="s">
        <v>2337</v>
      </c>
      <c r="C2296" s="7" t="s">
        <v>10</v>
      </c>
      <c r="D2296" s="8">
        <v>307.25</v>
      </c>
    </row>
    <row r="2297" spans="1:4" x14ac:dyDescent="0.2">
      <c r="A2297" s="6">
        <v>3731</v>
      </c>
      <c r="B2297" s="5" t="s">
        <v>2338</v>
      </c>
      <c r="C2297" s="7" t="s">
        <v>10</v>
      </c>
      <c r="D2297" s="8">
        <v>307.25</v>
      </c>
    </row>
    <row r="2298" spans="1:4" x14ac:dyDescent="0.2">
      <c r="A2298" s="6">
        <v>3732</v>
      </c>
      <c r="B2298" s="5" t="s">
        <v>2339</v>
      </c>
      <c r="C2298" s="7" t="s">
        <v>10</v>
      </c>
      <c r="D2298" s="8">
        <v>307.25</v>
      </c>
    </row>
    <row r="2299" spans="1:4" x14ac:dyDescent="0.2">
      <c r="A2299" s="6">
        <v>3733</v>
      </c>
      <c r="B2299" s="5" t="s">
        <v>2340</v>
      </c>
      <c r="C2299" s="7" t="s">
        <v>64</v>
      </c>
      <c r="D2299" s="8">
        <v>553.07000000000005</v>
      </c>
    </row>
    <row r="2300" spans="1:4" x14ac:dyDescent="0.2">
      <c r="A2300" s="6">
        <v>3734</v>
      </c>
      <c r="B2300" s="5" t="s">
        <v>2341</v>
      </c>
      <c r="C2300" s="7" t="s">
        <v>10</v>
      </c>
      <c r="D2300" s="8">
        <v>307.25</v>
      </c>
    </row>
    <row r="2301" spans="1:4" x14ac:dyDescent="0.2">
      <c r="A2301" s="6">
        <v>3735</v>
      </c>
      <c r="B2301" s="5" t="s">
        <v>2342</v>
      </c>
      <c r="C2301" s="7" t="s">
        <v>64</v>
      </c>
      <c r="D2301" s="8">
        <v>553.07000000000005</v>
      </c>
    </row>
    <row r="2302" spans="1:4" x14ac:dyDescent="0.2">
      <c r="A2302" s="6">
        <v>3736</v>
      </c>
      <c r="B2302" s="5" t="s">
        <v>2343</v>
      </c>
      <c r="C2302" s="7" t="s">
        <v>64</v>
      </c>
      <c r="D2302" s="8">
        <v>553.07000000000005</v>
      </c>
    </row>
    <row r="2303" spans="1:4" x14ac:dyDescent="0.2">
      <c r="A2303" s="6">
        <v>3737</v>
      </c>
      <c r="B2303" s="5" t="s">
        <v>2344</v>
      </c>
      <c r="C2303" s="7" t="s">
        <v>10</v>
      </c>
      <c r="D2303" s="8">
        <v>307.25</v>
      </c>
    </row>
    <row r="2304" spans="1:4" x14ac:dyDescent="0.2">
      <c r="A2304" s="6">
        <v>3738</v>
      </c>
      <c r="B2304" s="5" t="s">
        <v>2345</v>
      </c>
      <c r="C2304" s="7" t="s">
        <v>10</v>
      </c>
      <c r="D2304" s="8">
        <v>307.25</v>
      </c>
    </row>
    <row r="2305" spans="1:4" x14ac:dyDescent="0.2">
      <c r="A2305" s="6">
        <v>3739</v>
      </c>
      <c r="B2305" s="5" t="s">
        <v>2346</v>
      </c>
      <c r="C2305" s="7" t="s">
        <v>64</v>
      </c>
      <c r="D2305" s="8">
        <v>553.07000000000005</v>
      </c>
    </row>
    <row r="2306" spans="1:4" x14ac:dyDescent="0.2">
      <c r="A2306" s="6">
        <v>3740</v>
      </c>
      <c r="B2306" s="5" t="s">
        <v>2347</v>
      </c>
      <c r="C2306" s="7" t="s">
        <v>10</v>
      </c>
      <c r="D2306" s="8">
        <v>307.25</v>
      </c>
    </row>
    <row r="2307" spans="1:4" x14ac:dyDescent="0.2">
      <c r="A2307" s="6">
        <v>3741</v>
      </c>
      <c r="B2307" s="5" t="s">
        <v>2348</v>
      </c>
      <c r="C2307" s="7" t="s">
        <v>10</v>
      </c>
      <c r="D2307" s="8">
        <v>307.25</v>
      </c>
    </row>
    <row r="2308" spans="1:4" x14ac:dyDescent="0.2">
      <c r="A2308" s="6">
        <v>3742</v>
      </c>
      <c r="B2308" s="5" t="s">
        <v>2349</v>
      </c>
      <c r="C2308" s="7" t="s">
        <v>10</v>
      </c>
      <c r="D2308" s="8">
        <v>307.25</v>
      </c>
    </row>
    <row r="2309" spans="1:4" x14ac:dyDescent="0.2">
      <c r="A2309" s="6">
        <v>3743</v>
      </c>
      <c r="B2309" s="5" t="s">
        <v>2350</v>
      </c>
      <c r="C2309" s="7" t="s">
        <v>64</v>
      </c>
      <c r="D2309" s="8">
        <v>553.07000000000005</v>
      </c>
    </row>
    <row r="2310" spans="1:4" x14ac:dyDescent="0.2">
      <c r="A2310" s="6">
        <v>3744</v>
      </c>
      <c r="B2310" s="5" t="s">
        <v>2351</v>
      </c>
      <c r="C2310" s="7" t="s">
        <v>10</v>
      </c>
      <c r="D2310" s="8">
        <v>307.25</v>
      </c>
    </row>
    <row r="2311" spans="1:4" x14ac:dyDescent="0.2">
      <c r="A2311" s="6">
        <v>3745</v>
      </c>
      <c r="B2311" s="5" t="s">
        <v>2352</v>
      </c>
      <c r="C2311" s="7" t="s">
        <v>280</v>
      </c>
      <c r="D2311" s="8">
        <v>365.76</v>
      </c>
    </row>
    <row r="2312" spans="1:4" x14ac:dyDescent="0.2">
      <c r="A2312" s="6">
        <v>3746</v>
      </c>
      <c r="B2312" s="5" t="s">
        <v>2353</v>
      </c>
      <c r="C2312" s="7" t="s">
        <v>280</v>
      </c>
      <c r="D2312" s="8">
        <v>365.76</v>
      </c>
    </row>
    <row r="2313" spans="1:4" x14ac:dyDescent="0.2">
      <c r="A2313" s="6">
        <v>3747</v>
      </c>
      <c r="B2313" s="5" t="s">
        <v>2354</v>
      </c>
      <c r="C2313" s="7" t="s">
        <v>10</v>
      </c>
      <c r="D2313" s="8">
        <v>307.25</v>
      </c>
    </row>
    <row r="2314" spans="1:4" x14ac:dyDescent="0.2">
      <c r="A2314" s="6">
        <v>3748</v>
      </c>
      <c r="B2314" s="5" t="s">
        <v>2355</v>
      </c>
      <c r="C2314" s="7" t="s">
        <v>10</v>
      </c>
      <c r="D2314" s="8">
        <v>307.25</v>
      </c>
    </row>
    <row r="2315" spans="1:4" x14ac:dyDescent="0.2">
      <c r="A2315" s="6">
        <v>3749</v>
      </c>
      <c r="B2315" s="5" t="s">
        <v>2356</v>
      </c>
      <c r="C2315" s="7" t="s">
        <v>64</v>
      </c>
      <c r="D2315" s="8">
        <v>553.07000000000005</v>
      </c>
    </row>
    <row r="2316" spans="1:4" x14ac:dyDescent="0.2">
      <c r="A2316" s="6">
        <v>3750</v>
      </c>
      <c r="B2316" s="5" t="s">
        <v>2357</v>
      </c>
      <c r="C2316" s="7" t="s">
        <v>10</v>
      </c>
      <c r="D2316" s="8">
        <v>307.25</v>
      </c>
    </row>
    <row r="2317" spans="1:4" x14ac:dyDescent="0.2">
      <c r="A2317" s="6">
        <v>3751</v>
      </c>
      <c r="B2317" s="5" t="s">
        <v>2358</v>
      </c>
      <c r="C2317" s="7" t="s">
        <v>64</v>
      </c>
      <c r="D2317" s="8">
        <v>553.07000000000005</v>
      </c>
    </row>
    <row r="2318" spans="1:4" x14ac:dyDescent="0.2">
      <c r="A2318" s="6">
        <v>3752</v>
      </c>
      <c r="B2318" s="5" t="s">
        <v>2359</v>
      </c>
      <c r="C2318" s="7" t="s">
        <v>10</v>
      </c>
      <c r="D2318" s="8">
        <v>307.25</v>
      </c>
    </row>
    <row r="2319" spans="1:4" x14ac:dyDescent="0.2">
      <c r="A2319" s="6">
        <v>3753</v>
      </c>
      <c r="B2319" s="5" t="s">
        <v>2360</v>
      </c>
      <c r="C2319" s="7" t="s">
        <v>10</v>
      </c>
      <c r="D2319" s="8">
        <v>402.57</v>
      </c>
    </row>
    <row r="2320" spans="1:4" x14ac:dyDescent="0.2">
      <c r="A2320" s="6">
        <v>3754</v>
      </c>
      <c r="B2320" s="5" t="s">
        <v>2361</v>
      </c>
      <c r="C2320" s="7" t="s">
        <v>10</v>
      </c>
      <c r="D2320" s="8">
        <v>307.25</v>
      </c>
    </row>
    <row r="2321" spans="1:4" x14ac:dyDescent="0.2">
      <c r="A2321" s="6">
        <v>3755</v>
      </c>
      <c r="B2321" s="5" t="s">
        <v>2362</v>
      </c>
      <c r="C2321" s="7" t="s">
        <v>10</v>
      </c>
      <c r="D2321" s="8">
        <v>307.25</v>
      </c>
    </row>
    <row r="2322" spans="1:4" x14ac:dyDescent="0.2">
      <c r="A2322" s="6">
        <v>3756</v>
      </c>
      <c r="B2322" s="5" t="s">
        <v>2363</v>
      </c>
      <c r="C2322" s="7" t="s">
        <v>64</v>
      </c>
      <c r="D2322" s="8">
        <v>553.07000000000005</v>
      </c>
    </row>
    <row r="2323" spans="1:4" x14ac:dyDescent="0.2">
      <c r="A2323" s="6">
        <v>3757</v>
      </c>
      <c r="B2323" s="5" t="s">
        <v>2364</v>
      </c>
      <c r="C2323" s="7" t="s">
        <v>10</v>
      </c>
      <c r="D2323" s="8">
        <v>307.25</v>
      </c>
    </row>
    <row r="2324" spans="1:4" x14ac:dyDescent="0.2">
      <c r="A2324" s="6">
        <v>3758</v>
      </c>
      <c r="B2324" s="5" t="s">
        <v>2365</v>
      </c>
      <c r="C2324" s="7" t="s">
        <v>10</v>
      </c>
      <c r="D2324" s="8">
        <v>307.25</v>
      </c>
    </row>
    <row r="2325" spans="1:4" x14ac:dyDescent="0.2">
      <c r="A2325" s="6">
        <v>3759</v>
      </c>
      <c r="B2325" s="5" t="s">
        <v>2366</v>
      </c>
      <c r="C2325" s="7" t="s">
        <v>64</v>
      </c>
      <c r="D2325" s="8">
        <v>516.89</v>
      </c>
    </row>
    <row r="2326" spans="1:4" x14ac:dyDescent="0.2">
      <c r="A2326" s="6">
        <v>3760</v>
      </c>
      <c r="B2326" s="5" t="s">
        <v>2367</v>
      </c>
      <c r="C2326" s="7" t="s">
        <v>64</v>
      </c>
      <c r="D2326" s="8">
        <v>553.07000000000005</v>
      </c>
    </row>
    <row r="2327" spans="1:4" x14ac:dyDescent="0.2">
      <c r="A2327" s="6">
        <v>3761</v>
      </c>
      <c r="B2327" s="5" t="s">
        <v>2368</v>
      </c>
      <c r="C2327" s="7" t="s">
        <v>64</v>
      </c>
      <c r="D2327" s="8">
        <v>553.07000000000005</v>
      </c>
    </row>
    <row r="2328" spans="1:4" x14ac:dyDescent="0.2">
      <c r="A2328" s="6">
        <v>3762</v>
      </c>
      <c r="B2328" s="5" t="s">
        <v>2369</v>
      </c>
      <c r="C2328" s="7" t="s">
        <v>10</v>
      </c>
      <c r="D2328" s="8">
        <v>307.25</v>
      </c>
    </row>
    <row r="2329" spans="1:4" x14ac:dyDescent="0.2">
      <c r="A2329" s="6">
        <v>3763</v>
      </c>
      <c r="B2329" s="5" t="s">
        <v>2370</v>
      </c>
      <c r="C2329" s="7" t="s">
        <v>10</v>
      </c>
      <c r="D2329" s="8">
        <v>307.25</v>
      </c>
    </row>
    <row r="2330" spans="1:4" x14ac:dyDescent="0.2">
      <c r="A2330" s="6">
        <v>3764</v>
      </c>
      <c r="B2330" s="5" t="s">
        <v>2371</v>
      </c>
      <c r="C2330" s="7" t="s">
        <v>10</v>
      </c>
      <c r="D2330" s="8">
        <v>307.25</v>
      </c>
    </row>
    <row r="2331" spans="1:4" x14ac:dyDescent="0.2">
      <c r="A2331" s="6">
        <v>3765</v>
      </c>
      <c r="B2331" s="5" t="s">
        <v>2372</v>
      </c>
      <c r="C2331" s="7" t="s">
        <v>10</v>
      </c>
      <c r="D2331" s="8">
        <v>307.25</v>
      </c>
    </row>
    <row r="2332" spans="1:4" x14ac:dyDescent="0.2">
      <c r="A2332" s="6">
        <v>3766</v>
      </c>
      <c r="B2332" s="5" t="s">
        <v>2373</v>
      </c>
      <c r="C2332" s="7" t="s">
        <v>92</v>
      </c>
      <c r="D2332" s="8">
        <v>345.35399999999998</v>
      </c>
    </row>
    <row r="2333" spans="1:4" x14ac:dyDescent="0.2">
      <c r="A2333" s="6">
        <v>3767</v>
      </c>
      <c r="B2333" s="5" t="s">
        <v>2374</v>
      </c>
      <c r="C2333" s="7" t="s">
        <v>10</v>
      </c>
      <c r="D2333" s="8">
        <v>307.25</v>
      </c>
    </row>
    <row r="2334" spans="1:4" x14ac:dyDescent="0.2">
      <c r="A2334" s="6">
        <v>3768</v>
      </c>
      <c r="B2334" s="5" t="s">
        <v>2375</v>
      </c>
      <c r="C2334" s="7" t="s">
        <v>10</v>
      </c>
      <c r="D2334" s="8">
        <v>307.25</v>
      </c>
    </row>
    <row r="2335" spans="1:4" x14ac:dyDescent="0.2">
      <c r="A2335" s="6">
        <v>3769</v>
      </c>
      <c r="B2335" s="5" t="s">
        <v>2376</v>
      </c>
      <c r="C2335" s="7" t="s">
        <v>52</v>
      </c>
      <c r="D2335" s="8">
        <v>241.41200000000001</v>
      </c>
    </row>
    <row r="2336" spans="1:4" x14ac:dyDescent="0.2">
      <c r="A2336" s="6">
        <v>3770</v>
      </c>
      <c r="B2336" s="5" t="s">
        <v>2377</v>
      </c>
      <c r="C2336" s="7" t="s">
        <v>10</v>
      </c>
      <c r="D2336" s="8">
        <v>307.25</v>
      </c>
    </row>
    <row r="2337" spans="1:4" x14ac:dyDescent="0.2">
      <c r="A2337" s="6">
        <v>3771</v>
      </c>
      <c r="B2337" s="5" t="s">
        <v>2378</v>
      </c>
      <c r="C2337" s="7" t="s">
        <v>10</v>
      </c>
      <c r="D2337" s="8">
        <v>307.25</v>
      </c>
    </row>
    <row r="2338" spans="1:4" x14ac:dyDescent="0.2">
      <c r="A2338" s="6">
        <v>3772</v>
      </c>
      <c r="B2338" s="5" t="s">
        <v>2379</v>
      </c>
      <c r="C2338" s="7" t="s">
        <v>64</v>
      </c>
      <c r="D2338" s="8">
        <v>553.07000000000005</v>
      </c>
    </row>
    <row r="2339" spans="1:4" x14ac:dyDescent="0.2">
      <c r="A2339" s="6">
        <v>3773</v>
      </c>
      <c r="B2339" s="5" t="s">
        <v>2380</v>
      </c>
      <c r="C2339" s="7" t="s">
        <v>10</v>
      </c>
      <c r="D2339" s="8">
        <v>307.25</v>
      </c>
    </row>
    <row r="2340" spans="1:4" x14ac:dyDescent="0.2">
      <c r="A2340" s="6">
        <v>3774</v>
      </c>
      <c r="B2340" s="5" t="s">
        <v>2381</v>
      </c>
      <c r="C2340" s="7" t="s">
        <v>10</v>
      </c>
      <c r="D2340" s="8">
        <v>307.25</v>
      </c>
    </row>
    <row r="2341" spans="1:4" x14ac:dyDescent="0.2">
      <c r="A2341" s="6">
        <v>3775</v>
      </c>
      <c r="B2341" s="5" t="s">
        <v>2382</v>
      </c>
      <c r="C2341" s="7" t="s">
        <v>10</v>
      </c>
      <c r="D2341" s="8">
        <v>307.25</v>
      </c>
    </row>
    <row r="2342" spans="1:4" x14ac:dyDescent="0.2">
      <c r="A2342" s="6">
        <v>3776</v>
      </c>
      <c r="B2342" s="5" t="s">
        <v>2383</v>
      </c>
      <c r="C2342" s="7" t="s">
        <v>10</v>
      </c>
      <c r="D2342" s="8">
        <v>307.25</v>
      </c>
    </row>
    <row r="2343" spans="1:4" x14ac:dyDescent="0.2">
      <c r="A2343" s="6">
        <v>3777</v>
      </c>
      <c r="B2343" s="5" t="s">
        <v>2384</v>
      </c>
      <c r="C2343" s="7" t="s">
        <v>10</v>
      </c>
      <c r="D2343" s="8">
        <v>257.14</v>
      </c>
    </row>
    <row r="2344" spans="1:4" x14ac:dyDescent="0.2">
      <c r="A2344" s="6">
        <v>3778</v>
      </c>
      <c r="B2344" s="5" t="s">
        <v>2385</v>
      </c>
      <c r="C2344" s="7" t="s">
        <v>10</v>
      </c>
      <c r="D2344" s="8">
        <v>307.25</v>
      </c>
    </row>
    <row r="2345" spans="1:4" x14ac:dyDescent="0.2">
      <c r="A2345" s="6">
        <v>3779</v>
      </c>
      <c r="B2345" s="5" t="s">
        <v>2386</v>
      </c>
      <c r="C2345" s="7" t="s">
        <v>185</v>
      </c>
      <c r="D2345" s="8">
        <v>386</v>
      </c>
    </row>
    <row r="2346" spans="1:4" x14ac:dyDescent="0.2">
      <c r="A2346" s="6">
        <v>3780</v>
      </c>
      <c r="B2346" s="5" t="s">
        <v>2387</v>
      </c>
      <c r="C2346" s="7" t="s">
        <v>10</v>
      </c>
      <c r="D2346" s="8">
        <v>307.25</v>
      </c>
    </row>
    <row r="2347" spans="1:4" x14ac:dyDescent="0.2">
      <c r="A2347" s="6">
        <v>3781</v>
      </c>
      <c r="B2347" s="5" t="s">
        <v>2388</v>
      </c>
      <c r="C2347" s="7" t="s">
        <v>10</v>
      </c>
      <c r="D2347" s="8">
        <v>307.25</v>
      </c>
    </row>
    <row r="2348" spans="1:4" x14ac:dyDescent="0.2">
      <c r="A2348" s="6">
        <v>3782</v>
      </c>
      <c r="B2348" s="5" t="s">
        <v>2389</v>
      </c>
      <c r="C2348" s="7" t="s">
        <v>579</v>
      </c>
      <c r="D2348" s="8">
        <v>272.20999999999998</v>
      </c>
    </row>
    <row r="2349" spans="1:4" x14ac:dyDescent="0.2">
      <c r="A2349" s="6">
        <v>3783</v>
      </c>
      <c r="B2349" s="5" t="s">
        <v>2390</v>
      </c>
      <c r="C2349" s="7" t="s">
        <v>64</v>
      </c>
      <c r="D2349" s="8">
        <v>553.07000000000005</v>
      </c>
    </row>
    <row r="2350" spans="1:4" x14ac:dyDescent="0.2">
      <c r="A2350" s="6">
        <v>3784</v>
      </c>
      <c r="B2350" s="5" t="s">
        <v>2391</v>
      </c>
      <c r="C2350" s="7" t="s">
        <v>579</v>
      </c>
      <c r="D2350" s="8">
        <v>248.16</v>
      </c>
    </row>
    <row r="2351" spans="1:4" x14ac:dyDescent="0.2">
      <c r="A2351" s="6">
        <v>3785</v>
      </c>
      <c r="B2351" s="5" t="s">
        <v>2392</v>
      </c>
      <c r="C2351" s="7" t="s">
        <v>52</v>
      </c>
      <c r="D2351" s="8">
        <v>188</v>
      </c>
    </row>
    <row r="2352" spans="1:4" x14ac:dyDescent="0.2">
      <c r="A2352" s="6">
        <v>3786</v>
      </c>
      <c r="B2352" s="5" t="s">
        <v>2393</v>
      </c>
      <c r="C2352" s="7" t="s">
        <v>52</v>
      </c>
      <c r="D2352" s="8">
        <v>178.68</v>
      </c>
    </row>
    <row r="2353" spans="1:4" x14ac:dyDescent="0.2">
      <c r="A2353" s="6">
        <v>3787</v>
      </c>
      <c r="B2353" s="5" t="s">
        <v>2394</v>
      </c>
      <c r="C2353" s="7" t="s">
        <v>52</v>
      </c>
      <c r="D2353" s="8">
        <v>187.614</v>
      </c>
    </row>
    <row r="2354" spans="1:4" x14ac:dyDescent="0.2">
      <c r="A2354" s="6">
        <v>3788</v>
      </c>
      <c r="B2354" s="5" t="s">
        <v>2395</v>
      </c>
      <c r="C2354" s="7" t="s">
        <v>64</v>
      </c>
      <c r="D2354" s="8">
        <v>553.07000000000005</v>
      </c>
    </row>
    <row r="2355" spans="1:4" x14ac:dyDescent="0.2">
      <c r="A2355" s="6">
        <v>3789</v>
      </c>
      <c r="B2355" s="5" t="s">
        <v>2396</v>
      </c>
      <c r="C2355" s="7" t="s">
        <v>64</v>
      </c>
      <c r="D2355" s="8">
        <v>553.07000000000005</v>
      </c>
    </row>
    <row r="2356" spans="1:4" x14ac:dyDescent="0.2">
      <c r="A2356" s="6">
        <v>3790</v>
      </c>
      <c r="B2356" s="5" t="s">
        <v>2397</v>
      </c>
      <c r="C2356" s="7" t="s">
        <v>297</v>
      </c>
      <c r="D2356" s="8">
        <v>269.80799999999999</v>
      </c>
    </row>
    <row r="2357" spans="1:4" x14ac:dyDescent="0.2">
      <c r="A2357" s="6">
        <v>3791</v>
      </c>
      <c r="B2357" s="5" t="s">
        <v>2398</v>
      </c>
      <c r="C2357" s="7" t="s">
        <v>297</v>
      </c>
      <c r="D2357" s="8">
        <v>256.95999999999998</v>
      </c>
    </row>
    <row r="2358" spans="1:4" x14ac:dyDescent="0.2">
      <c r="A2358" s="6">
        <v>3792</v>
      </c>
      <c r="B2358" s="5" t="s">
        <v>2399</v>
      </c>
      <c r="C2358" s="7" t="s">
        <v>10</v>
      </c>
      <c r="D2358" s="8">
        <v>355</v>
      </c>
    </row>
    <row r="2359" spans="1:4" x14ac:dyDescent="0.2">
      <c r="A2359" s="6">
        <v>3793</v>
      </c>
      <c r="B2359" s="5" t="s">
        <v>2400</v>
      </c>
      <c r="C2359" s="7" t="s">
        <v>10</v>
      </c>
      <c r="D2359" s="8">
        <v>307.25</v>
      </c>
    </row>
    <row r="2360" spans="1:4" x14ac:dyDescent="0.2">
      <c r="A2360" s="6">
        <v>3794</v>
      </c>
      <c r="B2360" s="5" t="s">
        <v>2401</v>
      </c>
      <c r="C2360" s="7" t="s">
        <v>10</v>
      </c>
      <c r="D2360" s="8">
        <v>307.25</v>
      </c>
    </row>
    <row r="2361" spans="1:4" x14ac:dyDescent="0.2">
      <c r="A2361" s="6">
        <v>3795</v>
      </c>
      <c r="B2361" s="5" t="s">
        <v>2402</v>
      </c>
      <c r="C2361" s="7" t="s">
        <v>52</v>
      </c>
      <c r="D2361" s="8">
        <v>187.61</v>
      </c>
    </row>
    <row r="2362" spans="1:4" x14ac:dyDescent="0.2">
      <c r="A2362" s="6">
        <v>3796</v>
      </c>
      <c r="B2362" s="5" t="s">
        <v>2403</v>
      </c>
      <c r="C2362" s="7" t="s">
        <v>52</v>
      </c>
      <c r="D2362" s="8">
        <v>178.68</v>
      </c>
    </row>
    <row r="2363" spans="1:4" x14ac:dyDescent="0.2">
      <c r="A2363" s="6">
        <v>3797</v>
      </c>
      <c r="B2363" s="5" t="s">
        <v>2404</v>
      </c>
      <c r="C2363" s="7" t="s">
        <v>52</v>
      </c>
      <c r="D2363" s="8">
        <v>187.614</v>
      </c>
    </row>
    <row r="2364" spans="1:4" x14ac:dyDescent="0.2">
      <c r="A2364" s="6">
        <v>3798</v>
      </c>
      <c r="B2364" s="5" t="s">
        <v>2405</v>
      </c>
      <c r="C2364" s="7" t="s">
        <v>10</v>
      </c>
      <c r="D2364" s="8">
        <v>307.25</v>
      </c>
    </row>
    <row r="2365" spans="1:4" x14ac:dyDescent="0.2">
      <c r="A2365" s="6">
        <v>3799</v>
      </c>
      <c r="B2365" s="5" t="s">
        <v>2406</v>
      </c>
      <c r="C2365" s="7" t="s">
        <v>64</v>
      </c>
      <c r="D2365" s="8">
        <v>553.07000000000005</v>
      </c>
    </row>
    <row r="2366" spans="1:4" x14ac:dyDescent="0.2">
      <c r="A2366" s="6">
        <v>3800</v>
      </c>
      <c r="B2366" s="5" t="s">
        <v>2407</v>
      </c>
      <c r="C2366" s="7" t="s">
        <v>10</v>
      </c>
      <c r="D2366" s="8">
        <v>307.25</v>
      </c>
    </row>
    <row r="2367" spans="1:4" x14ac:dyDescent="0.2">
      <c r="A2367" s="6">
        <v>3801</v>
      </c>
      <c r="B2367" s="5" t="s">
        <v>2408</v>
      </c>
      <c r="C2367" s="7" t="s">
        <v>10</v>
      </c>
      <c r="D2367" s="8">
        <v>307.25</v>
      </c>
    </row>
    <row r="2368" spans="1:4" x14ac:dyDescent="0.2">
      <c r="A2368" s="6">
        <v>3802</v>
      </c>
      <c r="B2368" s="5" t="s">
        <v>2409</v>
      </c>
      <c r="C2368" s="7" t="s">
        <v>10</v>
      </c>
      <c r="D2368" s="8">
        <v>307.25</v>
      </c>
    </row>
    <row r="2369" spans="1:4" x14ac:dyDescent="0.2">
      <c r="A2369" s="6">
        <v>3803</v>
      </c>
      <c r="B2369" s="5" t="s">
        <v>2410</v>
      </c>
      <c r="C2369" s="7" t="s">
        <v>10</v>
      </c>
      <c r="D2369" s="8">
        <v>307.25</v>
      </c>
    </row>
    <row r="2370" spans="1:4" x14ac:dyDescent="0.2">
      <c r="A2370" s="6">
        <v>3804</v>
      </c>
      <c r="B2370" s="5" t="s">
        <v>2411</v>
      </c>
      <c r="C2370" s="7" t="s">
        <v>64</v>
      </c>
      <c r="D2370" s="8">
        <v>553.07000000000005</v>
      </c>
    </row>
    <row r="2371" spans="1:4" x14ac:dyDescent="0.2">
      <c r="A2371" s="6">
        <v>3805</v>
      </c>
      <c r="B2371" s="5" t="s">
        <v>2412</v>
      </c>
      <c r="C2371" s="7" t="s">
        <v>64</v>
      </c>
      <c r="D2371" s="8">
        <v>553.07000000000005</v>
      </c>
    </row>
    <row r="2372" spans="1:4" x14ac:dyDescent="0.2">
      <c r="A2372" s="6">
        <v>3806</v>
      </c>
      <c r="B2372" s="5" t="s">
        <v>2413</v>
      </c>
      <c r="C2372" s="7" t="s">
        <v>64</v>
      </c>
      <c r="D2372" s="8">
        <v>553.07000000000005</v>
      </c>
    </row>
    <row r="2373" spans="1:4" x14ac:dyDescent="0.2">
      <c r="A2373" s="6">
        <v>3807</v>
      </c>
      <c r="B2373" s="5" t="s">
        <v>2414</v>
      </c>
      <c r="C2373" s="7" t="s">
        <v>10</v>
      </c>
      <c r="D2373" s="8">
        <v>307.25</v>
      </c>
    </row>
    <row r="2374" spans="1:4" x14ac:dyDescent="0.2">
      <c r="A2374" s="6">
        <v>3808</v>
      </c>
      <c r="B2374" s="5" t="s">
        <v>2415</v>
      </c>
      <c r="C2374" s="7" t="s">
        <v>10</v>
      </c>
      <c r="D2374" s="8">
        <v>307.25</v>
      </c>
    </row>
    <row r="2375" spans="1:4" x14ac:dyDescent="0.2">
      <c r="A2375" s="6">
        <v>3809</v>
      </c>
      <c r="B2375" s="5" t="s">
        <v>2416</v>
      </c>
      <c r="C2375" s="7" t="s">
        <v>10</v>
      </c>
      <c r="D2375" s="8">
        <v>307.25</v>
      </c>
    </row>
    <row r="2376" spans="1:4" x14ac:dyDescent="0.2">
      <c r="A2376" s="6">
        <v>3810</v>
      </c>
      <c r="B2376" s="5" t="s">
        <v>2417</v>
      </c>
      <c r="C2376" s="7" t="s">
        <v>64</v>
      </c>
      <c r="D2376" s="8">
        <v>553.07000000000005</v>
      </c>
    </row>
    <row r="2377" spans="1:4" x14ac:dyDescent="0.2">
      <c r="A2377" s="6">
        <v>3811</v>
      </c>
      <c r="B2377" s="5" t="s">
        <v>2418</v>
      </c>
      <c r="C2377" s="7" t="s">
        <v>10</v>
      </c>
      <c r="D2377" s="8">
        <v>307.25</v>
      </c>
    </row>
    <row r="2378" spans="1:4" x14ac:dyDescent="0.2">
      <c r="A2378" s="6">
        <v>3812</v>
      </c>
      <c r="B2378" s="5" t="s">
        <v>2419</v>
      </c>
      <c r="C2378" s="7" t="s">
        <v>10</v>
      </c>
      <c r="D2378" s="8">
        <v>307.25</v>
      </c>
    </row>
    <row r="2379" spans="1:4" x14ac:dyDescent="0.2">
      <c r="A2379" s="6">
        <v>3813</v>
      </c>
      <c r="B2379" s="5" t="s">
        <v>2420</v>
      </c>
      <c r="C2379" s="7" t="s">
        <v>10</v>
      </c>
      <c r="D2379" s="8">
        <v>307.25</v>
      </c>
    </row>
    <row r="2380" spans="1:4" x14ac:dyDescent="0.2">
      <c r="A2380" s="6">
        <v>3814</v>
      </c>
      <c r="B2380" s="5" t="s">
        <v>2421</v>
      </c>
      <c r="C2380" s="7" t="s">
        <v>10</v>
      </c>
      <c r="D2380" s="8">
        <v>307.25</v>
      </c>
    </row>
    <row r="2381" spans="1:4" x14ac:dyDescent="0.2">
      <c r="A2381" s="6">
        <v>3815</v>
      </c>
      <c r="B2381" s="5" t="s">
        <v>2422</v>
      </c>
      <c r="C2381" s="7" t="s">
        <v>64</v>
      </c>
      <c r="D2381" s="8">
        <v>553.07000000000005</v>
      </c>
    </row>
    <row r="2382" spans="1:4" x14ac:dyDescent="0.2">
      <c r="A2382" s="6">
        <v>3816</v>
      </c>
      <c r="B2382" s="5" t="s">
        <v>2423</v>
      </c>
      <c r="C2382" s="7" t="s">
        <v>10</v>
      </c>
      <c r="D2382" s="8">
        <v>307.25</v>
      </c>
    </row>
    <row r="2383" spans="1:4" x14ac:dyDescent="0.2">
      <c r="A2383" s="6">
        <v>3817</v>
      </c>
      <c r="B2383" s="5" t="s">
        <v>2424</v>
      </c>
      <c r="C2383" s="7" t="s">
        <v>10</v>
      </c>
      <c r="D2383" s="8">
        <v>307.25</v>
      </c>
    </row>
    <row r="2384" spans="1:4" x14ac:dyDescent="0.2">
      <c r="A2384" s="6">
        <v>3818</v>
      </c>
      <c r="B2384" s="5" t="s">
        <v>2425</v>
      </c>
      <c r="C2384" s="7" t="s">
        <v>10</v>
      </c>
      <c r="D2384" s="8">
        <v>307.25</v>
      </c>
    </row>
    <row r="2385" spans="1:4" x14ac:dyDescent="0.2">
      <c r="A2385" s="6">
        <v>3819</v>
      </c>
      <c r="B2385" s="5" t="s">
        <v>2426</v>
      </c>
      <c r="C2385" s="7" t="s">
        <v>64</v>
      </c>
      <c r="D2385" s="8">
        <v>553.07000000000005</v>
      </c>
    </row>
    <row r="2386" spans="1:4" x14ac:dyDescent="0.2">
      <c r="A2386" s="6">
        <v>3820</v>
      </c>
      <c r="B2386" s="5" t="s">
        <v>2427</v>
      </c>
      <c r="C2386" s="7" t="s">
        <v>64</v>
      </c>
      <c r="D2386" s="8">
        <v>638.79999999999995</v>
      </c>
    </row>
    <row r="2387" spans="1:4" x14ac:dyDescent="0.2">
      <c r="A2387" s="6">
        <v>3821</v>
      </c>
      <c r="B2387" s="5" t="s">
        <v>2428</v>
      </c>
      <c r="C2387" s="7" t="s">
        <v>10</v>
      </c>
      <c r="D2387" s="8">
        <v>307.25</v>
      </c>
    </row>
    <row r="2388" spans="1:4" x14ac:dyDescent="0.2">
      <c r="A2388" s="6">
        <v>3822</v>
      </c>
      <c r="B2388" s="5" t="s">
        <v>2429</v>
      </c>
      <c r="C2388" s="7" t="s">
        <v>10</v>
      </c>
      <c r="D2388" s="8">
        <v>307.25</v>
      </c>
    </row>
    <row r="2389" spans="1:4" x14ac:dyDescent="0.2">
      <c r="A2389" s="6">
        <v>3823</v>
      </c>
      <c r="B2389" s="5" t="s">
        <v>2430</v>
      </c>
      <c r="C2389" s="7" t="s">
        <v>64</v>
      </c>
      <c r="D2389" s="8">
        <v>553.07000000000005</v>
      </c>
    </row>
    <row r="2390" spans="1:4" x14ac:dyDescent="0.2">
      <c r="A2390" s="6">
        <v>3824</v>
      </c>
      <c r="B2390" s="5" t="s">
        <v>2431</v>
      </c>
      <c r="C2390" s="7" t="s">
        <v>10</v>
      </c>
      <c r="D2390" s="8">
        <v>307.25</v>
      </c>
    </row>
    <row r="2391" spans="1:4" x14ac:dyDescent="0.2">
      <c r="A2391" s="6">
        <v>3825</v>
      </c>
      <c r="B2391" s="5" t="s">
        <v>2432</v>
      </c>
      <c r="C2391" s="7" t="s">
        <v>64</v>
      </c>
      <c r="D2391" s="8">
        <v>553.07000000000005</v>
      </c>
    </row>
    <row r="2392" spans="1:4" x14ac:dyDescent="0.2">
      <c r="A2392" s="6">
        <v>3826</v>
      </c>
      <c r="B2392" s="5" t="s">
        <v>2433</v>
      </c>
      <c r="C2392" s="7" t="s">
        <v>10</v>
      </c>
      <c r="D2392" s="8">
        <v>307.25</v>
      </c>
    </row>
    <row r="2393" spans="1:4" x14ac:dyDescent="0.2">
      <c r="A2393" s="6">
        <v>3827</v>
      </c>
      <c r="B2393" s="5" t="s">
        <v>2434</v>
      </c>
      <c r="C2393" s="7" t="s">
        <v>10</v>
      </c>
      <c r="D2393" s="8">
        <v>307.25</v>
      </c>
    </row>
    <row r="2394" spans="1:4" x14ac:dyDescent="0.2">
      <c r="A2394" s="6">
        <v>3828</v>
      </c>
      <c r="B2394" s="5" t="s">
        <v>2435</v>
      </c>
      <c r="C2394" s="7" t="s">
        <v>64</v>
      </c>
      <c r="D2394" s="8">
        <v>553.07000000000005</v>
      </c>
    </row>
    <row r="2395" spans="1:4" x14ac:dyDescent="0.2">
      <c r="A2395" s="6">
        <v>3829</v>
      </c>
      <c r="B2395" s="5" t="s">
        <v>2436</v>
      </c>
      <c r="C2395" s="7" t="s">
        <v>10</v>
      </c>
      <c r="D2395" s="8">
        <v>307.25</v>
      </c>
    </row>
    <row r="2396" spans="1:4" x14ac:dyDescent="0.2">
      <c r="A2396" s="6">
        <v>3830</v>
      </c>
      <c r="B2396" s="5" t="s">
        <v>2437</v>
      </c>
      <c r="C2396" s="7" t="s">
        <v>10</v>
      </c>
      <c r="D2396" s="8">
        <v>307.25</v>
      </c>
    </row>
    <row r="2397" spans="1:4" x14ac:dyDescent="0.2">
      <c r="A2397" s="6">
        <v>3831</v>
      </c>
      <c r="B2397" s="5" t="s">
        <v>2438</v>
      </c>
      <c r="C2397" s="7" t="s">
        <v>64</v>
      </c>
      <c r="D2397" s="8">
        <v>553.07000000000005</v>
      </c>
    </row>
    <row r="2398" spans="1:4" x14ac:dyDescent="0.2">
      <c r="A2398" s="6">
        <v>3832</v>
      </c>
      <c r="B2398" s="5" t="s">
        <v>2439</v>
      </c>
      <c r="C2398" s="7" t="s">
        <v>10</v>
      </c>
      <c r="D2398" s="8">
        <v>307.25</v>
      </c>
    </row>
    <row r="2399" spans="1:4" x14ac:dyDescent="0.2">
      <c r="A2399" s="6">
        <v>3833</v>
      </c>
      <c r="B2399" s="5" t="s">
        <v>2440</v>
      </c>
      <c r="C2399" s="7" t="s">
        <v>64</v>
      </c>
      <c r="D2399" s="8">
        <v>553.07000000000005</v>
      </c>
    </row>
    <row r="2400" spans="1:4" x14ac:dyDescent="0.2">
      <c r="A2400" s="6">
        <v>3834</v>
      </c>
      <c r="B2400" s="5" t="s">
        <v>2441</v>
      </c>
      <c r="C2400" s="7" t="s">
        <v>10</v>
      </c>
      <c r="D2400" s="8">
        <v>307.25</v>
      </c>
    </row>
    <row r="2401" spans="1:4" x14ac:dyDescent="0.2">
      <c r="A2401" s="6">
        <v>3835</v>
      </c>
      <c r="B2401" s="5" t="s">
        <v>2442</v>
      </c>
      <c r="C2401" s="7" t="s">
        <v>10</v>
      </c>
      <c r="D2401" s="8">
        <v>307.25</v>
      </c>
    </row>
    <row r="2402" spans="1:4" x14ac:dyDescent="0.2">
      <c r="A2402" s="6">
        <v>3836</v>
      </c>
      <c r="B2402" s="5" t="s">
        <v>2443</v>
      </c>
      <c r="C2402" s="7" t="s">
        <v>10</v>
      </c>
      <c r="D2402" s="8">
        <v>307.25</v>
      </c>
    </row>
    <row r="2403" spans="1:4" x14ac:dyDescent="0.2">
      <c r="A2403" s="6">
        <v>3837</v>
      </c>
      <c r="B2403" s="5" t="s">
        <v>2444</v>
      </c>
      <c r="C2403" s="7" t="s">
        <v>10</v>
      </c>
      <c r="D2403" s="8">
        <v>307.25</v>
      </c>
    </row>
    <row r="2404" spans="1:4" x14ac:dyDescent="0.2">
      <c r="A2404" s="6">
        <v>3838</v>
      </c>
      <c r="B2404" s="5" t="s">
        <v>2445</v>
      </c>
      <c r="C2404" s="7" t="s">
        <v>10</v>
      </c>
      <c r="D2404" s="8">
        <v>307.25</v>
      </c>
    </row>
    <row r="2405" spans="1:4" x14ac:dyDescent="0.2">
      <c r="A2405" s="6">
        <v>3839</v>
      </c>
      <c r="B2405" s="5" t="s">
        <v>2446</v>
      </c>
      <c r="C2405" s="7" t="s">
        <v>64</v>
      </c>
      <c r="D2405" s="8">
        <v>638.79999999999995</v>
      </c>
    </row>
    <row r="2406" spans="1:4" x14ac:dyDescent="0.2">
      <c r="A2406" s="6">
        <v>3840</v>
      </c>
      <c r="B2406" s="5" t="s">
        <v>2447</v>
      </c>
      <c r="C2406" s="7" t="s">
        <v>64</v>
      </c>
      <c r="D2406" s="8">
        <v>553.07000000000005</v>
      </c>
    </row>
    <row r="2407" spans="1:4" x14ac:dyDescent="0.2">
      <c r="A2407" s="6">
        <v>3841</v>
      </c>
      <c r="B2407" s="5" t="s">
        <v>2448</v>
      </c>
      <c r="C2407" s="7" t="s">
        <v>10</v>
      </c>
      <c r="D2407" s="8">
        <v>307.25</v>
      </c>
    </row>
    <row r="2408" spans="1:4" x14ac:dyDescent="0.2">
      <c r="A2408" s="6">
        <v>3842</v>
      </c>
      <c r="B2408" s="5" t="s">
        <v>2449</v>
      </c>
      <c r="C2408" s="7" t="s">
        <v>10</v>
      </c>
      <c r="D2408" s="8">
        <v>307.25</v>
      </c>
    </row>
    <row r="2409" spans="1:4" x14ac:dyDescent="0.2">
      <c r="A2409" s="6">
        <v>3843</v>
      </c>
      <c r="B2409" s="5" t="s">
        <v>2450</v>
      </c>
      <c r="C2409" s="7" t="s">
        <v>64</v>
      </c>
      <c r="D2409" s="8">
        <v>553.07000000000005</v>
      </c>
    </row>
    <row r="2410" spans="1:4" x14ac:dyDescent="0.2">
      <c r="A2410" s="6">
        <v>3844</v>
      </c>
      <c r="B2410" s="5" t="s">
        <v>2451</v>
      </c>
      <c r="C2410" s="7" t="s">
        <v>10</v>
      </c>
      <c r="D2410" s="8">
        <v>337.98</v>
      </c>
    </row>
    <row r="2411" spans="1:4" x14ac:dyDescent="0.2">
      <c r="A2411" s="6">
        <v>3845</v>
      </c>
      <c r="B2411" s="5" t="s">
        <v>2452</v>
      </c>
      <c r="C2411" s="7" t="s">
        <v>10</v>
      </c>
      <c r="D2411" s="8">
        <v>307.25</v>
      </c>
    </row>
    <row r="2412" spans="1:4" x14ac:dyDescent="0.2">
      <c r="A2412" s="6">
        <v>3846</v>
      </c>
      <c r="B2412" s="5" t="s">
        <v>2453</v>
      </c>
      <c r="C2412" s="7" t="s">
        <v>10</v>
      </c>
      <c r="D2412" s="8">
        <v>307.25</v>
      </c>
    </row>
    <row r="2413" spans="1:4" x14ac:dyDescent="0.2">
      <c r="A2413" s="6">
        <v>3847</v>
      </c>
      <c r="B2413" s="5" t="s">
        <v>2454</v>
      </c>
      <c r="C2413" s="7" t="s">
        <v>10</v>
      </c>
      <c r="D2413" s="8">
        <v>307.25</v>
      </c>
    </row>
    <row r="2414" spans="1:4" x14ac:dyDescent="0.2">
      <c r="A2414" s="6">
        <v>3848</v>
      </c>
      <c r="B2414" s="5" t="s">
        <v>2455</v>
      </c>
      <c r="C2414" s="7" t="s">
        <v>10</v>
      </c>
      <c r="D2414" s="8">
        <v>307.25</v>
      </c>
    </row>
    <row r="2415" spans="1:4" x14ac:dyDescent="0.2">
      <c r="A2415" s="6">
        <v>3849</v>
      </c>
      <c r="B2415" s="5" t="s">
        <v>2456</v>
      </c>
      <c r="C2415" s="7" t="s">
        <v>64</v>
      </c>
      <c r="D2415" s="8">
        <v>553.07000000000005</v>
      </c>
    </row>
    <row r="2416" spans="1:4" x14ac:dyDescent="0.2">
      <c r="A2416" s="6">
        <v>3850</v>
      </c>
      <c r="B2416" s="5" t="s">
        <v>2457</v>
      </c>
      <c r="C2416" s="7" t="s">
        <v>64</v>
      </c>
      <c r="D2416" s="8">
        <v>638.79999999999995</v>
      </c>
    </row>
    <row r="2417" spans="1:4" x14ac:dyDescent="0.2">
      <c r="A2417" s="6">
        <v>3851</v>
      </c>
      <c r="B2417" s="5" t="s">
        <v>2458</v>
      </c>
      <c r="C2417" s="7" t="s">
        <v>10</v>
      </c>
      <c r="D2417" s="8">
        <v>307.25</v>
      </c>
    </row>
    <row r="2418" spans="1:4" x14ac:dyDescent="0.2">
      <c r="A2418" s="6">
        <v>3852</v>
      </c>
      <c r="B2418" s="5" t="s">
        <v>2459</v>
      </c>
      <c r="C2418" s="7" t="s">
        <v>64</v>
      </c>
      <c r="D2418" s="8">
        <v>553.07000000000005</v>
      </c>
    </row>
    <row r="2419" spans="1:4" x14ac:dyDescent="0.2">
      <c r="A2419" s="6">
        <v>3853</v>
      </c>
      <c r="B2419" s="5" t="s">
        <v>2460</v>
      </c>
      <c r="C2419" s="7" t="s">
        <v>10</v>
      </c>
      <c r="D2419" s="8">
        <v>307.25</v>
      </c>
    </row>
    <row r="2420" spans="1:4" x14ac:dyDescent="0.2">
      <c r="A2420" s="6">
        <v>3854</v>
      </c>
      <c r="B2420" s="5" t="s">
        <v>2461</v>
      </c>
      <c r="C2420" s="7" t="s">
        <v>10</v>
      </c>
      <c r="D2420" s="8">
        <v>307.25</v>
      </c>
    </row>
    <row r="2421" spans="1:4" x14ac:dyDescent="0.2">
      <c r="A2421" s="6">
        <v>3855</v>
      </c>
      <c r="B2421" s="5" t="s">
        <v>2462</v>
      </c>
      <c r="C2421" s="7" t="s">
        <v>10</v>
      </c>
      <c r="D2421" s="8">
        <v>307.25</v>
      </c>
    </row>
    <row r="2422" spans="1:4" x14ac:dyDescent="0.2">
      <c r="A2422" s="6">
        <v>3856</v>
      </c>
      <c r="B2422" s="5" t="s">
        <v>2463</v>
      </c>
      <c r="C2422" s="7" t="s">
        <v>10</v>
      </c>
      <c r="D2422" s="8">
        <v>307.25</v>
      </c>
    </row>
    <row r="2423" spans="1:4" x14ac:dyDescent="0.2">
      <c r="A2423" s="6">
        <v>3857</v>
      </c>
      <c r="B2423" s="5" t="s">
        <v>2464</v>
      </c>
      <c r="C2423" s="7" t="s">
        <v>10</v>
      </c>
      <c r="D2423" s="8">
        <v>307.25</v>
      </c>
    </row>
    <row r="2424" spans="1:4" x14ac:dyDescent="0.2">
      <c r="A2424" s="6">
        <v>3858</v>
      </c>
      <c r="B2424" s="5" t="s">
        <v>2465</v>
      </c>
      <c r="C2424" s="7" t="s">
        <v>10</v>
      </c>
      <c r="D2424" s="8">
        <v>307.25</v>
      </c>
    </row>
    <row r="2425" spans="1:4" x14ac:dyDescent="0.2">
      <c r="A2425" s="6">
        <v>3859</v>
      </c>
      <c r="B2425" s="5" t="s">
        <v>2466</v>
      </c>
      <c r="C2425" s="7" t="s">
        <v>64</v>
      </c>
      <c r="D2425" s="8">
        <v>638.79999999999995</v>
      </c>
    </row>
    <row r="2426" spans="1:4" x14ac:dyDescent="0.2">
      <c r="A2426" s="6">
        <v>3860</v>
      </c>
      <c r="B2426" s="5" t="s">
        <v>2467</v>
      </c>
      <c r="C2426" s="7" t="s">
        <v>10</v>
      </c>
      <c r="D2426" s="8">
        <v>307.25</v>
      </c>
    </row>
    <row r="2427" spans="1:4" x14ac:dyDescent="0.2">
      <c r="A2427" s="6">
        <v>3861</v>
      </c>
      <c r="B2427" s="5" t="s">
        <v>2468</v>
      </c>
      <c r="C2427" s="7" t="s">
        <v>10</v>
      </c>
      <c r="D2427" s="8">
        <v>307.25</v>
      </c>
    </row>
    <row r="2428" spans="1:4" x14ac:dyDescent="0.2">
      <c r="A2428" s="6">
        <v>3862</v>
      </c>
      <c r="B2428" s="5" t="s">
        <v>2469</v>
      </c>
      <c r="C2428" s="7" t="s">
        <v>10</v>
      </c>
      <c r="D2428" s="8">
        <v>307.25</v>
      </c>
    </row>
    <row r="2429" spans="1:4" x14ac:dyDescent="0.2">
      <c r="A2429" s="6">
        <v>3863</v>
      </c>
      <c r="B2429" s="5" t="s">
        <v>2470</v>
      </c>
      <c r="C2429" s="7" t="s">
        <v>64</v>
      </c>
      <c r="D2429" s="8">
        <v>553.07000000000005</v>
      </c>
    </row>
    <row r="2430" spans="1:4" x14ac:dyDescent="0.2">
      <c r="A2430" s="6">
        <v>3864</v>
      </c>
      <c r="B2430" s="5" t="s">
        <v>2471</v>
      </c>
      <c r="C2430" s="7" t="s">
        <v>10</v>
      </c>
      <c r="D2430" s="8">
        <v>307.25</v>
      </c>
    </row>
    <row r="2431" spans="1:4" x14ac:dyDescent="0.2">
      <c r="A2431" s="6">
        <v>3865</v>
      </c>
      <c r="B2431" s="5" t="s">
        <v>2472</v>
      </c>
      <c r="C2431" s="7" t="s">
        <v>64</v>
      </c>
      <c r="D2431" s="8">
        <v>553.07000000000005</v>
      </c>
    </row>
    <row r="2432" spans="1:4" x14ac:dyDescent="0.2">
      <c r="A2432" s="6">
        <v>3866</v>
      </c>
      <c r="B2432" s="5" t="s">
        <v>2473</v>
      </c>
      <c r="C2432" s="7" t="s">
        <v>10</v>
      </c>
      <c r="D2432" s="8">
        <v>307.25</v>
      </c>
    </row>
    <row r="2433" spans="1:4" x14ac:dyDescent="0.2">
      <c r="A2433" s="6">
        <v>3867</v>
      </c>
      <c r="B2433" s="5" t="s">
        <v>2474</v>
      </c>
      <c r="C2433" s="7" t="s">
        <v>64</v>
      </c>
      <c r="D2433" s="8">
        <v>553.07000000000005</v>
      </c>
    </row>
    <row r="2434" spans="1:4" x14ac:dyDescent="0.2">
      <c r="A2434" s="6">
        <v>3868</v>
      </c>
      <c r="B2434" s="5" t="s">
        <v>2475</v>
      </c>
      <c r="C2434" s="7" t="s">
        <v>10</v>
      </c>
      <c r="D2434" s="8">
        <v>307.25</v>
      </c>
    </row>
    <row r="2435" spans="1:4" x14ac:dyDescent="0.2">
      <c r="A2435" s="6">
        <v>3869</v>
      </c>
      <c r="B2435" s="5" t="s">
        <v>2476</v>
      </c>
      <c r="C2435" s="7" t="s">
        <v>10</v>
      </c>
      <c r="D2435" s="8">
        <v>307.25</v>
      </c>
    </row>
    <row r="2436" spans="1:4" x14ac:dyDescent="0.2">
      <c r="A2436" s="6">
        <v>3870</v>
      </c>
      <c r="B2436" s="5" t="s">
        <v>2477</v>
      </c>
      <c r="C2436" s="7" t="s">
        <v>10</v>
      </c>
      <c r="D2436" s="8">
        <v>355</v>
      </c>
    </row>
    <row r="2437" spans="1:4" x14ac:dyDescent="0.2">
      <c r="A2437" s="6">
        <v>3871</v>
      </c>
      <c r="B2437" s="5" t="s">
        <v>2478</v>
      </c>
      <c r="C2437" s="7" t="s">
        <v>10</v>
      </c>
      <c r="D2437" s="8">
        <v>307.25</v>
      </c>
    </row>
    <row r="2438" spans="1:4" x14ac:dyDescent="0.2">
      <c r="A2438" s="6">
        <v>3872</v>
      </c>
      <c r="B2438" s="5" t="s">
        <v>2479</v>
      </c>
      <c r="C2438" s="7" t="s">
        <v>10</v>
      </c>
      <c r="D2438" s="8">
        <v>354.88</v>
      </c>
    </row>
    <row r="2439" spans="1:4" x14ac:dyDescent="0.2">
      <c r="A2439" s="6">
        <v>3873</v>
      </c>
      <c r="B2439" s="5" t="s">
        <v>2480</v>
      </c>
      <c r="C2439" s="7" t="s">
        <v>64</v>
      </c>
      <c r="D2439" s="8">
        <v>553.07000000000005</v>
      </c>
    </row>
    <row r="2440" spans="1:4" x14ac:dyDescent="0.2">
      <c r="A2440" s="6">
        <v>3874</v>
      </c>
      <c r="B2440" s="5" t="s">
        <v>2481</v>
      </c>
      <c r="C2440" s="7" t="s">
        <v>10</v>
      </c>
      <c r="D2440" s="8">
        <v>307.25</v>
      </c>
    </row>
    <row r="2441" spans="1:4" x14ac:dyDescent="0.2">
      <c r="A2441" s="6">
        <v>3875</v>
      </c>
      <c r="B2441" s="5" t="s">
        <v>2482</v>
      </c>
      <c r="C2441" s="7" t="s">
        <v>10</v>
      </c>
      <c r="D2441" s="8">
        <v>277.89</v>
      </c>
    </row>
    <row r="2442" spans="1:4" x14ac:dyDescent="0.2">
      <c r="A2442" s="6">
        <v>3876</v>
      </c>
      <c r="B2442" s="5" t="s">
        <v>2483</v>
      </c>
      <c r="C2442" s="7" t="s">
        <v>10</v>
      </c>
      <c r="D2442" s="8">
        <v>307.25</v>
      </c>
    </row>
    <row r="2443" spans="1:4" x14ac:dyDescent="0.2">
      <c r="A2443" s="6">
        <v>3877</v>
      </c>
      <c r="B2443" s="5" t="s">
        <v>2484</v>
      </c>
      <c r="C2443" s="7" t="s">
        <v>10</v>
      </c>
      <c r="D2443" s="8">
        <v>307.25</v>
      </c>
    </row>
    <row r="2444" spans="1:4" x14ac:dyDescent="0.2">
      <c r="A2444" s="6">
        <v>3878</v>
      </c>
      <c r="B2444" s="5" t="s">
        <v>2485</v>
      </c>
      <c r="C2444" s="7" t="s">
        <v>10</v>
      </c>
      <c r="D2444" s="8">
        <v>307.25</v>
      </c>
    </row>
    <row r="2445" spans="1:4" x14ac:dyDescent="0.2">
      <c r="A2445" s="6">
        <v>3879</v>
      </c>
      <c r="B2445" s="5" t="s">
        <v>2486</v>
      </c>
      <c r="C2445" s="7" t="s">
        <v>10</v>
      </c>
      <c r="D2445" s="8">
        <v>307.25</v>
      </c>
    </row>
    <row r="2446" spans="1:4" x14ac:dyDescent="0.2">
      <c r="A2446" s="6">
        <v>3880</v>
      </c>
      <c r="B2446" s="5" t="s">
        <v>2487</v>
      </c>
      <c r="C2446" s="7" t="s">
        <v>64</v>
      </c>
      <c r="D2446" s="8">
        <v>553.07000000000005</v>
      </c>
    </row>
    <row r="2447" spans="1:4" x14ac:dyDescent="0.2">
      <c r="A2447" s="6">
        <v>3881</v>
      </c>
      <c r="B2447" s="5" t="s">
        <v>2488</v>
      </c>
      <c r="C2447" s="7" t="s">
        <v>10</v>
      </c>
      <c r="D2447" s="8">
        <v>307.25</v>
      </c>
    </row>
    <row r="2448" spans="1:4" x14ac:dyDescent="0.2">
      <c r="A2448" s="6">
        <v>3882</v>
      </c>
      <c r="B2448" s="5" t="s">
        <v>2489</v>
      </c>
      <c r="C2448" s="7" t="s">
        <v>10</v>
      </c>
      <c r="D2448" s="8">
        <v>307.25</v>
      </c>
    </row>
    <row r="2449" spans="1:4" x14ac:dyDescent="0.2">
      <c r="A2449" s="6">
        <v>3883</v>
      </c>
      <c r="B2449" s="5" t="s">
        <v>2490</v>
      </c>
      <c r="C2449" s="7" t="s">
        <v>10</v>
      </c>
      <c r="D2449" s="8">
        <v>355</v>
      </c>
    </row>
    <row r="2450" spans="1:4" x14ac:dyDescent="0.2">
      <c r="A2450" s="6">
        <v>3884</v>
      </c>
      <c r="B2450" s="5" t="s">
        <v>2491</v>
      </c>
      <c r="C2450" s="7" t="s">
        <v>10</v>
      </c>
      <c r="D2450" s="8">
        <v>307.25</v>
      </c>
    </row>
    <row r="2451" spans="1:4" x14ac:dyDescent="0.2">
      <c r="A2451" s="6">
        <v>3885</v>
      </c>
      <c r="B2451" s="5" t="s">
        <v>2492</v>
      </c>
      <c r="C2451" s="7" t="s">
        <v>10</v>
      </c>
      <c r="D2451" s="8">
        <v>307.25</v>
      </c>
    </row>
    <row r="2452" spans="1:4" x14ac:dyDescent="0.2">
      <c r="A2452" s="6">
        <v>3886</v>
      </c>
      <c r="B2452" s="5" t="s">
        <v>2493</v>
      </c>
      <c r="C2452" s="7" t="s">
        <v>10</v>
      </c>
      <c r="D2452" s="8">
        <v>307.25</v>
      </c>
    </row>
    <row r="2453" spans="1:4" x14ac:dyDescent="0.2">
      <c r="A2453" s="6">
        <v>3887</v>
      </c>
      <c r="B2453" s="5" t="s">
        <v>2494</v>
      </c>
      <c r="C2453" s="7" t="s">
        <v>10</v>
      </c>
      <c r="D2453" s="8">
        <v>307.25</v>
      </c>
    </row>
    <row r="2454" spans="1:4" x14ac:dyDescent="0.2">
      <c r="A2454" s="6">
        <v>3888</v>
      </c>
      <c r="B2454" s="5" t="s">
        <v>2495</v>
      </c>
      <c r="C2454" s="7" t="s">
        <v>10</v>
      </c>
      <c r="D2454" s="8">
        <v>307.25</v>
      </c>
    </row>
    <row r="2455" spans="1:4" x14ac:dyDescent="0.2">
      <c r="A2455" s="6">
        <v>3889</v>
      </c>
      <c r="B2455" s="5" t="s">
        <v>2496</v>
      </c>
      <c r="C2455" s="7" t="s">
        <v>10</v>
      </c>
      <c r="D2455" s="8">
        <v>307.25</v>
      </c>
    </row>
    <row r="2456" spans="1:4" x14ac:dyDescent="0.2">
      <c r="A2456" s="6">
        <v>3890</v>
      </c>
      <c r="B2456" s="5" t="s">
        <v>2497</v>
      </c>
      <c r="C2456" s="7" t="s">
        <v>10</v>
      </c>
      <c r="D2456" s="8">
        <v>307.25</v>
      </c>
    </row>
    <row r="2457" spans="1:4" x14ac:dyDescent="0.2">
      <c r="A2457" s="6">
        <v>3891</v>
      </c>
      <c r="B2457" s="5" t="s">
        <v>2498</v>
      </c>
      <c r="C2457" s="7" t="s">
        <v>10</v>
      </c>
      <c r="D2457" s="8">
        <v>307.25</v>
      </c>
    </row>
    <row r="2458" spans="1:4" x14ac:dyDescent="0.2">
      <c r="A2458" s="6">
        <v>3892</v>
      </c>
      <c r="B2458" s="5" t="s">
        <v>2499</v>
      </c>
      <c r="C2458" s="7" t="s">
        <v>64</v>
      </c>
      <c r="D2458" s="8">
        <v>553.07000000000005</v>
      </c>
    </row>
    <row r="2459" spans="1:4" x14ac:dyDescent="0.2">
      <c r="A2459" s="6">
        <v>3893</v>
      </c>
      <c r="B2459" s="5" t="s">
        <v>2500</v>
      </c>
      <c r="C2459" s="7" t="s">
        <v>10</v>
      </c>
      <c r="D2459" s="8">
        <v>307.25</v>
      </c>
    </row>
    <row r="2460" spans="1:4" x14ac:dyDescent="0.2">
      <c r="A2460" s="6">
        <v>3894</v>
      </c>
      <c r="B2460" s="5" t="s">
        <v>2501</v>
      </c>
      <c r="C2460" s="7" t="s">
        <v>10</v>
      </c>
      <c r="D2460" s="8">
        <v>307.25</v>
      </c>
    </row>
    <row r="2461" spans="1:4" x14ac:dyDescent="0.2">
      <c r="A2461" s="6">
        <v>3895</v>
      </c>
      <c r="B2461" s="5" t="s">
        <v>2502</v>
      </c>
      <c r="C2461" s="7" t="s">
        <v>10</v>
      </c>
      <c r="D2461" s="8">
        <v>307.25</v>
      </c>
    </row>
    <row r="2462" spans="1:4" x14ac:dyDescent="0.2">
      <c r="A2462" s="6">
        <v>3896</v>
      </c>
      <c r="B2462" s="5" t="s">
        <v>2503</v>
      </c>
      <c r="C2462" s="7" t="s">
        <v>10</v>
      </c>
      <c r="D2462" s="8">
        <v>307.25</v>
      </c>
    </row>
    <row r="2463" spans="1:4" x14ac:dyDescent="0.2">
      <c r="A2463" s="6">
        <v>3897</v>
      </c>
      <c r="B2463" s="5" t="s">
        <v>2504</v>
      </c>
      <c r="C2463" s="7" t="s">
        <v>10</v>
      </c>
      <c r="D2463" s="8">
        <v>307.25</v>
      </c>
    </row>
    <row r="2464" spans="1:4" x14ac:dyDescent="0.2">
      <c r="A2464" s="6">
        <v>3898</v>
      </c>
      <c r="B2464" s="5" t="s">
        <v>2505</v>
      </c>
      <c r="C2464" s="7" t="s">
        <v>10</v>
      </c>
      <c r="D2464" s="8">
        <v>307.25</v>
      </c>
    </row>
    <row r="2465" spans="1:4" x14ac:dyDescent="0.2">
      <c r="A2465" s="6">
        <v>3899</v>
      </c>
      <c r="B2465" s="5" t="s">
        <v>2506</v>
      </c>
      <c r="C2465" s="7" t="s">
        <v>10</v>
      </c>
      <c r="D2465" s="8">
        <v>307.25</v>
      </c>
    </row>
    <row r="2466" spans="1:4" x14ac:dyDescent="0.2">
      <c r="A2466" s="6">
        <v>3900</v>
      </c>
      <c r="B2466" s="5" t="s">
        <v>2507</v>
      </c>
      <c r="C2466" s="7" t="s">
        <v>10</v>
      </c>
      <c r="D2466" s="8">
        <v>307.25</v>
      </c>
    </row>
    <row r="2467" spans="1:4" x14ac:dyDescent="0.2">
      <c r="A2467" s="6">
        <v>3901</v>
      </c>
      <c r="B2467" s="5" t="s">
        <v>2508</v>
      </c>
      <c r="C2467" s="7" t="s">
        <v>10</v>
      </c>
      <c r="D2467" s="8">
        <v>307.25</v>
      </c>
    </row>
    <row r="2468" spans="1:4" x14ac:dyDescent="0.2">
      <c r="A2468" s="6">
        <v>3902</v>
      </c>
      <c r="B2468" s="5" t="s">
        <v>2509</v>
      </c>
      <c r="C2468" s="7" t="s">
        <v>10</v>
      </c>
      <c r="D2468" s="8">
        <v>307.25</v>
      </c>
    </row>
    <row r="2469" spans="1:4" x14ac:dyDescent="0.2">
      <c r="A2469" s="6">
        <v>3903</v>
      </c>
      <c r="B2469" s="5" t="s">
        <v>2510</v>
      </c>
      <c r="C2469" s="7" t="s">
        <v>10</v>
      </c>
      <c r="D2469" s="8">
        <v>307.25</v>
      </c>
    </row>
    <row r="2470" spans="1:4" x14ac:dyDescent="0.2">
      <c r="A2470" s="6">
        <v>3904</v>
      </c>
      <c r="B2470" s="5" t="s">
        <v>2511</v>
      </c>
      <c r="C2470" s="7" t="s">
        <v>10</v>
      </c>
      <c r="D2470" s="8">
        <v>307.25</v>
      </c>
    </row>
    <row r="2471" spans="1:4" x14ac:dyDescent="0.2">
      <c r="A2471" s="6">
        <v>3905</v>
      </c>
      <c r="B2471" s="5" t="s">
        <v>2512</v>
      </c>
      <c r="C2471" s="7" t="s">
        <v>10</v>
      </c>
      <c r="D2471" s="8">
        <v>307.25</v>
      </c>
    </row>
    <row r="2472" spans="1:4" x14ac:dyDescent="0.2">
      <c r="A2472" s="6">
        <v>3906</v>
      </c>
      <c r="B2472" s="5" t="s">
        <v>2513</v>
      </c>
      <c r="C2472" s="7" t="s">
        <v>64</v>
      </c>
      <c r="D2472" s="8">
        <v>553.07000000000005</v>
      </c>
    </row>
    <row r="2473" spans="1:4" x14ac:dyDescent="0.2">
      <c r="A2473" s="6">
        <v>3907</v>
      </c>
      <c r="B2473" s="5" t="s">
        <v>2514</v>
      </c>
      <c r="C2473" s="7" t="s">
        <v>10</v>
      </c>
      <c r="D2473" s="8">
        <v>307.25</v>
      </c>
    </row>
    <row r="2474" spans="1:4" x14ac:dyDescent="0.2">
      <c r="A2474" s="6">
        <v>3908</v>
      </c>
      <c r="B2474" s="5" t="s">
        <v>2515</v>
      </c>
      <c r="C2474" s="7" t="s">
        <v>10</v>
      </c>
      <c r="D2474" s="8">
        <v>307.25</v>
      </c>
    </row>
    <row r="2475" spans="1:4" x14ac:dyDescent="0.2">
      <c r="A2475" s="6">
        <v>3909</v>
      </c>
      <c r="B2475" s="5" t="s">
        <v>2516</v>
      </c>
      <c r="C2475" s="7" t="s">
        <v>10</v>
      </c>
      <c r="D2475" s="8">
        <v>307.25</v>
      </c>
    </row>
    <row r="2476" spans="1:4" x14ac:dyDescent="0.2">
      <c r="A2476" s="6">
        <v>3910</v>
      </c>
      <c r="B2476" s="5" t="s">
        <v>2517</v>
      </c>
      <c r="C2476" s="7" t="s">
        <v>64</v>
      </c>
      <c r="D2476" s="8">
        <v>553.07000000000005</v>
      </c>
    </row>
    <row r="2477" spans="1:4" x14ac:dyDescent="0.2">
      <c r="A2477" s="6">
        <v>3911</v>
      </c>
      <c r="B2477" s="5" t="s">
        <v>2518</v>
      </c>
      <c r="C2477" s="7" t="s">
        <v>579</v>
      </c>
      <c r="D2477" s="8">
        <v>248.16</v>
      </c>
    </row>
    <row r="2478" spans="1:4" x14ac:dyDescent="0.2">
      <c r="A2478" s="6">
        <v>3912</v>
      </c>
      <c r="B2478" s="5" t="s">
        <v>2519</v>
      </c>
      <c r="C2478" s="7" t="s">
        <v>579</v>
      </c>
      <c r="D2478" s="8">
        <v>236.25</v>
      </c>
    </row>
    <row r="2479" spans="1:4" x14ac:dyDescent="0.2">
      <c r="A2479" s="6">
        <v>3913</v>
      </c>
      <c r="B2479" s="5" t="s">
        <v>2520</v>
      </c>
      <c r="C2479" s="7" t="s">
        <v>64</v>
      </c>
      <c r="D2479" s="8">
        <v>553.07000000000005</v>
      </c>
    </row>
    <row r="2480" spans="1:4" x14ac:dyDescent="0.2">
      <c r="A2480" s="6">
        <v>3914</v>
      </c>
      <c r="B2480" s="5" t="s">
        <v>2521</v>
      </c>
      <c r="C2480" s="7" t="s">
        <v>64</v>
      </c>
      <c r="D2480" s="8">
        <v>553.07000000000005</v>
      </c>
    </row>
    <row r="2481" spans="1:4" x14ac:dyDescent="0.2">
      <c r="A2481" s="6">
        <v>3915</v>
      </c>
      <c r="B2481" s="5" t="s">
        <v>2522</v>
      </c>
      <c r="C2481" s="7" t="s">
        <v>64</v>
      </c>
      <c r="D2481" s="8">
        <v>553.07000000000005</v>
      </c>
    </row>
    <row r="2482" spans="1:4" x14ac:dyDescent="0.2">
      <c r="A2482" s="6">
        <v>3916</v>
      </c>
      <c r="B2482" s="5" t="s">
        <v>2523</v>
      </c>
      <c r="C2482" s="7" t="s">
        <v>10</v>
      </c>
      <c r="D2482" s="8">
        <v>307.25</v>
      </c>
    </row>
    <row r="2483" spans="1:4" x14ac:dyDescent="0.2">
      <c r="A2483" s="6">
        <v>3917</v>
      </c>
      <c r="B2483" s="5" t="s">
        <v>2524</v>
      </c>
      <c r="C2483" s="7" t="s">
        <v>10</v>
      </c>
      <c r="D2483" s="8">
        <v>307.25</v>
      </c>
    </row>
    <row r="2484" spans="1:4" x14ac:dyDescent="0.2">
      <c r="A2484" s="6">
        <v>3918</v>
      </c>
      <c r="B2484" s="5" t="s">
        <v>2525</v>
      </c>
      <c r="C2484" s="7" t="s">
        <v>64</v>
      </c>
      <c r="D2484" s="8">
        <v>553.07000000000005</v>
      </c>
    </row>
    <row r="2485" spans="1:4" x14ac:dyDescent="0.2">
      <c r="A2485" s="6">
        <v>3919</v>
      </c>
      <c r="B2485" s="5" t="s">
        <v>2526</v>
      </c>
      <c r="C2485" s="7" t="s">
        <v>10</v>
      </c>
      <c r="D2485" s="8">
        <v>307.25</v>
      </c>
    </row>
    <row r="2486" spans="1:4" x14ac:dyDescent="0.2">
      <c r="A2486" s="6">
        <v>3920</v>
      </c>
      <c r="B2486" s="5" t="s">
        <v>2527</v>
      </c>
      <c r="C2486" s="7" t="s">
        <v>64</v>
      </c>
      <c r="D2486" s="8">
        <v>553.07000000000005</v>
      </c>
    </row>
    <row r="2487" spans="1:4" x14ac:dyDescent="0.2">
      <c r="A2487" s="6">
        <v>3921</v>
      </c>
      <c r="B2487" s="5" t="s">
        <v>2528</v>
      </c>
      <c r="C2487" s="7" t="s">
        <v>10</v>
      </c>
      <c r="D2487" s="8">
        <v>307.25</v>
      </c>
    </row>
    <row r="2488" spans="1:4" x14ac:dyDescent="0.2">
      <c r="A2488" s="6">
        <v>3922</v>
      </c>
      <c r="B2488" s="5" t="s">
        <v>2529</v>
      </c>
      <c r="C2488" s="7" t="s">
        <v>10</v>
      </c>
      <c r="D2488" s="8">
        <v>307.25</v>
      </c>
    </row>
    <row r="2489" spans="1:4" x14ac:dyDescent="0.2">
      <c r="A2489" s="6">
        <v>3923</v>
      </c>
      <c r="B2489" s="5" t="s">
        <v>2530</v>
      </c>
      <c r="C2489" s="7" t="s">
        <v>10</v>
      </c>
      <c r="D2489" s="8">
        <v>307.25</v>
      </c>
    </row>
    <row r="2490" spans="1:4" x14ac:dyDescent="0.2">
      <c r="A2490" s="6">
        <v>3924</v>
      </c>
      <c r="B2490" s="5" t="s">
        <v>2531</v>
      </c>
      <c r="C2490" s="7" t="s">
        <v>10</v>
      </c>
      <c r="D2490" s="8">
        <v>307.25</v>
      </c>
    </row>
    <row r="2491" spans="1:4" x14ac:dyDescent="0.2">
      <c r="A2491" s="6">
        <v>3925</v>
      </c>
      <c r="B2491" s="5" t="s">
        <v>2532</v>
      </c>
      <c r="C2491" s="7" t="s">
        <v>64</v>
      </c>
      <c r="D2491" s="8">
        <v>638.79999999999995</v>
      </c>
    </row>
    <row r="2492" spans="1:4" x14ac:dyDescent="0.2">
      <c r="A2492" s="6">
        <v>3926</v>
      </c>
      <c r="B2492" s="5" t="s">
        <v>2533</v>
      </c>
      <c r="C2492" s="7" t="s">
        <v>64</v>
      </c>
      <c r="D2492" s="8">
        <v>553.07000000000005</v>
      </c>
    </row>
    <row r="2493" spans="1:4" x14ac:dyDescent="0.2">
      <c r="A2493" s="6">
        <v>3927</v>
      </c>
      <c r="B2493" s="5" t="s">
        <v>2534</v>
      </c>
      <c r="C2493" s="7" t="s">
        <v>10</v>
      </c>
      <c r="D2493" s="8">
        <v>307.25</v>
      </c>
    </row>
    <row r="2494" spans="1:4" x14ac:dyDescent="0.2">
      <c r="A2494" s="6">
        <v>3928</v>
      </c>
      <c r="B2494" s="5" t="s">
        <v>2535</v>
      </c>
      <c r="C2494" s="7" t="s">
        <v>10</v>
      </c>
      <c r="D2494" s="8">
        <v>307.25</v>
      </c>
    </row>
    <row r="2495" spans="1:4" x14ac:dyDescent="0.2">
      <c r="A2495" s="6">
        <v>3929</v>
      </c>
      <c r="B2495" s="5" t="s">
        <v>2536</v>
      </c>
      <c r="C2495" s="7" t="s">
        <v>64</v>
      </c>
      <c r="D2495" s="8">
        <v>553.07000000000005</v>
      </c>
    </row>
    <row r="2496" spans="1:4" x14ac:dyDescent="0.2">
      <c r="A2496" s="6">
        <v>3930</v>
      </c>
      <c r="B2496" s="5" t="s">
        <v>2537</v>
      </c>
      <c r="C2496" s="7" t="s">
        <v>64</v>
      </c>
      <c r="D2496" s="8">
        <v>553.07000000000005</v>
      </c>
    </row>
    <row r="2497" spans="1:4" x14ac:dyDescent="0.2">
      <c r="A2497" s="6">
        <v>3931</v>
      </c>
      <c r="B2497" s="5" t="s">
        <v>2538</v>
      </c>
      <c r="C2497" s="7" t="s">
        <v>99</v>
      </c>
      <c r="D2497" s="8">
        <v>242.09899999999999</v>
      </c>
    </row>
    <row r="2498" spans="1:4" x14ac:dyDescent="0.2">
      <c r="A2498" s="6">
        <v>3932</v>
      </c>
      <c r="B2498" s="5" t="s">
        <v>2539</v>
      </c>
      <c r="C2498" s="7" t="s">
        <v>64</v>
      </c>
      <c r="D2498" s="8">
        <v>638.79999999999995</v>
      </c>
    </row>
    <row r="2499" spans="1:4" x14ac:dyDescent="0.2">
      <c r="A2499" s="6">
        <v>3933</v>
      </c>
      <c r="B2499" s="5" t="s">
        <v>2540</v>
      </c>
      <c r="C2499" s="7" t="s">
        <v>10</v>
      </c>
      <c r="D2499" s="8">
        <v>307.25</v>
      </c>
    </row>
    <row r="2500" spans="1:4" x14ac:dyDescent="0.2">
      <c r="A2500" s="6">
        <v>3934</v>
      </c>
      <c r="B2500" s="5" t="s">
        <v>2541</v>
      </c>
      <c r="C2500" s="7" t="s">
        <v>64</v>
      </c>
      <c r="D2500" s="8">
        <v>553.07000000000005</v>
      </c>
    </row>
    <row r="2501" spans="1:4" x14ac:dyDescent="0.2">
      <c r="A2501" s="6">
        <v>3935</v>
      </c>
      <c r="B2501" s="5" t="s">
        <v>2542</v>
      </c>
      <c r="C2501" s="7" t="s">
        <v>64</v>
      </c>
      <c r="D2501" s="8">
        <v>553.07000000000005</v>
      </c>
    </row>
    <row r="2502" spans="1:4" x14ac:dyDescent="0.2">
      <c r="A2502" s="6">
        <v>3936</v>
      </c>
      <c r="B2502" s="5" t="s">
        <v>2543</v>
      </c>
      <c r="C2502" s="7" t="s">
        <v>10</v>
      </c>
      <c r="D2502" s="8">
        <v>307.25</v>
      </c>
    </row>
    <row r="2503" spans="1:4" x14ac:dyDescent="0.2">
      <c r="A2503" s="6">
        <v>3937</v>
      </c>
      <c r="B2503" s="5" t="s">
        <v>2544</v>
      </c>
      <c r="C2503" s="7" t="s">
        <v>10</v>
      </c>
      <c r="D2503" s="8">
        <v>354.88</v>
      </c>
    </row>
    <row r="2504" spans="1:4" x14ac:dyDescent="0.2">
      <c r="A2504" s="6">
        <v>3938</v>
      </c>
      <c r="B2504" s="5" t="s">
        <v>2545</v>
      </c>
      <c r="C2504" s="7" t="s">
        <v>10</v>
      </c>
      <c r="D2504" s="8">
        <v>307.25</v>
      </c>
    </row>
    <row r="2505" spans="1:4" x14ac:dyDescent="0.2">
      <c r="A2505" s="6">
        <v>3939</v>
      </c>
      <c r="B2505" s="5" t="s">
        <v>2546</v>
      </c>
      <c r="C2505" s="7" t="s">
        <v>10</v>
      </c>
      <c r="D2505" s="8">
        <v>307.25</v>
      </c>
    </row>
    <row r="2506" spans="1:4" x14ac:dyDescent="0.2">
      <c r="A2506" s="6">
        <v>3940</v>
      </c>
      <c r="B2506" s="5" t="s">
        <v>2547</v>
      </c>
      <c r="C2506" s="7" t="s">
        <v>10</v>
      </c>
      <c r="D2506" s="8">
        <v>307.25</v>
      </c>
    </row>
    <row r="2507" spans="1:4" x14ac:dyDescent="0.2">
      <c r="A2507" s="6">
        <v>3941</v>
      </c>
      <c r="B2507" s="5" t="s">
        <v>2548</v>
      </c>
      <c r="C2507" s="7" t="s">
        <v>64</v>
      </c>
      <c r="D2507" s="8">
        <v>553.07000000000005</v>
      </c>
    </row>
    <row r="2508" spans="1:4" x14ac:dyDescent="0.2">
      <c r="A2508" s="6">
        <v>3942</v>
      </c>
      <c r="B2508" s="5" t="s">
        <v>2549</v>
      </c>
      <c r="C2508" s="7" t="s">
        <v>10</v>
      </c>
      <c r="D2508" s="8">
        <v>307.25</v>
      </c>
    </row>
    <row r="2509" spans="1:4" x14ac:dyDescent="0.2">
      <c r="A2509" s="6">
        <v>3943</v>
      </c>
      <c r="B2509" s="5" t="s">
        <v>2550</v>
      </c>
      <c r="C2509" s="7" t="s">
        <v>10</v>
      </c>
      <c r="D2509" s="8">
        <v>307.25</v>
      </c>
    </row>
    <row r="2510" spans="1:4" x14ac:dyDescent="0.2">
      <c r="A2510" s="6">
        <v>3944</v>
      </c>
      <c r="B2510" s="5" t="s">
        <v>2551</v>
      </c>
      <c r="C2510" s="7" t="s">
        <v>10</v>
      </c>
      <c r="D2510" s="8">
        <v>307.25</v>
      </c>
    </row>
    <row r="2511" spans="1:4" x14ac:dyDescent="0.2">
      <c r="A2511" s="6">
        <v>3945</v>
      </c>
      <c r="B2511" s="5" t="s">
        <v>2552</v>
      </c>
      <c r="C2511" s="7" t="s">
        <v>10</v>
      </c>
      <c r="D2511" s="8">
        <v>307.25</v>
      </c>
    </row>
    <row r="2512" spans="1:4" x14ac:dyDescent="0.2">
      <c r="A2512" s="6">
        <v>3946</v>
      </c>
      <c r="B2512" s="5" t="s">
        <v>2553</v>
      </c>
      <c r="C2512" s="7" t="s">
        <v>10</v>
      </c>
      <c r="D2512" s="8">
        <v>307.25</v>
      </c>
    </row>
    <row r="2513" spans="1:4" x14ac:dyDescent="0.2">
      <c r="A2513" s="6">
        <v>3947</v>
      </c>
      <c r="B2513" s="5" t="s">
        <v>2554</v>
      </c>
      <c r="C2513" s="7" t="s">
        <v>10</v>
      </c>
      <c r="D2513" s="8">
        <v>307.25</v>
      </c>
    </row>
    <row r="2514" spans="1:4" x14ac:dyDescent="0.2">
      <c r="A2514" s="6">
        <v>3948</v>
      </c>
      <c r="B2514" s="5" t="s">
        <v>2555</v>
      </c>
      <c r="C2514" s="7" t="s">
        <v>10</v>
      </c>
      <c r="D2514" s="8">
        <v>307.25</v>
      </c>
    </row>
    <row r="2515" spans="1:4" x14ac:dyDescent="0.2">
      <c r="A2515" s="6">
        <v>3949</v>
      </c>
      <c r="B2515" s="5" t="s">
        <v>2556</v>
      </c>
      <c r="C2515" s="7" t="s">
        <v>10</v>
      </c>
      <c r="D2515" s="8">
        <v>307.25</v>
      </c>
    </row>
    <row r="2516" spans="1:4" x14ac:dyDescent="0.2">
      <c r="A2516" s="6">
        <v>3950</v>
      </c>
      <c r="B2516" s="5" t="s">
        <v>2557</v>
      </c>
      <c r="C2516" s="7" t="s">
        <v>10</v>
      </c>
      <c r="D2516" s="8">
        <v>307.25</v>
      </c>
    </row>
    <row r="2517" spans="1:4" x14ac:dyDescent="0.2">
      <c r="A2517" s="6">
        <v>3951</v>
      </c>
      <c r="B2517" s="5" t="s">
        <v>2558</v>
      </c>
      <c r="C2517" s="7" t="s">
        <v>64</v>
      </c>
      <c r="D2517" s="8">
        <v>553.07000000000005</v>
      </c>
    </row>
    <row r="2518" spans="1:4" x14ac:dyDescent="0.2">
      <c r="A2518" s="6">
        <v>3952</v>
      </c>
      <c r="B2518" s="5" t="s">
        <v>2559</v>
      </c>
      <c r="C2518" s="7" t="s">
        <v>10</v>
      </c>
      <c r="D2518" s="8">
        <v>307.25</v>
      </c>
    </row>
    <row r="2519" spans="1:4" x14ac:dyDescent="0.2">
      <c r="A2519" s="6">
        <v>3953</v>
      </c>
      <c r="B2519" s="5" t="s">
        <v>2560</v>
      </c>
      <c r="C2519" s="7" t="s">
        <v>10</v>
      </c>
      <c r="D2519" s="8">
        <v>273.48</v>
      </c>
    </row>
    <row r="2520" spans="1:4" x14ac:dyDescent="0.2">
      <c r="A2520" s="6">
        <v>3954</v>
      </c>
      <c r="B2520" s="5" t="s">
        <v>2561</v>
      </c>
      <c r="C2520" s="7" t="s">
        <v>10</v>
      </c>
      <c r="D2520" s="8">
        <v>307.25</v>
      </c>
    </row>
    <row r="2521" spans="1:4" x14ac:dyDescent="0.2">
      <c r="A2521" s="6">
        <v>3955</v>
      </c>
      <c r="B2521" s="5" t="s">
        <v>2562</v>
      </c>
      <c r="C2521" s="7" t="s">
        <v>64</v>
      </c>
      <c r="D2521" s="8">
        <v>553.07000000000005</v>
      </c>
    </row>
    <row r="2522" spans="1:4" x14ac:dyDescent="0.2">
      <c r="A2522" s="6">
        <v>3956</v>
      </c>
      <c r="B2522" s="5" t="s">
        <v>2563</v>
      </c>
      <c r="C2522" s="7" t="s">
        <v>10</v>
      </c>
      <c r="D2522" s="8">
        <v>307.25</v>
      </c>
    </row>
    <row r="2523" spans="1:4" x14ac:dyDescent="0.2">
      <c r="A2523" s="6">
        <v>3957</v>
      </c>
      <c r="B2523" s="5" t="s">
        <v>2564</v>
      </c>
      <c r="C2523" s="7" t="s">
        <v>64</v>
      </c>
      <c r="D2523" s="8">
        <v>553.07000000000005</v>
      </c>
    </row>
    <row r="2524" spans="1:4" x14ac:dyDescent="0.2">
      <c r="A2524" s="6">
        <v>3958</v>
      </c>
      <c r="B2524" s="5" t="s">
        <v>2565</v>
      </c>
      <c r="C2524" s="7" t="s">
        <v>10</v>
      </c>
      <c r="D2524" s="8">
        <v>307.25</v>
      </c>
    </row>
    <row r="2525" spans="1:4" x14ac:dyDescent="0.2">
      <c r="A2525" s="6">
        <v>3959</v>
      </c>
      <c r="B2525" s="5" t="s">
        <v>2566</v>
      </c>
      <c r="C2525" s="7" t="s">
        <v>10</v>
      </c>
      <c r="D2525" s="8">
        <v>307.25</v>
      </c>
    </row>
    <row r="2526" spans="1:4" x14ac:dyDescent="0.2">
      <c r="A2526" s="6">
        <v>3960</v>
      </c>
      <c r="B2526" s="5" t="s">
        <v>2567</v>
      </c>
      <c r="C2526" s="7" t="s">
        <v>64</v>
      </c>
      <c r="D2526" s="8">
        <v>553.07000000000005</v>
      </c>
    </row>
    <row r="2527" spans="1:4" x14ac:dyDescent="0.2">
      <c r="A2527" s="6">
        <v>3961</v>
      </c>
      <c r="B2527" s="5" t="s">
        <v>2568</v>
      </c>
      <c r="C2527" s="7" t="s">
        <v>10</v>
      </c>
      <c r="D2527" s="8">
        <v>307.25</v>
      </c>
    </row>
    <row r="2528" spans="1:4" x14ac:dyDescent="0.2">
      <c r="A2528" s="6">
        <v>3962</v>
      </c>
      <c r="B2528" s="5" t="s">
        <v>2569</v>
      </c>
      <c r="C2528" s="7" t="s">
        <v>10</v>
      </c>
      <c r="D2528" s="8">
        <v>307.25</v>
      </c>
    </row>
    <row r="2529" spans="1:4" x14ac:dyDescent="0.2">
      <c r="A2529" s="6">
        <v>3963</v>
      </c>
      <c r="B2529" s="5" t="s">
        <v>2570</v>
      </c>
      <c r="C2529" s="7" t="s">
        <v>10</v>
      </c>
      <c r="D2529" s="8">
        <v>307.25</v>
      </c>
    </row>
    <row r="2530" spans="1:4" x14ac:dyDescent="0.2">
      <c r="A2530" s="6">
        <v>3964</v>
      </c>
      <c r="B2530" s="5" t="s">
        <v>2571</v>
      </c>
      <c r="C2530" s="7" t="s">
        <v>10</v>
      </c>
      <c r="D2530" s="8">
        <v>307.25</v>
      </c>
    </row>
    <row r="2531" spans="1:4" x14ac:dyDescent="0.2">
      <c r="A2531" s="6">
        <v>3965</v>
      </c>
      <c r="B2531" s="5" t="s">
        <v>2572</v>
      </c>
      <c r="C2531" s="7" t="s">
        <v>64</v>
      </c>
      <c r="D2531" s="8">
        <v>553.07000000000005</v>
      </c>
    </row>
    <row r="2532" spans="1:4" x14ac:dyDescent="0.2">
      <c r="A2532" s="6">
        <v>3966</v>
      </c>
      <c r="B2532" s="5" t="s">
        <v>2573</v>
      </c>
      <c r="C2532" s="7" t="s">
        <v>10</v>
      </c>
      <c r="D2532" s="8">
        <v>307.25</v>
      </c>
    </row>
    <row r="2533" spans="1:4" x14ac:dyDescent="0.2">
      <c r="A2533" s="6">
        <v>3967</v>
      </c>
      <c r="B2533" s="5" t="s">
        <v>2574</v>
      </c>
      <c r="C2533" s="7" t="s">
        <v>10</v>
      </c>
      <c r="D2533" s="8">
        <v>307.25</v>
      </c>
    </row>
    <row r="2534" spans="1:4" x14ac:dyDescent="0.2">
      <c r="A2534" s="6">
        <v>3968</v>
      </c>
      <c r="B2534" s="5" t="s">
        <v>2575</v>
      </c>
      <c r="C2534" s="7" t="s">
        <v>10</v>
      </c>
      <c r="D2534" s="8">
        <v>307.25</v>
      </c>
    </row>
    <row r="2535" spans="1:4" x14ac:dyDescent="0.2">
      <c r="A2535" s="6">
        <v>3969</v>
      </c>
      <c r="B2535" s="5" t="s">
        <v>2576</v>
      </c>
      <c r="C2535" s="7" t="s">
        <v>64</v>
      </c>
      <c r="D2535" s="8">
        <v>553.07000000000005</v>
      </c>
    </row>
    <row r="2536" spans="1:4" x14ac:dyDescent="0.2">
      <c r="A2536" s="6">
        <v>3970</v>
      </c>
      <c r="B2536" s="5" t="s">
        <v>2577</v>
      </c>
      <c r="C2536" s="7" t="s">
        <v>10</v>
      </c>
      <c r="D2536" s="8">
        <v>307.25</v>
      </c>
    </row>
    <row r="2537" spans="1:4" x14ac:dyDescent="0.2">
      <c r="A2537" s="6">
        <v>3971</v>
      </c>
      <c r="B2537" s="5" t="s">
        <v>2578</v>
      </c>
      <c r="C2537" s="7" t="s">
        <v>10</v>
      </c>
      <c r="D2537" s="8">
        <v>307.25</v>
      </c>
    </row>
    <row r="2538" spans="1:4" x14ac:dyDescent="0.2">
      <c r="A2538" s="6">
        <v>3972</v>
      </c>
      <c r="B2538" s="5" t="s">
        <v>2579</v>
      </c>
      <c r="C2538" s="7" t="s">
        <v>10</v>
      </c>
      <c r="D2538" s="8">
        <v>307.25</v>
      </c>
    </row>
    <row r="2539" spans="1:4" x14ac:dyDescent="0.2">
      <c r="A2539" s="6">
        <v>3973</v>
      </c>
      <c r="B2539" s="5" t="s">
        <v>2580</v>
      </c>
      <c r="C2539" s="7" t="s">
        <v>10</v>
      </c>
      <c r="D2539" s="8">
        <v>307.25</v>
      </c>
    </row>
    <row r="2540" spans="1:4" x14ac:dyDescent="0.2">
      <c r="A2540" s="6">
        <v>3974</v>
      </c>
      <c r="B2540" s="5" t="s">
        <v>2581</v>
      </c>
      <c r="C2540" s="7" t="s">
        <v>10</v>
      </c>
      <c r="D2540" s="8">
        <v>307.25</v>
      </c>
    </row>
    <row r="2541" spans="1:4" x14ac:dyDescent="0.2">
      <c r="A2541" s="6">
        <v>3975</v>
      </c>
      <c r="B2541" s="5" t="s">
        <v>2582</v>
      </c>
      <c r="C2541" s="7" t="s">
        <v>10</v>
      </c>
      <c r="D2541" s="8">
        <v>307.25</v>
      </c>
    </row>
    <row r="2542" spans="1:4" x14ac:dyDescent="0.2">
      <c r="A2542" s="6">
        <v>3976</v>
      </c>
      <c r="B2542" s="5" t="s">
        <v>2583</v>
      </c>
      <c r="C2542" s="7" t="s">
        <v>10</v>
      </c>
      <c r="D2542" s="8">
        <v>307.25</v>
      </c>
    </row>
    <row r="2543" spans="1:4" x14ac:dyDescent="0.2">
      <c r="A2543" s="6">
        <v>3977</v>
      </c>
      <c r="B2543" s="5" t="s">
        <v>2584</v>
      </c>
      <c r="C2543" s="7" t="s">
        <v>10</v>
      </c>
      <c r="D2543" s="8">
        <v>307.25</v>
      </c>
    </row>
    <row r="2544" spans="1:4" x14ac:dyDescent="0.2">
      <c r="A2544" s="6">
        <v>3978</v>
      </c>
      <c r="B2544" s="5" t="s">
        <v>2585</v>
      </c>
      <c r="C2544" s="7" t="s">
        <v>64</v>
      </c>
      <c r="D2544" s="8">
        <v>553.07000000000005</v>
      </c>
    </row>
    <row r="2545" spans="1:4" x14ac:dyDescent="0.2">
      <c r="A2545" s="6">
        <v>3979</v>
      </c>
      <c r="B2545" s="5" t="s">
        <v>2586</v>
      </c>
      <c r="C2545" s="7" t="s">
        <v>64</v>
      </c>
      <c r="D2545" s="8">
        <v>553.07000000000005</v>
      </c>
    </row>
    <row r="2546" spans="1:4" x14ac:dyDescent="0.2">
      <c r="A2546" s="6">
        <v>3980</v>
      </c>
      <c r="B2546" s="5" t="s">
        <v>2587</v>
      </c>
      <c r="C2546" s="7" t="s">
        <v>10</v>
      </c>
      <c r="D2546" s="8">
        <v>307.25</v>
      </c>
    </row>
    <row r="2547" spans="1:4" x14ac:dyDescent="0.2">
      <c r="A2547" s="6">
        <v>3981</v>
      </c>
      <c r="B2547" s="5" t="s">
        <v>2588</v>
      </c>
      <c r="C2547" s="7" t="s">
        <v>10</v>
      </c>
      <c r="D2547" s="8">
        <v>307.25</v>
      </c>
    </row>
    <row r="2548" spans="1:4" x14ac:dyDescent="0.2">
      <c r="A2548" s="6">
        <v>3982</v>
      </c>
      <c r="B2548" s="5" t="s">
        <v>2589</v>
      </c>
      <c r="C2548" s="7" t="s">
        <v>10</v>
      </c>
      <c r="D2548" s="8">
        <v>307.25</v>
      </c>
    </row>
    <row r="2549" spans="1:4" x14ac:dyDescent="0.2">
      <c r="A2549" s="6">
        <v>3983</v>
      </c>
      <c r="B2549" s="5" t="s">
        <v>2590</v>
      </c>
      <c r="C2549" s="7" t="s">
        <v>10</v>
      </c>
      <c r="D2549" s="8">
        <v>307.25</v>
      </c>
    </row>
    <row r="2550" spans="1:4" x14ac:dyDescent="0.2">
      <c r="A2550" s="6">
        <v>3984</v>
      </c>
      <c r="B2550" s="5" t="s">
        <v>2591</v>
      </c>
      <c r="C2550" s="7" t="s">
        <v>10</v>
      </c>
      <c r="D2550" s="8">
        <v>307.25</v>
      </c>
    </row>
    <row r="2551" spans="1:4" x14ac:dyDescent="0.2">
      <c r="A2551" s="6">
        <v>3985</v>
      </c>
      <c r="B2551" s="5" t="s">
        <v>2592</v>
      </c>
      <c r="C2551" s="7" t="s">
        <v>10</v>
      </c>
      <c r="D2551" s="8">
        <v>307.25</v>
      </c>
    </row>
    <row r="2552" spans="1:4" x14ac:dyDescent="0.2">
      <c r="A2552" s="6">
        <v>3986</v>
      </c>
      <c r="B2552" s="5" t="s">
        <v>2593</v>
      </c>
      <c r="C2552" s="7" t="s">
        <v>10</v>
      </c>
      <c r="D2552" s="8">
        <v>307.25</v>
      </c>
    </row>
    <row r="2553" spans="1:4" x14ac:dyDescent="0.2">
      <c r="A2553" s="6">
        <v>3987</v>
      </c>
      <c r="B2553" s="5" t="s">
        <v>2594</v>
      </c>
      <c r="C2553" s="7" t="s">
        <v>10</v>
      </c>
      <c r="D2553" s="8">
        <v>307.25</v>
      </c>
    </row>
    <row r="2554" spans="1:4" x14ac:dyDescent="0.2">
      <c r="A2554" s="6">
        <v>3988</v>
      </c>
      <c r="B2554" s="5" t="s">
        <v>2595</v>
      </c>
      <c r="C2554" s="7" t="s">
        <v>10</v>
      </c>
      <c r="D2554" s="8">
        <v>307.25</v>
      </c>
    </row>
    <row r="2555" spans="1:4" x14ac:dyDescent="0.2">
      <c r="A2555" s="6">
        <v>3989</v>
      </c>
      <c r="B2555" s="5" t="s">
        <v>2596</v>
      </c>
      <c r="C2555" s="7" t="s">
        <v>10</v>
      </c>
      <c r="D2555" s="8">
        <v>307.25</v>
      </c>
    </row>
    <row r="2556" spans="1:4" x14ac:dyDescent="0.2">
      <c r="A2556" s="6">
        <v>3990</v>
      </c>
      <c r="B2556" s="5" t="s">
        <v>2597</v>
      </c>
      <c r="C2556" s="7" t="s">
        <v>10</v>
      </c>
      <c r="D2556" s="8">
        <v>307.25</v>
      </c>
    </row>
    <row r="2557" spans="1:4" x14ac:dyDescent="0.2">
      <c r="A2557" s="6">
        <v>3991</v>
      </c>
      <c r="B2557" s="5" t="s">
        <v>2598</v>
      </c>
      <c r="C2557" s="7" t="s">
        <v>10</v>
      </c>
      <c r="D2557" s="8">
        <v>307.25</v>
      </c>
    </row>
    <row r="2558" spans="1:4" x14ac:dyDescent="0.2">
      <c r="A2558" s="6">
        <v>3992</v>
      </c>
      <c r="B2558" s="5" t="s">
        <v>2599</v>
      </c>
      <c r="C2558" s="7" t="s">
        <v>10</v>
      </c>
      <c r="D2558" s="8">
        <v>307.25</v>
      </c>
    </row>
    <row r="2559" spans="1:4" x14ac:dyDescent="0.2">
      <c r="A2559" s="6">
        <v>3993</v>
      </c>
      <c r="B2559" s="5" t="s">
        <v>2600</v>
      </c>
      <c r="C2559" s="7" t="s">
        <v>64</v>
      </c>
      <c r="D2559" s="8">
        <v>553.07000000000005</v>
      </c>
    </row>
    <row r="2560" spans="1:4" x14ac:dyDescent="0.2">
      <c r="A2560" s="6">
        <v>3994</v>
      </c>
      <c r="B2560" s="5" t="s">
        <v>2601</v>
      </c>
      <c r="C2560" s="7" t="s">
        <v>10</v>
      </c>
      <c r="D2560" s="8">
        <v>307.25</v>
      </c>
    </row>
    <row r="2561" spans="1:4" x14ac:dyDescent="0.2">
      <c r="A2561" s="6">
        <v>3995</v>
      </c>
      <c r="B2561" s="5" t="s">
        <v>2602</v>
      </c>
      <c r="C2561" s="7" t="s">
        <v>10</v>
      </c>
      <c r="D2561" s="8">
        <v>307.25</v>
      </c>
    </row>
    <row r="2562" spans="1:4" x14ac:dyDescent="0.2">
      <c r="A2562" s="6">
        <v>3996</v>
      </c>
      <c r="B2562" s="5" t="s">
        <v>2603</v>
      </c>
      <c r="C2562" s="7" t="s">
        <v>10</v>
      </c>
      <c r="D2562" s="8">
        <v>307.25</v>
      </c>
    </row>
    <row r="2563" spans="1:4" x14ac:dyDescent="0.2">
      <c r="A2563" s="6">
        <v>3997</v>
      </c>
      <c r="B2563" s="5" t="s">
        <v>2604</v>
      </c>
      <c r="C2563" s="7" t="s">
        <v>10</v>
      </c>
      <c r="D2563" s="8">
        <v>307.25</v>
      </c>
    </row>
    <row r="2564" spans="1:4" x14ac:dyDescent="0.2">
      <c r="A2564" s="6">
        <v>3998</v>
      </c>
      <c r="B2564" s="5" t="s">
        <v>2605</v>
      </c>
      <c r="C2564" s="7" t="s">
        <v>64</v>
      </c>
      <c r="D2564" s="8">
        <v>553.07000000000005</v>
      </c>
    </row>
    <row r="2565" spans="1:4" x14ac:dyDescent="0.2">
      <c r="A2565" s="6">
        <v>3999</v>
      </c>
      <c r="B2565" s="5" t="s">
        <v>2606</v>
      </c>
      <c r="C2565" s="7" t="s">
        <v>10</v>
      </c>
      <c r="D2565" s="8">
        <v>307.25</v>
      </c>
    </row>
    <row r="2566" spans="1:4" x14ac:dyDescent="0.2">
      <c r="A2566" s="6">
        <v>4000</v>
      </c>
      <c r="B2566" s="5" t="s">
        <v>2607</v>
      </c>
      <c r="C2566" s="7" t="s">
        <v>10</v>
      </c>
      <c r="D2566" s="8">
        <v>307.25</v>
      </c>
    </row>
    <row r="2567" spans="1:4" x14ac:dyDescent="0.2">
      <c r="A2567" s="6">
        <v>4001</v>
      </c>
      <c r="B2567" s="5" t="s">
        <v>2608</v>
      </c>
      <c r="C2567" s="7" t="s">
        <v>10</v>
      </c>
      <c r="D2567" s="8">
        <v>307.25</v>
      </c>
    </row>
    <row r="2568" spans="1:4" x14ac:dyDescent="0.2">
      <c r="A2568" s="6">
        <v>4002</v>
      </c>
      <c r="B2568" s="5" t="s">
        <v>2609</v>
      </c>
      <c r="C2568" s="7" t="s">
        <v>10</v>
      </c>
      <c r="D2568" s="8">
        <v>307.25</v>
      </c>
    </row>
    <row r="2569" spans="1:4" x14ac:dyDescent="0.2">
      <c r="A2569" s="6">
        <v>4003</v>
      </c>
      <c r="B2569" s="5" t="s">
        <v>2610</v>
      </c>
      <c r="C2569" s="7" t="s">
        <v>64</v>
      </c>
      <c r="D2569" s="8">
        <v>553.07000000000005</v>
      </c>
    </row>
    <row r="2570" spans="1:4" x14ac:dyDescent="0.2">
      <c r="A2570" s="6">
        <v>4004</v>
      </c>
      <c r="B2570" s="5" t="s">
        <v>2611</v>
      </c>
      <c r="C2570" s="7" t="s">
        <v>64</v>
      </c>
      <c r="D2570" s="8">
        <v>553.07000000000005</v>
      </c>
    </row>
    <row r="2571" spans="1:4" x14ac:dyDescent="0.2">
      <c r="A2571" s="6">
        <v>4005</v>
      </c>
      <c r="B2571" s="5" t="s">
        <v>2612</v>
      </c>
      <c r="C2571" s="7" t="s">
        <v>64</v>
      </c>
      <c r="D2571" s="8">
        <v>553.07000000000005</v>
      </c>
    </row>
    <row r="2572" spans="1:4" x14ac:dyDescent="0.2">
      <c r="A2572" s="6">
        <v>4006</v>
      </c>
      <c r="B2572" s="5" t="s">
        <v>2613</v>
      </c>
      <c r="C2572" s="7" t="s">
        <v>10</v>
      </c>
      <c r="D2572" s="8">
        <v>307.25</v>
      </c>
    </row>
    <row r="2573" spans="1:4" x14ac:dyDescent="0.2">
      <c r="A2573" s="6">
        <v>4007</v>
      </c>
      <c r="B2573" s="5" t="s">
        <v>2614</v>
      </c>
      <c r="C2573" s="7" t="s">
        <v>10</v>
      </c>
      <c r="D2573" s="8">
        <v>307.25</v>
      </c>
    </row>
    <row r="2574" spans="1:4" x14ac:dyDescent="0.2">
      <c r="A2574" s="6">
        <v>4008</v>
      </c>
      <c r="B2574" s="5" t="s">
        <v>2615</v>
      </c>
      <c r="C2574" s="7" t="s">
        <v>10</v>
      </c>
      <c r="D2574" s="8">
        <v>307.25</v>
      </c>
    </row>
    <row r="2575" spans="1:4" x14ac:dyDescent="0.2">
      <c r="A2575" s="6">
        <v>4009</v>
      </c>
      <c r="B2575" s="5" t="s">
        <v>2616</v>
      </c>
      <c r="C2575" s="7" t="s">
        <v>10</v>
      </c>
      <c r="D2575" s="8">
        <v>307.25</v>
      </c>
    </row>
    <row r="2576" spans="1:4" x14ac:dyDescent="0.2">
      <c r="A2576" s="6">
        <v>4010</v>
      </c>
      <c r="B2576" s="5" t="s">
        <v>2617</v>
      </c>
      <c r="C2576" s="7" t="s">
        <v>10</v>
      </c>
      <c r="D2576" s="8">
        <v>307.25</v>
      </c>
    </row>
    <row r="2577" spans="1:4" x14ac:dyDescent="0.2">
      <c r="A2577" s="6">
        <v>4011</v>
      </c>
      <c r="B2577" s="5" t="s">
        <v>2618</v>
      </c>
      <c r="C2577" s="7" t="s">
        <v>10</v>
      </c>
      <c r="D2577" s="8">
        <v>307.25</v>
      </c>
    </row>
    <row r="2578" spans="1:4" x14ac:dyDescent="0.2">
      <c r="A2578" s="6">
        <v>4012</v>
      </c>
      <c r="B2578" s="5" t="s">
        <v>2619</v>
      </c>
      <c r="C2578" s="7" t="s">
        <v>64</v>
      </c>
      <c r="D2578" s="8">
        <v>553.07000000000005</v>
      </c>
    </row>
    <row r="2579" spans="1:4" x14ac:dyDescent="0.2">
      <c r="A2579" s="6">
        <v>4013</v>
      </c>
      <c r="B2579" s="5" t="s">
        <v>2620</v>
      </c>
      <c r="C2579" s="7" t="s">
        <v>10</v>
      </c>
      <c r="D2579" s="8">
        <v>307.25</v>
      </c>
    </row>
    <row r="2580" spans="1:4" x14ac:dyDescent="0.2">
      <c r="A2580" s="6">
        <v>4014</v>
      </c>
      <c r="B2580" s="5" t="s">
        <v>2621</v>
      </c>
      <c r="C2580" s="7" t="s">
        <v>64</v>
      </c>
      <c r="D2580" s="8">
        <v>553.07000000000005</v>
      </c>
    </row>
    <row r="2581" spans="1:4" x14ac:dyDescent="0.2">
      <c r="A2581" s="6">
        <v>4015</v>
      </c>
      <c r="B2581" s="5" t="s">
        <v>2622</v>
      </c>
      <c r="C2581" s="7" t="s">
        <v>10</v>
      </c>
      <c r="D2581" s="8">
        <v>307.25</v>
      </c>
    </row>
    <row r="2582" spans="1:4" x14ac:dyDescent="0.2">
      <c r="A2582" s="6">
        <v>4016</v>
      </c>
      <c r="B2582" s="5" t="s">
        <v>2623</v>
      </c>
      <c r="C2582" s="7" t="s">
        <v>64</v>
      </c>
      <c r="D2582" s="8">
        <v>638.79999999999995</v>
      </c>
    </row>
    <row r="2583" spans="1:4" x14ac:dyDescent="0.2">
      <c r="A2583" s="6">
        <v>4017</v>
      </c>
      <c r="B2583" s="5" t="s">
        <v>2624</v>
      </c>
      <c r="C2583" s="7" t="s">
        <v>64</v>
      </c>
      <c r="D2583" s="8">
        <v>553.07000000000005</v>
      </c>
    </row>
    <row r="2584" spans="1:4" x14ac:dyDescent="0.2">
      <c r="A2584" s="6">
        <v>4018</v>
      </c>
      <c r="B2584" s="5" t="s">
        <v>2625</v>
      </c>
      <c r="C2584" s="7" t="s">
        <v>10</v>
      </c>
      <c r="D2584" s="8">
        <v>307.25</v>
      </c>
    </row>
    <row r="2585" spans="1:4" x14ac:dyDescent="0.2">
      <c r="A2585" s="6">
        <v>4019</v>
      </c>
      <c r="B2585" s="5" t="s">
        <v>2626</v>
      </c>
      <c r="C2585" s="7" t="s">
        <v>10</v>
      </c>
      <c r="D2585" s="8">
        <v>307.25</v>
      </c>
    </row>
    <row r="2586" spans="1:4" x14ac:dyDescent="0.2">
      <c r="A2586" s="6">
        <v>4020</v>
      </c>
      <c r="B2586" s="5" t="s">
        <v>2627</v>
      </c>
      <c r="C2586" s="7" t="s">
        <v>64</v>
      </c>
      <c r="D2586" s="8">
        <v>553.07000000000005</v>
      </c>
    </row>
    <row r="2587" spans="1:4" x14ac:dyDescent="0.2">
      <c r="A2587" s="6">
        <v>4021</v>
      </c>
      <c r="B2587" s="5" t="s">
        <v>2628</v>
      </c>
      <c r="C2587" s="7" t="s">
        <v>10</v>
      </c>
      <c r="D2587" s="8">
        <v>307.25</v>
      </c>
    </row>
    <row r="2588" spans="1:4" x14ac:dyDescent="0.2">
      <c r="A2588" s="6">
        <v>4022</v>
      </c>
      <c r="B2588" s="5" t="s">
        <v>2629</v>
      </c>
      <c r="C2588" s="7" t="s">
        <v>64</v>
      </c>
      <c r="D2588" s="8">
        <v>553.07000000000005</v>
      </c>
    </row>
    <row r="2589" spans="1:4" x14ac:dyDescent="0.2">
      <c r="A2589" s="6">
        <v>4023</v>
      </c>
      <c r="B2589" s="5" t="s">
        <v>2630</v>
      </c>
      <c r="C2589" s="7" t="s">
        <v>10</v>
      </c>
      <c r="D2589" s="8">
        <v>307.25</v>
      </c>
    </row>
    <row r="2590" spans="1:4" x14ac:dyDescent="0.2">
      <c r="A2590" s="6">
        <v>4024</v>
      </c>
      <c r="B2590" s="5" t="s">
        <v>2631</v>
      </c>
      <c r="C2590" s="7" t="s">
        <v>10</v>
      </c>
      <c r="D2590" s="8">
        <v>307.25</v>
      </c>
    </row>
    <row r="2591" spans="1:4" x14ac:dyDescent="0.2">
      <c r="A2591" s="6">
        <v>4025</v>
      </c>
      <c r="B2591" s="5" t="s">
        <v>2632</v>
      </c>
      <c r="C2591" s="7" t="s">
        <v>10</v>
      </c>
      <c r="D2591" s="8">
        <v>354.88</v>
      </c>
    </row>
    <row r="2592" spans="1:4" x14ac:dyDescent="0.2">
      <c r="A2592" s="6">
        <v>4026</v>
      </c>
      <c r="B2592" s="5" t="s">
        <v>2633</v>
      </c>
      <c r="C2592" s="7" t="s">
        <v>10</v>
      </c>
      <c r="D2592" s="8">
        <v>307.25</v>
      </c>
    </row>
    <row r="2593" spans="1:4" x14ac:dyDescent="0.2">
      <c r="A2593" s="6">
        <v>4027</v>
      </c>
      <c r="B2593" s="5" t="s">
        <v>2634</v>
      </c>
      <c r="C2593" s="7" t="s">
        <v>10</v>
      </c>
      <c r="D2593" s="8">
        <v>307.25</v>
      </c>
    </row>
    <row r="2594" spans="1:4" x14ac:dyDescent="0.2">
      <c r="A2594" s="6">
        <v>4028</v>
      </c>
      <c r="B2594" s="5" t="s">
        <v>2635</v>
      </c>
      <c r="C2594" s="7" t="s">
        <v>10</v>
      </c>
      <c r="D2594" s="8">
        <v>307.25</v>
      </c>
    </row>
    <row r="2595" spans="1:4" x14ac:dyDescent="0.2">
      <c r="A2595" s="6">
        <v>4029</v>
      </c>
      <c r="B2595" s="5" t="s">
        <v>2636</v>
      </c>
      <c r="C2595" s="7" t="s">
        <v>10</v>
      </c>
      <c r="D2595" s="8">
        <v>307.25</v>
      </c>
    </row>
    <row r="2596" spans="1:4" x14ac:dyDescent="0.2">
      <c r="A2596" s="6">
        <v>4030</v>
      </c>
      <c r="B2596" s="5" t="s">
        <v>2637</v>
      </c>
      <c r="C2596" s="7" t="s">
        <v>10</v>
      </c>
      <c r="D2596" s="8">
        <v>307.25</v>
      </c>
    </row>
    <row r="2597" spans="1:4" x14ac:dyDescent="0.2">
      <c r="A2597" s="6">
        <v>4031</v>
      </c>
      <c r="B2597" s="5" t="s">
        <v>2638</v>
      </c>
      <c r="C2597" s="7" t="s">
        <v>64</v>
      </c>
      <c r="D2597" s="8">
        <v>638.79999999999995</v>
      </c>
    </row>
    <row r="2598" spans="1:4" x14ac:dyDescent="0.2">
      <c r="A2598" s="6">
        <v>4032</v>
      </c>
      <c r="B2598" s="5" t="s">
        <v>2639</v>
      </c>
      <c r="C2598" s="7" t="s">
        <v>10</v>
      </c>
      <c r="D2598" s="8">
        <v>307.25</v>
      </c>
    </row>
    <row r="2599" spans="1:4" x14ac:dyDescent="0.2">
      <c r="A2599" s="6">
        <v>4033</v>
      </c>
      <c r="B2599" s="5" t="s">
        <v>2640</v>
      </c>
      <c r="C2599" s="7" t="s">
        <v>10</v>
      </c>
      <c r="D2599" s="8">
        <v>307.25</v>
      </c>
    </row>
    <row r="2600" spans="1:4" x14ac:dyDescent="0.2">
      <c r="A2600" s="6">
        <v>4034</v>
      </c>
      <c r="B2600" s="5" t="s">
        <v>2641</v>
      </c>
      <c r="C2600" s="7" t="s">
        <v>10</v>
      </c>
      <c r="D2600" s="8">
        <v>307.25</v>
      </c>
    </row>
    <row r="2601" spans="1:4" x14ac:dyDescent="0.2">
      <c r="A2601" s="6">
        <v>4035</v>
      </c>
      <c r="B2601" s="5" t="s">
        <v>2642</v>
      </c>
      <c r="C2601" s="7" t="s">
        <v>10</v>
      </c>
      <c r="D2601" s="8">
        <v>307.25</v>
      </c>
    </row>
    <row r="2602" spans="1:4" x14ac:dyDescent="0.2">
      <c r="A2602" s="6">
        <v>4036</v>
      </c>
      <c r="B2602" s="5" t="s">
        <v>2643</v>
      </c>
      <c r="C2602" s="7" t="s">
        <v>52</v>
      </c>
      <c r="D2602" s="8">
        <v>188</v>
      </c>
    </row>
    <row r="2603" spans="1:4" x14ac:dyDescent="0.2">
      <c r="A2603" s="6">
        <v>4037</v>
      </c>
      <c r="B2603" s="5" t="s">
        <v>2644</v>
      </c>
      <c r="C2603" s="7" t="s">
        <v>64</v>
      </c>
      <c r="D2603" s="8">
        <v>638.79999999999995</v>
      </c>
    </row>
    <row r="2604" spans="1:4" x14ac:dyDescent="0.2">
      <c r="A2604" s="6">
        <v>4038</v>
      </c>
      <c r="B2604" s="5" t="s">
        <v>2645</v>
      </c>
      <c r="C2604" s="7" t="s">
        <v>64</v>
      </c>
      <c r="D2604" s="8">
        <v>638.79999999999995</v>
      </c>
    </row>
    <row r="2605" spans="1:4" x14ac:dyDescent="0.2">
      <c r="A2605" s="6">
        <v>4039</v>
      </c>
      <c r="B2605" s="5" t="s">
        <v>2646</v>
      </c>
      <c r="C2605" s="7" t="s">
        <v>10</v>
      </c>
      <c r="D2605" s="8">
        <v>307.25</v>
      </c>
    </row>
    <row r="2606" spans="1:4" x14ac:dyDescent="0.2">
      <c r="A2606" s="6">
        <v>4040</v>
      </c>
      <c r="B2606" s="5" t="s">
        <v>2647</v>
      </c>
      <c r="C2606" s="7" t="s">
        <v>10</v>
      </c>
      <c r="D2606" s="8">
        <v>307.25</v>
      </c>
    </row>
    <row r="2607" spans="1:4" x14ac:dyDescent="0.2">
      <c r="A2607" s="6">
        <v>4041</v>
      </c>
      <c r="B2607" s="5" t="s">
        <v>2648</v>
      </c>
      <c r="C2607" s="7" t="s">
        <v>10</v>
      </c>
      <c r="D2607" s="8">
        <v>355</v>
      </c>
    </row>
    <row r="2608" spans="1:4" x14ac:dyDescent="0.2">
      <c r="A2608" s="6">
        <v>4042</v>
      </c>
      <c r="B2608" s="5" t="s">
        <v>2649</v>
      </c>
      <c r="C2608" s="7" t="s">
        <v>10</v>
      </c>
      <c r="D2608" s="8">
        <v>307.25</v>
      </c>
    </row>
    <row r="2609" spans="1:4" x14ac:dyDescent="0.2">
      <c r="A2609" s="6">
        <v>4043</v>
      </c>
      <c r="B2609" s="5" t="s">
        <v>2650</v>
      </c>
      <c r="C2609" s="7" t="s">
        <v>10</v>
      </c>
      <c r="D2609" s="8">
        <v>307.25</v>
      </c>
    </row>
    <row r="2610" spans="1:4" x14ac:dyDescent="0.2">
      <c r="A2610" s="6">
        <v>4044</v>
      </c>
      <c r="B2610" s="5" t="s">
        <v>2651</v>
      </c>
      <c r="C2610" s="7" t="s">
        <v>265</v>
      </c>
      <c r="D2610" s="8">
        <v>307.25</v>
      </c>
    </row>
    <row r="2611" spans="1:4" x14ac:dyDescent="0.2">
      <c r="A2611" s="6">
        <v>4045</v>
      </c>
      <c r="B2611" s="5" t="s">
        <v>2652</v>
      </c>
      <c r="C2611" s="7" t="s">
        <v>64</v>
      </c>
      <c r="D2611" s="8">
        <v>638.79999999999995</v>
      </c>
    </row>
    <row r="2612" spans="1:4" x14ac:dyDescent="0.2">
      <c r="A2612" s="6">
        <v>4046</v>
      </c>
      <c r="B2612" s="5" t="s">
        <v>2653</v>
      </c>
      <c r="C2612" s="7" t="s">
        <v>64</v>
      </c>
      <c r="D2612" s="8">
        <v>553.07000000000005</v>
      </c>
    </row>
    <row r="2613" spans="1:4" x14ac:dyDescent="0.2">
      <c r="A2613" s="6">
        <v>4047</v>
      </c>
      <c r="B2613" s="5" t="s">
        <v>2654</v>
      </c>
      <c r="C2613" s="7" t="s">
        <v>10</v>
      </c>
      <c r="D2613" s="8">
        <v>307.25</v>
      </c>
    </row>
    <row r="2614" spans="1:4" x14ac:dyDescent="0.2">
      <c r="A2614" s="6">
        <v>4048</v>
      </c>
      <c r="B2614" s="5" t="s">
        <v>2655</v>
      </c>
      <c r="C2614" s="7" t="s">
        <v>10</v>
      </c>
      <c r="D2614" s="8">
        <v>307.25</v>
      </c>
    </row>
    <row r="2615" spans="1:4" x14ac:dyDescent="0.2">
      <c r="A2615" s="6">
        <v>4049</v>
      </c>
      <c r="B2615" s="5" t="s">
        <v>2656</v>
      </c>
      <c r="C2615" s="7" t="s">
        <v>10</v>
      </c>
      <c r="D2615" s="8">
        <v>307.25</v>
      </c>
    </row>
    <row r="2616" spans="1:4" x14ac:dyDescent="0.2">
      <c r="A2616" s="6">
        <v>4050</v>
      </c>
      <c r="B2616" s="5" t="s">
        <v>2657</v>
      </c>
      <c r="C2616" s="7" t="s">
        <v>10</v>
      </c>
      <c r="D2616" s="8">
        <v>307.25</v>
      </c>
    </row>
    <row r="2617" spans="1:4" x14ac:dyDescent="0.2">
      <c r="A2617" s="6">
        <v>4051</v>
      </c>
      <c r="B2617" s="5" t="s">
        <v>2658</v>
      </c>
      <c r="C2617" s="7" t="s">
        <v>64</v>
      </c>
      <c r="D2617" s="8">
        <v>553.07000000000005</v>
      </c>
    </row>
    <row r="2618" spans="1:4" x14ac:dyDescent="0.2">
      <c r="A2618" s="6">
        <v>4052</v>
      </c>
      <c r="B2618" s="5" t="s">
        <v>2659</v>
      </c>
      <c r="C2618" s="7" t="s">
        <v>10</v>
      </c>
      <c r="D2618" s="8">
        <v>307.25</v>
      </c>
    </row>
    <row r="2619" spans="1:4" x14ac:dyDescent="0.2">
      <c r="A2619" s="6">
        <v>4053</v>
      </c>
      <c r="B2619" s="5" t="s">
        <v>2660</v>
      </c>
      <c r="C2619" s="7" t="s">
        <v>64</v>
      </c>
      <c r="D2619" s="8">
        <v>553.07000000000005</v>
      </c>
    </row>
    <row r="2620" spans="1:4" x14ac:dyDescent="0.2">
      <c r="A2620" s="6">
        <v>4054</v>
      </c>
      <c r="B2620" s="5" t="s">
        <v>2661</v>
      </c>
      <c r="C2620" s="7" t="s">
        <v>10</v>
      </c>
      <c r="D2620" s="8">
        <v>307.25</v>
      </c>
    </row>
    <row r="2621" spans="1:4" x14ac:dyDescent="0.2">
      <c r="A2621" s="6">
        <v>4055</v>
      </c>
      <c r="B2621" s="5" t="s">
        <v>2662</v>
      </c>
      <c r="C2621" s="7" t="s">
        <v>10</v>
      </c>
      <c r="D2621" s="8">
        <v>307.25</v>
      </c>
    </row>
    <row r="2622" spans="1:4" x14ac:dyDescent="0.2">
      <c r="A2622" s="6">
        <v>4056</v>
      </c>
      <c r="B2622" s="5" t="s">
        <v>2663</v>
      </c>
      <c r="C2622" s="7" t="s">
        <v>10</v>
      </c>
      <c r="D2622" s="8">
        <v>307.25</v>
      </c>
    </row>
    <row r="2623" spans="1:4" x14ac:dyDescent="0.2">
      <c r="A2623" s="6">
        <v>4057</v>
      </c>
      <c r="B2623" s="5" t="s">
        <v>2664</v>
      </c>
      <c r="C2623" s="7" t="s">
        <v>64</v>
      </c>
      <c r="D2623" s="8">
        <v>553.07000000000005</v>
      </c>
    </row>
    <row r="2624" spans="1:4" x14ac:dyDescent="0.2">
      <c r="A2624" s="6">
        <v>4058</v>
      </c>
      <c r="B2624" s="5" t="s">
        <v>2665</v>
      </c>
      <c r="C2624" s="7" t="s">
        <v>10</v>
      </c>
      <c r="D2624" s="8">
        <v>307.25</v>
      </c>
    </row>
    <row r="2625" spans="1:4" x14ac:dyDescent="0.2">
      <c r="A2625" s="6">
        <v>4059</v>
      </c>
      <c r="B2625" s="5" t="s">
        <v>2666</v>
      </c>
      <c r="C2625" s="7" t="s">
        <v>10</v>
      </c>
      <c r="D2625" s="8">
        <v>307.25</v>
      </c>
    </row>
    <row r="2626" spans="1:4" x14ac:dyDescent="0.2">
      <c r="A2626" s="6">
        <v>4060</v>
      </c>
      <c r="B2626" s="5" t="s">
        <v>2667</v>
      </c>
      <c r="C2626" s="7" t="s">
        <v>10</v>
      </c>
      <c r="D2626" s="8">
        <v>307.25</v>
      </c>
    </row>
    <row r="2627" spans="1:4" x14ac:dyDescent="0.2">
      <c r="A2627" s="6">
        <v>4061</v>
      </c>
      <c r="B2627" s="5" t="s">
        <v>2668</v>
      </c>
      <c r="C2627" s="7" t="s">
        <v>10</v>
      </c>
      <c r="D2627" s="8">
        <v>307.25</v>
      </c>
    </row>
    <row r="2628" spans="1:4" x14ac:dyDescent="0.2">
      <c r="A2628" s="6">
        <v>4062</v>
      </c>
      <c r="B2628" s="5" t="s">
        <v>2669</v>
      </c>
      <c r="C2628" s="7" t="s">
        <v>64</v>
      </c>
      <c r="D2628" s="8">
        <v>553.07000000000005</v>
      </c>
    </row>
    <row r="2629" spans="1:4" x14ac:dyDescent="0.2">
      <c r="A2629" s="6">
        <v>4063</v>
      </c>
      <c r="B2629" s="5" t="s">
        <v>2670</v>
      </c>
      <c r="C2629" s="7" t="s">
        <v>64</v>
      </c>
      <c r="D2629" s="8">
        <v>553.07000000000005</v>
      </c>
    </row>
    <row r="2630" spans="1:4" x14ac:dyDescent="0.2">
      <c r="A2630" s="6">
        <v>4064</v>
      </c>
      <c r="B2630" s="5" t="s">
        <v>2671</v>
      </c>
      <c r="C2630" s="7" t="s">
        <v>64</v>
      </c>
      <c r="D2630" s="8">
        <v>553.07000000000005</v>
      </c>
    </row>
    <row r="2631" spans="1:4" x14ac:dyDescent="0.2">
      <c r="A2631" s="6">
        <v>4065</v>
      </c>
      <c r="B2631" s="5" t="s">
        <v>2672</v>
      </c>
      <c r="C2631" s="7" t="s">
        <v>10</v>
      </c>
      <c r="D2631" s="8">
        <v>307.25</v>
      </c>
    </row>
    <row r="2632" spans="1:4" x14ac:dyDescent="0.2">
      <c r="A2632" s="6">
        <v>4066</v>
      </c>
      <c r="B2632" s="5" t="s">
        <v>2673</v>
      </c>
      <c r="C2632" s="7" t="s">
        <v>64</v>
      </c>
      <c r="D2632" s="8">
        <v>638.79999999999995</v>
      </c>
    </row>
    <row r="2633" spans="1:4" x14ac:dyDescent="0.2">
      <c r="A2633" s="6">
        <v>4067</v>
      </c>
      <c r="B2633" s="5" t="s">
        <v>2674</v>
      </c>
      <c r="C2633" s="7" t="s">
        <v>10</v>
      </c>
      <c r="D2633" s="8">
        <v>307.25</v>
      </c>
    </row>
    <row r="2634" spans="1:4" x14ac:dyDescent="0.2">
      <c r="A2634" s="6">
        <v>4068</v>
      </c>
      <c r="B2634" s="5" t="s">
        <v>2675</v>
      </c>
      <c r="C2634" s="7" t="s">
        <v>10</v>
      </c>
      <c r="D2634" s="8">
        <v>307.25</v>
      </c>
    </row>
    <row r="2635" spans="1:4" x14ac:dyDescent="0.2">
      <c r="A2635" s="6">
        <v>4069</v>
      </c>
      <c r="B2635" s="5" t="s">
        <v>2676</v>
      </c>
      <c r="C2635" s="7" t="s">
        <v>10</v>
      </c>
      <c r="D2635" s="8">
        <v>307.25</v>
      </c>
    </row>
    <row r="2636" spans="1:4" x14ac:dyDescent="0.2">
      <c r="A2636" s="6">
        <v>4070</v>
      </c>
      <c r="B2636" s="5" t="s">
        <v>2677</v>
      </c>
      <c r="C2636" s="7" t="s">
        <v>10</v>
      </c>
      <c r="D2636" s="8">
        <v>307.25</v>
      </c>
    </row>
    <row r="2637" spans="1:4" x14ac:dyDescent="0.2">
      <c r="A2637" s="6">
        <v>4071</v>
      </c>
      <c r="B2637" s="5" t="s">
        <v>2678</v>
      </c>
      <c r="C2637" s="7" t="s">
        <v>10</v>
      </c>
      <c r="D2637" s="8">
        <v>307.25</v>
      </c>
    </row>
    <row r="2638" spans="1:4" x14ac:dyDescent="0.2">
      <c r="A2638" s="6">
        <v>4072</v>
      </c>
      <c r="B2638" s="5" t="s">
        <v>2679</v>
      </c>
      <c r="C2638" s="7" t="s">
        <v>10</v>
      </c>
      <c r="D2638" s="8">
        <v>307.25</v>
      </c>
    </row>
    <row r="2639" spans="1:4" x14ac:dyDescent="0.2">
      <c r="A2639" s="6">
        <v>4073</v>
      </c>
      <c r="B2639" s="5" t="s">
        <v>2680</v>
      </c>
      <c r="C2639" s="7" t="s">
        <v>64</v>
      </c>
      <c r="D2639" s="8">
        <v>553.07000000000005</v>
      </c>
    </row>
    <row r="2640" spans="1:4" x14ac:dyDescent="0.2">
      <c r="A2640" s="6">
        <v>4074</v>
      </c>
      <c r="B2640" s="5" t="s">
        <v>2681</v>
      </c>
      <c r="C2640" s="7" t="s">
        <v>64</v>
      </c>
      <c r="D2640" s="8">
        <v>553.07000000000005</v>
      </c>
    </row>
    <row r="2641" spans="1:4" x14ac:dyDescent="0.2">
      <c r="A2641" s="6">
        <v>4075</v>
      </c>
      <c r="B2641" s="5" t="s">
        <v>2682</v>
      </c>
      <c r="C2641" s="7" t="s">
        <v>10</v>
      </c>
      <c r="D2641" s="8">
        <v>307.25</v>
      </c>
    </row>
    <row r="2642" spans="1:4" x14ac:dyDescent="0.2">
      <c r="A2642" s="6">
        <v>4076</v>
      </c>
      <c r="B2642" s="5" t="s">
        <v>2683</v>
      </c>
      <c r="C2642" s="7" t="s">
        <v>10</v>
      </c>
      <c r="D2642" s="8">
        <v>307.25</v>
      </c>
    </row>
    <row r="2643" spans="1:4" x14ac:dyDescent="0.2">
      <c r="A2643" s="6">
        <v>4077</v>
      </c>
      <c r="B2643" s="5" t="s">
        <v>2684</v>
      </c>
      <c r="C2643" s="7" t="s">
        <v>64</v>
      </c>
      <c r="D2643" s="8">
        <v>553.07000000000005</v>
      </c>
    </row>
    <row r="2644" spans="1:4" x14ac:dyDescent="0.2">
      <c r="A2644" s="6">
        <v>4078</v>
      </c>
      <c r="B2644" s="5" t="s">
        <v>2685</v>
      </c>
      <c r="C2644" s="7" t="s">
        <v>10</v>
      </c>
      <c r="D2644" s="8">
        <v>307.25</v>
      </c>
    </row>
    <row r="2645" spans="1:4" x14ac:dyDescent="0.2">
      <c r="A2645" s="6">
        <v>4079</v>
      </c>
      <c r="B2645" s="5" t="s">
        <v>2686</v>
      </c>
      <c r="C2645" s="7" t="s">
        <v>64</v>
      </c>
      <c r="D2645" s="8">
        <v>553.07000000000005</v>
      </c>
    </row>
    <row r="2646" spans="1:4" x14ac:dyDescent="0.2">
      <c r="A2646" s="6">
        <v>4080</v>
      </c>
      <c r="B2646" s="5" t="s">
        <v>2687</v>
      </c>
      <c r="C2646" s="7" t="s">
        <v>10</v>
      </c>
      <c r="D2646" s="8">
        <v>307.25</v>
      </c>
    </row>
    <row r="2647" spans="1:4" x14ac:dyDescent="0.2">
      <c r="A2647" s="6">
        <v>4081</v>
      </c>
      <c r="B2647" s="5" t="s">
        <v>2688</v>
      </c>
      <c r="C2647" s="7" t="s">
        <v>10</v>
      </c>
      <c r="D2647" s="8">
        <v>307.25</v>
      </c>
    </row>
    <row r="2648" spans="1:4" x14ac:dyDescent="0.2">
      <c r="A2648" s="6">
        <v>4082</v>
      </c>
      <c r="B2648" s="5" t="s">
        <v>2689</v>
      </c>
      <c r="C2648" s="7" t="s">
        <v>10</v>
      </c>
      <c r="D2648" s="8">
        <v>307.25</v>
      </c>
    </row>
    <row r="2649" spans="1:4" x14ac:dyDescent="0.2">
      <c r="A2649" s="6">
        <v>4083</v>
      </c>
      <c r="B2649" s="5" t="s">
        <v>2690</v>
      </c>
      <c r="C2649" s="7" t="s">
        <v>64</v>
      </c>
      <c r="D2649" s="8">
        <v>638.79999999999995</v>
      </c>
    </row>
    <row r="2650" spans="1:4" x14ac:dyDescent="0.2">
      <c r="A2650" s="6">
        <v>4084</v>
      </c>
      <c r="B2650" s="5" t="s">
        <v>2691</v>
      </c>
      <c r="C2650" s="7" t="s">
        <v>10</v>
      </c>
      <c r="D2650" s="8">
        <v>307.25</v>
      </c>
    </row>
    <row r="2651" spans="1:4" x14ac:dyDescent="0.2">
      <c r="A2651" s="6">
        <v>4085</v>
      </c>
      <c r="B2651" s="5" t="s">
        <v>2692</v>
      </c>
      <c r="C2651" s="7" t="s">
        <v>10</v>
      </c>
      <c r="D2651" s="8">
        <v>307.25</v>
      </c>
    </row>
    <row r="2652" spans="1:4" x14ac:dyDescent="0.2">
      <c r="A2652" s="6">
        <v>4086</v>
      </c>
      <c r="B2652" s="5" t="s">
        <v>2693</v>
      </c>
      <c r="C2652" s="7" t="s">
        <v>10</v>
      </c>
      <c r="D2652" s="8">
        <v>307.25</v>
      </c>
    </row>
    <row r="2653" spans="1:4" x14ac:dyDescent="0.2">
      <c r="A2653" s="6">
        <v>4087</v>
      </c>
      <c r="B2653" s="5" t="s">
        <v>2694</v>
      </c>
      <c r="C2653" s="7" t="s">
        <v>64</v>
      </c>
      <c r="D2653" s="8">
        <v>553.07000000000005</v>
      </c>
    </row>
    <row r="2654" spans="1:4" x14ac:dyDescent="0.2">
      <c r="A2654" s="6">
        <v>4088</v>
      </c>
      <c r="B2654" s="5" t="s">
        <v>2695</v>
      </c>
      <c r="C2654" s="7" t="s">
        <v>10</v>
      </c>
      <c r="D2654" s="8">
        <v>307.25</v>
      </c>
    </row>
    <row r="2655" spans="1:4" x14ac:dyDescent="0.2">
      <c r="A2655" s="6">
        <v>4089</v>
      </c>
      <c r="B2655" s="5" t="s">
        <v>2696</v>
      </c>
      <c r="C2655" s="7" t="s">
        <v>10</v>
      </c>
      <c r="D2655" s="8">
        <v>307.25</v>
      </c>
    </row>
    <row r="2656" spans="1:4" x14ac:dyDescent="0.2">
      <c r="A2656" s="6">
        <v>4090</v>
      </c>
      <c r="B2656" s="5" t="s">
        <v>2697</v>
      </c>
      <c r="C2656" s="7" t="s">
        <v>64</v>
      </c>
      <c r="D2656" s="8">
        <v>553.07000000000005</v>
      </c>
    </row>
    <row r="2657" spans="1:4" x14ac:dyDescent="0.2">
      <c r="A2657" s="6">
        <v>4091</v>
      </c>
      <c r="B2657" s="5" t="s">
        <v>2698</v>
      </c>
      <c r="C2657" s="7" t="s">
        <v>64</v>
      </c>
      <c r="D2657" s="8">
        <v>553.07000000000005</v>
      </c>
    </row>
    <row r="2658" spans="1:4" x14ac:dyDescent="0.2">
      <c r="A2658" s="6">
        <v>4092</v>
      </c>
      <c r="B2658" s="5" t="s">
        <v>2699</v>
      </c>
      <c r="C2658" s="7" t="s">
        <v>10</v>
      </c>
      <c r="D2658" s="8">
        <v>307.25</v>
      </c>
    </row>
    <row r="2659" spans="1:4" x14ac:dyDescent="0.2">
      <c r="A2659" s="6">
        <v>4093</v>
      </c>
      <c r="B2659" s="5" t="s">
        <v>2700</v>
      </c>
      <c r="C2659" s="7" t="s">
        <v>10</v>
      </c>
      <c r="D2659" s="8">
        <v>307.25</v>
      </c>
    </row>
    <row r="2660" spans="1:4" x14ac:dyDescent="0.2">
      <c r="A2660" s="6">
        <v>4094</v>
      </c>
      <c r="B2660" s="5" t="s">
        <v>2701</v>
      </c>
      <c r="C2660" s="7" t="s">
        <v>10</v>
      </c>
      <c r="D2660" s="8">
        <v>307.25</v>
      </c>
    </row>
    <row r="2661" spans="1:4" x14ac:dyDescent="0.2">
      <c r="A2661" s="6">
        <v>4095</v>
      </c>
      <c r="B2661" s="5" t="s">
        <v>2702</v>
      </c>
      <c r="C2661" s="7" t="s">
        <v>10</v>
      </c>
      <c r="D2661" s="8">
        <v>307.25</v>
      </c>
    </row>
    <row r="2662" spans="1:4" x14ac:dyDescent="0.2">
      <c r="A2662" s="6">
        <v>4096</v>
      </c>
      <c r="B2662" s="5" t="s">
        <v>2703</v>
      </c>
      <c r="C2662" s="7" t="s">
        <v>10</v>
      </c>
      <c r="D2662" s="8">
        <v>307.25</v>
      </c>
    </row>
    <row r="2663" spans="1:4" x14ac:dyDescent="0.2">
      <c r="A2663" s="6">
        <v>4097</v>
      </c>
      <c r="B2663" s="5" t="s">
        <v>2704</v>
      </c>
      <c r="C2663" s="7" t="s">
        <v>10</v>
      </c>
      <c r="D2663" s="8">
        <v>307.25</v>
      </c>
    </row>
    <row r="2664" spans="1:4" x14ac:dyDescent="0.2">
      <c r="A2664" s="6">
        <v>4098</v>
      </c>
      <c r="B2664" s="5" t="s">
        <v>2705</v>
      </c>
      <c r="C2664" s="7" t="s">
        <v>10</v>
      </c>
      <c r="D2664" s="8">
        <v>307.25</v>
      </c>
    </row>
    <row r="2665" spans="1:4" x14ac:dyDescent="0.2">
      <c r="A2665" s="6">
        <v>4099</v>
      </c>
      <c r="B2665" s="5" t="s">
        <v>2706</v>
      </c>
      <c r="C2665" s="7" t="s">
        <v>10</v>
      </c>
      <c r="D2665" s="8">
        <v>307.25</v>
      </c>
    </row>
    <row r="2666" spans="1:4" x14ac:dyDescent="0.2">
      <c r="A2666" s="6">
        <v>4100</v>
      </c>
      <c r="B2666" s="5" t="s">
        <v>2707</v>
      </c>
      <c r="C2666" s="7" t="s">
        <v>10</v>
      </c>
      <c r="D2666" s="8">
        <v>307.25</v>
      </c>
    </row>
    <row r="2667" spans="1:4" x14ac:dyDescent="0.2">
      <c r="A2667" s="6">
        <v>4101</v>
      </c>
      <c r="B2667" s="5" t="s">
        <v>2708</v>
      </c>
      <c r="C2667" s="7" t="s">
        <v>10</v>
      </c>
      <c r="D2667" s="8">
        <v>307.25</v>
      </c>
    </row>
    <row r="2668" spans="1:4" x14ac:dyDescent="0.2">
      <c r="A2668" s="6">
        <v>4102</v>
      </c>
      <c r="B2668" s="5" t="s">
        <v>2709</v>
      </c>
      <c r="C2668" s="7" t="s">
        <v>10</v>
      </c>
      <c r="D2668" s="8">
        <v>307.25</v>
      </c>
    </row>
    <row r="2669" spans="1:4" x14ac:dyDescent="0.2">
      <c r="A2669" s="6">
        <v>4103</v>
      </c>
      <c r="B2669" s="5" t="s">
        <v>2710</v>
      </c>
      <c r="C2669" s="7" t="s">
        <v>10</v>
      </c>
      <c r="D2669" s="8">
        <v>307.25</v>
      </c>
    </row>
    <row r="2670" spans="1:4" x14ac:dyDescent="0.2">
      <c r="A2670" s="6">
        <v>4104</v>
      </c>
      <c r="B2670" s="5" t="s">
        <v>1480</v>
      </c>
      <c r="C2670" s="7" t="s">
        <v>10</v>
      </c>
      <c r="D2670" s="8">
        <v>307.25</v>
      </c>
    </row>
    <row r="2671" spans="1:4" x14ac:dyDescent="0.2">
      <c r="A2671" s="6">
        <v>4105</v>
      </c>
      <c r="B2671" s="5" t="s">
        <v>2711</v>
      </c>
      <c r="C2671" s="7" t="s">
        <v>10</v>
      </c>
      <c r="D2671" s="8">
        <v>307.25</v>
      </c>
    </row>
    <row r="2672" spans="1:4" x14ac:dyDescent="0.2">
      <c r="A2672" s="6">
        <v>4106</v>
      </c>
      <c r="B2672" s="5" t="s">
        <v>2712</v>
      </c>
      <c r="C2672" s="7" t="s">
        <v>10</v>
      </c>
      <c r="D2672" s="8">
        <v>307.25</v>
      </c>
    </row>
    <row r="2673" spans="1:4" x14ac:dyDescent="0.2">
      <c r="A2673" s="6">
        <v>4107</v>
      </c>
      <c r="B2673" s="5" t="s">
        <v>2713</v>
      </c>
      <c r="C2673" s="7" t="s">
        <v>10</v>
      </c>
      <c r="D2673" s="8">
        <v>307.25</v>
      </c>
    </row>
    <row r="2674" spans="1:4" x14ac:dyDescent="0.2">
      <c r="A2674" s="6">
        <v>4108</v>
      </c>
      <c r="B2674" s="5" t="s">
        <v>2714</v>
      </c>
      <c r="C2674" s="7" t="s">
        <v>10</v>
      </c>
      <c r="D2674" s="8">
        <v>307.25</v>
      </c>
    </row>
    <row r="2675" spans="1:4" x14ac:dyDescent="0.2">
      <c r="A2675" s="6">
        <v>4109</v>
      </c>
      <c r="B2675" s="5" t="s">
        <v>2715</v>
      </c>
      <c r="C2675" s="7" t="s">
        <v>64</v>
      </c>
      <c r="D2675" s="8">
        <v>553.07000000000005</v>
      </c>
    </row>
    <row r="2676" spans="1:4" x14ac:dyDescent="0.2">
      <c r="A2676" s="6">
        <v>4110</v>
      </c>
      <c r="B2676" s="5" t="s">
        <v>2716</v>
      </c>
      <c r="C2676" s="7" t="s">
        <v>10</v>
      </c>
      <c r="D2676" s="8">
        <v>307.25</v>
      </c>
    </row>
    <row r="2677" spans="1:4" x14ac:dyDescent="0.2">
      <c r="A2677" s="6">
        <v>4111</v>
      </c>
      <c r="B2677" s="5" t="s">
        <v>2717</v>
      </c>
      <c r="C2677" s="7" t="s">
        <v>10</v>
      </c>
      <c r="D2677" s="8">
        <v>307.25</v>
      </c>
    </row>
    <row r="2678" spans="1:4" x14ac:dyDescent="0.2">
      <c r="A2678" s="6">
        <v>4112</v>
      </c>
      <c r="B2678" s="5" t="s">
        <v>2718</v>
      </c>
      <c r="C2678" s="7" t="s">
        <v>10</v>
      </c>
      <c r="D2678" s="8">
        <v>307.25</v>
      </c>
    </row>
    <row r="2679" spans="1:4" x14ac:dyDescent="0.2">
      <c r="A2679" s="6">
        <v>4113</v>
      </c>
      <c r="B2679" s="5" t="s">
        <v>2719</v>
      </c>
      <c r="C2679" s="7" t="s">
        <v>10</v>
      </c>
      <c r="D2679" s="8">
        <v>307.25</v>
      </c>
    </row>
    <row r="2680" spans="1:4" x14ac:dyDescent="0.2">
      <c r="A2680" s="6">
        <v>4114</v>
      </c>
      <c r="B2680" s="5" t="s">
        <v>2720</v>
      </c>
      <c r="C2680" s="7" t="s">
        <v>10</v>
      </c>
      <c r="D2680" s="8">
        <v>307.25</v>
      </c>
    </row>
    <row r="2681" spans="1:4" x14ac:dyDescent="0.2">
      <c r="A2681" s="6">
        <v>4115</v>
      </c>
      <c r="B2681" s="5" t="s">
        <v>2721</v>
      </c>
      <c r="C2681" s="7" t="s">
        <v>64</v>
      </c>
      <c r="D2681" s="8">
        <v>553.07000000000005</v>
      </c>
    </row>
    <row r="2682" spans="1:4" x14ac:dyDescent="0.2">
      <c r="A2682" s="6">
        <v>4116</v>
      </c>
      <c r="B2682" s="5" t="s">
        <v>2722</v>
      </c>
      <c r="C2682" s="7" t="s">
        <v>10</v>
      </c>
      <c r="D2682" s="8">
        <v>307.25</v>
      </c>
    </row>
    <row r="2683" spans="1:4" x14ac:dyDescent="0.2">
      <c r="A2683" s="6">
        <v>4117</v>
      </c>
      <c r="B2683" s="5" t="s">
        <v>2723</v>
      </c>
      <c r="C2683" s="7" t="s">
        <v>10</v>
      </c>
      <c r="D2683" s="8">
        <v>307.25</v>
      </c>
    </row>
    <row r="2684" spans="1:4" x14ac:dyDescent="0.2">
      <c r="A2684" s="6">
        <v>4118</v>
      </c>
      <c r="B2684" s="5" t="s">
        <v>2724</v>
      </c>
      <c r="C2684" s="7" t="s">
        <v>10</v>
      </c>
      <c r="D2684" s="8">
        <v>307.25</v>
      </c>
    </row>
    <row r="2685" spans="1:4" x14ac:dyDescent="0.2">
      <c r="A2685" s="6">
        <v>4119</v>
      </c>
      <c r="B2685" s="5" t="s">
        <v>2725</v>
      </c>
      <c r="C2685" s="7" t="s">
        <v>64</v>
      </c>
      <c r="D2685" s="8">
        <v>553.07000000000005</v>
      </c>
    </row>
    <row r="2686" spans="1:4" x14ac:dyDescent="0.2">
      <c r="A2686" s="6">
        <v>4120</v>
      </c>
      <c r="B2686" s="5" t="s">
        <v>2726</v>
      </c>
      <c r="C2686" s="7" t="s">
        <v>297</v>
      </c>
      <c r="D2686" s="8">
        <v>516.89</v>
      </c>
    </row>
    <row r="2687" spans="1:4" x14ac:dyDescent="0.2">
      <c r="A2687" s="6">
        <v>4121</v>
      </c>
      <c r="B2687" s="5" t="s">
        <v>2727</v>
      </c>
      <c r="C2687" s="7" t="s">
        <v>64</v>
      </c>
      <c r="D2687" s="8">
        <v>553.07000000000005</v>
      </c>
    </row>
    <row r="2688" spans="1:4" x14ac:dyDescent="0.2">
      <c r="A2688" s="6">
        <v>4122</v>
      </c>
      <c r="B2688" s="5" t="s">
        <v>2728</v>
      </c>
      <c r="C2688" s="7" t="s">
        <v>10</v>
      </c>
      <c r="D2688" s="8">
        <v>307.25</v>
      </c>
    </row>
    <row r="2689" spans="1:4" x14ac:dyDescent="0.2">
      <c r="A2689" s="6">
        <v>4123</v>
      </c>
      <c r="B2689" s="5" t="s">
        <v>2729</v>
      </c>
      <c r="C2689" s="7" t="s">
        <v>10</v>
      </c>
      <c r="D2689" s="8">
        <v>307.25</v>
      </c>
    </row>
    <row r="2690" spans="1:4" x14ac:dyDescent="0.2">
      <c r="A2690" s="6">
        <v>4124</v>
      </c>
      <c r="B2690" s="5" t="s">
        <v>2730</v>
      </c>
      <c r="C2690" s="7" t="s">
        <v>10</v>
      </c>
      <c r="D2690" s="8">
        <v>307.25</v>
      </c>
    </row>
    <row r="2691" spans="1:4" x14ac:dyDescent="0.2">
      <c r="A2691" s="6">
        <v>4125</v>
      </c>
      <c r="B2691" s="5" t="s">
        <v>2731</v>
      </c>
      <c r="C2691" s="7" t="s">
        <v>10</v>
      </c>
      <c r="D2691" s="8">
        <v>307.25</v>
      </c>
    </row>
    <row r="2692" spans="1:4" x14ac:dyDescent="0.2">
      <c r="A2692" s="6">
        <v>4126</v>
      </c>
      <c r="B2692" s="5" t="s">
        <v>2732</v>
      </c>
      <c r="C2692" s="7" t="s">
        <v>10</v>
      </c>
      <c r="D2692" s="8">
        <v>307.25</v>
      </c>
    </row>
    <row r="2693" spans="1:4" x14ac:dyDescent="0.2">
      <c r="A2693" s="6">
        <v>4127</v>
      </c>
      <c r="B2693" s="5" t="s">
        <v>2733</v>
      </c>
      <c r="C2693" s="7" t="s">
        <v>10</v>
      </c>
      <c r="D2693" s="8">
        <v>307.25</v>
      </c>
    </row>
    <row r="2694" spans="1:4" x14ac:dyDescent="0.2">
      <c r="A2694" s="6">
        <v>4128</v>
      </c>
      <c r="B2694" s="5" t="s">
        <v>2734</v>
      </c>
      <c r="C2694" s="7" t="s">
        <v>10</v>
      </c>
      <c r="D2694" s="8">
        <v>307.25</v>
      </c>
    </row>
    <row r="2695" spans="1:4" x14ac:dyDescent="0.2">
      <c r="A2695" s="6">
        <v>4129</v>
      </c>
      <c r="B2695" s="5" t="s">
        <v>2735</v>
      </c>
      <c r="C2695" s="7" t="s">
        <v>64</v>
      </c>
      <c r="D2695" s="8">
        <v>553.07000000000005</v>
      </c>
    </row>
    <row r="2696" spans="1:4" x14ac:dyDescent="0.2">
      <c r="A2696" s="6">
        <v>4130</v>
      </c>
      <c r="B2696" s="5" t="s">
        <v>2736</v>
      </c>
      <c r="C2696" s="7" t="s">
        <v>10</v>
      </c>
      <c r="D2696" s="8">
        <v>307.25</v>
      </c>
    </row>
    <row r="2697" spans="1:4" x14ac:dyDescent="0.2">
      <c r="A2697" s="6">
        <v>4131</v>
      </c>
      <c r="B2697" s="5" t="s">
        <v>2737</v>
      </c>
      <c r="C2697" s="7" t="s">
        <v>10</v>
      </c>
      <c r="D2697" s="8">
        <v>307.25</v>
      </c>
    </row>
    <row r="2698" spans="1:4" x14ac:dyDescent="0.2">
      <c r="A2698" s="6">
        <v>4132</v>
      </c>
      <c r="B2698" s="5" t="s">
        <v>2738</v>
      </c>
      <c r="C2698" s="7" t="s">
        <v>10</v>
      </c>
      <c r="D2698" s="8">
        <v>307.25</v>
      </c>
    </row>
    <row r="2699" spans="1:4" x14ac:dyDescent="0.2">
      <c r="A2699" s="6">
        <v>4133</v>
      </c>
      <c r="B2699" s="5" t="s">
        <v>2739</v>
      </c>
      <c r="C2699" s="7" t="s">
        <v>10</v>
      </c>
      <c r="D2699" s="8">
        <v>307.25</v>
      </c>
    </row>
    <row r="2700" spans="1:4" x14ac:dyDescent="0.2">
      <c r="A2700" s="6">
        <v>4134</v>
      </c>
      <c r="B2700" s="5" t="s">
        <v>2740</v>
      </c>
      <c r="C2700" s="7" t="s">
        <v>10</v>
      </c>
      <c r="D2700" s="8">
        <v>307.25</v>
      </c>
    </row>
    <row r="2701" spans="1:4" x14ac:dyDescent="0.2">
      <c r="A2701" s="6">
        <v>4135</v>
      </c>
      <c r="B2701" s="5" t="s">
        <v>2741</v>
      </c>
      <c r="C2701" s="7" t="s">
        <v>10</v>
      </c>
      <c r="D2701" s="8">
        <v>307.25</v>
      </c>
    </row>
    <row r="2702" spans="1:4" x14ac:dyDescent="0.2">
      <c r="A2702" s="6">
        <v>4136</v>
      </c>
      <c r="B2702" s="5" t="s">
        <v>2742</v>
      </c>
      <c r="C2702" s="7" t="s">
        <v>64</v>
      </c>
      <c r="D2702" s="8">
        <v>553.07000000000005</v>
      </c>
    </row>
    <row r="2703" spans="1:4" x14ac:dyDescent="0.2">
      <c r="A2703" s="6">
        <v>4137</v>
      </c>
      <c r="B2703" s="5" t="s">
        <v>2743</v>
      </c>
      <c r="C2703" s="7" t="s">
        <v>64</v>
      </c>
      <c r="D2703" s="8">
        <v>553.07000000000005</v>
      </c>
    </row>
    <row r="2704" spans="1:4" x14ac:dyDescent="0.2">
      <c r="A2704" s="6">
        <v>4138</v>
      </c>
      <c r="B2704" s="5" t="s">
        <v>2744</v>
      </c>
      <c r="C2704" s="7" t="s">
        <v>10</v>
      </c>
      <c r="D2704" s="8">
        <v>307.25</v>
      </c>
    </row>
    <row r="2705" spans="1:4" x14ac:dyDescent="0.2">
      <c r="A2705" s="6">
        <v>4139</v>
      </c>
      <c r="B2705" s="5" t="s">
        <v>2745</v>
      </c>
      <c r="C2705" s="7" t="s">
        <v>64</v>
      </c>
      <c r="D2705" s="8">
        <v>553.07000000000005</v>
      </c>
    </row>
    <row r="2706" spans="1:4" x14ac:dyDescent="0.2">
      <c r="A2706" s="6">
        <v>4140</v>
      </c>
      <c r="B2706" s="5" t="s">
        <v>2746</v>
      </c>
      <c r="C2706" s="7" t="s">
        <v>64</v>
      </c>
      <c r="D2706" s="8">
        <v>553.07000000000005</v>
      </c>
    </row>
    <row r="2707" spans="1:4" x14ac:dyDescent="0.2">
      <c r="A2707" s="6">
        <v>4141</v>
      </c>
      <c r="B2707" s="5" t="s">
        <v>2747</v>
      </c>
      <c r="C2707" s="7" t="s">
        <v>10</v>
      </c>
      <c r="D2707" s="8">
        <v>307.25</v>
      </c>
    </row>
    <row r="2708" spans="1:4" x14ac:dyDescent="0.2">
      <c r="A2708" s="6">
        <v>4142</v>
      </c>
      <c r="B2708" s="5" t="s">
        <v>2748</v>
      </c>
      <c r="C2708" s="7" t="s">
        <v>10</v>
      </c>
      <c r="D2708" s="8">
        <v>307.25</v>
      </c>
    </row>
    <row r="2709" spans="1:4" x14ac:dyDescent="0.2">
      <c r="A2709" s="6">
        <v>4143</v>
      </c>
      <c r="B2709" s="5" t="s">
        <v>2749</v>
      </c>
      <c r="C2709" s="7" t="s">
        <v>10</v>
      </c>
      <c r="D2709" s="8">
        <v>307.25</v>
      </c>
    </row>
    <row r="2710" spans="1:4" x14ac:dyDescent="0.2">
      <c r="A2710" s="6">
        <v>4144</v>
      </c>
      <c r="B2710" s="5" t="s">
        <v>2750</v>
      </c>
      <c r="C2710" s="7" t="s">
        <v>10</v>
      </c>
      <c r="D2710" s="8">
        <v>307.25</v>
      </c>
    </row>
    <row r="2711" spans="1:4" x14ac:dyDescent="0.2">
      <c r="A2711" s="6">
        <v>4145</v>
      </c>
      <c r="B2711" s="5" t="s">
        <v>2751</v>
      </c>
      <c r="C2711" s="7" t="s">
        <v>10</v>
      </c>
      <c r="D2711" s="8">
        <v>307.25</v>
      </c>
    </row>
    <row r="2712" spans="1:4" x14ac:dyDescent="0.2">
      <c r="A2712" s="6">
        <v>4146</v>
      </c>
      <c r="B2712" s="5" t="s">
        <v>2752</v>
      </c>
      <c r="C2712" s="7" t="s">
        <v>10</v>
      </c>
      <c r="D2712" s="8">
        <v>307.25</v>
      </c>
    </row>
    <row r="2713" spans="1:4" x14ac:dyDescent="0.2">
      <c r="A2713" s="6">
        <v>4147</v>
      </c>
      <c r="B2713" s="5" t="s">
        <v>2753</v>
      </c>
      <c r="C2713" s="7" t="s">
        <v>10</v>
      </c>
      <c r="D2713" s="8">
        <v>307.25</v>
      </c>
    </row>
    <row r="2714" spans="1:4" x14ac:dyDescent="0.2">
      <c r="A2714" s="6">
        <v>4148</v>
      </c>
      <c r="B2714" s="5" t="s">
        <v>2754</v>
      </c>
      <c r="C2714" s="7" t="s">
        <v>64</v>
      </c>
      <c r="D2714" s="8">
        <v>553.07000000000005</v>
      </c>
    </row>
    <row r="2715" spans="1:4" x14ac:dyDescent="0.2">
      <c r="A2715" s="6">
        <v>4149</v>
      </c>
      <c r="B2715" s="5" t="s">
        <v>2755</v>
      </c>
      <c r="C2715" s="7" t="s">
        <v>10</v>
      </c>
      <c r="D2715" s="8">
        <v>307.25</v>
      </c>
    </row>
    <row r="2716" spans="1:4" x14ac:dyDescent="0.2">
      <c r="A2716" s="6">
        <v>4150</v>
      </c>
      <c r="B2716" s="5" t="s">
        <v>2756</v>
      </c>
      <c r="C2716" s="7" t="s">
        <v>92</v>
      </c>
      <c r="D2716" s="8">
        <v>563.36</v>
      </c>
    </row>
    <row r="2717" spans="1:4" x14ac:dyDescent="0.2">
      <c r="A2717" s="6">
        <v>4151</v>
      </c>
      <c r="B2717" s="5" t="s">
        <v>2757</v>
      </c>
      <c r="C2717" s="7" t="s">
        <v>10</v>
      </c>
      <c r="D2717" s="8">
        <v>307.25</v>
      </c>
    </row>
    <row r="2718" spans="1:4" x14ac:dyDescent="0.2">
      <c r="A2718" s="6">
        <v>4152</v>
      </c>
      <c r="B2718" s="5" t="s">
        <v>2758</v>
      </c>
      <c r="C2718" s="7" t="s">
        <v>10</v>
      </c>
      <c r="D2718" s="8">
        <v>307.25</v>
      </c>
    </row>
    <row r="2719" spans="1:4" x14ac:dyDescent="0.2">
      <c r="A2719" s="6">
        <v>4153</v>
      </c>
      <c r="B2719" s="5" t="s">
        <v>2759</v>
      </c>
      <c r="C2719" s="7" t="s">
        <v>10</v>
      </c>
      <c r="D2719" s="8">
        <v>307.25</v>
      </c>
    </row>
    <row r="2720" spans="1:4" x14ac:dyDescent="0.2">
      <c r="A2720" s="6">
        <v>4154</v>
      </c>
      <c r="B2720" s="5" t="s">
        <v>2760</v>
      </c>
      <c r="C2720" s="7" t="s">
        <v>10</v>
      </c>
      <c r="D2720" s="8">
        <v>307.25</v>
      </c>
    </row>
    <row r="2721" spans="1:4" x14ac:dyDescent="0.2">
      <c r="A2721" s="6">
        <v>4155</v>
      </c>
      <c r="B2721" s="5" t="s">
        <v>2761</v>
      </c>
      <c r="C2721" s="7" t="s">
        <v>10</v>
      </c>
      <c r="D2721" s="8">
        <v>307.25</v>
      </c>
    </row>
    <row r="2722" spans="1:4" x14ac:dyDescent="0.2">
      <c r="A2722" s="6">
        <v>4156</v>
      </c>
      <c r="B2722" s="5" t="s">
        <v>2762</v>
      </c>
      <c r="C2722" s="7" t="s">
        <v>10</v>
      </c>
      <c r="D2722" s="8">
        <v>307.25</v>
      </c>
    </row>
    <row r="2723" spans="1:4" x14ac:dyDescent="0.2">
      <c r="A2723" s="6">
        <v>4157</v>
      </c>
      <c r="B2723" s="5" t="s">
        <v>2763</v>
      </c>
      <c r="C2723" s="7" t="s">
        <v>10</v>
      </c>
      <c r="D2723" s="8">
        <v>307.25</v>
      </c>
    </row>
    <row r="2724" spans="1:4" x14ac:dyDescent="0.2">
      <c r="A2724" s="6">
        <v>4158</v>
      </c>
      <c r="B2724" s="5" t="s">
        <v>2764</v>
      </c>
      <c r="C2724" s="7" t="s">
        <v>10</v>
      </c>
      <c r="D2724" s="8">
        <v>307.25</v>
      </c>
    </row>
    <row r="2725" spans="1:4" x14ac:dyDescent="0.2">
      <c r="A2725" s="6">
        <v>4159</v>
      </c>
      <c r="B2725" s="5" t="s">
        <v>2765</v>
      </c>
      <c r="C2725" s="7" t="s">
        <v>10</v>
      </c>
      <c r="D2725" s="8">
        <v>307.25</v>
      </c>
    </row>
    <row r="2726" spans="1:4" x14ac:dyDescent="0.2">
      <c r="A2726" s="6">
        <v>4160</v>
      </c>
      <c r="B2726" s="5" t="s">
        <v>2766</v>
      </c>
      <c r="C2726" s="7" t="s">
        <v>10</v>
      </c>
      <c r="D2726" s="8">
        <v>307.25</v>
      </c>
    </row>
    <row r="2727" spans="1:4" x14ac:dyDescent="0.2">
      <c r="A2727" s="6">
        <v>4161</v>
      </c>
      <c r="B2727" s="5" t="s">
        <v>2767</v>
      </c>
      <c r="C2727" s="7" t="s">
        <v>64</v>
      </c>
      <c r="D2727" s="8">
        <v>553.07000000000005</v>
      </c>
    </row>
    <row r="2728" spans="1:4" x14ac:dyDescent="0.2">
      <c r="A2728" s="6">
        <v>4162</v>
      </c>
      <c r="B2728" s="5" t="s">
        <v>2768</v>
      </c>
      <c r="C2728" s="7" t="s">
        <v>10</v>
      </c>
      <c r="D2728" s="8">
        <v>307.25</v>
      </c>
    </row>
    <row r="2729" spans="1:4" x14ac:dyDescent="0.2">
      <c r="A2729" s="6">
        <v>4163</v>
      </c>
      <c r="B2729" s="5" t="s">
        <v>2769</v>
      </c>
      <c r="C2729" s="7" t="s">
        <v>10</v>
      </c>
      <c r="D2729" s="8">
        <v>307.25</v>
      </c>
    </row>
    <row r="2730" spans="1:4" x14ac:dyDescent="0.2">
      <c r="A2730" s="6">
        <v>4164</v>
      </c>
      <c r="B2730" s="5" t="s">
        <v>2770</v>
      </c>
      <c r="C2730" s="7" t="s">
        <v>10</v>
      </c>
      <c r="D2730" s="8">
        <v>307.25</v>
      </c>
    </row>
    <row r="2731" spans="1:4" x14ac:dyDescent="0.2">
      <c r="A2731" s="6">
        <v>4165</v>
      </c>
      <c r="B2731" s="5" t="s">
        <v>2771</v>
      </c>
      <c r="C2731" s="7" t="s">
        <v>64</v>
      </c>
      <c r="D2731" s="8">
        <v>553.07000000000005</v>
      </c>
    </row>
    <row r="2732" spans="1:4" x14ac:dyDescent="0.2">
      <c r="A2732" s="6">
        <v>4166</v>
      </c>
      <c r="B2732" s="5" t="s">
        <v>2772</v>
      </c>
      <c r="C2732" s="7" t="s">
        <v>10</v>
      </c>
      <c r="D2732" s="8">
        <v>307.25</v>
      </c>
    </row>
    <row r="2733" spans="1:4" x14ac:dyDescent="0.2">
      <c r="A2733" s="6">
        <v>4167</v>
      </c>
      <c r="B2733" s="5" t="s">
        <v>2773</v>
      </c>
      <c r="C2733" s="7" t="s">
        <v>10</v>
      </c>
      <c r="D2733" s="8">
        <v>307.25</v>
      </c>
    </row>
    <row r="2734" spans="1:4" x14ac:dyDescent="0.2">
      <c r="A2734" s="6">
        <v>4168</v>
      </c>
      <c r="B2734" s="5" t="s">
        <v>2774</v>
      </c>
      <c r="C2734" s="7" t="s">
        <v>10</v>
      </c>
      <c r="D2734" s="8">
        <v>307.25</v>
      </c>
    </row>
    <row r="2735" spans="1:4" x14ac:dyDescent="0.2">
      <c r="A2735" s="6">
        <v>4169</v>
      </c>
      <c r="B2735" s="5" t="s">
        <v>2775</v>
      </c>
      <c r="C2735" s="7" t="s">
        <v>10</v>
      </c>
      <c r="D2735" s="8">
        <v>307.25</v>
      </c>
    </row>
    <row r="2736" spans="1:4" x14ac:dyDescent="0.2">
      <c r="A2736" s="6">
        <v>4170</v>
      </c>
      <c r="B2736" s="5" t="s">
        <v>2776</v>
      </c>
      <c r="C2736" s="7" t="s">
        <v>10</v>
      </c>
      <c r="D2736" s="8">
        <v>257.14</v>
      </c>
    </row>
    <row r="2737" spans="1:4" x14ac:dyDescent="0.2">
      <c r="A2737" s="6">
        <v>4171</v>
      </c>
      <c r="B2737" s="5" t="s">
        <v>2777</v>
      </c>
      <c r="C2737" s="7" t="s">
        <v>10</v>
      </c>
      <c r="D2737" s="8">
        <v>307.25</v>
      </c>
    </row>
    <row r="2738" spans="1:4" x14ac:dyDescent="0.2">
      <c r="A2738" s="6">
        <v>4172</v>
      </c>
      <c r="B2738" s="5" t="s">
        <v>2778</v>
      </c>
      <c r="C2738" s="7" t="s">
        <v>10</v>
      </c>
      <c r="D2738" s="8">
        <v>307.25</v>
      </c>
    </row>
    <row r="2739" spans="1:4" x14ac:dyDescent="0.2">
      <c r="A2739" s="6">
        <v>4173</v>
      </c>
      <c r="B2739" s="5" t="s">
        <v>2779</v>
      </c>
      <c r="C2739" s="7" t="s">
        <v>10</v>
      </c>
      <c r="D2739" s="8">
        <v>307.25</v>
      </c>
    </row>
    <row r="2740" spans="1:4" x14ac:dyDescent="0.2">
      <c r="A2740" s="6">
        <v>4174</v>
      </c>
      <c r="B2740" s="5" t="s">
        <v>2780</v>
      </c>
      <c r="C2740" s="7" t="s">
        <v>185</v>
      </c>
      <c r="D2740" s="8">
        <v>492.28</v>
      </c>
    </row>
    <row r="2741" spans="1:4" x14ac:dyDescent="0.2">
      <c r="A2741" s="6">
        <v>4175</v>
      </c>
      <c r="B2741" s="5" t="s">
        <v>2781</v>
      </c>
      <c r="C2741" s="7" t="s">
        <v>64</v>
      </c>
      <c r="D2741" s="8">
        <v>553.07000000000005</v>
      </c>
    </row>
    <row r="2742" spans="1:4" x14ac:dyDescent="0.2">
      <c r="A2742" s="6">
        <v>4176</v>
      </c>
      <c r="B2742" s="5" t="s">
        <v>2782</v>
      </c>
      <c r="C2742" s="7" t="s">
        <v>64</v>
      </c>
      <c r="D2742" s="8">
        <v>553.07000000000005</v>
      </c>
    </row>
    <row r="2743" spans="1:4" x14ac:dyDescent="0.2">
      <c r="A2743" s="6">
        <v>4177</v>
      </c>
      <c r="B2743" s="5" t="s">
        <v>2783</v>
      </c>
      <c r="C2743" s="7" t="s">
        <v>297</v>
      </c>
      <c r="D2743" s="8">
        <v>236.25</v>
      </c>
    </row>
    <row r="2744" spans="1:4" x14ac:dyDescent="0.2">
      <c r="A2744" s="6">
        <v>4178</v>
      </c>
      <c r="B2744" s="5" t="s">
        <v>2784</v>
      </c>
      <c r="C2744" s="7" t="s">
        <v>10</v>
      </c>
      <c r="D2744" s="8">
        <v>307.25</v>
      </c>
    </row>
    <row r="2745" spans="1:4" x14ac:dyDescent="0.2">
      <c r="A2745" s="6">
        <v>4179</v>
      </c>
      <c r="B2745" s="5" t="s">
        <v>2785</v>
      </c>
      <c r="C2745" s="7" t="s">
        <v>10</v>
      </c>
      <c r="D2745" s="8">
        <v>307.25</v>
      </c>
    </row>
    <row r="2746" spans="1:4" x14ac:dyDescent="0.2">
      <c r="A2746" s="6">
        <v>4180</v>
      </c>
      <c r="B2746" s="5" t="s">
        <v>2786</v>
      </c>
      <c r="C2746" s="7" t="s">
        <v>10</v>
      </c>
      <c r="D2746" s="8">
        <v>307.25</v>
      </c>
    </row>
    <row r="2747" spans="1:4" x14ac:dyDescent="0.2">
      <c r="A2747" s="6">
        <v>4181</v>
      </c>
      <c r="B2747" s="5" t="s">
        <v>2787</v>
      </c>
      <c r="C2747" s="7" t="s">
        <v>10</v>
      </c>
      <c r="D2747" s="8">
        <v>307.25</v>
      </c>
    </row>
    <row r="2748" spans="1:4" x14ac:dyDescent="0.2">
      <c r="A2748" s="6">
        <v>4182</v>
      </c>
      <c r="B2748" s="5" t="s">
        <v>2788</v>
      </c>
      <c r="C2748" s="7" t="s">
        <v>10</v>
      </c>
      <c r="D2748" s="8">
        <v>307.25</v>
      </c>
    </row>
    <row r="2749" spans="1:4" x14ac:dyDescent="0.2">
      <c r="A2749" s="6">
        <v>4183</v>
      </c>
      <c r="B2749" s="5" t="s">
        <v>2789</v>
      </c>
      <c r="C2749" s="7" t="s">
        <v>10</v>
      </c>
      <c r="D2749" s="8">
        <v>307.25</v>
      </c>
    </row>
    <row r="2750" spans="1:4" x14ac:dyDescent="0.2">
      <c r="A2750" s="6">
        <v>4184</v>
      </c>
      <c r="B2750" s="5" t="s">
        <v>2790</v>
      </c>
      <c r="C2750" s="7" t="s">
        <v>10</v>
      </c>
      <c r="D2750" s="8">
        <v>307.25</v>
      </c>
    </row>
    <row r="2751" spans="1:4" x14ac:dyDescent="0.2">
      <c r="A2751" s="6">
        <v>4185</v>
      </c>
      <c r="B2751" s="5" t="s">
        <v>1230</v>
      </c>
      <c r="C2751" s="7" t="s">
        <v>64</v>
      </c>
      <c r="D2751" s="8">
        <v>553.07000000000005</v>
      </c>
    </row>
    <row r="2752" spans="1:4" x14ac:dyDescent="0.2">
      <c r="A2752" s="6">
        <v>4186</v>
      </c>
      <c r="B2752" s="5" t="s">
        <v>2791</v>
      </c>
      <c r="C2752" s="7" t="s">
        <v>64</v>
      </c>
      <c r="D2752" s="8">
        <v>553.07000000000005</v>
      </c>
    </row>
    <row r="2753" spans="1:4" x14ac:dyDescent="0.2">
      <c r="A2753" s="6">
        <v>4187</v>
      </c>
      <c r="B2753" s="5" t="s">
        <v>2792</v>
      </c>
      <c r="C2753" s="7" t="s">
        <v>64</v>
      </c>
      <c r="D2753" s="8">
        <v>553.07000000000005</v>
      </c>
    </row>
    <row r="2754" spans="1:4" x14ac:dyDescent="0.2">
      <c r="A2754" s="6">
        <v>4188</v>
      </c>
      <c r="B2754" s="5" t="s">
        <v>2793</v>
      </c>
      <c r="C2754" s="7" t="s">
        <v>10</v>
      </c>
      <c r="D2754" s="8">
        <v>307.25</v>
      </c>
    </row>
    <row r="2755" spans="1:4" x14ac:dyDescent="0.2">
      <c r="A2755" s="6">
        <v>4189</v>
      </c>
      <c r="B2755" s="5" t="s">
        <v>2794</v>
      </c>
      <c r="C2755" s="7" t="s">
        <v>10</v>
      </c>
      <c r="D2755" s="8">
        <v>307.25</v>
      </c>
    </row>
    <row r="2756" spans="1:4" x14ac:dyDescent="0.2">
      <c r="A2756" s="6">
        <v>4190</v>
      </c>
      <c r="B2756" s="5" t="s">
        <v>2795</v>
      </c>
      <c r="C2756" s="7" t="s">
        <v>10</v>
      </c>
      <c r="D2756" s="8">
        <v>307.25</v>
      </c>
    </row>
    <row r="2757" spans="1:4" x14ac:dyDescent="0.2">
      <c r="A2757" s="6">
        <v>4191</v>
      </c>
      <c r="B2757" s="5" t="s">
        <v>2796</v>
      </c>
      <c r="C2757" s="7" t="s">
        <v>64</v>
      </c>
      <c r="D2757" s="8">
        <v>553.07000000000005</v>
      </c>
    </row>
    <row r="2758" spans="1:4" x14ac:dyDescent="0.2">
      <c r="A2758" s="6">
        <v>4192</v>
      </c>
      <c r="B2758" s="5" t="s">
        <v>2797</v>
      </c>
      <c r="C2758" s="7" t="s">
        <v>64</v>
      </c>
      <c r="D2758" s="8">
        <v>553.07000000000005</v>
      </c>
    </row>
    <row r="2759" spans="1:4" x14ac:dyDescent="0.2">
      <c r="A2759" s="6">
        <v>4193</v>
      </c>
      <c r="B2759" s="5" t="s">
        <v>2798</v>
      </c>
      <c r="C2759" s="7" t="s">
        <v>64</v>
      </c>
      <c r="D2759" s="8">
        <v>553.07000000000005</v>
      </c>
    </row>
    <row r="2760" spans="1:4" x14ac:dyDescent="0.2">
      <c r="A2760" s="6">
        <v>4194</v>
      </c>
      <c r="B2760" s="5" t="s">
        <v>2799</v>
      </c>
      <c r="C2760" s="7" t="s">
        <v>10</v>
      </c>
      <c r="D2760" s="8">
        <v>307.25</v>
      </c>
    </row>
    <row r="2761" spans="1:4" x14ac:dyDescent="0.2">
      <c r="A2761" s="6">
        <v>4195</v>
      </c>
      <c r="B2761" s="5" t="s">
        <v>2800</v>
      </c>
      <c r="C2761" s="7" t="s">
        <v>64</v>
      </c>
      <c r="D2761" s="8">
        <v>553.07000000000005</v>
      </c>
    </row>
    <row r="2762" spans="1:4" x14ac:dyDescent="0.2">
      <c r="A2762" s="6">
        <v>4196</v>
      </c>
      <c r="B2762" s="5" t="s">
        <v>2801</v>
      </c>
      <c r="C2762" s="7" t="s">
        <v>10</v>
      </c>
      <c r="D2762" s="8">
        <v>307.25</v>
      </c>
    </row>
    <row r="2763" spans="1:4" x14ac:dyDescent="0.2">
      <c r="A2763" s="6">
        <v>4197</v>
      </c>
      <c r="B2763" s="5" t="s">
        <v>2802</v>
      </c>
      <c r="C2763" s="7" t="s">
        <v>10</v>
      </c>
      <c r="D2763" s="8">
        <v>307.25</v>
      </c>
    </row>
    <row r="2764" spans="1:4" x14ac:dyDescent="0.2">
      <c r="A2764" s="6">
        <v>4198</v>
      </c>
      <c r="B2764" s="5" t="s">
        <v>2803</v>
      </c>
      <c r="C2764" s="7" t="s">
        <v>10</v>
      </c>
      <c r="D2764" s="8">
        <v>322.31</v>
      </c>
    </row>
    <row r="2765" spans="1:4" x14ac:dyDescent="0.2">
      <c r="A2765" s="6">
        <v>4199</v>
      </c>
      <c r="B2765" s="5" t="s">
        <v>2804</v>
      </c>
      <c r="C2765" s="7" t="s">
        <v>10</v>
      </c>
      <c r="D2765" s="8">
        <v>307.25</v>
      </c>
    </row>
    <row r="2766" spans="1:4" x14ac:dyDescent="0.2">
      <c r="A2766" s="6">
        <v>4200</v>
      </c>
      <c r="B2766" s="5" t="s">
        <v>1143</v>
      </c>
      <c r="C2766" s="7" t="s">
        <v>64</v>
      </c>
      <c r="D2766" s="8">
        <v>553.07000000000005</v>
      </c>
    </row>
    <row r="2767" spans="1:4" x14ac:dyDescent="0.2">
      <c r="A2767" s="6">
        <v>4201</v>
      </c>
      <c r="B2767" s="5" t="s">
        <v>2805</v>
      </c>
      <c r="C2767" s="7" t="s">
        <v>10</v>
      </c>
      <c r="D2767" s="8">
        <v>307.25</v>
      </c>
    </row>
    <row r="2768" spans="1:4" x14ac:dyDescent="0.2">
      <c r="A2768" s="6">
        <v>4202</v>
      </c>
      <c r="B2768" s="5" t="s">
        <v>2806</v>
      </c>
      <c r="C2768" s="7" t="s">
        <v>10</v>
      </c>
      <c r="D2768" s="8">
        <v>307.25</v>
      </c>
    </row>
    <row r="2769" spans="1:4" x14ac:dyDescent="0.2">
      <c r="A2769" s="6">
        <v>4203</v>
      </c>
      <c r="B2769" s="5" t="s">
        <v>2807</v>
      </c>
      <c r="C2769" s="7" t="s">
        <v>10</v>
      </c>
      <c r="D2769" s="8">
        <v>307.25</v>
      </c>
    </row>
    <row r="2770" spans="1:4" x14ac:dyDescent="0.2">
      <c r="A2770" s="6">
        <v>4204</v>
      </c>
      <c r="B2770" s="5" t="s">
        <v>2808</v>
      </c>
      <c r="C2770" s="7" t="s">
        <v>64</v>
      </c>
      <c r="D2770" s="8">
        <v>553.07000000000005</v>
      </c>
    </row>
    <row r="2771" spans="1:4" x14ac:dyDescent="0.2">
      <c r="A2771" s="6">
        <v>4205</v>
      </c>
      <c r="B2771" s="5" t="s">
        <v>2809</v>
      </c>
      <c r="C2771" s="7" t="s">
        <v>64</v>
      </c>
      <c r="D2771" s="8">
        <v>553.07000000000005</v>
      </c>
    </row>
    <row r="2772" spans="1:4" x14ac:dyDescent="0.2">
      <c r="A2772" s="6">
        <v>4206</v>
      </c>
      <c r="B2772" s="5" t="s">
        <v>2810</v>
      </c>
      <c r="C2772" s="7" t="s">
        <v>64</v>
      </c>
      <c r="D2772" s="8">
        <v>553.07000000000005</v>
      </c>
    </row>
    <row r="2773" spans="1:4" x14ac:dyDescent="0.2">
      <c r="A2773" s="6">
        <v>4207</v>
      </c>
      <c r="B2773" s="5" t="s">
        <v>2811</v>
      </c>
      <c r="C2773" s="7" t="s">
        <v>64</v>
      </c>
      <c r="D2773" s="8">
        <v>553.07000000000005</v>
      </c>
    </row>
    <row r="2774" spans="1:4" x14ac:dyDescent="0.2">
      <c r="A2774" s="6">
        <v>4208</v>
      </c>
      <c r="B2774" s="5" t="s">
        <v>2812</v>
      </c>
      <c r="C2774" s="7" t="s">
        <v>10</v>
      </c>
      <c r="D2774" s="8">
        <v>307.25</v>
      </c>
    </row>
    <row r="2775" spans="1:4" x14ac:dyDescent="0.2">
      <c r="A2775" s="6">
        <v>4209</v>
      </c>
      <c r="B2775" s="5" t="s">
        <v>2813</v>
      </c>
      <c r="C2775" s="7" t="s">
        <v>297</v>
      </c>
      <c r="D2775" s="8">
        <v>553.07000000000005</v>
      </c>
    </row>
    <row r="2776" spans="1:4" x14ac:dyDescent="0.2">
      <c r="A2776" s="6">
        <v>4210</v>
      </c>
      <c r="B2776" s="5" t="s">
        <v>2814</v>
      </c>
      <c r="C2776" s="7" t="s">
        <v>10</v>
      </c>
      <c r="D2776" s="8">
        <v>307.25</v>
      </c>
    </row>
    <row r="2777" spans="1:4" x14ac:dyDescent="0.2">
      <c r="A2777" s="6">
        <v>4211</v>
      </c>
      <c r="B2777" s="5" t="s">
        <v>2815</v>
      </c>
      <c r="C2777" s="7" t="s">
        <v>10</v>
      </c>
      <c r="D2777" s="8">
        <v>307.25</v>
      </c>
    </row>
    <row r="2778" spans="1:4" x14ac:dyDescent="0.2">
      <c r="A2778" s="6">
        <v>4212</v>
      </c>
      <c r="B2778" s="5" t="s">
        <v>2816</v>
      </c>
      <c r="C2778" s="7" t="s">
        <v>64</v>
      </c>
      <c r="D2778" s="8">
        <v>553.07000000000005</v>
      </c>
    </row>
    <row r="2779" spans="1:4" x14ac:dyDescent="0.2">
      <c r="A2779" s="6">
        <v>4213</v>
      </c>
      <c r="B2779" s="5" t="s">
        <v>2817</v>
      </c>
      <c r="C2779" s="7" t="s">
        <v>10</v>
      </c>
      <c r="D2779" s="8">
        <v>307.25</v>
      </c>
    </row>
    <row r="2780" spans="1:4" x14ac:dyDescent="0.2">
      <c r="A2780" s="6">
        <v>4214</v>
      </c>
      <c r="B2780" s="5" t="s">
        <v>2818</v>
      </c>
      <c r="C2780" s="7" t="s">
        <v>265</v>
      </c>
      <c r="D2780" s="8">
        <v>260.45999999999998</v>
      </c>
    </row>
    <row r="2781" spans="1:4" x14ac:dyDescent="0.2">
      <c r="A2781" s="6">
        <v>4215</v>
      </c>
      <c r="B2781" s="5" t="s">
        <v>2819</v>
      </c>
      <c r="C2781" s="7" t="s">
        <v>10</v>
      </c>
      <c r="D2781" s="8">
        <v>307.25</v>
      </c>
    </row>
    <row r="2782" spans="1:4" x14ac:dyDescent="0.2">
      <c r="A2782" s="6">
        <v>4216</v>
      </c>
      <c r="B2782" s="5" t="s">
        <v>2820</v>
      </c>
      <c r="C2782" s="7" t="s">
        <v>64</v>
      </c>
      <c r="D2782" s="8">
        <v>553.07000000000005</v>
      </c>
    </row>
    <row r="2783" spans="1:4" x14ac:dyDescent="0.2">
      <c r="A2783" s="6">
        <v>4217</v>
      </c>
      <c r="B2783" s="5" t="s">
        <v>2821</v>
      </c>
      <c r="C2783" s="7" t="s">
        <v>10</v>
      </c>
      <c r="D2783" s="8">
        <v>307.25</v>
      </c>
    </row>
    <row r="2784" spans="1:4" x14ac:dyDescent="0.2">
      <c r="A2784" s="6">
        <v>4218</v>
      </c>
      <c r="B2784" s="5" t="s">
        <v>2822</v>
      </c>
      <c r="C2784" s="7" t="s">
        <v>10</v>
      </c>
      <c r="D2784" s="8">
        <v>307.25</v>
      </c>
    </row>
    <row r="2785" spans="1:4" x14ac:dyDescent="0.2">
      <c r="A2785" s="6">
        <v>4219</v>
      </c>
      <c r="B2785" s="5" t="s">
        <v>2823</v>
      </c>
      <c r="C2785" s="7" t="s">
        <v>10</v>
      </c>
      <c r="D2785" s="8">
        <v>307.25</v>
      </c>
    </row>
    <row r="2786" spans="1:4" x14ac:dyDescent="0.2">
      <c r="A2786" s="6">
        <v>4220</v>
      </c>
      <c r="B2786" s="5" t="s">
        <v>2824</v>
      </c>
      <c r="C2786" s="7" t="s">
        <v>64</v>
      </c>
      <c r="D2786" s="8">
        <v>553.07000000000005</v>
      </c>
    </row>
    <row r="2787" spans="1:4" x14ac:dyDescent="0.2">
      <c r="A2787" s="6">
        <v>4221</v>
      </c>
      <c r="B2787" s="5" t="s">
        <v>2825</v>
      </c>
      <c r="C2787" s="7" t="s">
        <v>10</v>
      </c>
      <c r="D2787" s="8">
        <f>292.34*1.05</f>
        <v>306.95699999999999</v>
      </c>
    </row>
    <row r="2788" spans="1:4" x14ac:dyDescent="0.2">
      <c r="A2788" s="6">
        <v>4222</v>
      </c>
      <c r="B2788" s="5" t="s">
        <v>2826</v>
      </c>
      <c r="C2788" s="7" t="s">
        <v>92</v>
      </c>
      <c r="D2788" s="8">
        <v>587.9</v>
      </c>
    </row>
    <row r="2789" spans="1:4" x14ac:dyDescent="0.2">
      <c r="A2789" s="6">
        <v>4223</v>
      </c>
      <c r="B2789" s="5" t="s">
        <v>2827</v>
      </c>
      <c r="C2789" s="7" t="s">
        <v>10</v>
      </c>
      <c r="D2789" s="8">
        <v>307.25</v>
      </c>
    </row>
    <row r="2790" spans="1:4" x14ac:dyDescent="0.2">
      <c r="A2790" s="6">
        <v>4224</v>
      </c>
      <c r="B2790" s="5" t="s">
        <v>2828</v>
      </c>
      <c r="C2790" s="7" t="s">
        <v>10</v>
      </c>
      <c r="D2790" s="8">
        <v>307.25</v>
      </c>
    </row>
    <row r="2791" spans="1:4" x14ac:dyDescent="0.2">
      <c r="A2791" s="6">
        <v>4225</v>
      </c>
      <c r="B2791" s="5" t="s">
        <v>2829</v>
      </c>
      <c r="C2791" s="7" t="s">
        <v>10</v>
      </c>
      <c r="D2791" s="8">
        <f>292.34*1.05</f>
        <v>306.95699999999999</v>
      </c>
    </row>
    <row r="2792" spans="1:4" x14ac:dyDescent="0.2">
      <c r="A2792" s="6">
        <v>4226</v>
      </c>
      <c r="B2792" s="5" t="s">
        <v>2830</v>
      </c>
      <c r="C2792" s="7" t="s">
        <v>10</v>
      </c>
      <c r="D2792" s="8">
        <v>307.25</v>
      </c>
    </row>
    <row r="2793" spans="1:4" x14ac:dyDescent="0.2">
      <c r="A2793" s="6">
        <v>4227</v>
      </c>
      <c r="B2793" s="5" t="s">
        <v>2831</v>
      </c>
      <c r="C2793" s="7" t="s">
        <v>10</v>
      </c>
      <c r="D2793" s="8">
        <v>307.25</v>
      </c>
    </row>
    <row r="2794" spans="1:4" x14ac:dyDescent="0.2">
      <c r="A2794" s="6">
        <v>4228</v>
      </c>
      <c r="B2794" s="5" t="s">
        <v>2832</v>
      </c>
      <c r="C2794" s="7" t="s">
        <v>64</v>
      </c>
      <c r="D2794" s="8">
        <v>553.07000000000005</v>
      </c>
    </row>
    <row r="2795" spans="1:4" x14ac:dyDescent="0.2">
      <c r="A2795" s="6">
        <v>4229</v>
      </c>
      <c r="B2795" s="5" t="s">
        <v>2833</v>
      </c>
      <c r="C2795" s="7" t="s">
        <v>68</v>
      </c>
      <c r="D2795" s="8">
        <v>260.45999999999998</v>
      </c>
    </row>
    <row r="2796" spans="1:4" x14ac:dyDescent="0.2">
      <c r="A2796" s="6">
        <v>4230</v>
      </c>
      <c r="B2796" s="5" t="s">
        <v>2834</v>
      </c>
      <c r="C2796" s="7" t="s">
        <v>68</v>
      </c>
      <c r="D2796" s="8">
        <v>260.45999999999998</v>
      </c>
    </row>
    <row r="2797" spans="1:4" x14ac:dyDescent="0.2">
      <c r="A2797" s="6">
        <v>4231</v>
      </c>
      <c r="B2797" s="5" t="s">
        <v>2835</v>
      </c>
      <c r="C2797" s="7" t="s">
        <v>185</v>
      </c>
      <c r="D2797" s="8">
        <v>553.07000000000005</v>
      </c>
    </row>
    <row r="2798" spans="1:4" x14ac:dyDescent="0.2">
      <c r="A2798" s="6">
        <v>4232</v>
      </c>
      <c r="B2798" s="5" t="s">
        <v>2836</v>
      </c>
      <c r="C2798" s="7" t="s">
        <v>68</v>
      </c>
      <c r="D2798" s="8">
        <v>260.45999999999998</v>
      </c>
    </row>
    <row r="2799" spans="1:4" x14ac:dyDescent="0.2">
      <c r="A2799" s="6">
        <v>4233</v>
      </c>
      <c r="B2799" s="5" t="s">
        <v>2837</v>
      </c>
      <c r="C2799" s="7" t="s">
        <v>10</v>
      </c>
      <c r="D2799" s="8">
        <v>307.25</v>
      </c>
    </row>
    <row r="2800" spans="1:4" x14ac:dyDescent="0.2">
      <c r="A2800" s="6">
        <v>4234</v>
      </c>
      <c r="B2800" s="5" t="s">
        <v>2838</v>
      </c>
      <c r="C2800" s="7" t="s">
        <v>10</v>
      </c>
      <c r="D2800" s="8">
        <v>307.25</v>
      </c>
    </row>
    <row r="2801" spans="1:4" x14ac:dyDescent="0.2">
      <c r="A2801" s="6">
        <v>4235</v>
      </c>
      <c r="B2801" s="5" t="s">
        <v>2839</v>
      </c>
      <c r="C2801" s="7" t="s">
        <v>10</v>
      </c>
      <c r="D2801" s="8">
        <v>307.25</v>
      </c>
    </row>
    <row r="2802" spans="1:4" x14ac:dyDescent="0.2">
      <c r="A2802" s="6">
        <v>4236</v>
      </c>
      <c r="B2802" s="5" t="s">
        <v>2840</v>
      </c>
      <c r="C2802" s="7" t="s">
        <v>10</v>
      </c>
      <c r="D2802" s="8">
        <v>307.25</v>
      </c>
    </row>
    <row r="2803" spans="1:4" x14ac:dyDescent="0.2">
      <c r="A2803" s="6">
        <v>4237</v>
      </c>
      <c r="B2803" s="5" t="s">
        <v>2841</v>
      </c>
      <c r="C2803" s="7" t="s">
        <v>10</v>
      </c>
      <c r="D2803" s="8">
        <v>307.25</v>
      </c>
    </row>
    <row r="2804" spans="1:4" x14ac:dyDescent="0.2">
      <c r="A2804" s="6">
        <v>4238</v>
      </c>
      <c r="B2804" s="5" t="s">
        <v>2842</v>
      </c>
      <c r="C2804" s="7" t="s">
        <v>10</v>
      </c>
      <c r="D2804" s="8">
        <v>307.25</v>
      </c>
    </row>
    <row r="2805" spans="1:4" x14ac:dyDescent="0.2">
      <c r="A2805" s="6">
        <v>4239</v>
      </c>
      <c r="B2805" s="5" t="s">
        <v>2843</v>
      </c>
      <c r="C2805" s="7" t="s">
        <v>10</v>
      </c>
      <c r="D2805" s="8">
        <v>307.25</v>
      </c>
    </row>
    <row r="2806" spans="1:4" x14ac:dyDescent="0.2">
      <c r="A2806" s="6">
        <v>4240</v>
      </c>
      <c r="B2806" s="5" t="s">
        <v>2844</v>
      </c>
      <c r="C2806" s="7" t="s">
        <v>10</v>
      </c>
      <c r="D2806" s="8">
        <v>307.25</v>
      </c>
    </row>
    <row r="2807" spans="1:4" x14ac:dyDescent="0.2">
      <c r="A2807" s="6">
        <v>4241</v>
      </c>
      <c r="B2807" s="5" t="s">
        <v>2845</v>
      </c>
      <c r="C2807" s="7" t="s">
        <v>10</v>
      </c>
      <c r="D2807" s="8">
        <v>307.25</v>
      </c>
    </row>
    <row r="2808" spans="1:4" x14ac:dyDescent="0.2">
      <c r="A2808" s="6">
        <v>4242</v>
      </c>
      <c r="B2808" s="5" t="s">
        <v>2846</v>
      </c>
      <c r="C2808" s="7" t="s">
        <v>10</v>
      </c>
      <c r="D2808" s="8">
        <v>307.25</v>
      </c>
    </row>
    <row r="2809" spans="1:4" x14ac:dyDescent="0.2">
      <c r="A2809" s="6">
        <v>4243</v>
      </c>
      <c r="B2809" s="5" t="s">
        <v>2847</v>
      </c>
      <c r="C2809" s="7" t="s">
        <v>64</v>
      </c>
      <c r="D2809" s="8">
        <v>553.07000000000005</v>
      </c>
    </row>
    <row r="2810" spans="1:4" x14ac:dyDescent="0.2">
      <c r="A2810" s="6">
        <v>4244</v>
      </c>
      <c r="B2810" s="5" t="s">
        <v>2848</v>
      </c>
      <c r="C2810" s="7" t="s">
        <v>10</v>
      </c>
      <c r="D2810" s="8">
        <v>307.25</v>
      </c>
    </row>
    <row r="2811" spans="1:4" x14ac:dyDescent="0.2">
      <c r="A2811" s="6">
        <v>4245</v>
      </c>
      <c r="B2811" s="5" t="s">
        <v>2849</v>
      </c>
      <c r="C2811" s="7" t="s">
        <v>10</v>
      </c>
      <c r="D2811" s="8">
        <v>307.25</v>
      </c>
    </row>
    <row r="2812" spans="1:4" x14ac:dyDescent="0.2">
      <c r="A2812" s="6">
        <v>4246</v>
      </c>
      <c r="B2812" s="5" t="s">
        <v>2850</v>
      </c>
      <c r="C2812" s="7" t="s">
        <v>10</v>
      </c>
      <c r="D2812" s="8">
        <v>307.25</v>
      </c>
    </row>
    <row r="2813" spans="1:4" x14ac:dyDescent="0.2">
      <c r="A2813" s="6">
        <v>4247</v>
      </c>
      <c r="B2813" s="5" t="s">
        <v>2851</v>
      </c>
      <c r="C2813" s="7" t="s">
        <v>10</v>
      </c>
      <c r="D2813" s="8">
        <v>307.25</v>
      </c>
    </row>
    <row r="2814" spans="1:4" x14ac:dyDescent="0.2">
      <c r="A2814" s="6">
        <v>4248</v>
      </c>
      <c r="B2814" s="5" t="s">
        <v>2852</v>
      </c>
      <c r="C2814" s="7" t="s">
        <v>10</v>
      </c>
      <c r="D2814" s="8">
        <v>307.25</v>
      </c>
    </row>
    <row r="2815" spans="1:4" x14ac:dyDescent="0.2">
      <c r="A2815" s="6">
        <v>4249</v>
      </c>
      <c r="B2815" s="5" t="s">
        <v>2853</v>
      </c>
      <c r="C2815" s="7" t="s">
        <v>10</v>
      </c>
      <c r="D2815" s="8">
        <v>307.25</v>
      </c>
    </row>
    <row r="2816" spans="1:4" x14ac:dyDescent="0.2">
      <c r="A2816" s="6">
        <v>4250</v>
      </c>
      <c r="B2816" s="5" t="s">
        <v>2854</v>
      </c>
      <c r="C2816" s="7" t="s">
        <v>10</v>
      </c>
      <c r="D2816" s="8">
        <v>306.95999999999998</v>
      </c>
    </row>
    <row r="2817" spans="1:4" x14ac:dyDescent="0.2">
      <c r="A2817" s="6">
        <v>4251</v>
      </c>
      <c r="B2817" s="5" t="s">
        <v>2855</v>
      </c>
      <c r="C2817" s="7" t="s">
        <v>64</v>
      </c>
      <c r="D2817" s="8">
        <v>553.07000000000005</v>
      </c>
    </row>
    <row r="2818" spans="1:4" x14ac:dyDescent="0.2">
      <c r="A2818" s="6">
        <v>4252</v>
      </c>
      <c r="B2818" s="5" t="s">
        <v>2856</v>
      </c>
      <c r="C2818" s="7" t="s">
        <v>10</v>
      </c>
      <c r="D2818" s="8">
        <v>355</v>
      </c>
    </row>
    <row r="2819" spans="1:4" x14ac:dyDescent="0.2">
      <c r="A2819" s="6">
        <v>4253</v>
      </c>
      <c r="B2819" s="5" t="s">
        <v>2857</v>
      </c>
      <c r="C2819" s="7" t="s">
        <v>10</v>
      </c>
      <c r="D2819" s="8">
        <v>307.25</v>
      </c>
    </row>
    <row r="2820" spans="1:4" x14ac:dyDescent="0.2">
      <c r="A2820" s="6">
        <v>4254</v>
      </c>
      <c r="B2820" s="5" t="s">
        <v>2858</v>
      </c>
      <c r="C2820" s="7" t="s">
        <v>10</v>
      </c>
      <c r="D2820" s="8">
        <v>355</v>
      </c>
    </row>
    <row r="2821" spans="1:4" x14ac:dyDescent="0.2">
      <c r="A2821" s="6">
        <v>4255</v>
      </c>
      <c r="B2821" s="5" t="s">
        <v>2859</v>
      </c>
      <c r="C2821" s="7" t="s">
        <v>10</v>
      </c>
      <c r="D2821" s="8">
        <v>307.25</v>
      </c>
    </row>
    <row r="2822" spans="1:4" x14ac:dyDescent="0.2">
      <c r="A2822" s="6">
        <v>4256</v>
      </c>
      <c r="B2822" s="5" t="s">
        <v>2860</v>
      </c>
      <c r="C2822" s="7" t="s">
        <v>10</v>
      </c>
      <c r="D2822" s="8">
        <v>307.25</v>
      </c>
    </row>
    <row r="2823" spans="1:4" x14ac:dyDescent="0.2">
      <c r="A2823" s="6">
        <v>4257</v>
      </c>
      <c r="B2823" s="5" t="s">
        <v>2861</v>
      </c>
      <c r="C2823" s="7" t="s">
        <v>10</v>
      </c>
      <c r="D2823" s="8">
        <v>307.25</v>
      </c>
    </row>
    <row r="2824" spans="1:4" x14ac:dyDescent="0.2">
      <c r="A2824" s="6">
        <v>4258</v>
      </c>
      <c r="B2824" s="5" t="s">
        <v>2862</v>
      </c>
      <c r="C2824" s="7" t="s">
        <v>10</v>
      </c>
      <c r="D2824" s="8">
        <v>307.25</v>
      </c>
    </row>
    <row r="2825" spans="1:4" x14ac:dyDescent="0.2">
      <c r="A2825" s="6">
        <v>4259</v>
      </c>
      <c r="B2825" s="5" t="s">
        <v>2863</v>
      </c>
      <c r="C2825" s="7" t="s">
        <v>10</v>
      </c>
      <c r="D2825" s="8">
        <v>307.25</v>
      </c>
    </row>
    <row r="2826" spans="1:4" x14ac:dyDescent="0.2">
      <c r="A2826" s="6">
        <v>4260</v>
      </c>
      <c r="B2826" s="5" t="s">
        <v>2864</v>
      </c>
      <c r="C2826" s="7" t="s">
        <v>10</v>
      </c>
      <c r="D2826" s="8">
        <v>307.25</v>
      </c>
    </row>
    <row r="2827" spans="1:4" x14ac:dyDescent="0.2">
      <c r="A2827" s="6">
        <v>4261</v>
      </c>
      <c r="B2827" s="5" t="s">
        <v>2865</v>
      </c>
      <c r="C2827" s="7" t="s">
        <v>64</v>
      </c>
      <c r="D2827" s="8">
        <v>553.07000000000005</v>
      </c>
    </row>
    <row r="2828" spans="1:4" x14ac:dyDescent="0.2">
      <c r="A2828" s="6">
        <v>4262</v>
      </c>
      <c r="B2828" s="5" t="s">
        <v>2866</v>
      </c>
      <c r="C2828" s="7" t="s">
        <v>10</v>
      </c>
      <c r="D2828" s="8">
        <v>306.95999999999998</v>
      </c>
    </row>
    <row r="2829" spans="1:4" x14ac:dyDescent="0.2">
      <c r="A2829" s="6">
        <v>4263</v>
      </c>
      <c r="B2829" s="5" t="s">
        <v>2867</v>
      </c>
      <c r="C2829" s="7" t="s">
        <v>10</v>
      </c>
      <c r="D2829" s="8">
        <v>355</v>
      </c>
    </row>
    <row r="2830" spans="1:4" x14ac:dyDescent="0.2">
      <c r="A2830" s="6">
        <v>4264</v>
      </c>
      <c r="B2830" s="5" t="s">
        <v>2868</v>
      </c>
      <c r="C2830" s="7" t="s">
        <v>10</v>
      </c>
      <c r="D2830" s="8">
        <v>307.25</v>
      </c>
    </row>
    <row r="2831" spans="1:4" x14ac:dyDescent="0.2">
      <c r="A2831" s="6">
        <v>4265</v>
      </c>
      <c r="B2831" s="5" t="s">
        <v>2869</v>
      </c>
      <c r="C2831" s="7" t="s">
        <v>10</v>
      </c>
      <c r="D2831" s="8">
        <v>307.25</v>
      </c>
    </row>
    <row r="2832" spans="1:4" x14ac:dyDescent="0.2">
      <c r="A2832" s="6">
        <v>4266</v>
      </c>
      <c r="B2832" s="5" t="s">
        <v>2870</v>
      </c>
      <c r="C2832" s="7" t="s">
        <v>10</v>
      </c>
      <c r="D2832" s="8">
        <v>307.25</v>
      </c>
    </row>
    <row r="2833" spans="1:4" x14ac:dyDescent="0.2">
      <c r="A2833" s="6">
        <v>4267</v>
      </c>
      <c r="B2833" s="5" t="s">
        <v>2871</v>
      </c>
      <c r="C2833" s="7" t="s">
        <v>10</v>
      </c>
      <c r="D2833" s="8">
        <v>307.25</v>
      </c>
    </row>
    <row r="2834" spans="1:4" x14ac:dyDescent="0.2">
      <c r="A2834" s="6">
        <v>4268</v>
      </c>
      <c r="B2834" s="5" t="s">
        <v>2872</v>
      </c>
      <c r="C2834" s="7" t="s">
        <v>10</v>
      </c>
      <c r="D2834" s="8">
        <v>355</v>
      </c>
    </row>
    <row r="2835" spans="1:4" x14ac:dyDescent="0.2">
      <c r="A2835" s="6">
        <v>4269</v>
      </c>
      <c r="B2835" s="5" t="s">
        <v>2873</v>
      </c>
      <c r="C2835" s="7" t="s">
        <v>10</v>
      </c>
      <c r="D2835" s="8">
        <v>307.25</v>
      </c>
    </row>
    <row r="2836" spans="1:4" x14ac:dyDescent="0.2">
      <c r="A2836" s="6">
        <v>4270</v>
      </c>
      <c r="B2836" s="5" t="s">
        <v>2874</v>
      </c>
      <c r="C2836" s="7" t="s">
        <v>10</v>
      </c>
      <c r="D2836" s="8">
        <v>307.25</v>
      </c>
    </row>
    <row r="2837" spans="1:4" x14ac:dyDescent="0.2">
      <c r="A2837" s="6">
        <v>4271</v>
      </c>
      <c r="B2837" s="5" t="s">
        <v>2875</v>
      </c>
      <c r="C2837" s="7" t="s">
        <v>10</v>
      </c>
      <c r="D2837" s="8">
        <v>307.25</v>
      </c>
    </row>
    <row r="2838" spans="1:4" x14ac:dyDescent="0.2">
      <c r="A2838" s="6">
        <v>4272</v>
      </c>
      <c r="B2838" s="5" t="s">
        <v>2876</v>
      </c>
      <c r="C2838" s="7" t="s">
        <v>10</v>
      </c>
      <c r="D2838" s="8">
        <v>307.25</v>
      </c>
    </row>
    <row r="2839" spans="1:4" x14ac:dyDescent="0.2">
      <c r="A2839" s="6">
        <v>4273</v>
      </c>
      <c r="B2839" s="5" t="s">
        <v>2877</v>
      </c>
      <c r="C2839" s="7" t="s">
        <v>10</v>
      </c>
      <c r="D2839" s="8">
        <v>307.25</v>
      </c>
    </row>
    <row r="2840" spans="1:4" x14ac:dyDescent="0.2">
      <c r="A2840" s="6">
        <v>4274</v>
      </c>
      <c r="B2840" s="5" t="s">
        <v>2878</v>
      </c>
      <c r="C2840" s="7" t="s">
        <v>64</v>
      </c>
      <c r="D2840" s="8">
        <v>553.07000000000005</v>
      </c>
    </row>
    <row r="2841" spans="1:4" x14ac:dyDescent="0.2">
      <c r="A2841" s="6">
        <v>4275</v>
      </c>
      <c r="B2841" s="5" t="s">
        <v>2879</v>
      </c>
      <c r="C2841" s="7" t="s">
        <v>10</v>
      </c>
      <c r="D2841" s="8">
        <v>307.25</v>
      </c>
    </row>
    <row r="2842" spans="1:4" x14ac:dyDescent="0.2">
      <c r="A2842" s="6">
        <v>4276</v>
      </c>
      <c r="B2842" s="5" t="s">
        <v>2880</v>
      </c>
      <c r="C2842" s="7" t="s">
        <v>10</v>
      </c>
      <c r="D2842" s="8">
        <v>307.25</v>
      </c>
    </row>
    <row r="2843" spans="1:4" x14ac:dyDescent="0.2">
      <c r="A2843" s="6">
        <v>4277</v>
      </c>
      <c r="B2843" s="5" t="s">
        <v>2881</v>
      </c>
      <c r="C2843" s="7" t="s">
        <v>10</v>
      </c>
      <c r="D2843" s="8">
        <v>307.25</v>
      </c>
    </row>
    <row r="2844" spans="1:4" x14ac:dyDescent="0.2">
      <c r="A2844" s="6">
        <v>4278</v>
      </c>
      <c r="B2844" s="5" t="s">
        <v>2882</v>
      </c>
      <c r="C2844" s="7" t="s">
        <v>10</v>
      </c>
      <c r="D2844" s="8">
        <v>307.25</v>
      </c>
    </row>
    <row r="2845" spans="1:4" x14ac:dyDescent="0.2">
      <c r="A2845" s="6">
        <v>4279</v>
      </c>
      <c r="B2845" s="5" t="s">
        <v>2883</v>
      </c>
      <c r="C2845" s="7" t="s">
        <v>10</v>
      </c>
      <c r="D2845" s="8">
        <v>307.25</v>
      </c>
    </row>
    <row r="2846" spans="1:4" x14ac:dyDescent="0.2">
      <c r="A2846" s="6">
        <v>4280</v>
      </c>
      <c r="B2846" s="5" t="s">
        <v>2884</v>
      </c>
      <c r="C2846" s="7" t="s">
        <v>10</v>
      </c>
      <c r="D2846" s="8">
        <v>307.25</v>
      </c>
    </row>
    <row r="2847" spans="1:4" x14ac:dyDescent="0.2">
      <c r="A2847" s="6">
        <v>4281</v>
      </c>
      <c r="B2847" s="5" t="s">
        <v>2885</v>
      </c>
      <c r="C2847" s="7" t="s">
        <v>10</v>
      </c>
      <c r="D2847" s="8">
        <v>307.25</v>
      </c>
    </row>
    <row r="2848" spans="1:4" x14ac:dyDescent="0.2">
      <c r="A2848" s="6">
        <v>4282</v>
      </c>
      <c r="B2848" s="5" t="s">
        <v>2886</v>
      </c>
      <c r="C2848" s="7" t="s">
        <v>64</v>
      </c>
      <c r="D2848" s="8">
        <v>553.07000000000005</v>
      </c>
    </row>
    <row r="2849" spans="1:4" x14ac:dyDescent="0.2">
      <c r="A2849" s="6">
        <v>4283</v>
      </c>
      <c r="B2849" s="5" t="s">
        <v>2887</v>
      </c>
      <c r="C2849" s="7" t="s">
        <v>10</v>
      </c>
      <c r="D2849" s="8">
        <v>307.25</v>
      </c>
    </row>
    <row r="2850" spans="1:4" x14ac:dyDescent="0.2">
      <c r="A2850" s="6">
        <v>4284</v>
      </c>
      <c r="B2850" s="5" t="s">
        <v>2888</v>
      </c>
      <c r="C2850" s="7" t="s">
        <v>10</v>
      </c>
      <c r="D2850" s="8">
        <v>307.25</v>
      </c>
    </row>
    <row r="2851" spans="1:4" x14ac:dyDescent="0.2">
      <c r="A2851" s="6">
        <v>4285</v>
      </c>
      <c r="B2851" s="5" t="s">
        <v>2889</v>
      </c>
      <c r="C2851" s="7" t="s">
        <v>64</v>
      </c>
      <c r="D2851" s="8">
        <v>553.07000000000005</v>
      </c>
    </row>
    <row r="2852" spans="1:4" x14ac:dyDescent="0.2">
      <c r="A2852" s="6">
        <v>4286</v>
      </c>
      <c r="B2852" s="5" t="s">
        <v>2890</v>
      </c>
      <c r="C2852" s="7" t="s">
        <v>10</v>
      </c>
      <c r="D2852" s="8">
        <v>307.25</v>
      </c>
    </row>
    <row r="2853" spans="1:4" x14ac:dyDescent="0.2">
      <c r="A2853" s="6">
        <v>4287</v>
      </c>
      <c r="B2853" s="5" t="s">
        <v>2891</v>
      </c>
      <c r="C2853" s="7" t="s">
        <v>64</v>
      </c>
      <c r="D2853" s="8">
        <v>553.07000000000005</v>
      </c>
    </row>
    <row r="2854" spans="1:4" x14ac:dyDescent="0.2">
      <c r="A2854" s="6">
        <v>4288</v>
      </c>
      <c r="B2854" s="5" t="s">
        <v>2892</v>
      </c>
      <c r="C2854" s="7" t="s">
        <v>10</v>
      </c>
      <c r="D2854" s="8">
        <v>307.25</v>
      </c>
    </row>
    <row r="2855" spans="1:4" x14ac:dyDescent="0.2">
      <c r="A2855" s="6">
        <v>4289</v>
      </c>
      <c r="B2855" s="5" t="s">
        <v>2893</v>
      </c>
      <c r="C2855" s="7" t="s">
        <v>10</v>
      </c>
      <c r="D2855" s="8">
        <v>307.25</v>
      </c>
    </row>
    <row r="2856" spans="1:4" x14ac:dyDescent="0.2">
      <c r="A2856" s="6">
        <v>4290</v>
      </c>
      <c r="B2856" s="5" t="s">
        <v>2894</v>
      </c>
      <c r="C2856" s="7" t="s">
        <v>68</v>
      </c>
      <c r="D2856" s="8">
        <v>446.51</v>
      </c>
    </row>
    <row r="2857" spans="1:4" x14ac:dyDescent="0.2">
      <c r="A2857" s="6">
        <v>4291</v>
      </c>
      <c r="B2857" s="5" t="s">
        <v>2895</v>
      </c>
      <c r="C2857" s="7" t="s">
        <v>10</v>
      </c>
      <c r="D2857" s="8">
        <v>307.25</v>
      </c>
    </row>
    <row r="2858" spans="1:4" x14ac:dyDescent="0.2">
      <c r="A2858" s="6">
        <v>4292</v>
      </c>
      <c r="B2858" s="5" t="s">
        <v>2896</v>
      </c>
      <c r="C2858" s="7" t="s">
        <v>10</v>
      </c>
      <c r="D2858" s="8">
        <v>257.14</v>
      </c>
    </row>
    <row r="2859" spans="1:4" x14ac:dyDescent="0.2">
      <c r="A2859" s="6">
        <v>4293</v>
      </c>
      <c r="B2859" s="5" t="s">
        <v>2897</v>
      </c>
      <c r="C2859" s="7" t="s">
        <v>10</v>
      </c>
      <c r="D2859" s="8">
        <v>307.25</v>
      </c>
    </row>
    <row r="2860" spans="1:4" x14ac:dyDescent="0.2">
      <c r="A2860" s="6">
        <v>4294</v>
      </c>
      <c r="B2860" s="5" t="s">
        <v>2898</v>
      </c>
      <c r="C2860" s="7" t="s">
        <v>10</v>
      </c>
      <c r="D2860" s="8">
        <v>307.25</v>
      </c>
    </row>
    <row r="2861" spans="1:4" x14ac:dyDescent="0.2">
      <c r="A2861" s="6">
        <v>4295</v>
      </c>
      <c r="B2861" s="5" t="s">
        <v>2899</v>
      </c>
      <c r="C2861" s="7" t="s">
        <v>10</v>
      </c>
      <c r="D2861" s="8">
        <v>307.25</v>
      </c>
    </row>
    <row r="2862" spans="1:4" x14ac:dyDescent="0.2">
      <c r="A2862" s="6">
        <v>4296</v>
      </c>
      <c r="B2862" s="5" t="s">
        <v>2900</v>
      </c>
      <c r="C2862" s="7" t="s">
        <v>64</v>
      </c>
      <c r="D2862" s="8">
        <v>553.07000000000005</v>
      </c>
    </row>
    <row r="2863" spans="1:4" x14ac:dyDescent="0.2">
      <c r="A2863" s="6">
        <v>4297</v>
      </c>
      <c r="B2863" s="5" t="s">
        <v>2901</v>
      </c>
      <c r="C2863" s="7" t="s">
        <v>10</v>
      </c>
      <c r="D2863" s="8">
        <v>337.98</v>
      </c>
    </row>
    <row r="2864" spans="1:4" x14ac:dyDescent="0.2">
      <c r="A2864" s="6">
        <v>4298</v>
      </c>
      <c r="B2864" s="5" t="s">
        <v>2902</v>
      </c>
      <c r="C2864" s="7" t="s">
        <v>10</v>
      </c>
      <c r="D2864" s="8">
        <v>307.25</v>
      </c>
    </row>
    <row r="2865" spans="1:4" x14ac:dyDescent="0.2">
      <c r="A2865" s="6">
        <v>4299</v>
      </c>
      <c r="B2865" s="5" t="s">
        <v>2903</v>
      </c>
      <c r="C2865" s="7" t="s">
        <v>254</v>
      </c>
      <c r="D2865" s="8">
        <v>620</v>
      </c>
    </row>
    <row r="2866" spans="1:4" x14ac:dyDescent="0.2">
      <c r="A2866" s="6">
        <v>4300</v>
      </c>
      <c r="B2866" s="5" t="s">
        <v>2904</v>
      </c>
      <c r="C2866" s="7" t="s">
        <v>10</v>
      </c>
      <c r="D2866" s="8">
        <v>307.25</v>
      </c>
    </row>
    <row r="2867" spans="1:4" x14ac:dyDescent="0.2">
      <c r="A2867" s="6">
        <v>4301</v>
      </c>
      <c r="B2867" s="5" t="s">
        <v>2905</v>
      </c>
      <c r="C2867" s="7" t="s">
        <v>10</v>
      </c>
      <c r="D2867" s="8">
        <v>307.25</v>
      </c>
    </row>
    <row r="2868" spans="1:4" x14ac:dyDescent="0.2">
      <c r="A2868" s="6">
        <v>4302</v>
      </c>
      <c r="B2868" s="5" t="s">
        <v>2906</v>
      </c>
      <c r="C2868" s="7" t="s">
        <v>10</v>
      </c>
      <c r="D2868" s="8">
        <v>307.25</v>
      </c>
    </row>
    <row r="2869" spans="1:4" x14ac:dyDescent="0.2">
      <c r="A2869" s="6">
        <v>4303</v>
      </c>
      <c r="B2869" s="5" t="s">
        <v>2907</v>
      </c>
      <c r="C2869" s="7" t="s">
        <v>64</v>
      </c>
      <c r="D2869" s="8">
        <v>553.07000000000005</v>
      </c>
    </row>
    <row r="2870" spans="1:4" x14ac:dyDescent="0.2">
      <c r="A2870" s="6">
        <v>4304</v>
      </c>
      <c r="B2870" s="5" t="s">
        <v>2908</v>
      </c>
      <c r="C2870" s="7" t="s">
        <v>10</v>
      </c>
      <c r="D2870" s="8">
        <v>307.25</v>
      </c>
    </row>
    <row r="2871" spans="1:4" x14ac:dyDescent="0.2">
      <c r="A2871" s="6">
        <v>4305</v>
      </c>
      <c r="B2871" s="5" t="s">
        <v>2909</v>
      </c>
      <c r="C2871" s="7" t="s">
        <v>10</v>
      </c>
      <c r="D2871" s="8">
        <v>355</v>
      </c>
    </row>
    <row r="2872" spans="1:4" x14ac:dyDescent="0.2">
      <c r="A2872" s="6">
        <v>4306</v>
      </c>
      <c r="B2872" s="5" t="s">
        <v>2910</v>
      </c>
      <c r="C2872" s="7" t="s">
        <v>64</v>
      </c>
      <c r="D2872" s="8">
        <v>553.07000000000005</v>
      </c>
    </row>
    <row r="2873" spans="1:4" x14ac:dyDescent="0.2">
      <c r="A2873" s="6">
        <v>4307</v>
      </c>
      <c r="B2873" s="5" t="s">
        <v>2911</v>
      </c>
      <c r="C2873" s="7" t="s">
        <v>64</v>
      </c>
      <c r="D2873" s="8">
        <v>553.07000000000005</v>
      </c>
    </row>
    <row r="2874" spans="1:4" x14ac:dyDescent="0.2">
      <c r="A2874" s="6">
        <v>4308</v>
      </c>
      <c r="B2874" s="5" t="s">
        <v>2912</v>
      </c>
      <c r="C2874" s="7" t="s">
        <v>10</v>
      </c>
      <c r="D2874" s="8">
        <v>307.25</v>
      </c>
    </row>
    <row r="2875" spans="1:4" x14ac:dyDescent="0.2">
      <c r="A2875" s="6">
        <v>4309</v>
      </c>
      <c r="B2875" s="5" t="s">
        <v>2913</v>
      </c>
      <c r="C2875" s="7" t="s">
        <v>10</v>
      </c>
      <c r="D2875" s="8">
        <v>307.25</v>
      </c>
    </row>
    <row r="2876" spans="1:4" x14ac:dyDescent="0.2">
      <c r="A2876" s="6">
        <v>4310</v>
      </c>
      <c r="B2876" s="5" t="s">
        <v>2914</v>
      </c>
      <c r="C2876" s="7" t="s">
        <v>64</v>
      </c>
      <c r="D2876" s="8">
        <v>553.07000000000005</v>
      </c>
    </row>
    <row r="2877" spans="1:4" x14ac:dyDescent="0.2">
      <c r="A2877" s="6">
        <v>4311</v>
      </c>
      <c r="B2877" s="5" t="s">
        <v>2915</v>
      </c>
      <c r="C2877" s="7" t="s">
        <v>10</v>
      </c>
      <c r="D2877" s="8">
        <v>307.25</v>
      </c>
    </row>
    <row r="2878" spans="1:4" x14ac:dyDescent="0.2">
      <c r="A2878" s="6">
        <v>4312</v>
      </c>
      <c r="B2878" s="5" t="s">
        <v>2916</v>
      </c>
      <c r="C2878" s="7" t="s">
        <v>10</v>
      </c>
      <c r="D2878" s="8">
        <v>307.25</v>
      </c>
    </row>
    <row r="2879" spans="1:4" x14ac:dyDescent="0.2">
      <c r="A2879" s="6">
        <v>4313</v>
      </c>
      <c r="B2879" s="5" t="s">
        <v>2917</v>
      </c>
      <c r="C2879" s="7" t="s">
        <v>64</v>
      </c>
      <c r="D2879" s="8">
        <v>553.07000000000005</v>
      </c>
    </row>
    <row r="2880" spans="1:4" x14ac:dyDescent="0.2">
      <c r="A2880" s="6">
        <v>4314</v>
      </c>
      <c r="B2880" s="5" t="s">
        <v>2918</v>
      </c>
      <c r="C2880" s="7" t="s">
        <v>10</v>
      </c>
      <c r="D2880" s="8">
        <v>307.25</v>
      </c>
    </row>
    <row r="2881" spans="1:4" x14ac:dyDescent="0.2">
      <c r="A2881" s="6">
        <v>4315</v>
      </c>
      <c r="B2881" s="5" t="s">
        <v>2919</v>
      </c>
      <c r="C2881" s="7" t="s">
        <v>10</v>
      </c>
      <c r="D2881" s="8">
        <v>307.25</v>
      </c>
    </row>
    <row r="2882" spans="1:4" x14ac:dyDescent="0.2">
      <c r="A2882" s="6">
        <v>4316</v>
      </c>
      <c r="B2882" s="5" t="s">
        <v>2920</v>
      </c>
      <c r="C2882" s="7" t="s">
        <v>10</v>
      </c>
      <c r="D2882" s="8">
        <v>307.25</v>
      </c>
    </row>
    <row r="2883" spans="1:4" x14ac:dyDescent="0.2">
      <c r="A2883" s="6">
        <v>4317</v>
      </c>
      <c r="B2883" s="5" t="s">
        <v>2921</v>
      </c>
      <c r="C2883" s="7" t="s">
        <v>10</v>
      </c>
      <c r="D2883" s="8">
        <v>307.25</v>
      </c>
    </row>
    <row r="2884" spans="1:4" x14ac:dyDescent="0.2">
      <c r="A2884" s="6">
        <v>4318</v>
      </c>
      <c r="B2884" s="5" t="s">
        <v>2922</v>
      </c>
      <c r="C2884" s="7" t="s">
        <v>10</v>
      </c>
      <c r="D2884" s="8">
        <v>307.25</v>
      </c>
    </row>
    <row r="2885" spans="1:4" x14ac:dyDescent="0.2">
      <c r="A2885" s="6">
        <v>4319</v>
      </c>
      <c r="B2885" s="5" t="s">
        <v>2923</v>
      </c>
      <c r="C2885" s="7" t="s">
        <v>10</v>
      </c>
      <c r="D2885" s="8">
        <v>307.25</v>
      </c>
    </row>
    <row r="2886" spans="1:4" x14ac:dyDescent="0.2">
      <c r="A2886" s="6">
        <v>4320</v>
      </c>
      <c r="B2886" s="5" t="s">
        <v>2924</v>
      </c>
      <c r="C2886" s="7" t="s">
        <v>10</v>
      </c>
      <c r="D2886" s="8">
        <v>307.25</v>
      </c>
    </row>
    <row r="2887" spans="1:4" x14ac:dyDescent="0.2">
      <c r="A2887" s="6">
        <v>4321</v>
      </c>
      <c r="B2887" s="5" t="s">
        <v>2925</v>
      </c>
      <c r="C2887" s="7" t="s">
        <v>64</v>
      </c>
      <c r="D2887" s="8">
        <v>553.07000000000005</v>
      </c>
    </row>
    <row r="2888" spans="1:4" x14ac:dyDescent="0.2">
      <c r="A2888" s="6">
        <v>4322</v>
      </c>
      <c r="B2888" s="5" t="s">
        <v>2926</v>
      </c>
      <c r="C2888" s="7" t="s">
        <v>64</v>
      </c>
      <c r="D2888" s="8">
        <v>553.07000000000005</v>
      </c>
    </row>
    <row r="2889" spans="1:4" x14ac:dyDescent="0.2">
      <c r="A2889" s="6">
        <v>4323</v>
      </c>
      <c r="B2889" s="5" t="s">
        <v>2927</v>
      </c>
      <c r="C2889" s="7" t="s">
        <v>10</v>
      </c>
      <c r="D2889" s="8">
        <v>307.25</v>
      </c>
    </row>
    <row r="2890" spans="1:4" x14ac:dyDescent="0.2">
      <c r="A2890" s="6">
        <v>4324</v>
      </c>
      <c r="B2890" s="5" t="s">
        <v>2928</v>
      </c>
      <c r="C2890" s="7" t="s">
        <v>10</v>
      </c>
      <c r="D2890" s="8">
        <v>307.25</v>
      </c>
    </row>
    <row r="2891" spans="1:4" x14ac:dyDescent="0.2">
      <c r="A2891" s="6">
        <v>4325</v>
      </c>
      <c r="B2891" s="5" t="s">
        <v>2929</v>
      </c>
      <c r="C2891" s="7" t="s">
        <v>10</v>
      </c>
      <c r="D2891" s="8">
        <v>307.25</v>
      </c>
    </row>
    <row r="2892" spans="1:4" x14ac:dyDescent="0.2">
      <c r="A2892" s="6">
        <v>4326</v>
      </c>
      <c r="B2892" s="5" t="s">
        <v>2930</v>
      </c>
      <c r="C2892" s="7" t="s">
        <v>10</v>
      </c>
      <c r="D2892" s="8">
        <v>307.25</v>
      </c>
    </row>
    <row r="2893" spans="1:4" x14ac:dyDescent="0.2">
      <c r="A2893" s="6">
        <v>4327</v>
      </c>
      <c r="B2893" s="5" t="s">
        <v>2931</v>
      </c>
      <c r="C2893" s="7" t="s">
        <v>10</v>
      </c>
      <c r="D2893" s="8">
        <v>307.25</v>
      </c>
    </row>
    <row r="2894" spans="1:4" x14ac:dyDescent="0.2">
      <c r="A2894" s="6">
        <v>4328</v>
      </c>
      <c r="B2894" s="5" t="s">
        <v>2932</v>
      </c>
      <c r="C2894" s="7" t="s">
        <v>10</v>
      </c>
      <c r="D2894" s="8">
        <v>307.25</v>
      </c>
    </row>
    <row r="2895" spans="1:4" x14ac:dyDescent="0.2">
      <c r="A2895" s="6">
        <v>4329</v>
      </c>
      <c r="B2895" s="5" t="s">
        <v>2933</v>
      </c>
      <c r="C2895" s="7" t="s">
        <v>64</v>
      </c>
      <c r="D2895" s="8">
        <v>553.07000000000005</v>
      </c>
    </row>
    <row r="2896" spans="1:4" x14ac:dyDescent="0.2">
      <c r="A2896" s="6">
        <v>4330</v>
      </c>
      <c r="B2896" s="5" t="s">
        <v>2934</v>
      </c>
      <c r="C2896" s="7" t="s">
        <v>10</v>
      </c>
      <c r="D2896" s="8">
        <v>307.25</v>
      </c>
    </row>
    <row r="2897" spans="1:4" x14ac:dyDescent="0.2">
      <c r="A2897" s="6">
        <v>4331</v>
      </c>
      <c r="B2897" s="5" t="s">
        <v>2935</v>
      </c>
      <c r="C2897" s="7" t="s">
        <v>10</v>
      </c>
      <c r="D2897" s="8">
        <v>307.25</v>
      </c>
    </row>
    <row r="2898" spans="1:4" x14ac:dyDescent="0.2">
      <c r="A2898" s="6">
        <v>4332</v>
      </c>
      <c r="B2898" s="5" t="s">
        <v>2936</v>
      </c>
      <c r="C2898" s="7" t="s">
        <v>10</v>
      </c>
      <c r="D2898" s="8">
        <f>312.39*1.05</f>
        <v>328.0095</v>
      </c>
    </row>
    <row r="2899" spans="1:4" x14ac:dyDescent="0.2">
      <c r="A2899" s="6">
        <v>4333</v>
      </c>
      <c r="B2899" s="5" t="s">
        <v>2937</v>
      </c>
      <c r="C2899" s="7" t="s">
        <v>10</v>
      </c>
      <c r="D2899" s="8">
        <v>307.25</v>
      </c>
    </row>
    <row r="2900" spans="1:4" x14ac:dyDescent="0.2">
      <c r="A2900" s="6">
        <v>4334</v>
      </c>
      <c r="B2900" s="5" t="s">
        <v>2938</v>
      </c>
      <c r="C2900" s="7" t="s">
        <v>64</v>
      </c>
      <c r="D2900" s="8">
        <v>553.07000000000005</v>
      </c>
    </row>
    <row r="2901" spans="1:4" x14ac:dyDescent="0.2">
      <c r="A2901" s="6">
        <v>4335</v>
      </c>
      <c r="B2901" s="5" t="s">
        <v>2939</v>
      </c>
      <c r="C2901" s="7" t="s">
        <v>10</v>
      </c>
      <c r="D2901" s="8">
        <v>307.25</v>
      </c>
    </row>
    <row r="2902" spans="1:4" x14ac:dyDescent="0.2">
      <c r="A2902" s="6">
        <v>4336</v>
      </c>
      <c r="B2902" s="5" t="s">
        <v>2940</v>
      </c>
      <c r="C2902" s="7" t="s">
        <v>10</v>
      </c>
      <c r="D2902" s="8">
        <v>307.25</v>
      </c>
    </row>
    <row r="2903" spans="1:4" x14ac:dyDescent="0.2">
      <c r="A2903" s="6">
        <v>4337</v>
      </c>
      <c r="B2903" s="5" t="s">
        <v>2941</v>
      </c>
      <c r="C2903" s="7" t="s">
        <v>10</v>
      </c>
      <c r="D2903" s="8">
        <v>307.25</v>
      </c>
    </row>
    <row r="2904" spans="1:4" x14ac:dyDescent="0.2">
      <c r="A2904" s="6">
        <v>4338</v>
      </c>
      <c r="B2904" s="5" t="s">
        <v>2942</v>
      </c>
      <c r="C2904" s="7" t="s">
        <v>10</v>
      </c>
      <c r="D2904" s="8">
        <v>307.25</v>
      </c>
    </row>
    <row r="2905" spans="1:4" x14ac:dyDescent="0.2">
      <c r="A2905" s="6">
        <v>4339</v>
      </c>
      <c r="B2905" s="5" t="s">
        <v>2943</v>
      </c>
      <c r="C2905" s="7" t="s">
        <v>10</v>
      </c>
      <c r="D2905" s="8">
        <v>307.25</v>
      </c>
    </row>
    <row r="2906" spans="1:4" x14ac:dyDescent="0.2">
      <c r="A2906" s="6">
        <v>4340</v>
      </c>
      <c r="B2906" s="5" t="s">
        <v>2944</v>
      </c>
      <c r="C2906" s="7" t="s">
        <v>10</v>
      </c>
      <c r="D2906" s="8">
        <v>307.25</v>
      </c>
    </row>
    <row r="2907" spans="1:4" x14ac:dyDescent="0.2">
      <c r="A2907" s="6">
        <v>4341</v>
      </c>
      <c r="B2907" s="5" t="s">
        <v>2945</v>
      </c>
      <c r="C2907" s="7" t="s">
        <v>10</v>
      </c>
      <c r="D2907" s="8">
        <v>307.25</v>
      </c>
    </row>
    <row r="2908" spans="1:4" x14ac:dyDescent="0.2">
      <c r="A2908" s="6">
        <v>4342</v>
      </c>
      <c r="B2908" s="5" t="s">
        <v>2946</v>
      </c>
      <c r="C2908" s="7" t="s">
        <v>64</v>
      </c>
      <c r="D2908" s="8">
        <v>553.07000000000005</v>
      </c>
    </row>
    <row r="2909" spans="1:4" x14ac:dyDescent="0.2">
      <c r="A2909" s="6">
        <v>4343</v>
      </c>
      <c r="B2909" s="5" t="s">
        <v>2947</v>
      </c>
      <c r="C2909" s="7" t="s">
        <v>64</v>
      </c>
      <c r="D2909" s="8">
        <v>553.07000000000005</v>
      </c>
    </row>
    <row r="2910" spans="1:4" x14ac:dyDescent="0.2">
      <c r="A2910" s="6">
        <v>4344</v>
      </c>
      <c r="B2910" s="5" t="s">
        <v>2948</v>
      </c>
      <c r="C2910" s="7" t="s">
        <v>64</v>
      </c>
      <c r="D2910" s="8">
        <v>553.07000000000005</v>
      </c>
    </row>
    <row r="2911" spans="1:4" x14ac:dyDescent="0.2">
      <c r="A2911" s="6">
        <v>4345</v>
      </c>
      <c r="B2911" s="5" t="s">
        <v>2949</v>
      </c>
      <c r="C2911" s="7" t="s">
        <v>10</v>
      </c>
      <c r="D2911" s="8">
        <v>307.25</v>
      </c>
    </row>
    <row r="2912" spans="1:4" x14ac:dyDescent="0.2">
      <c r="A2912" s="6">
        <v>4346</v>
      </c>
      <c r="B2912" s="5" t="s">
        <v>2950</v>
      </c>
      <c r="C2912" s="7" t="s">
        <v>10</v>
      </c>
      <c r="D2912" s="8">
        <v>307.25</v>
      </c>
    </row>
    <row r="2913" spans="1:4" x14ac:dyDescent="0.2">
      <c r="A2913" s="6">
        <v>4347</v>
      </c>
      <c r="B2913" s="5" t="s">
        <v>2951</v>
      </c>
      <c r="C2913" s="7" t="s">
        <v>10</v>
      </c>
      <c r="D2913" s="8">
        <v>307.25</v>
      </c>
    </row>
    <row r="2914" spans="1:4" x14ac:dyDescent="0.2">
      <c r="A2914" s="6">
        <v>4348</v>
      </c>
      <c r="B2914" s="5" t="s">
        <v>2952</v>
      </c>
      <c r="C2914" s="7" t="s">
        <v>185</v>
      </c>
      <c r="D2914" s="8">
        <v>468.84</v>
      </c>
    </row>
    <row r="2915" spans="1:4" x14ac:dyDescent="0.2">
      <c r="A2915" s="6">
        <v>4349</v>
      </c>
      <c r="B2915" s="5" t="s">
        <v>2953</v>
      </c>
      <c r="C2915" s="7" t="s">
        <v>10</v>
      </c>
      <c r="D2915" s="8">
        <v>307.25</v>
      </c>
    </row>
    <row r="2916" spans="1:4" x14ac:dyDescent="0.2">
      <c r="A2916" s="6">
        <v>4350</v>
      </c>
      <c r="B2916" s="5" t="s">
        <v>2954</v>
      </c>
      <c r="C2916" s="7" t="s">
        <v>64</v>
      </c>
      <c r="D2916" s="8">
        <v>553.07000000000005</v>
      </c>
    </row>
    <row r="2917" spans="1:4" x14ac:dyDescent="0.2">
      <c r="A2917" s="6">
        <v>4351</v>
      </c>
      <c r="B2917" s="5" t="s">
        <v>2955</v>
      </c>
      <c r="C2917" s="7" t="s">
        <v>10</v>
      </c>
      <c r="D2917" s="8">
        <v>307.25</v>
      </c>
    </row>
    <row r="2918" spans="1:4" x14ac:dyDescent="0.2">
      <c r="A2918" s="6">
        <v>4352</v>
      </c>
      <c r="B2918" s="5" t="s">
        <v>2956</v>
      </c>
      <c r="C2918" s="7" t="s">
        <v>10</v>
      </c>
      <c r="D2918" s="8">
        <v>307.25</v>
      </c>
    </row>
    <row r="2919" spans="1:4" x14ac:dyDescent="0.2">
      <c r="A2919" s="6">
        <v>4353</v>
      </c>
      <c r="B2919" s="5" t="s">
        <v>2957</v>
      </c>
      <c r="C2919" s="7" t="s">
        <v>10</v>
      </c>
      <c r="D2919" s="8">
        <v>307.25</v>
      </c>
    </row>
    <row r="2920" spans="1:4" x14ac:dyDescent="0.2">
      <c r="A2920" s="6">
        <v>4354</v>
      </c>
      <c r="B2920" s="5" t="s">
        <v>2958</v>
      </c>
      <c r="C2920" s="7" t="s">
        <v>64</v>
      </c>
      <c r="D2920" s="8">
        <v>553.07000000000005</v>
      </c>
    </row>
    <row r="2921" spans="1:4" x14ac:dyDescent="0.2">
      <c r="A2921" s="6">
        <v>4355</v>
      </c>
      <c r="B2921" s="5" t="s">
        <v>2959</v>
      </c>
      <c r="C2921" s="7" t="s">
        <v>64</v>
      </c>
      <c r="D2921" s="8">
        <v>553.07000000000005</v>
      </c>
    </row>
    <row r="2922" spans="1:4" x14ac:dyDescent="0.2">
      <c r="A2922" s="6">
        <v>4356</v>
      </c>
      <c r="B2922" s="5" t="s">
        <v>2960</v>
      </c>
      <c r="C2922" s="7" t="s">
        <v>64</v>
      </c>
      <c r="D2922" s="8">
        <v>553.07000000000005</v>
      </c>
    </row>
    <row r="2923" spans="1:4" x14ac:dyDescent="0.2">
      <c r="A2923" s="6">
        <v>4357</v>
      </c>
      <c r="B2923" s="5" t="s">
        <v>2961</v>
      </c>
      <c r="C2923" s="7" t="s">
        <v>64</v>
      </c>
      <c r="D2923" s="8">
        <v>553.07000000000005</v>
      </c>
    </row>
    <row r="2924" spans="1:4" x14ac:dyDescent="0.2">
      <c r="A2924" s="6">
        <v>4358</v>
      </c>
      <c r="B2924" s="5" t="s">
        <v>2962</v>
      </c>
      <c r="C2924" s="7" t="s">
        <v>64</v>
      </c>
      <c r="D2924" s="8">
        <v>553.07000000000005</v>
      </c>
    </row>
    <row r="2925" spans="1:4" x14ac:dyDescent="0.2">
      <c r="A2925" s="6">
        <v>4359</v>
      </c>
      <c r="B2925" s="5" t="s">
        <v>986</v>
      </c>
      <c r="C2925" s="7" t="s">
        <v>64</v>
      </c>
      <c r="D2925" s="8">
        <v>553.07000000000005</v>
      </c>
    </row>
    <row r="2926" spans="1:4" x14ac:dyDescent="0.2">
      <c r="A2926" s="6">
        <v>4360</v>
      </c>
      <c r="B2926" s="5" t="s">
        <v>2963</v>
      </c>
      <c r="C2926" s="7" t="s">
        <v>10</v>
      </c>
      <c r="D2926" s="8">
        <v>307.25</v>
      </c>
    </row>
    <row r="2927" spans="1:4" x14ac:dyDescent="0.2">
      <c r="A2927" s="6">
        <v>4361</v>
      </c>
      <c r="B2927" s="5" t="s">
        <v>2964</v>
      </c>
      <c r="C2927" s="7" t="s">
        <v>10</v>
      </c>
      <c r="D2927" s="8">
        <v>307.25</v>
      </c>
    </row>
    <row r="2928" spans="1:4" x14ac:dyDescent="0.2">
      <c r="A2928" s="6">
        <v>4362</v>
      </c>
      <c r="B2928" s="5" t="s">
        <v>2965</v>
      </c>
      <c r="C2928" s="7" t="s">
        <v>10</v>
      </c>
      <c r="D2928" s="8">
        <v>307.25</v>
      </c>
    </row>
    <row r="2929" spans="1:4" x14ac:dyDescent="0.2">
      <c r="A2929" s="6">
        <v>4363</v>
      </c>
      <c r="B2929" s="5" t="s">
        <v>2966</v>
      </c>
      <c r="C2929" s="7" t="s">
        <v>10</v>
      </c>
      <c r="D2929" s="8">
        <v>307.25</v>
      </c>
    </row>
    <row r="2930" spans="1:4" x14ac:dyDescent="0.2">
      <c r="A2930" s="6">
        <v>4364</v>
      </c>
      <c r="B2930" s="5" t="s">
        <v>2967</v>
      </c>
      <c r="C2930" s="7" t="s">
        <v>10</v>
      </c>
      <c r="D2930" s="8">
        <v>307.25</v>
      </c>
    </row>
    <row r="2931" spans="1:4" x14ac:dyDescent="0.2">
      <c r="A2931" s="6">
        <v>4365</v>
      </c>
      <c r="B2931" s="5" t="s">
        <v>2968</v>
      </c>
      <c r="C2931" s="7" t="s">
        <v>10</v>
      </c>
      <c r="D2931" s="8">
        <v>355</v>
      </c>
    </row>
    <row r="2932" spans="1:4" x14ac:dyDescent="0.2">
      <c r="A2932" s="6">
        <v>4366</v>
      </c>
      <c r="B2932" s="5" t="s">
        <v>2969</v>
      </c>
      <c r="C2932" s="7" t="s">
        <v>64</v>
      </c>
      <c r="D2932" s="8">
        <v>553.07000000000005</v>
      </c>
    </row>
    <row r="2933" spans="1:4" x14ac:dyDescent="0.2">
      <c r="A2933" s="6">
        <v>4367</v>
      </c>
      <c r="B2933" s="5" t="s">
        <v>2970</v>
      </c>
      <c r="C2933" s="7" t="s">
        <v>10</v>
      </c>
      <c r="D2933" s="8">
        <v>307.25</v>
      </c>
    </row>
    <row r="2934" spans="1:4" x14ac:dyDescent="0.2">
      <c r="A2934" s="6">
        <v>4368</v>
      </c>
      <c r="B2934" s="5" t="s">
        <v>2971</v>
      </c>
      <c r="C2934" s="7" t="s">
        <v>64</v>
      </c>
      <c r="D2934" s="8">
        <v>553.07000000000005</v>
      </c>
    </row>
    <row r="2935" spans="1:4" x14ac:dyDescent="0.2">
      <c r="A2935" s="6">
        <v>4369</v>
      </c>
      <c r="B2935" s="5" t="s">
        <v>2972</v>
      </c>
      <c r="C2935" s="7" t="s">
        <v>64</v>
      </c>
      <c r="D2935" s="8">
        <v>553.07000000000005</v>
      </c>
    </row>
    <row r="2936" spans="1:4" x14ac:dyDescent="0.2">
      <c r="A2936" s="6">
        <v>4370</v>
      </c>
      <c r="B2936" s="5" t="s">
        <v>1619</v>
      </c>
      <c r="C2936" s="7" t="s">
        <v>10</v>
      </c>
      <c r="D2936" s="8">
        <v>307.25</v>
      </c>
    </row>
    <row r="2937" spans="1:4" x14ac:dyDescent="0.2">
      <c r="A2937" s="6">
        <v>4371</v>
      </c>
      <c r="B2937" s="5" t="s">
        <v>2973</v>
      </c>
      <c r="C2937" s="7" t="s">
        <v>10</v>
      </c>
      <c r="D2937" s="8">
        <v>307.25</v>
      </c>
    </row>
    <row r="2938" spans="1:4" x14ac:dyDescent="0.2">
      <c r="A2938" s="6">
        <v>4372</v>
      </c>
      <c r="B2938" s="5" t="s">
        <v>2974</v>
      </c>
      <c r="C2938" s="7" t="s">
        <v>10</v>
      </c>
      <c r="D2938" s="8">
        <v>307.25</v>
      </c>
    </row>
    <row r="2939" spans="1:4" x14ac:dyDescent="0.2">
      <c r="A2939" s="6">
        <v>4373</v>
      </c>
      <c r="B2939" s="5" t="s">
        <v>2975</v>
      </c>
      <c r="C2939" s="7" t="s">
        <v>10</v>
      </c>
      <c r="D2939" s="8">
        <v>307.25</v>
      </c>
    </row>
    <row r="2940" spans="1:4" x14ac:dyDescent="0.2">
      <c r="A2940" s="6">
        <v>4374</v>
      </c>
      <c r="B2940" s="5" t="s">
        <v>2976</v>
      </c>
      <c r="C2940" s="7" t="s">
        <v>10</v>
      </c>
      <c r="D2940" s="8">
        <v>307.25</v>
      </c>
    </row>
    <row r="2941" spans="1:4" x14ac:dyDescent="0.2">
      <c r="A2941" s="6">
        <v>4375</v>
      </c>
      <c r="B2941" s="5" t="s">
        <v>2977</v>
      </c>
      <c r="C2941" s="7" t="s">
        <v>10</v>
      </c>
      <c r="D2941" s="8">
        <v>307.25</v>
      </c>
    </row>
    <row r="2942" spans="1:4" x14ac:dyDescent="0.2">
      <c r="A2942" s="6">
        <v>4376</v>
      </c>
      <c r="B2942" s="5" t="s">
        <v>2978</v>
      </c>
      <c r="C2942" s="7" t="s">
        <v>10</v>
      </c>
      <c r="D2942" s="8">
        <v>307.25</v>
      </c>
    </row>
    <row r="2943" spans="1:4" x14ac:dyDescent="0.2">
      <c r="A2943" s="6">
        <v>4377</v>
      </c>
      <c r="B2943" s="5" t="s">
        <v>2979</v>
      </c>
      <c r="C2943" s="7" t="s">
        <v>10</v>
      </c>
      <c r="D2943" s="8">
        <v>307.25</v>
      </c>
    </row>
    <row r="2944" spans="1:4" x14ac:dyDescent="0.2">
      <c r="A2944" s="6">
        <v>4378</v>
      </c>
      <c r="B2944" s="5" t="s">
        <v>2980</v>
      </c>
      <c r="C2944" s="7" t="s">
        <v>10</v>
      </c>
      <c r="D2944" s="8">
        <v>307.25</v>
      </c>
    </row>
    <row r="2945" spans="1:4" x14ac:dyDescent="0.2">
      <c r="A2945" s="6">
        <v>4379</v>
      </c>
      <c r="B2945" s="5" t="s">
        <v>2981</v>
      </c>
      <c r="C2945" s="7" t="s">
        <v>64</v>
      </c>
      <c r="D2945" s="8">
        <v>553.07000000000005</v>
      </c>
    </row>
    <row r="2946" spans="1:4" x14ac:dyDescent="0.2">
      <c r="A2946" s="6">
        <v>4380</v>
      </c>
      <c r="B2946" s="5" t="s">
        <v>2982</v>
      </c>
      <c r="C2946" s="7" t="s">
        <v>64</v>
      </c>
      <c r="D2946" s="8">
        <v>553.07000000000005</v>
      </c>
    </row>
    <row r="2947" spans="1:4" x14ac:dyDescent="0.2">
      <c r="A2947" s="6">
        <v>4381</v>
      </c>
      <c r="B2947" s="5" t="s">
        <v>2983</v>
      </c>
      <c r="C2947" s="7" t="s">
        <v>10</v>
      </c>
      <c r="D2947" s="8">
        <v>307.25</v>
      </c>
    </row>
    <row r="2948" spans="1:4" x14ac:dyDescent="0.2">
      <c r="A2948" s="6">
        <v>4382</v>
      </c>
      <c r="B2948" s="5" t="s">
        <v>2984</v>
      </c>
      <c r="C2948" s="7" t="s">
        <v>64</v>
      </c>
      <c r="D2948" s="8">
        <v>553.07000000000005</v>
      </c>
    </row>
    <row r="2949" spans="1:4" x14ac:dyDescent="0.2">
      <c r="A2949" s="6">
        <v>4383</v>
      </c>
      <c r="B2949" s="5" t="s">
        <v>2985</v>
      </c>
      <c r="C2949" s="7" t="s">
        <v>64</v>
      </c>
      <c r="D2949" s="8">
        <v>553.07000000000005</v>
      </c>
    </row>
    <row r="2950" spans="1:4" x14ac:dyDescent="0.2">
      <c r="A2950" s="6">
        <v>4384</v>
      </c>
      <c r="B2950" s="5" t="s">
        <v>2986</v>
      </c>
      <c r="C2950" s="7" t="s">
        <v>10</v>
      </c>
      <c r="D2950" s="8">
        <v>307.25</v>
      </c>
    </row>
    <row r="2951" spans="1:4" x14ac:dyDescent="0.2">
      <c r="A2951" s="6">
        <v>4385</v>
      </c>
      <c r="B2951" s="5" t="s">
        <v>2987</v>
      </c>
      <c r="C2951" s="7" t="s">
        <v>10</v>
      </c>
      <c r="D2951" s="8">
        <v>307.25</v>
      </c>
    </row>
    <row r="2952" spans="1:4" x14ac:dyDescent="0.2">
      <c r="A2952" s="6">
        <v>4386</v>
      </c>
      <c r="B2952" s="5" t="s">
        <v>2988</v>
      </c>
      <c r="C2952" s="7" t="s">
        <v>10</v>
      </c>
      <c r="D2952" s="8">
        <v>307.25</v>
      </c>
    </row>
    <row r="2953" spans="1:4" x14ac:dyDescent="0.2">
      <c r="A2953" s="6">
        <v>4387</v>
      </c>
      <c r="B2953" s="5" t="s">
        <v>2989</v>
      </c>
      <c r="C2953" s="7" t="s">
        <v>10</v>
      </c>
      <c r="D2953" s="8">
        <v>307.25</v>
      </c>
    </row>
    <row r="2954" spans="1:4" x14ac:dyDescent="0.2">
      <c r="A2954" s="6">
        <v>4388</v>
      </c>
      <c r="B2954" s="5" t="s">
        <v>2990</v>
      </c>
      <c r="C2954" s="7" t="s">
        <v>10</v>
      </c>
      <c r="D2954" s="8">
        <v>307.25</v>
      </c>
    </row>
    <row r="2955" spans="1:4" x14ac:dyDescent="0.2">
      <c r="A2955" s="6">
        <v>4389</v>
      </c>
      <c r="B2955" s="5" t="s">
        <v>2991</v>
      </c>
      <c r="C2955" s="7" t="s">
        <v>64</v>
      </c>
      <c r="D2955" s="8">
        <v>553.07000000000005</v>
      </c>
    </row>
    <row r="2956" spans="1:4" x14ac:dyDescent="0.2">
      <c r="A2956" s="6">
        <v>4390</v>
      </c>
      <c r="B2956" s="5" t="s">
        <v>2992</v>
      </c>
      <c r="C2956" s="7" t="s">
        <v>64</v>
      </c>
      <c r="D2956" s="8">
        <v>553.07000000000005</v>
      </c>
    </row>
    <row r="2957" spans="1:4" x14ac:dyDescent="0.2">
      <c r="A2957" s="6">
        <v>4391</v>
      </c>
      <c r="B2957" s="5" t="s">
        <v>2993</v>
      </c>
      <c r="C2957" s="7" t="s">
        <v>10</v>
      </c>
      <c r="D2957" s="8">
        <v>307.25</v>
      </c>
    </row>
    <row r="2958" spans="1:4" x14ac:dyDescent="0.2">
      <c r="A2958" s="6">
        <v>4392</v>
      </c>
      <c r="B2958" s="5" t="s">
        <v>2994</v>
      </c>
      <c r="C2958" s="7" t="s">
        <v>10</v>
      </c>
      <c r="D2958" s="8">
        <v>307.25</v>
      </c>
    </row>
    <row r="2959" spans="1:4" x14ac:dyDescent="0.2">
      <c r="A2959" s="6">
        <v>4393</v>
      </c>
      <c r="B2959" s="5" t="s">
        <v>2995</v>
      </c>
      <c r="C2959" s="7" t="s">
        <v>10</v>
      </c>
      <c r="D2959" s="8">
        <v>307.25</v>
      </c>
    </row>
    <row r="2960" spans="1:4" x14ac:dyDescent="0.2">
      <c r="A2960" s="6">
        <v>4394</v>
      </c>
      <c r="B2960" s="5" t="s">
        <v>2996</v>
      </c>
      <c r="C2960" s="7" t="s">
        <v>10</v>
      </c>
      <c r="D2960" s="8">
        <v>307.25</v>
      </c>
    </row>
    <row r="2961" spans="1:4" x14ac:dyDescent="0.2">
      <c r="A2961" s="6">
        <v>4395</v>
      </c>
      <c r="B2961" s="5" t="s">
        <v>2997</v>
      </c>
      <c r="C2961" s="7" t="s">
        <v>10</v>
      </c>
      <c r="D2961" s="8">
        <v>307.25</v>
      </c>
    </row>
    <row r="2962" spans="1:4" x14ac:dyDescent="0.2">
      <c r="A2962" s="6">
        <v>4396</v>
      </c>
      <c r="B2962" s="5" t="s">
        <v>2998</v>
      </c>
      <c r="C2962" s="7" t="s">
        <v>10</v>
      </c>
      <c r="D2962" s="8">
        <v>307.25</v>
      </c>
    </row>
    <row r="2963" spans="1:4" x14ac:dyDescent="0.2">
      <c r="A2963" s="6">
        <v>4397</v>
      </c>
      <c r="B2963" s="5" t="s">
        <v>2999</v>
      </c>
      <c r="C2963" s="7" t="s">
        <v>10</v>
      </c>
      <c r="D2963" s="8">
        <v>307.25</v>
      </c>
    </row>
    <row r="2964" spans="1:4" x14ac:dyDescent="0.2">
      <c r="A2964" s="6">
        <v>4398</v>
      </c>
      <c r="B2964" s="5" t="s">
        <v>3000</v>
      </c>
      <c r="C2964" s="7" t="s">
        <v>10</v>
      </c>
      <c r="D2964" s="8">
        <v>273.48</v>
      </c>
    </row>
    <row r="2965" spans="1:4" x14ac:dyDescent="0.2">
      <c r="A2965" s="6">
        <v>4399</v>
      </c>
      <c r="B2965" s="5" t="s">
        <v>3001</v>
      </c>
      <c r="C2965" s="7" t="s">
        <v>10</v>
      </c>
      <c r="D2965" s="8">
        <v>307.25</v>
      </c>
    </row>
    <row r="2966" spans="1:4" x14ac:dyDescent="0.2">
      <c r="A2966" s="6">
        <v>4400</v>
      </c>
      <c r="B2966" s="5" t="s">
        <v>3002</v>
      </c>
      <c r="C2966" s="7" t="s">
        <v>10</v>
      </c>
      <c r="D2966" s="8">
        <v>307.25</v>
      </c>
    </row>
    <row r="2967" spans="1:4" x14ac:dyDescent="0.2">
      <c r="A2967" s="6">
        <v>4401</v>
      </c>
      <c r="B2967" s="5" t="s">
        <v>3003</v>
      </c>
      <c r="C2967" s="7" t="s">
        <v>10</v>
      </c>
      <c r="D2967" s="8">
        <v>307.25</v>
      </c>
    </row>
    <row r="2968" spans="1:4" x14ac:dyDescent="0.2">
      <c r="A2968" s="6">
        <v>4402</v>
      </c>
      <c r="B2968" s="5" t="s">
        <v>3004</v>
      </c>
      <c r="C2968" s="7" t="s">
        <v>10</v>
      </c>
      <c r="D2968" s="8">
        <v>307.25</v>
      </c>
    </row>
    <row r="2969" spans="1:4" x14ac:dyDescent="0.2">
      <c r="A2969" s="6">
        <v>4403</v>
      </c>
      <c r="B2969" s="5" t="s">
        <v>3005</v>
      </c>
      <c r="C2969" s="7" t="s">
        <v>10</v>
      </c>
      <c r="D2969" s="8">
        <v>307.25</v>
      </c>
    </row>
    <row r="2970" spans="1:4" x14ac:dyDescent="0.2">
      <c r="A2970" s="6">
        <v>4404</v>
      </c>
      <c r="B2970" s="5" t="s">
        <v>3006</v>
      </c>
      <c r="C2970" s="7" t="s">
        <v>10</v>
      </c>
      <c r="D2970" s="8">
        <v>307.25</v>
      </c>
    </row>
    <row r="2971" spans="1:4" x14ac:dyDescent="0.2">
      <c r="A2971" s="6">
        <v>4405</v>
      </c>
      <c r="B2971" s="5" t="s">
        <v>3007</v>
      </c>
      <c r="C2971" s="7" t="s">
        <v>10</v>
      </c>
      <c r="D2971" s="8">
        <v>307.25</v>
      </c>
    </row>
    <row r="2972" spans="1:4" x14ac:dyDescent="0.2">
      <c r="A2972" s="6">
        <v>4406</v>
      </c>
      <c r="B2972" s="5" t="s">
        <v>3008</v>
      </c>
      <c r="C2972" s="7" t="s">
        <v>10</v>
      </c>
      <c r="D2972" s="8">
        <v>307.25</v>
      </c>
    </row>
    <row r="2973" spans="1:4" x14ac:dyDescent="0.2">
      <c r="A2973" s="6">
        <v>4407</v>
      </c>
      <c r="B2973" s="5" t="s">
        <v>3009</v>
      </c>
      <c r="C2973" s="7" t="s">
        <v>10</v>
      </c>
      <c r="D2973" s="8">
        <v>307.25</v>
      </c>
    </row>
    <row r="2974" spans="1:4" x14ac:dyDescent="0.2">
      <c r="A2974" s="6">
        <v>4408</v>
      </c>
      <c r="B2974" s="5" t="s">
        <v>3010</v>
      </c>
      <c r="C2974" s="7" t="s">
        <v>10</v>
      </c>
      <c r="D2974" s="8">
        <v>307.25</v>
      </c>
    </row>
    <row r="2975" spans="1:4" x14ac:dyDescent="0.2">
      <c r="A2975" s="6">
        <v>4409</v>
      </c>
      <c r="B2975" s="5" t="s">
        <v>3011</v>
      </c>
      <c r="C2975" s="7" t="s">
        <v>10</v>
      </c>
      <c r="D2975" s="8">
        <v>307.25</v>
      </c>
    </row>
    <row r="2976" spans="1:4" x14ac:dyDescent="0.2">
      <c r="A2976" s="6">
        <v>4410</v>
      </c>
      <c r="B2976" s="5" t="s">
        <v>3012</v>
      </c>
      <c r="C2976" s="7" t="s">
        <v>10</v>
      </c>
      <c r="D2976" s="8">
        <v>307.25</v>
      </c>
    </row>
    <row r="2977" spans="1:4" x14ac:dyDescent="0.2">
      <c r="A2977" s="6">
        <v>4411</v>
      </c>
      <c r="B2977" s="5" t="s">
        <v>3013</v>
      </c>
      <c r="C2977" s="7" t="s">
        <v>10</v>
      </c>
      <c r="D2977" s="8">
        <v>307.25</v>
      </c>
    </row>
    <row r="2978" spans="1:4" x14ac:dyDescent="0.2">
      <c r="A2978" s="6">
        <v>4412</v>
      </c>
      <c r="B2978" s="5" t="s">
        <v>3014</v>
      </c>
      <c r="C2978" s="7" t="s">
        <v>10</v>
      </c>
      <c r="D2978" s="8">
        <v>307.25</v>
      </c>
    </row>
    <row r="2979" spans="1:4" x14ac:dyDescent="0.2">
      <c r="A2979" s="6">
        <v>4413</v>
      </c>
      <c r="B2979" s="5" t="s">
        <v>3015</v>
      </c>
      <c r="C2979" s="7" t="s">
        <v>10</v>
      </c>
      <c r="D2979" s="8">
        <v>307.25</v>
      </c>
    </row>
    <row r="2980" spans="1:4" x14ac:dyDescent="0.2">
      <c r="A2980" s="6">
        <v>4414</v>
      </c>
      <c r="B2980" s="5" t="s">
        <v>3016</v>
      </c>
      <c r="C2980" s="7" t="s">
        <v>10</v>
      </c>
      <c r="D2980" s="8">
        <v>307.25</v>
      </c>
    </row>
    <row r="2981" spans="1:4" x14ac:dyDescent="0.2">
      <c r="A2981" s="6">
        <v>4415</v>
      </c>
      <c r="B2981" s="5" t="s">
        <v>3017</v>
      </c>
      <c r="C2981" s="7" t="s">
        <v>10</v>
      </c>
      <c r="D2981" s="8">
        <v>307.25</v>
      </c>
    </row>
    <row r="2982" spans="1:4" x14ac:dyDescent="0.2">
      <c r="A2982" s="6">
        <v>4416</v>
      </c>
      <c r="B2982" s="5" t="s">
        <v>3018</v>
      </c>
      <c r="C2982" s="7" t="s">
        <v>10</v>
      </c>
      <c r="D2982" s="8">
        <v>307.25</v>
      </c>
    </row>
    <row r="2983" spans="1:4" x14ac:dyDescent="0.2">
      <c r="A2983" s="6">
        <v>4417</v>
      </c>
      <c r="B2983" s="5" t="s">
        <v>3019</v>
      </c>
      <c r="C2983" s="7" t="s">
        <v>10</v>
      </c>
      <c r="D2983" s="8">
        <v>307.25</v>
      </c>
    </row>
    <row r="2984" spans="1:4" x14ac:dyDescent="0.2">
      <c r="A2984" s="6">
        <v>4418</v>
      </c>
      <c r="B2984" s="5" t="s">
        <v>3020</v>
      </c>
      <c r="C2984" s="7" t="s">
        <v>10</v>
      </c>
      <c r="D2984" s="8">
        <v>307.25</v>
      </c>
    </row>
    <row r="2985" spans="1:4" x14ac:dyDescent="0.2">
      <c r="A2985" s="6">
        <v>4419</v>
      </c>
      <c r="B2985" s="5" t="s">
        <v>3021</v>
      </c>
      <c r="C2985" s="7" t="s">
        <v>10</v>
      </c>
      <c r="D2985" s="8">
        <v>307.25</v>
      </c>
    </row>
    <row r="2986" spans="1:4" x14ac:dyDescent="0.2">
      <c r="A2986" s="6">
        <v>4420</v>
      </c>
      <c r="B2986" s="5" t="s">
        <v>3022</v>
      </c>
      <c r="C2986" s="7" t="s">
        <v>10</v>
      </c>
      <c r="D2986" s="8">
        <v>307.25</v>
      </c>
    </row>
    <row r="2987" spans="1:4" x14ac:dyDescent="0.2">
      <c r="A2987" s="6">
        <v>4421</v>
      </c>
      <c r="B2987" s="5" t="s">
        <v>3023</v>
      </c>
      <c r="C2987" s="7" t="s">
        <v>10</v>
      </c>
      <c r="D2987" s="8">
        <v>307.25</v>
      </c>
    </row>
    <row r="2988" spans="1:4" x14ac:dyDescent="0.2">
      <c r="A2988" s="6">
        <v>4422</v>
      </c>
      <c r="B2988" s="5" t="s">
        <v>3024</v>
      </c>
      <c r="C2988" s="7" t="s">
        <v>10</v>
      </c>
      <c r="D2988" s="8">
        <v>307.25</v>
      </c>
    </row>
    <row r="2989" spans="1:4" x14ac:dyDescent="0.2">
      <c r="A2989" s="6">
        <v>4423</v>
      </c>
      <c r="B2989" s="5" t="s">
        <v>3025</v>
      </c>
      <c r="C2989" s="7" t="s">
        <v>10</v>
      </c>
      <c r="D2989" s="8">
        <v>355</v>
      </c>
    </row>
    <row r="2990" spans="1:4" x14ac:dyDescent="0.2">
      <c r="A2990" s="6">
        <v>4424</v>
      </c>
      <c r="B2990" s="5" t="s">
        <v>3026</v>
      </c>
      <c r="C2990" s="7" t="s">
        <v>10</v>
      </c>
      <c r="D2990" s="8">
        <v>307.25</v>
      </c>
    </row>
    <row r="2991" spans="1:4" x14ac:dyDescent="0.2">
      <c r="A2991" s="6">
        <v>4425</v>
      </c>
      <c r="B2991" s="5" t="s">
        <v>3027</v>
      </c>
      <c r="C2991" s="7" t="s">
        <v>10</v>
      </c>
      <c r="D2991" s="8">
        <v>307.25</v>
      </c>
    </row>
    <row r="2992" spans="1:4" x14ac:dyDescent="0.2">
      <c r="A2992" s="6">
        <v>4426</v>
      </c>
      <c r="B2992" s="5" t="s">
        <v>3028</v>
      </c>
      <c r="C2992" s="7" t="s">
        <v>10</v>
      </c>
      <c r="D2992" s="8">
        <v>307.25</v>
      </c>
    </row>
    <row r="2993" spans="1:4" x14ac:dyDescent="0.2">
      <c r="A2993" s="6">
        <v>4427</v>
      </c>
      <c r="B2993" s="5" t="s">
        <v>3029</v>
      </c>
      <c r="C2993" s="7" t="s">
        <v>10</v>
      </c>
      <c r="D2993" s="8">
        <v>307.25</v>
      </c>
    </row>
    <row r="2994" spans="1:4" x14ac:dyDescent="0.2">
      <c r="A2994" s="6">
        <v>4428</v>
      </c>
      <c r="B2994" s="5" t="s">
        <v>3030</v>
      </c>
      <c r="C2994" s="7" t="s">
        <v>10</v>
      </c>
      <c r="D2994" s="8">
        <v>307.25</v>
      </c>
    </row>
    <row r="2995" spans="1:4" x14ac:dyDescent="0.2">
      <c r="A2995" s="6">
        <v>4429</v>
      </c>
      <c r="B2995" s="5" t="s">
        <v>3031</v>
      </c>
      <c r="C2995" s="7" t="s">
        <v>64</v>
      </c>
      <c r="D2995" s="8">
        <v>553.07000000000005</v>
      </c>
    </row>
    <row r="2996" spans="1:4" x14ac:dyDescent="0.2">
      <c r="A2996" s="6">
        <v>4430</v>
      </c>
      <c r="B2996" s="5" t="s">
        <v>3032</v>
      </c>
      <c r="C2996" s="7" t="s">
        <v>10</v>
      </c>
      <c r="D2996" s="8">
        <v>307.25</v>
      </c>
    </row>
    <row r="2997" spans="1:4" x14ac:dyDescent="0.2">
      <c r="A2997" s="6">
        <v>4431</v>
      </c>
      <c r="B2997" s="5" t="s">
        <v>3033</v>
      </c>
      <c r="C2997" s="7" t="s">
        <v>10</v>
      </c>
      <c r="D2997" s="8">
        <v>307.25</v>
      </c>
    </row>
    <row r="2998" spans="1:4" x14ac:dyDescent="0.2">
      <c r="A2998" s="6">
        <v>4432</v>
      </c>
      <c r="B2998" s="5" t="s">
        <v>3034</v>
      </c>
      <c r="C2998" s="7" t="s">
        <v>10</v>
      </c>
      <c r="D2998" s="8">
        <v>307.25</v>
      </c>
    </row>
    <row r="2999" spans="1:4" x14ac:dyDescent="0.2">
      <c r="A2999" s="6">
        <v>4433</v>
      </c>
      <c r="B2999" s="5" t="s">
        <v>3035</v>
      </c>
      <c r="C2999" s="7" t="s">
        <v>52</v>
      </c>
      <c r="D2999" s="8">
        <v>190.64</v>
      </c>
    </row>
    <row r="3000" spans="1:4" x14ac:dyDescent="0.2">
      <c r="A3000" s="6">
        <v>4434</v>
      </c>
      <c r="B3000" s="5" t="s">
        <v>3036</v>
      </c>
      <c r="C3000" s="7" t="s">
        <v>10</v>
      </c>
      <c r="D3000" s="8">
        <v>307.25</v>
      </c>
    </row>
    <row r="3001" spans="1:4" x14ac:dyDescent="0.2">
      <c r="A3001" s="6">
        <v>4435</v>
      </c>
      <c r="B3001" s="5" t="s">
        <v>3037</v>
      </c>
      <c r="C3001" s="7" t="s">
        <v>10</v>
      </c>
      <c r="D3001" s="8">
        <v>307.25</v>
      </c>
    </row>
    <row r="3002" spans="1:4" x14ac:dyDescent="0.2">
      <c r="A3002" s="6">
        <v>4436</v>
      </c>
      <c r="B3002" s="5" t="s">
        <v>3038</v>
      </c>
      <c r="C3002" s="7" t="s">
        <v>10</v>
      </c>
      <c r="D3002" s="8">
        <v>307.25</v>
      </c>
    </row>
    <row r="3003" spans="1:4" x14ac:dyDescent="0.2">
      <c r="A3003" s="6">
        <v>4437</v>
      </c>
      <c r="B3003" s="5" t="s">
        <v>3039</v>
      </c>
      <c r="C3003" s="7" t="s">
        <v>10</v>
      </c>
      <c r="D3003" s="8">
        <v>307.25</v>
      </c>
    </row>
    <row r="3004" spans="1:4" x14ac:dyDescent="0.2">
      <c r="A3004" s="6">
        <v>4438</v>
      </c>
      <c r="B3004" s="5" t="s">
        <v>3040</v>
      </c>
      <c r="C3004" s="7" t="s">
        <v>10</v>
      </c>
      <c r="D3004" s="8">
        <v>307.25</v>
      </c>
    </row>
    <row r="3005" spans="1:4" x14ac:dyDescent="0.2">
      <c r="A3005" s="6">
        <v>4439</v>
      </c>
      <c r="B3005" s="5" t="s">
        <v>3041</v>
      </c>
      <c r="C3005" s="7" t="s">
        <v>10</v>
      </c>
      <c r="D3005" s="8">
        <v>307.25</v>
      </c>
    </row>
    <row r="3006" spans="1:4" x14ac:dyDescent="0.2">
      <c r="A3006" s="6">
        <v>4440</v>
      </c>
      <c r="B3006" s="5" t="s">
        <v>3042</v>
      </c>
      <c r="C3006" s="7" t="s">
        <v>10</v>
      </c>
      <c r="D3006" s="8">
        <v>307.25</v>
      </c>
    </row>
    <row r="3007" spans="1:4" x14ac:dyDescent="0.2">
      <c r="A3007" s="6">
        <v>4441</v>
      </c>
      <c r="B3007" s="5" t="s">
        <v>3043</v>
      </c>
      <c r="C3007" s="7" t="s">
        <v>64</v>
      </c>
      <c r="D3007" s="8">
        <v>553.07000000000005</v>
      </c>
    </row>
    <row r="3008" spans="1:4" x14ac:dyDescent="0.2">
      <c r="A3008" s="6">
        <v>4442</v>
      </c>
      <c r="B3008" s="5" t="s">
        <v>3044</v>
      </c>
      <c r="C3008" s="7" t="s">
        <v>64</v>
      </c>
      <c r="D3008" s="8">
        <v>553.07000000000005</v>
      </c>
    </row>
    <row r="3009" spans="1:4" x14ac:dyDescent="0.2">
      <c r="A3009" s="6">
        <v>4443</v>
      </c>
      <c r="B3009" s="5" t="s">
        <v>3045</v>
      </c>
      <c r="C3009" s="7" t="s">
        <v>10</v>
      </c>
      <c r="D3009" s="8">
        <v>410</v>
      </c>
    </row>
    <row r="3010" spans="1:4" x14ac:dyDescent="0.2">
      <c r="A3010" s="6">
        <v>4444</v>
      </c>
      <c r="B3010" s="5" t="s">
        <v>3046</v>
      </c>
      <c r="C3010" s="7" t="s">
        <v>10</v>
      </c>
      <c r="D3010" s="8">
        <v>307.25</v>
      </c>
    </row>
    <row r="3011" spans="1:4" x14ac:dyDescent="0.2">
      <c r="A3011" s="6">
        <v>4445</v>
      </c>
      <c r="B3011" s="5" t="s">
        <v>3047</v>
      </c>
      <c r="C3011" s="7" t="s">
        <v>64</v>
      </c>
      <c r="D3011" s="8">
        <v>553.07000000000005</v>
      </c>
    </row>
    <row r="3012" spans="1:4" x14ac:dyDescent="0.2">
      <c r="A3012" s="6">
        <v>4446</v>
      </c>
      <c r="B3012" s="5" t="s">
        <v>3048</v>
      </c>
      <c r="C3012" s="7" t="s">
        <v>64</v>
      </c>
      <c r="D3012" s="8">
        <v>553.07000000000005</v>
      </c>
    </row>
    <row r="3013" spans="1:4" x14ac:dyDescent="0.2">
      <c r="A3013" s="6">
        <v>4447</v>
      </c>
      <c r="B3013" s="5" t="s">
        <v>3049</v>
      </c>
      <c r="C3013" s="7" t="s">
        <v>64</v>
      </c>
      <c r="D3013" s="8">
        <v>553.07000000000005</v>
      </c>
    </row>
    <row r="3014" spans="1:4" x14ac:dyDescent="0.2">
      <c r="A3014" s="6">
        <v>4448</v>
      </c>
      <c r="B3014" s="5" t="s">
        <v>3050</v>
      </c>
      <c r="C3014" s="7" t="s">
        <v>64</v>
      </c>
      <c r="D3014" s="8">
        <v>553.07000000000005</v>
      </c>
    </row>
    <row r="3015" spans="1:4" x14ac:dyDescent="0.2">
      <c r="A3015" s="6">
        <v>4449</v>
      </c>
      <c r="B3015" s="5" t="s">
        <v>3051</v>
      </c>
      <c r="C3015" s="7" t="s">
        <v>10</v>
      </c>
      <c r="D3015" s="8">
        <v>307.25</v>
      </c>
    </row>
    <row r="3016" spans="1:4" x14ac:dyDescent="0.2">
      <c r="A3016" s="6">
        <v>4450</v>
      </c>
      <c r="B3016" s="5" t="s">
        <v>3052</v>
      </c>
      <c r="C3016" s="7" t="s">
        <v>10</v>
      </c>
      <c r="D3016" s="8">
        <v>307.25</v>
      </c>
    </row>
    <row r="3017" spans="1:4" x14ac:dyDescent="0.2">
      <c r="A3017" s="6">
        <v>4451</v>
      </c>
      <c r="B3017" s="5" t="s">
        <v>3053</v>
      </c>
      <c r="C3017" s="7" t="s">
        <v>10</v>
      </c>
      <c r="D3017" s="8">
        <v>257.14</v>
      </c>
    </row>
    <row r="3018" spans="1:4" x14ac:dyDescent="0.2">
      <c r="A3018" s="6">
        <v>4452</v>
      </c>
      <c r="B3018" s="5" t="s">
        <v>3054</v>
      </c>
      <c r="C3018" s="7" t="s">
        <v>10</v>
      </c>
      <c r="D3018" s="8">
        <v>307.25</v>
      </c>
    </row>
    <row r="3019" spans="1:4" x14ac:dyDescent="0.2">
      <c r="A3019" s="6">
        <v>4453</v>
      </c>
      <c r="B3019" s="5" t="s">
        <v>3055</v>
      </c>
      <c r="C3019" s="7" t="s">
        <v>10</v>
      </c>
      <c r="D3019" s="8">
        <v>307.25</v>
      </c>
    </row>
    <row r="3020" spans="1:4" x14ac:dyDescent="0.2">
      <c r="A3020" s="6">
        <v>4454</v>
      </c>
      <c r="B3020" s="5" t="s">
        <v>3056</v>
      </c>
      <c r="C3020" s="7" t="s">
        <v>10</v>
      </c>
      <c r="D3020" s="8">
        <v>307.25</v>
      </c>
    </row>
    <row r="3021" spans="1:4" x14ac:dyDescent="0.2">
      <c r="A3021" s="6">
        <v>4455</v>
      </c>
      <c r="B3021" s="5" t="s">
        <v>3057</v>
      </c>
      <c r="C3021" s="7" t="s">
        <v>10</v>
      </c>
      <c r="D3021" s="8">
        <v>307.25</v>
      </c>
    </row>
    <row r="3022" spans="1:4" x14ac:dyDescent="0.2">
      <c r="A3022" s="6">
        <v>4456</v>
      </c>
      <c r="B3022" s="5" t="s">
        <v>3058</v>
      </c>
      <c r="C3022" s="7" t="s">
        <v>10</v>
      </c>
      <c r="D3022" s="8">
        <v>307.25</v>
      </c>
    </row>
    <row r="3023" spans="1:4" x14ac:dyDescent="0.2">
      <c r="A3023" s="6">
        <v>4457</v>
      </c>
      <c r="B3023" s="5" t="s">
        <v>3059</v>
      </c>
      <c r="C3023" s="7" t="s">
        <v>10</v>
      </c>
      <c r="D3023" s="8">
        <v>307.25</v>
      </c>
    </row>
    <row r="3024" spans="1:4" x14ac:dyDescent="0.2">
      <c r="A3024" s="6">
        <v>4458</v>
      </c>
      <c r="B3024" s="5" t="s">
        <v>3060</v>
      </c>
      <c r="C3024" s="7" t="s">
        <v>64</v>
      </c>
      <c r="D3024" s="8">
        <v>553.07000000000005</v>
      </c>
    </row>
    <row r="3025" spans="1:4" x14ac:dyDescent="0.2">
      <c r="A3025" s="6">
        <v>4459</v>
      </c>
      <c r="B3025" s="5" t="s">
        <v>3061</v>
      </c>
      <c r="C3025" s="7" t="s">
        <v>64</v>
      </c>
      <c r="D3025" s="8">
        <v>553.07000000000005</v>
      </c>
    </row>
    <row r="3026" spans="1:4" x14ac:dyDescent="0.2">
      <c r="A3026" s="6">
        <v>4460</v>
      </c>
      <c r="B3026" s="5" t="s">
        <v>3062</v>
      </c>
      <c r="C3026" s="7" t="s">
        <v>10</v>
      </c>
      <c r="D3026" s="8">
        <v>307.25</v>
      </c>
    </row>
    <row r="3027" spans="1:4" x14ac:dyDescent="0.2">
      <c r="A3027" s="6">
        <v>4461</v>
      </c>
      <c r="B3027" s="5" t="s">
        <v>3063</v>
      </c>
      <c r="C3027" s="7" t="s">
        <v>10</v>
      </c>
      <c r="D3027" s="8">
        <v>307.25</v>
      </c>
    </row>
    <row r="3028" spans="1:4" x14ac:dyDescent="0.2">
      <c r="A3028" s="6">
        <v>4462</v>
      </c>
      <c r="B3028" s="5" t="s">
        <v>3064</v>
      </c>
      <c r="C3028" s="7" t="s">
        <v>10</v>
      </c>
      <c r="D3028" s="8">
        <v>307.25</v>
      </c>
    </row>
    <row r="3029" spans="1:4" x14ac:dyDescent="0.2">
      <c r="A3029" s="6">
        <v>4463</v>
      </c>
      <c r="B3029" s="5" t="s">
        <v>3065</v>
      </c>
      <c r="C3029" s="7" t="s">
        <v>10</v>
      </c>
      <c r="D3029" s="8">
        <v>307.25</v>
      </c>
    </row>
    <row r="3030" spans="1:4" x14ac:dyDescent="0.2">
      <c r="A3030" s="6">
        <v>4464</v>
      </c>
      <c r="B3030" s="5" t="s">
        <v>3066</v>
      </c>
      <c r="C3030" s="7" t="s">
        <v>10</v>
      </c>
      <c r="D3030" s="8">
        <v>307.25</v>
      </c>
    </row>
    <row r="3031" spans="1:4" x14ac:dyDescent="0.2">
      <c r="A3031" s="6">
        <v>4465</v>
      </c>
      <c r="B3031" s="5" t="s">
        <v>3067</v>
      </c>
      <c r="C3031" s="7" t="s">
        <v>10</v>
      </c>
      <c r="D3031" s="8">
        <v>400</v>
      </c>
    </row>
    <row r="3032" spans="1:4" x14ac:dyDescent="0.2">
      <c r="A3032" s="6">
        <v>4466</v>
      </c>
      <c r="B3032" s="5" t="s">
        <v>3068</v>
      </c>
      <c r="C3032" s="7" t="s">
        <v>10</v>
      </c>
      <c r="D3032" s="8">
        <v>307.25</v>
      </c>
    </row>
    <row r="3033" spans="1:4" x14ac:dyDescent="0.2">
      <c r="A3033" s="6">
        <v>4467</v>
      </c>
      <c r="B3033" s="5" t="s">
        <v>3069</v>
      </c>
      <c r="C3033" s="7" t="s">
        <v>64</v>
      </c>
      <c r="D3033" s="8">
        <v>553.07000000000005</v>
      </c>
    </row>
    <row r="3034" spans="1:4" x14ac:dyDescent="0.2">
      <c r="A3034" s="6">
        <v>4468</v>
      </c>
      <c r="B3034" s="5" t="s">
        <v>3070</v>
      </c>
      <c r="C3034" s="7" t="s">
        <v>10</v>
      </c>
      <c r="D3034" s="8">
        <v>307.25</v>
      </c>
    </row>
    <row r="3035" spans="1:4" x14ac:dyDescent="0.2">
      <c r="A3035" s="6">
        <v>4469</v>
      </c>
      <c r="B3035" s="5" t="s">
        <v>3071</v>
      </c>
      <c r="C3035" s="7" t="s">
        <v>10</v>
      </c>
      <c r="D3035" s="8">
        <v>307.25</v>
      </c>
    </row>
    <row r="3036" spans="1:4" x14ac:dyDescent="0.2">
      <c r="A3036" s="6">
        <v>4470</v>
      </c>
      <c r="B3036" s="5" t="s">
        <v>3072</v>
      </c>
      <c r="C3036" s="7" t="s">
        <v>10</v>
      </c>
      <c r="D3036" s="8">
        <v>307.25</v>
      </c>
    </row>
    <row r="3037" spans="1:4" x14ac:dyDescent="0.2">
      <c r="A3037" s="6">
        <v>4471</v>
      </c>
      <c r="B3037" s="5" t="s">
        <v>3073</v>
      </c>
      <c r="C3037" s="7" t="s">
        <v>10</v>
      </c>
      <c r="D3037" s="8">
        <v>307.25</v>
      </c>
    </row>
    <row r="3038" spans="1:4" x14ac:dyDescent="0.2">
      <c r="A3038" s="6">
        <v>4472</v>
      </c>
      <c r="B3038" s="5" t="s">
        <v>3074</v>
      </c>
      <c r="C3038" s="7" t="s">
        <v>10</v>
      </c>
      <c r="D3038" s="8">
        <v>307.25</v>
      </c>
    </row>
    <row r="3039" spans="1:4" x14ac:dyDescent="0.2">
      <c r="A3039" s="6">
        <v>4473</v>
      </c>
      <c r="B3039" s="5" t="s">
        <v>3075</v>
      </c>
      <c r="C3039" s="7" t="s">
        <v>10</v>
      </c>
      <c r="D3039" s="8">
        <v>307.25</v>
      </c>
    </row>
    <row r="3040" spans="1:4" x14ac:dyDescent="0.2">
      <c r="A3040" s="6">
        <v>4474</v>
      </c>
      <c r="B3040" s="5" t="s">
        <v>3076</v>
      </c>
      <c r="C3040" s="7" t="s">
        <v>10</v>
      </c>
      <c r="D3040" s="8">
        <v>307.25</v>
      </c>
    </row>
    <row r="3041" spans="1:4" x14ac:dyDescent="0.2">
      <c r="A3041" s="6">
        <v>4475</v>
      </c>
      <c r="B3041" s="5" t="s">
        <v>3077</v>
      </c>
      <c r="C3041" s="7" t="s">
        <v>10</v>
      </c>
      <c r="D3041" s="8">
        <v>307.25</v>
      </c>
    </row>
    <row r="3042" spans="1:4" x14ac:dyDescent="0.2">
      <c r="A3042" s="6">
        <v>4476</v>
      </c>
      <c r="B3042" s="5" t="s">
        <v>3078</v>
      </c>
      <c r="C3042" s="7" t="s">
        <v>10</v>
      </c>
      <c r="D3042" s="8">
        <v>355</v>
      </c>
    </row>
    <row r="3043" spans="1:4" x14ac:dyDescent="0.2">
      <c r="A3043" s="6">
        <v>4477</v>
      </c>
      <c r="B3043" s="5" t="s">
        <v>3079</v>
      </c>
      <c r="C3043" s="7" t="s">
        <v>64</v>
      </c>
      <c r="D3043" s="8">
        <v>553.07000000000005</v>
      </c>
    </row>
    <row r="3044" spans="1:4" x14ac:dyDescent="0.2">
      <c r="A3044" s="6">
        <v>4478</v>
      </c>
      <c r="B3044" s="5" t="s">
        <v>3080</v>
      </c>
      <c r="C3044" s="7" t="s">
        <v>10</v>
      </c>
      <c r="D3044" s="8">
        <v>307.25</v>
      </c>
    </row>
    <row r="3045" spans="1:4" x14ac:dyDescent="0.2">
      <c r="A3045" s="6">
        <v>4479</v>
      </c>
      <c r="B3045" s="5" t="s">
        <v>3081</v>
      </c>
      <c r="C3045" s="7" t="s">
        <v>10</v>
      </c>
      <c r="D3045" s="8">
        <v>307.25</v>
      </c>
    </row>
    <row r="3046" spans="1:4" x14ac:dyDescent="0.2">
      <c r="A3046" s="6">
        <v>4480</v>
      </c>
      <c r="B3046" s="5" t="s">
        <v>3082</v>
      </c>
      <c r="C3046" s="7" t="s">
        <v>64</v>
      </c>
      <c r="D3046" s="8">
        <v>553.07000000000005</v>
      </c>
    </row>
    <row r="3047" spans="1:4" x14ac:dyDescent="0.2">
      <c r="A3047" s="6">
        <v>4481</v>
      </c>
      <c r="B3047" s="5" t="s">
        <v>3083</v>
      </c>
      <c r="C3047" s="7" t="s">
        <v>10</v>
      </c>
      <c r="D3047" s="8">
        <v>307.25</v>
      </c>
    </row>
    <row r="3048" spans="1:4" x14ac:dyDescent="0.2">
      <c r="A3048" s="6">
        <v>4482</v>
      </c>
      <c r="B3048" s="5" t="s">
        <v>3084</v>
      </c>
      <c r="C3048" s="7" t="s">
        <v>10</v>
      </c>
      <c r="D3048" s="8">
        <v>307.25</v>
      </c>
    </row>
    <row r="3049" spans="1:4" x14ac:dyDescent="0.2">
      <c r="A3049" s="6">
        <v>4483</v>
      </c>
      <c r="B3049" s="5" t="s">
        <v>3085</v>
      </c>
      <c r="C3049" s="7" t="s">
        <v>64</v>
      </c>
      <c r="D3049" s="8">
        <v>553.07000000000005</v>
      </c>
    </row>
    <row r="3050" spans="1:4" x14ac:dyDescent="0.2">
      <c r="A3050" s="6">
        <v>4484</v>
      </c>
      <c r="B3050" s="5" t="s">
        <v>3086</v>
      </c>
      <c r="C3050" s="7" t="s">
        <v>10</v>
      </c>
      <c r="D3050" s="8">
        <v>307.25</v>
      </c>
    </row>
    <row r="3051" spans="1:4" x14ac:dyDescent="0.2">
      <c r="A3051" s="6">
        <v>4485</v>
      </c>
      <c r="B3051" s="5" t="s">
        <v>3087</v>
      </c>
      <c r="C3051" s="7" t="s">
        <v>64</v>
      </c>
      <c r="D3051" s="8">
        <v>553.07000000000005</v>
      </c>
    </row>
    <row r="3052" spans="1:4" x14ac:dyDescent="0.2">
      <c r="A3052" s="6">
        <v>4486</v>
      </c>
      <c r="B3052" s="5" t="s">
        <v>3088</v>
      </c>
      <c r="C3052" s="7" t="s">
        <v>10</v>
      </c>
      <c r="D3052" s="8">
        <v>307.25</v>
      </c>
    </row>
    <row r="3053" spans="1:4" x14ac:dyDescent="0.2">
      <c r="A3053" s="6">
        <v>4487</v>
      </c>
      <c r="B3053" s="5" t="s">
        <v>3089</v>
      </c>
      <c r="C3053" s="7" t="s">
        <v>64</v>
      </c>
      <c r="D3053" s="8">
        <v>553.07000000000005</v>
      </c>
    </row>
    <row r="3054" spans="1:4" x14ac:dyDescent="0.2">
      <c r="A3054" s="6">
        <v>4488</v>
      </c>
      <c r="B3054" s="5" t="s">
        <v>3090</v>
      </c>
      <c r="C3054" s="7" t="s">
        <v>10</v>
      </c>
      <c r="D3054" s="8">
        <v>307.25</v>
      </c>
    </row>
    <row r="3055" spans="1:4" x14ac:dyDescent="0.2">
      <c r="A3055" s="6">
        <v>4489</v>
      </c>
      <c r="B3055" s="5" t="s">
        <v>3091</v>
      </c>
      <c r="C3055" s="7" t="s">
        <v>10</v>
      </c>
      <c r="D3055" s="8">
        <v>307.25</v>
      </c>
    </row>
    <row r="3056" spans="1:4" x14ac:dyDescent="0.2">
      <c r="A3056" s="6">
        <v>4490</v>
      </c>
      <c r="B3056" s="5" t="s">
        <v>3092</v>
      </c>
      <c r="C3056" s="7" t="s">
        <v>10</v>
      </c>
      <c r="D3056" s="8">
        <v>307.25</v>
      </c>
    </row>
    <row r="3057" spans="1:4" x14ac:dyDescent="0.2">
      <c r="A3057" s="6">
        <v>4491</v>
      </c>
      <c r="B3057" s="5" t="s">
        <v>3093</v>
      </c>
      <c r="C3057" s="7" t="s">
        <v>10</v>
      </c>
      <c r="D3057" s="8">
        <v>307.25</v>
      </c>
    </row>
    <row r="3058" spans="1:4" x14ac:dyDescent="0.2">
      <c r="A3058" s="6">
        <v>4492</v>
      </c>
      <c r="B3058" s="5" t="s">
        <v>3094</v>
      </c>
      <c r="C3058" s="7" t="s">
        <v>64</v>
      </c>
      <c r="D3058" s="8">
        <v>553.07000000000005</v>
      </c>
    </row>
    <row r="3059" spans="1:4" x14ac:dyDescent="0.2">
      <c r="A3059" s="6">
        <v>4493</v>
      </c>
      <c r="B3059" s="5" t="s">
        <v>3095</v>
      </c>
      <c r="C3059" s="7" t="s">
        <v>64</v>
      </c>
      <c r="D3059" s="8">
        <v>553.07000000000005</v>
      </c>
    </row>
    <row r="3060" spans="1:4" x14ac:dyDescent="0.2">
      <c r="A3060" s="6">
        <v>4494</v>
      </c>
      <c r="B3060" s="5" t="s">
        <v>3096</v>
      </c>
      <c r="C3060" s="7" t="s">
        <v>64</v>
      </c>
      <c r="D3060" s="8">
        <v>553.07000000000005</v>
      </c>
    </row>
    <row r="3061" spans="1:4" x14ac:dyDescent="0.2">
      <c r="A3061" s="6">
        <v>4495</v>
      </c>
      <c r="B3061" s="5" t="s">
        <v>3097</v>
      </c>
      <c r="C3061" s="7" t="s">
        <v>10</v>
      </c>
      <c r="D3061" s="8">
        <v>307.25</v>
      </c>
    </row>
    <row r="3062" spans="1:4" x14ac:dyDescent="0.2">
      <c r="A3062" s="6">
        <v>4496</v>
      </c>
      <c r="B3062" s="5" t="s">
        <v>3098</v>
      </c>
      <c r="C3062" s="7" t="s">
        <v>10</v>
      </c>
      <c r="D3062" s="8">
        <v>307.25</v>
      </c>
    </row>
    <row r="3063" spans="1:4" x14ac:dyDescent="0.2">
      <c r="A3063" s="6">
        <v>4497</v>
      </c>
      <c r="B3063" s="5" t="s">
        <v>3099</v>
      </c>
      <c r="C3063" s="7" t="s">
        <v>10</v>
      </c>
      <c r="D3063" s="8">
        <v>307.25</v>
      </c>
    </row>
    <row r="3064" spans="1:4" x14ac:dyDescent="0.2">
      <c r="A3064" s="6">
        <v>4498</v>
      </c>
      <c r="B3064" s="5" t="s">
        <v>3100</v>
      </c>
      <c r="C3064" s="7" t="s">
        <v>10</v>
      </c>
      <c r="D3064" s="8">
        <v>307.25</v>
      </c>
    </row>
    <row r="3065" spans="1:4" x14ac:dyDescent="0.2">
      <c r="A3065" s="6">
        <v>4499</v>
      </c>
      <c r="B3065" s="5" t="s">
        <v>3101</v>
      </c>
      <c r="C3065" s="7" t="s">
        <v>10</v>
      </c>
      <c r="D3065" s="8">
        <v>307.25</v>
      </c>
    </row>
    <row r="3066" spans="1:4" x14ac:dyDescent="0.2">
      <c r="A3066" s="6">
        <v>4500</v>
      </c>
      <c r="B3066" s="5" t="s">
        <v>3102</v>
      </c>
      <c r="C3066" s="7" t="s">
        <v>10</v>
      </c>
      <c r="D3066" s="8">
        <v>307.25</v>
      </c>
    </row>
    <row r="3067" spans="1:4" x14ac:dyDescent="0.2">
      <c r="A3067" s="6">
        <v>4501</v>
      </c>
      <c r="B3067" s="5" t="s">
        <v>3103</v>
      </c>
      <c r="C3067" s="7" t="s">
        <v>68</v>
      </c>
      <c r="D3067" s="8">
        <v>327.78</v>
      </c>
    </row>
    <row r="3068" spans="1:4" x14ac:dyDescent="0.2">
      <c r="A3068" s="6">
        <v>4502</v>
      </c>
      <c r="B3068" s="5" t="s">
        <v>3104</v>
      </c>
      <c r="C3068" s="7" t="s">
        <v>10</v>
      </c>
      <c r="D3068" s="8">
        <v>307.25</v>
      </c>
    </row>
    <row r="3069" spans="1:4" x14ac:dyDescent="0.2">
      <c r="A3069" s="6">
        <v>4503</v>
      </c>
      <c r="B3069" s="5" t="s">
        <v>3105</v>
      </c>
      <c r="C3069" s="7" t="s">
        <v>10</v>
      </c>
      <c r="D3069" s="8">
        <v>307.25</v>
      </c>
    </row>
    <row r="3070" spans="1:4" x14ac:dyDescent="0.2">
      <c r="A3070" s="6">
        <v>4504</v>
      </c>
      <c r="B3070" s="5" t="s">
        <v>3106</v>
      </c>
      <c r="C3070" s="7" t="s">
        <v>10</v>
      </c>
      <c r="D3070" s="8">
        <v>307.25</v>
      </c>
    </row>
    <row r="3071" spans="1:4" x14ac:dyDescent="0.2">
      <c r="A3071" s="6">
        <v>4505</v>
      </c>
      <c r="B3071" s="5" t="s">
        <v>3107</v>
      </c>
      <c r="C3071" s="7" t="s">
        <v>10</v>
      </c>
      <c r="D3071" s="8">
        <v>307.25</v>
      </c>
    </row>
    <row r="3072" spans="1:4" x14ac:dyDescent="0.2">
      <c r="A3072" s="6">
        <v>4506</v>
      </c>
      <c r="B3072" s="5" t="s">
        <v>3108</v>
      </c>
      <c r="C3072" s="7" t="s">
        <v>64</v>
      </c>
      <c r="D3072" s="8">
        <v>638.79999999999995</v>
      </c>
    </row>
    <row r="3073" spans="1:4" x14ac:dyDescent="0.2">
      <c r="A3073" s="6">
        <v>4507</v>
      </c>
      <c r="B3073" s="5" t="s">
        <v>3109</v>
      </c>
      <c r="C3073" s="7" t="s">
        <v>10</v>
      </c>
      <c r="D3073" s="8">
        <v>307.25</v>
      </c>
    </row>
    <row r="3074" spans="1:4" x14ac:dyDescent="0.2">
      <c r="A3074" s="6">
        <v>4508</v>
      </c>
      <c r="B3074" s="5" t="s">
        <v>3110</v>
      </c>
      <c r="C3074" s="7" t="s">
        <v>10</v>
      </c>
      <c r="D3074" s="8">
        <v>307.25</v>
      </c>
    </row>
    <row r="3075" spans="1:4" x14ac:dyDescent="0.2">
      <c r="A3075" s="6">
        <v>4509</v>
      </c>
      <c r="B3075" s="5" t="s">
        <v>3111</v>
      </c>
      <c r="C3075" s="7" t="s">
        <v>10</v>
      </c>
      <c r="D3075" s="8">
        <v>307.25</v>
      </c>
    </row>
    <row r="3076" spans="1:4" x14ac:dyDescent="0.2">
      <c r="A3076" s="6">
        <v>4510</v>
      </c>
      <c r="B3076" s="5" t="s">
        <v>3112</v>
      </c>
      <c r="C3076" s="7" t="s">
        <v>64</v>
      </c>
      <c r="D3076" s="8">
        <v>553.07000000000005</v>
      </c>
    </row>
    <row r="3077" spans="1:4" x14ac:dyDescent="0.2">
      <c r="A3077" s="6">
        <v>4511</v>
      </c>
      <c r="B3077" s="5" t="s">
        <v>3113</v>
      </c>
      <c r="C3077" s="7" t="s">
        <v>10</v>
      </c>
      <c r="D3077" s="8">
        <v>307.25</v>
      </c>
    </row>
    <row r="3078" spans="1:4" x14ac:dyDescent="0.2">
      <c r="A3078" s="6">
        <v>4512</v>
      </c>
      <c r="B3078" s="5" t="s">
        <v>3114</v>
      </c>
      <c r="C3078" s="7" t="s">
        <v>10</v>
      </c>
      <c r="D3078" s="8">
        <v>307.25</v>
      </c>
    </row>
    <row r="3079" spans="1:4" x14ac:dyDescent="0.2">
      <c r="A3079" s="6">
        <v>4513</v>
      </c>
      <c r="B3079" s="5" t="s">
        <v>3115</v>
      </c>
      <c r="C3079" s="7" t="s">
        <v>10</v>
      </c>
      <c r="D3079" s="8">
        <v>355</v>
      </c>
    </row>
    <row r="3080" spans="1:4" x14ac:dyDescent="0.2">
      <c r="A3080" s="6">
        <v>4514</v>
      </c>
      <c r="B3080" s="5" t="s">
        <v>3116</v>
      </c>
      <c r="C3080" s="7" t="s">
        <v>10</v>
      </c>
      <c r="D3080" s="8">
        <v>307.25</v>
      </c>
    </row>
    <row r="3081" spans="1:4" x14ac:dyDescent="0.2">
      <c r="A3081" s="6">
        <v>4515</v>
      </c>
      <c r="B3081" s="5" t="s">
        <v>3117</v>
      </c>
      <c r="C3081" s="7" t="s">
        <v>10</v>
      </c>
      <c r="D3081" s="8">
        <v>307.25</v>
      </c>
    </row>
    <row r="3082" spans="1:4" x14ac:dyDescent="0.2">
      <c r="A3082" s="6">
        <v>4516</v>
      </c>
      <c r="B3082" s="5" t="s">
        <v>3118</v>
      </c>
      <c r="C3082" s="7" t="s">
        <v>10</v>
      </c>
      <c r="D3082" s="8">
        <v>354.88</v>
      </c>
    </row>
    <row r="3083" spans="1:4" x14ac:dyDescent="0.2">
      <c r="A3083" s="6">
        <v>4517</v>
      </c>
      <c r="B3083" s="5" t="s">
        <v>3119</v>
      </c>
      <c r="C3083" s="7" t="s">
        <v>10</v>
      </c>
      <c r="D3083" s="8">
        <v>307.25</v>
      </c>
    </row>
    <row r="3084" spans="1:4" x14ac:dyDescent="0.2">
      <c r="A3084" s="6">
        <v>4518</v>
      </c>
      <c r="B3084" s="5" t="s">
        <v>3120</v>
      </c>
      <c r="C3084" s="7" t="s">
        <v>10</v>
      </c>
      <c r="D3084" s="8">
        <v>307.25</v>
      </c>
    </row>
    <row r="3085" spans="1:4" x14ac:dyDescent="0.2">
      <c r="A3085" s="6">
        <v>4519</v>
      </c>
      <c r="B3085" s="5" t="s">
        <v>3121</v>
      </c>
      <c r="C3085" s="7" t="s">
        <v>10</v>
      </c>
      <c r="D3085" s="8">
        <v>307.25</v>
      </c>
    </row>
    <row r="3086" spans="1:4" x14ac:dyDescent="0.2">
      <c r="A3086" s="6">
        <v>4520</v>
      </c>
      <c r="B3086" s="5" t="s">
        <v>3122</v>
      </c>
      <c r="C3086" s="7" t="s">
        <v>10</v>
      </c>
      <c r="D3086" s="8">
        <v>307.25</v>
      </c>
    </row>
    <row r="3087" spans="1:4" x14ac:dyDescent="0.2">
      <c r="A3087" s="6">
        <v>4521</v>
      </c>
      <c r="B3087" s="5" t="s">
        <v>3123</v>
      </c>
      <c r="C3087" s="7" t="s">
        <v>10</v>
      </c>
      <c r="D3087" s="8">
        <v>307.25</v>
      </c>
    </row>
    <row r="3088" spans="1:4" x14ac:dyDescent="0.2">
      <c r="A3088" s="6">
        <v>4522</v>
      </c>
      <c r="B3088" s="5" t="s">
        <v>3124</v>
      </c>
      <c r="C3088" s="7" t="s">
        <v>10</v>
      </c>
      <c r="D3088" s="8">
        <v>307.25</v>
      </c>
    </row>
    <row r="3089" spans="1:4" x14ac:dyDescent="0.2">
      <c r="A3089" s="6">
        <v>4523</v>
      </c>
      <c r="B3089" s="5" t="s">
        <v>3125</v>
      </c>
      <c r="C3089" s="7" t="s">
        <v>10</v>
      </c>
      <c r="D3089" s="8">
        <v>307.25</v>
      </c>
    </row>
    <row r="3090" spans="1:4" x14ac:dyDescent="0.2">
      <c r="A3090" s="6">
        <v>4524</v>
      </c>
      <c r="B3090" s="5" t="s">
        <v>3126</v>
      </c>
      <c r="C3090" s="7" t="s">
        <v>64</v>
      </c>
      <c r="D3090" s="8">
        <v>864.45</v>
      </c>
    </row>
    <row r="3091" spans="1:4" x14ac:dyDescent="0.2">
      <c r="A3091" s="6">
        <v>4525</v>
      </c>
      <c r="B3091" s="5" t="s">
        <v>3127</v>
      </c>
      <c r="C3091" s="7" t="s">
        <v>10</v>
      </c>
      <c r="D3091" s="8">
        <v>307.25</v>
      </c>
    </row>
    <row r="3092" spans="1:4" x14ac:dyDescent="0.2">
      <c r="A3092" s="6">
        <v>4526</v>
      </c>
      <c r="B3092" s="5" t="s">
        <v>3128</v>
      </c>
      <c r="C3092" s="7" t="s">
        <v>10</v>
      </c>
      <c r="D3092" s="8">
        <v>307.25</v>
      </c>
    </row>
    <row r="3093" spans="1:4" x14ac:dyDescent="0.2">
      <c r="A3093" s="6">
        <v>4527</v>
      </c>
      <c r="B3093" s="5" t="s">
        <v>3129</v>
      </c>
      <c r="C3093" s="7" t="s">
        <v>10</v>
      </c>
      <c r="D3093" s="8">
        <v>307.25</v>
      </c>
    </row>
    <row r="3094" spans="1:4" x14ac:dyDescent="0.2">
      <c r="A3094" s="6">
        <v>4528</v>
      </c>
      <c r="B3094" s="5" t="s">
        <v>3130</v>
      </c>
      <c r="C3094" s="7" t="s">
        <v>10</v>
      </c>
      <c r="D3094" s="8">
        <v>307.25</v>
      </c>
    </row>
    <row r="3095" spans="1:4" x14ac:dyDescent="0.2">
      <c r="A3095" s="6">
        <v>4529</v>
      </c>
      <c r="B3095" s="5" t="s">
        <v>3131</v>
      </c>
      <c r="C3095" s="7" t="s">
        <v>297</v>
      </c>
      <c r="D3095" s="8">
        <v>553.07000000000005</v>
      </c>
    </row>
    <row r="3096" spans="1:4" x14ac:dyDescent="0.2">
      <c r="A3096" s="6">
        <v>4530</v>
      </c>
      <c r="B3096" s="5" t="s">
        <v>3132</v>
      </c>
      <c r="C3096" s="7" t="s">
        <v>10</v>
      </c>
      <c r="D3096" s="8">
        <v>355</v>
      </c>
    </row>
    <row r="3097" spans="1:4" x14ac:dyDescent="0.2">
      <c r="A3097" s="6">
        <v>4531</v>
      </c>
      <c r="B3097" s="5" t="s">
        <v>3133</v>
      </c>
      <c r="C3097" s="7" t="s">
        <v>64</v>
      </c>
      <c r="D3097" s="8">
        <v>553.07000000000005</v>
      </c>
    </row>
    <row r="3098" spans="1:4" x14ac:dyDescent="0.2">
      <c r="A3098" s="6">
        <v>4532</v>
      </c>
      <c r="B3098" s="5" t="s">
        <v>3134</v>
      </c>
      <c r="C3098" s="7" t="s">
        <v>10</v>
      </c>
      <c r="D3098" s="8">
        <v>307.25</v>
      </c>
    </row>
    <row r="3099" spans="1:4" x14ac:dyDescent="0.2">
      <c r="A3099" s="6">
        <v>4533</v>
      </c>
      <c r="B3099" s="5" t="s">
        <v>3135</v>
      </c>
      <c r="C3099" s="7" t="s">
        <v>10</v>
      </c>
      <c r="D3099" s="8">
        <v>307.25</v>
      </c>
    </row>
    <row r="3100" spans="1:4" x14ac:dyDescent="0.2">
      <c r="A3100" s="6">
        <v>4534</v>
      </c>
      <c r="B3100" s="5" t="s">
        <v>3136</v>
      </c>
      <c r="C3100" s="7" t="s">
        <v>64</v>
      </c>
      <c r="D3100" s="8">
        <v>553.07000000000005</v>
      </c>
    </row>
    <row r="3101" spans="1:4" x14ac:dyDescent="0.2">
      <c r="A3101" s="6">
        <v>4535</v>
      </c>
      <c r="B3101" s="5" t="s">
        <v>3137</v>
      </c>
      <c r="C3101" s="7" t="s">
        <v>10</v>
      </c>
      <c r="D3101" s="8">
        <v>307.25</v>
      </c>
    </row>
    <row r="3102" spans="1:4" x14ac:dyDescent="0.2">
      <c r="A3102" s="6">
        <v>4536</v>
      </c>
      <c r="B3102" s="5" t="s">
        <v>3138</v>
      </c>
      <c r="C3102" s="7" t="s">
        <v>64</v>
      </c>
      <c r="D3102" s="8">
        <v>553.07000000000005</v>
      </c>
    </row>
    <row r="3103" spans="1:4" x14ac:dyDescent="0.2">
      <c r="A3103" s="6">
        <v>4537</v>
      </c>
      <c r="B3103" s="5" t="s">
        <v>3139</v>
      </c>
      <c r="C3103" s="7" t="s">
        <v>64</v>
      </c>
      <c r="D3103" s="8">
        <v>553.07000000000005</v>
      </c>
    </row>
    <row r="3104" spans="1:4" x14ac:dyDescent="0.2">
      <c r="A3104" s="6">
        <v>4538</v>
      </c>
      <c r="B3104" s="5" t="s">
        <v>3140</v>
      </c>
      <c r="C3104" s="7" t="s">
        <v>64</v>
      </c>
      <c r="D3104" s="8">
        <v>553.07000000000005</v>
      </c>
    </row>
    <row r="3105" spans="1:4" x14ac:dyDescent="0.2">
      <c r="A3105" s="6">
        <v>4539</v>
      </c>
      <c r="B3105" s="5" t="s">
        <v>3141</v>
      </c>
      <c r="C3105" s="7" t="s">
        <v>64</v>
      </c>
      <c r="D3105" s="8">
        <v>553.07000000000005</v>
      </c>
    </row>
    <row r="3106" spans="1:4" x14ac:dyDescent="0.2">
      <c r="A3106" s="6">
        <v>4540</v>
      </c>
      <c r="B3106" s="5" t="s">
        <v>3142</v>
      </c>
      <c r="C3106" s="7" t="s">
        <v>64</v>
      </c>
      <c r="D3106" s="8">
        <v>553.07000000000005</v>
      </c>
    </row>
    <row r="3107" spans="1:4" x14ac:dyDescent="0.2">
      <c r="A3107" s="6">
        <v>4541</v>
      </c>
      <c r="B3107" s="5" t="s">
        <v>3143</v>
      </c>
      <c r="C3107" s="7" t="s">
        <v>10</v>
      </c>
      <c r="D3107" s="8">
        <v>307.25</v>
      </c>
    </row>
    <row r="3108" spans="1:4" x14ac:dyDescent="0.2">
      <c r="A3108" s="6">
        <v>4542</v>
      </c>
      <c r="B3108" s="5" t="s">
        <v>3144</v>
      </c>
      <c r="C3108" s="7" t="s">
        <v>10</v>
      </c>
      <c r="D3108" s="8">
        <v>307.25</v>
      </c>
    </row>
    <row r="3109" spans="1:4" x14ac:dyDescent="0.2">
      <c r="A3109" s="6">
        <v>4543</v>
      </c>
      <c r="B3109" s="5" t="s">
        <v>3145</v>
      </c>
      <c r="C3109" s="7" t="s">
        <v>64</v>
      </c>
      <c r="D3109" s="8">
        <v>553.07000000000005</v>
      </c>
    </row>
    <row r="3110" spans="1:4" x14ac:dyDescent="0.2">
      <c r="A3110" s="6">
        <v>4544</v>
      </c>
      <c r="B3110" s="5" t="s">
        <v>3146</v>
      </c>
      <c r="C3110" s="7" t="s">
        <v>10</v>
      </c>
      <c r="D3110" s="8">
        <v>307.25</v>
      </c>
    </row>
    <row r="3111" spans="1:4" x14ac:dyDescent="0.2">
      <c r="A3111" s="6">
        <v>4545</v>
      </c>
      <c r="B3111" s="5" t="s">
        <v>3147</v>
      </c>
      <c r="C3111" s="7" t="s">
        <v>10</v>
      </c>
      <c r="D3111" s="8">
        <v>307.25</v>
      </c>
    </row>
    <row r="3112" spans="1:4" x14ac:dyDescent="0.2">
      <c r="A3112" s="6">
        <v>4546</v>
      </c>
      <c r="B3112" s="5" t="s">
        <v>3148</v>
      </c>
      <c r="C3112" s="7" t="s">
        <v>10</v>
      </c>
      <c r="D3112" s="8">
        <v>307.25</v>
      </c>
    </row>
    <row r="3113" spans="1:4" x14ac:dyDescent="0.2">
      <c r="A3113" s="6">
        <v>4547</v>
      </c>
      <c r="B3113" s="5" t="s">
        <v>3149</v>
      </c>
      <c r="C3113" s="7" t="s">
        <v>10</v>
      </c>
      <c r="D3113" s="8">
        <v>307.25</v>
      </c>
    </row>
    <row r="3114" spans="1:4" x14ac:dyDescent="0.2">
      <c r="A3114" s="6">
        <v>4548</v>
      </c>
      <c r="B3114" s="5" t="s">
        <v>3150</v>
      </c>
      <c r="C3114" s="7" t="s">
        <v>10</v>
      </c>
      <c r="D3114" s="8">
        <v>307.25</v>
      </c>
    </row>
    <row r="3115" spans="1:4" x14ac:dyDescent="0.2">
      <c r="A3115" s="6">
        <v>4549</v>
      </c>
      <c r="B3115" s="5" t="s">
        <v>3151</v>
      </c>
      <c r="C3115" s="7" t="s">
        <v>10</v>
      </c>
      <c r="D3115" s="8">
        <v>307.25</v>
      </c>
    </row>
    <row r="3116" spans="1:4" x14ac:dyDescent="0.2">
      <c r="A3116" s="6">
        <v>4550</v>
      </c>
      <c r="B3116" s="5" t="s">
        <v>3152</v>
      </c>
      <c r="C3116" s="7" t="s">
        <v>52</v>
      </c>
      <c r="D3116" s="8">
        <v>428.57142857142856</v>
      </c>
    </row>
    <row r="3117" spans="1:4" x14ac:dyDescent="0.2">
      <c r="A3117" s="6">
        <v>4551</v>
      </c>
      <c r="B3117" s="5" t="s">
        <v>3153</v>
      </c>
      <c r="C3117" s="7" t="s">
        <v>265</v>
      </c>
      <c r="D3117" s="8">
        <v>205.36</v>
      </c>
    </row>
    <row r="3118" spans="1:4" x14ac:dyDescent="0.2">
      <c r="A3118" s="6">
        <v>4552</v>
      </c>
      <c r="B3118" s="5" t="s">
        <v>3154</v>
      </c>
      <c r="C3118" s="7" t="s">
        <v>10</v>
      </c>
      <c r="D3118" s="8">
        <v>307.25</v>
      </c>
    </row>
    <row r="3119" spans="1:4" x14ac:dyDescent="0.2">
      <c r="A3119" s="6">
        <v>4553</v>
      </c>
      <c r="B3119" s="5" t="s">
        <v>3155</v>
      </c>
      <c r="C3119" s="7" t="s">
        <v>10</v>
      </c>
      <c r="D3119" s="8">
        <v>307.25</v>
      </c>
    </row>
    <row r="3120" spans="1:4" x14ac:dyDescent="0.2">
      <c r="A3120" s="6">
        <v>4554</v>
      </c>
      <c r="B3120" s="5" t="s">
        <v>3156</v>
      </c>
      <c r="C3120" s="7" t="s">
        <v>99</v>
      </c>
      <c r="D3120" s="8">
        <v>260.45999999999998</v>
      </c>
    </row>
    <row r="3121" spans="1:4" x14ac:dyDescent="0.2">
      <c r="A3121" s="6">
        <v>4555</v>
      </c>
      <c r="B3121" s="5" t="s">
        <v>3157</v>
      </c>
      <c r="C3121" s="7" t="s">
        <v>10</v>
      </c>
      <c r="D3121" s="8">
        <v>307.25</v>
      </c>
    </row>
    <row r="3122" spans="1:4" x14ac:dyDescent="0.2">
      <c r="A3122" s="6">
        <v>4556</v>
      </c>
      <c r="B3122" s="5" t="s">
        <v>3158</v>
      </c>
      <c r="C3122" s="7" t="s">
        <v>10</v>
      </c>
      <c r="D3122" s="8">
        <v>355</v>
      </c>
    </row>
    <row r="3123" spans="1:4" x14ac:dyDescent="0.2">
      <c r="A3123" s="6">
        <v>4557</v>
      </c>
      <c r="B3123" s="5" t="s">
        <v>3159</v>
      </c>
      <c r="C3123" s="7" t="s">
        <v>10</v>
      </c>
      <c r="D3123" s="8">
        <v>307.25</v>
      </c>
    </row>
    <row r="3124" spans="1:4" x14ac:dyDescent="0.2">
      <c r="A3124" s="6">
        <v>4558</v>
      </c>
      <c r="B3124" s="5" t="s">
        <v>3160</v>
      </c>
      <c r="C3124" s="7" t="s">
        <v>10</v>
      </c>
      <c r="D3124" s="8">
        <v>307.25</v>
      </c>
    </row>
    <row r="3125" spans="1:4" x14ac:dyDescent="0.2">
      <c r="A3125" s="6">
        <v>4559</v>
      </c>
      <c r="B3125" s="5" t="s">
        <v>3161</v>
      </c>
      <c r="C3125" s="7" t="s">
        <v>10</v>
      </c>
      <c r="D3125" s="8">
        <v>307.25</v>
      </c>
    </row>
    <row r="3126" spans="1:4" x14ac:dyDescent="0.2">
      <c r="A3126" s="6">
        <v>4560</v>
      </c>
      <c r="B3126" s="5" t="s">
        <v>3162</v>
      </c>
      <c r="C3126" s="7" t="s">
        <v>10</v>
      </c>
      <c r="D3126" s="8">
        <v>307.25</v>
      </c>
    </row>
    <row r="3127" spans="1:4" x14ac:dyDescent="0.2">
      <c r="A3127" s="6">
        <v>4561</v>
      </c>
      <c r="B3127" s="5" t="s">
        <v>3163</v>
      </c>
      <c r="C3127" s="7" t="s">
        <v>10</v>
      </c>
      <c r="D3127" s="8">
        <v>307.25</v>
      </c>
    </row>
    <row r="3128" spans="1:4" x14ac:dyDescent="0.2">
      <c r="A3128" s="6">
        <v>4562</v>
      </c>
      <c r="B3128" s="5" t="s">
        <v>3164</v>
      </c>
      <c r="C3128" s="7" t="s">
        <v>10</v>
      </c>
      <c r="D3128" s="8">
        <v>307.25</v>
      </c>
    </row>
    <row r="3129" spans="1:4" x14ac:dyDescent="0.2">
      <c r="A3129" s="6">
        <v>4563</v>
      </c>
      <c r="B3129" s="5" t="s">
        <v>3165</v>
      </c>
      <c r="C3129" s="7" t="s">
        <v>10</v>
      </c>
      <c r="D3129" s="8">
        <v>307.25</v>
      </c>
    </row>
    <row r="3130" spans="1:4" x14ac:dyDescent="0.2">
      <c r="A3130" s="6">
        <v>4564</v>
      </c>
      <c r="B3130" s="5" t="s">
        <v>3166</v>
      </c>
      <c r="C3130" s="7" t="s">
        <v>10</v>
      </c>
      <c r="D3130" s="8">
        <v>307.25</v>
      </c>
    </row>
    <row r="3131" spans="1:4" x14ac:dyDescent="0.2">
      <c r="A3131" s="6">
        <v>4565</v>
      </c>
      <c r="B3131" s="5" t="s">
        <v>3167</v>
      </c>
      <c r="C3131" s="7" t="s">
        <v>10</v>
      </c>
      <c r="D3131" s="8">
        <v>307.25</v>
      </c>
    </row>
    <row r="3132" spans="1:4" x14ac:dyDescent="0.2">
      <c r="A3132" s="6">
        <v>4566</v>
      </c>
      <c r="B3132" s="5" t="s">
        <v>3168</v>
      </c>
      <c r="C3132" s="7" t="s">
        <v>10</v>
      </c>
      <c r="D3132" s="8">
        <v>307.25</v>
      </c>
    </row>
    <row r="3133" spans="1:4" x14ac:dyDescent="0.2">
      <c r="A3133" s="6">
        <v>4567</v>
      </c>
      <c r="B3133" s="5" t="s">
        <v>3169</v>
      </c>
      <c r="C3133" s="7" t="s">
        <v>10</v>
      </c>
      <c r="D3133" s="8">
        <v>307.25</v>
      </c>
    </row>
    <row r="3134" spans="1:4" x14ac:dyDescent="0.2">
      <c r="A3134" s="6">
        <v>4568</v>
      </c>
      <c r="B3134" s="5" t="s">
        <v>3170</v>
      </c>
      <c r="C3134" s="7" t="s">
        <v>10</v>
      </c>
      <c r="D3134" s="8">
        <v>307.25</v>
      </c>
    </row>
    <row r="3135" spans="1:4" x14ac:dyDescent="0.2">
      <c r="A3135" s="6">
        <v>4569</v>
      </c>
      <c r="B3135" s="5" t="s">
        <v>3171</v>
      </c>
      <c r="C3135" s="7" t="s">
        <v>10</v>
      </c>
      <c r="D3135" s="8">
        <v>307.25</v>
      </c>
    </row>
    <row r="3136" spans="1:4" x14ac:dyDescent="0.2">
      <c r="A3136" s="6">
        <v>4570</v>
      </c>
      <c r="B3136" s="5" t="s">
        <v>3172</v>
      </c>
      <c r="C3136" s="7" t="s">
        <v>10</v>
      </c>
      <c r="D3136" s="8">
        <v>307.25</v>
      </c>
    </row>
    <row r="3137" spans="1:4" x14ac:dyDescent="0.2">
      <c r="A3137" s="6">
        <v>4571</v>
      </c>
      <c r="B3137" s="5" t="s">
        <v>3173</v>
      </c>
      <c r="C3137" s="7" t="s">
        <v>10</v>
      </c>
      <c r="D3137" s="8">
        <v>307.25</v>
      </c>
    </row>
    <row r="3138" spans="1:4" x14ac:dyDescent="0.2">
      <c r="A3138" s="6">
        <v>4572</v>
      </c>
      <c r="B3138" s="5" t="s">
        <v>3174</v>
      </c>
      <c r="C3138" s="7" t="s">
        <v>10</v>
      </c>
      <c r="D3138" s="8">
        <v>307.25</v>
      </c>
    </row>
    <row r="3139" spans="1:4" x14ac:dyDescent="0.2">
      <c r="A3139" s="6">
        <v>4573</v>
      </c>
      <c r="B3139" s="5" t="s">
        <v>3175</v>
      </c>
      <c r="C3139" s="7" t="s">
        <v>64</v>
      </c>
      <c r="D3139" s="8">
        <v>553.07000000000005</v>
      </c>
    </row>
    <row r="3140" spans="1:4" x14ac:dyDescent="0.2">
      <c r="A3140" s="6">
        <v>4574</v>
      </c>
      <c r="B3140" s="5" t="s">
        <v>3176</v>
      </c>
      <c r="C3140" s="7" t="s">
        <v>10</v>
      </c>
      <c r="D3140" s="8">
        <v>307.25</v>
      </c>
    </row>
    <row r="3141" spans="1:4" x14ac:dyDescent="0.2">
      <c r="A3141" s="6">
        <v>4575</v>
      </c>
      <c r="B3141" s="5" t="s">
        <v>3177</v>
      </c>
      <c r="C3141" s="7" t="s">
        <v>10</v>
      </c>
      <c r="D3141" s="8">
        <v>307.25</v>
      </c>
    </row>
    <row r="3142" spans="1:4" x14ac:dyDescent="0.2">
      <c r="A3142" s="6">
        <v>4576</v>
      </c>
      <c r="B3142" s="5" t="s">
        <v>3178</v>
      </c>
      <c r="C3142" s="7" t="s">
        <v>10</v>
      </c>
      <c r="D3142" s="8">
        <v>307.25</v>
      </c>
    </row>
    <row r="3143" spans="1:4" x14ac:dyDescent="0.2">
      <c r="A3143" s="6">
        <v>4577</v>
      </c>
      <c r="B3143" s="5" t="s">
        <v>3179</v>
      </c>
      <c r="C3143" s="7" t="s">
        <v>10</v>
      </c>
      <c r="D3143" s="8">
        <v>307.25</v>
      </c>
    </row>
    <row r="3144" spans="1:4" x14ac:dyDescent="0.2">
      <c r="A3144" s="6">
        <v>4578</v>
      </c>
      <c r="B3144" s="5" t="s">
        <v>3180</v>
      </c>
      <c r="C3144" s="7" t="s">
        <v>10</v>
      </c>
      <c r="D3144" s="8">
        <v>307.25</v>
      </c>
    </row>
    <row r="3145" spans="1:4" x14ac:dyDescent="0.2">
      <c r="A3145" s="6">
        <v>4579</v>
      </c>
      <c r="B3145" s="5" t="s">
        <v>3181</v>
      </c>
      <c r="C3145" s="7" t="s">
        <v>52</v>
      </c>
      <c r="D3145" s="8">
        <v>401.25</v>
      </c>
    </row>
    <row r="3146" spans="1:4" x14ac:dyDescent="0.2">
      <c r="A3146" s="6">
        <v>4580</v>
      </c>
      <c r="B3146" s="5" t="s">
        <v>3182</v>
      </c>
      <c r="C3146" s="7" t="s">
        <v>10</v>
      </c>
      <c r="D3146" s="8">
        <v>307.25</v>
      </c>
    </row>
    <row r="3147" spans="1:4" x14ac:dyDescent="0.2">
      <c r="A3147" s="6">
        <v>4581</v>
      </c>
      <c r="B3147" s="5" t="s">
        <v>3183</v>
      </c>
      <c r="C3147" s="7" t="s">
        <v>10</v>
      </c>
      <c r="D3147" s="8">
        <v>307.25</v>
      </c>
    </row>
    <row r="3148" spans="1:4" x14ac:dyDescent="0.2">
      <c r="A3148" s="6">
        <v>4582</v>
      </c>
      <c r="B3148" s="5" t="s">
        <v>3184</v>
      </c>
      <c r="C3148" s="7" t="s">
        <v>10</v>
      </c>
      <c r="D3148" s="8">
        <v>355</v>
      </c>
    </row>
    <row r="3149" spans="1:4" x14ac:dyDescent="0.2">
      <c r="A3149" s="6">
        <v>4583</v>
      </c>
      <c r="B3149" s="5" t="s">
        <v>3185</v>
      </c>
      <c r="C3149" s="7" t="s">
        <v>10</v>
      </c>
      <c r="D3149" s="8">
        <v>273.48</v>
      </c>
    </row>
    <row r="3150" spans="1:4" x14ac:dyDescent="0.2">
      <c r="A3150" s="6">
        <v>4584</v>
      </c>
      <c r="B3150" s="5" t="s">
        <v>3186</v>
      </c>
      <c r="C3150" s="7" t="s">
        <v>10</v>
      </c>
      <c r="D3150" s="8">
        <v>307.25</v>
      </c>
    </row>
    <row r="3151" spans="1:4" x14ac:dyDescent="0.2">
      <c r="A3151" s="6">
        <v>4585</v>
      </c>
      <c r="B3151" s="5" t="s">
        <v>3187</v>
      </c>
      <c r="C3151" s="7" t="s">
        <v>10</v>
      </c>
      <c r="D3151" s="8">
        <v>307.25</v>
      </c>
    </row>
    <row r="3152" spans="1:4" x14ac:dyDescent="0.2">
      <c r="A3152" s="6">
        <v>4586</v>
      </c>
      <c r="B3152" s="5" t="s">
        <v>3188</v>
      </c>
      <c r="C3152" s="7" t="s">
        <v>10</v>
      </c>
      <c r="D3152" s="8">
        <v>307.25</v>
      </c>
    </row>
    <row r="3153" spans="1:4" x14ac:dyDescent="0.2">
      <c r="A3153" s="6">
        <v>4587</v>
      </c>
      <c r="B3153" s="5" t="s">
        <v>3189</v>
      </c>
      <c r="C3153" s="7" t="s">
        <v>64</v>
      </c>
      <c r="D3153" s="8">
        <v>553.07000000000005</v>
      </c>
    </row>
    <row r="3154" spans="1:4" x14ac:dyDescent="0.2">
      <c r="A3154" s="6">
        <v>4588</v>
      </c>
      <c r="B3154" s="5" t="s">
        <v>3190</v>
      </c>
      <c r="C3154" s="7" t="s">
        <v>64</v>
      </c>
      <c r="D3154" s="8">
        <v>553.07000000000005</v>
      </c>
    </row>
    <row r="3155" spans="1:4" x14ac:dyDescent="0.2">
      <c r="A3155" s="6">
        <v>4589</v>
      </c>
      <c r="B3155" s="5" t="s">
        <v>3191</v>
      </c>
      <c r="C3155" s="7" t="s">
        <v>64</v>
      </c>
      <c r="D3155" s="8">
        <v>553.07000000000005</v>
      </c>
    </row>
    <row r="3156" spans="1:4" x14ac:dyDescent="0.2">
      <c r="A3156" s="6">
        <v>4590</v>
      </c>
      <c r="B3156" s="5" t="s">
        <v>3192</v>
      </c>
      <c r="C3156" s="7" t="s">
        <v>64</v>
      </c>
      <c r="D3156" s="8">
        <v>553.07000000000005</v>
      </c>
    </row>
    <row r="3157" spans="1:4" x14ac:dyDescent="0.2">
      <c r="A3157" s="6">
        <v>4591</v>
      </c>
      <c r="B3157" s="5" t="s">
        <v>3193</v>
      </c>
      <c r="C3157" s="7" t="s">
        <v>64</v>
      </c>
      <c r="D3157" s="8">
        <v>553.07000000000005</v>
      </c>
    </row>
    <row r="3158" spans="1:4" x14ac:dyDescent="0.2">
      <c r="A3158" s="6">
        <v>4592</v>
      </c>
      <c r="B3158" s="5" t="s">
        <v>3194</v>
      </c>
      <c r="C3158" s="7" t="s">
        <v>10</v>
      </c>
      <c r="D3158" s="8">
        <v>307.25</v>
      </c>
    </row>
    <row r="3159" spans="1:4" x14ac:dyDescent="0.2">
      <c r="A3159" s="6">
        <v>4593</v>
      </c>
      <c r="B3159" s="5" t="s">
        <v>3195</v>
      </c>
      <c r="C3159" s="7" t="s">
        <v>10</v>
      </c>
      <c r="D3159" s="8">
        <v>307.25</v>
      </c>
    </row>
    <row r="3160" spans="1:4" x14ac:dyDescent="0.2">
      <c r="A3160" s="6">
        <v>4594</v>
      </c>
      <c r="B3160" s="5" t="s">
        <v>3196</v>
      </c>
      <c r="C3160" s="7" t="s">
        <v>10</v>
      </c>
      <c r="D3160" s="8">
        <v>307.25</v>
      </c>
    </row>
    <row r="3161" spans="1:4" x14ac:dyDescent="0.2">
      <c r="A3161" s="6">
        <v>4595</v>
      </c>
      <c r="B3161" s="5" t="s">
        <v>3197</v>
      </c>
      <c r="C3161" s="7" t="s">
        <v>10</v>
      </c>
      <c r="D3161" s="8">
        <v>307.25</v>
      </c>
    </row>
    <row r="3162" spans="1:4" x14ac:dyDescent="0.2">
      <c r="A3162" s="6">
        <v>4596</v>
      </c>
      <c r="B3162" s="5" t="s">
        <v>3198</v>
      </c>
      <c r="C3162" s="7" t="s">
        <v>10</v>
      </c>
      <c r="D3162" s="8">
        <v>307.25</v>
      </c>
    </row>
    <row r="3163" spans="1:4" x14ac:dyDescent="0.2">
      <c r="A3163" s="6">
        <v>4597</v>
      </c>
      <c r="B3163" s="5" t="s">
        <v>3199</v>
      </c>
      <c r="C3163" s="7" t="s">
        <v>10</v>
      </c>
      <c r="D3163" s="8">
        <v>307.25</v>
      </c>
    </row>
    <row r="3164" spans="1:4" x14ac:dyDescent="0.2">
      <c r="A3164" s="6">
        <v>4598</v>
      </c>
      <c r="B3164" s="5" t="s">
        <v>3200</v>
      </c>
      <c r="C3164" s="7" t="s">
        <v>10</v>
      </c>
      <c r="D3164" s="8">
        <v>307.25</v>
      </c>
    </row>
    <row r="3165" spans="1:4" x14ac:dyDescent="0.2">
      <c r="A3165" s="6">
        <v>4599</v>
      </c>
      <c r="B3165" s="5" t="s">
        <v>3201</v>
      </c>
      <c r="C3165" s="7" t="s">
        <v>10</v>
      </c>
      <c r="D3165" s="8">
        <v>307.25</v>
      </c>
    </row>
    <row r="3166" spans="1:4" x14ac:dyDescent="0.2">
      <c r="A3166" s="6">
        <v>4600</v>
      </c>
      <c r="B3166" s="5" t="s">
        <v>3202</v>
      </c>
      <c r="C3166" s="7" t="s">
        <v>10</v>
      </c>
      <c r="D3166" s="8">
        <v>307.25</v>
      </c>
    </row>
    <row r="3167" spans="1:4" x14ac:dyDescent="0.2">
      <c r="A3167" s="6">
        <v>4601</v>
      </c>
      <c r="B3167" s="5" t="s">
        <v>3203</v>
      </c>
      <c r="C3167" s="7" t="s">
        <v>10</v>
      </c>
      <c r="D3167" s="8">
        <v>307.25</v>
      </c>
    </row>
    <row r="3168" spans="1:4" x14ac:dyDescent="0.2">
      <c r="A3168" s="6">
        <v>4602</v>
      </c>
      <c r="B3168" s="5" t="s">
        <v>3204</v>
      </c>
      <c r="C3168" s="7" t="s">
        <v>10</v>
      </c>
      <c r="D3168" s="8">
        <v>307.25</v>
      </c>
    </row>
    <row r="3169" spans="1:4" x14ac:dyDescent="0.2">
      <c r="A3169" s="6">
        <v>4602</v>
      </c>
      <c r="B3169" s="5" t="s">
        <v>3204</v>
      </c>
      <c r="C3169" s="7" t="s">
        <v>10</v>
      </c>
      <c r="D3169" s="8">
        <v>354.88</v>
      </c>
    </row>
    <row r="3170" spans="1:4" x14ac:dyDescent="0.2">
      <c r="A3170" s="6">
        <v>4603</v>
      </c>
      <c r="B3170" s="5" t="s">
        <v>3205</v>
      </c>
      <c r="C3170" s="7" t="s">
        <v>10</v>
      </c>
      <c r="D3170" s="8">
        <v>307.25</v>
      </c>
    </row>
    <row r="3171" spans="1:4" x14ac:dyDescent="0.2">
      <c r="A3171" s="6">
        <v>4604</v>
      </c>
      <c r="B3171" s="5" t="s">
        <v>3206</v>
      </c>
      <c r="C3171" s="7" t="s">
        <v>10</v>
      </c>
      <c r="D3171" s="8">
        <v>307.25</v>
      </c>
    </row>
    <row r="3172" spans="1:4" x14ac:dyDescent="0.2">
      <c r="A3172" s="6">
        <v>4605</v>
      </c>
      <c r="B3172" s="5" t="s">
        <v>3207</v>
      </c>
      <c r="C3172" s="7" t="s">
        <v>10</v>
      </c>
      <c r="D3172" s="8">
        <v>307.25</v>
      </c>
    </row>
    <row r="3173" spans="1:4" x14ac:dyDescent="0.2">
      <c r="A3173" s="6">
        <v>4606</v>
      </c>
      <c r="B3173" s="5" t="s">
        <v>3208</v>
      </c>
      <c r="C3173" s="7" t="s">
        <v>10</v>
      </c>
      <c r="D3173" s="8">
        <v>307.25</v>
      </c>
    </row>
    <row r="3174" spans="1:4" x14ac:dyDescent="0.2">
      <c r="A3174" s="6">
        <v>4607</v>
      </c>
      <c r="B3174" s="5" t="s">
        <v>3209</v>
      </c>
      <c r="C3174" s="7" t="s">
        <v>10</v>
      </c>
      <c r="D3174" s="8">
        <v>307.25</v>
      </c>
    </row>
    <row r="3175" spans="1:4" x14ac:dyDescent="0.2">
      <c r="A3175" s="6">
        <v>4608</v>
      </c>
      <c r="B3175" s="5" t="s">
        <v>3210</v>
      </c>
      <c r="C3175" s="7" t="s">
        <v>10</v>
      </c>
      <c r="D3175" s="8">
        <v>307.25</v>
      </c>
    </row>
    <row r="3176" spans="1:4" x14ac:dyDescent="0.2">
      <c r="A3176" s="6">
        <v>4609</v>
      </c>
      <c r="B3176" s="5" t="s">
        <v>3211</v>
      </c>
      <c r="C3176" s="7" t="s">
        <v>10</v>
      </c>
      <c r="D3176" s="8">
        <v>307.25</v>
      </c>
    </row>
    <row r="3177" spans="1:4" x14ac:dyDescent="0.2">
      <c r="A3177" s="6">
        <v>4610</v>
      </c>
      <c r="B3177" s="5" t="s">
        <v>3212</v>
      </c>
      <c r="C3177" s="7" t="s">
        <v>10</v>
      </c>
      <c r="D3177" s="8">
        <v>307.25</v>
      </c>
    </row>
    <row r="3178" spans="1:4" x14ac:dyDescent="0.2">
      <c r="A3178" s="6">
        <v>4611</v>
      </c>
      <c r="B3178" s="5" t="s">
        <v>3213</v>
      </c>
      <c r="C3178" s="7" t="s">
        <v>10</v>
      </c>
      <c r="D3178" s="8">
        <v>307.25</v>
      </c>
    </row>
    <row r="3179" spans="1:4" x14ac:dyDescent="0.2">
      <c r="A3179" s="6">
        <v>4612</v>
      </c>
      <c r="B3179" s="5" t="s">
        <v>3214</v>
      </c>
      <c r="C3179" s="7" t="s">
        <v>64</v>
      </c>
      <c r="D3179" s="8">
        <v>553.07000000000005</v>
      </c>
    </row>
    <row r="3180" spans="1:4" x14ac:dyDescent="0.2">
      <c r="A3180" s="6">
        <v>4613</v>
      </c>
      <c r="B3180" s="5" t="s">
        <v>3215</v>
      </c>
      <c r="C3180" s="7" t="s">
        <v>10</v>
      </c>
      <c r="D3180" s="8">
        <v>307.25</v>
      </c>
    </row>
    <row r="3181" spans="1:4" x14ac:dyDescent="0.2">
      <c r="A3181" s="6">
        <v>4614</v>
      </c>
      <c r="B3181" s="5" t="s">
        <v>3216</v>
      </c>
      <c r="C3181" s="7" t="s">
        <v>64</v>
      </c>
      <c r="D3181" s="8">
        <v>553.07000000000005</v>
      </c>
    </row>
    <row r="3182" spans="1:4" x14ac:dyDescent="0.2">
      <c r="A3182" s="6">
        <v>4615</v>
      </c>
      <c r="B3182" s="5" t="s">
        <v>3217</v>
      </c>
      <c r="C3182" s="7" t="s">
        <v>10</v>
      </c>
      <c r="D3182" s="8">
        <v>307.25</v>
      </c>
    </row>
    <row r="3183" spans="1:4" x14ac:dyDescent="0.2">
      <c r="A3183" s="6">
        <v>4616</v>
      </c>
      <c r="B3183" s="5" t="s">
        <v>3218</v>
      </c>
      <c r="C3183" s="7" t="s">
        <v>10</v>
      </c>
      <c r="D3183" s="8">
        <v>307.25</v>
      </c>
    </row>
    <row r="3184" spans="1:4" x14ac:dyDescent="0.2">
      <c r="A3184" s="6">
        <v>4617</v>
      </c>
      <c r="B3184" s="5" t="s">
        <v>3219</v>
      </c>
      <c r="C3184" s="7" t="s">
        <v>347</v>
      </c>
      <c r="D3184" s="8">
        <v>260.45999999999998</v>
      </c>
    </row>
    <row r="3185" spans="1:4" x14ac:dyDescent="0.2">
      <c r="A3185" s="6">
        <v>4618</v>
      </c>
      <c r="B3185" s="5" t="s">
        <v>3220</v>
      </c>
      <c r="C3185" s="7" t="s">
        <v>347</v>
      </c>
      <c r="D3185" s="8">
        <v>260.45999999999998</v>
      </c>
    </row>
    <row r="3186" spans="1:4" x14ac:dyDescent="0.2">
      <c r="A3186" s="6">
        <v>4619</v>
      </c>
      <c r="B3186" s="5" t="s">
        <v>3221</v>
      </c>
      <c r="C3186" s="7" t="s">
        <v>347</v>
      </c>
      <c r="D3186" s="8">
        <v>260.45999999999998</v>
      </c>
    </row>
    <row r="3187" spans="1:4" x14ac:dyDescent="0.2">
      <c r="A3187" s="6">
        <v>4620</v>
      </c>
      <c r="B3187" s="5" t="s">
        <v>3222</v>
      </c>
      <c r="C3187" s="7" t="s">
        <v>347</v>
      </c>
      <c r="D3187" s="8">
        <v>260.45999999999998</v>
      </c>
    </row>
    <row r="3188" spans="1:4" x14ac:dyDescent="0.2">
      <c r="A3188" s="6">
        <v>4621</v>
      </c>
      <c r="B3188" s="5" t="s">
        <v>3223</v>
      </c>
      <c r="C3188" s="7" t="s">
        <v>347</v>
      </c>
      <c r="D3188" s="8">
        <v>260.45999999999998</v>
      </c>
    </row>
    <row r="3189" spans="1:4" x14ac:dyDescent="0.2">
      <c r="A3189" s="6">
        <v>4622</v>
      </c>
      <c r="B3189" s="5" t="s">
        <v>3224</v>
      </c>
      <c r="C3189" s="7" t="s">
        <v>347</v>
      </c>
      <c r="D3189" s="8">
        <v>260.45999999999998</v>
      </c>
    </row>
    <row r="3190" spans="1:4" x14ac:dyDescent="0.2">
      <c r="A3190" s="6">
        <v>4623</v>
      </c>
      <c r="B3190" s="5" t="s">
        <v>3225</v>
      </c>
      <c r="C3190" s="7" t="s">
        <v>347</v>
      </c>
      <c r="D3190" s="8">
        <v>260.45999999999998</v>
      </c>
    </row>
    <row r="3191" spans="1:4" x14ac:dyDescent="0.2">
      <c r="A3191" s="6">
        <v>4624</v>
      </c>
      <c r="B3191" s="5" t="s">
        <v>3226</v>
      </c>
      <c r="C3191" s="7" t="s">
        <v>347</v>
      </c>
      <c r="D3191" s="8">
        <v>260.45999999999998</v>
      </c>
    </row>
    <row r="3192" spans="1:4" x14ac:dyDescent="0.2">
      <c r="A3192" s="6">
        <v>4625</v>
      </c>
      <c r="B3192" s="5" t="s">
        <v>3227</v>
      </c>
      <c r="C3192" s="7" t="s">
        <v>10</v>
      </c>
      <c r="D3192" s="8">
        <v>307.25</v>
      </c>
    </row>
    <row r="3193" spans="1:4" x14ac:dyDescent="0.2">
      <c r="A3193" s="6">
        <v>4626</v>
      </c>
      <c r="B3193" s="5" t="s">
        <v>3228</v>
      </c>
      <c r="C3193" s="7" t="s">
        <v>10</v>
      </c>
      <c r="D3193" s="8">
        <v>307.25</v>
      </c>
    </row>
    <row r="3194" spans="1:4" x14ac:dyDescent="0.2">
      <c r="A3194" s="6">
        <v>4627</v>
      </c>
      <c r="B3194" s="5" t="s">
        <v>3229</v>
      </c>
      <c r="C3194" s="7" t="s">
        <v>64</v>
      </c>
      <c r="D3194" s="8">
        <v>553.07000000000005</v>
      </c>
    </row>
    <row r="3195" spans="1:4" x14ac:dyDescent="0.2">
      <c r="A3195" s="6">
        <v>4628</v>
      </c>
      <c r="B3195" s="5" t="s">
        <v>3230</v>
      </c>
      <c r="C3195" s="7" t="s">
        <v>10</v>
      </c>
      <c r="D3195" s="8">
        <v>307.25</v>
      </c>
    </row>
    <row r="3196" spans="1:4" x14ac:dyDescent="0.2">
      <c r="A3196" s="6">
        <v>4629</v>
      </c>
      <c r="B3196" s="5" t="s">
        <v>3231</v>
      </c>
      <c r="C3196" s="7" t="s">
        <v>10</v>
      </c>
      <c r="D3196" s="8">
        <v>307.25</v>
      </c>
    </row>
    <row r="3197" spans="1:4" x14ac:dyDescent="0.2">
      <c r="A3197" s="6">
        <v>4630</v>
      </c>
      <c r="B3197" s="5" t="s">
        <v>3232</v>
      </c>
      <c r="C3197" s="7" t="s">
        <v>10</v>
      </c>
      <c r="D3197" s="8">
        <v>307.25</v>
      </c>
    </row>
    <row r="3198" spans="1:4" x14ac:dyDescent="0.2">
      <c r="A3198" s="6">
        <v>4631</v>
      </c>
      <c r="B3198" s="5" t="s">
        <v>3233</v>
      </c>
      <c r="C3198" s="7" t="s">
        <v>10</v>
      </c>
      <c r="D3198" s="8">
        <v>307.25</v>
      </c>
    </row>
    <row r="3199" spans="1:4" x14ac:dyDescent="0.2">
      <c r="A3199" s="6">
        <v>4632</v>
      </c>
      <c r="B3199" s="5" t="s">
        <v>3234</v>
      </c>
      <c r="C3199" s="7" t="s">
        <v>185</v>
      </c>
      <c r="D3199" s="8"/>
    </row>
    <row r="3200" spans="1:4" x14ac:dyDescent="0.2">
      <c r="A3200" s="6">
        <v>4633</v>
      </c>
      <c r="B3200" s="5" t="s">
        <v>3235</v>
      </c>
      <c r="C3200" s="7" t="s">
        <v>10</v>
      </c>
      <c r="D3200" s="8">
        <v>307.25</v>
      </c>
    </row>
    <row r="3201" spans="1:4" x14ac:dyDescent="0.2">
      <c r="A3201" s="6">
        <v>4634</v>
      </c>
      <c r="B3201" s="5" t="s">
        <v>3236</v>
      </c>
      <c r="C3201" s="7" t="s">
        <v>52</v>
      </c>
      <c r="D3201" s="8"/>
    </row>
    <row r="3202" spans="1:4" x14ac:dyDescent="0.2">
      <c r="A3202" s="6">
        <v>4635</v>
      </c>
      <c r="B3202" s="5" t="s">
        <v>3237</v>
      </c>
      <c r="C3202" s="7" t="s">
        <v>52</v>
      </c>
      <c r="D3202" s="8"/>
    </row>
    <row r="3203" spans="1:4" x14ac:dyDescent="0.2">
      <c r="A3203" s="6">
        <v>4636</v>
      </c>
      <c r="B3203" s="5" t="s">
        <v>3238</v>
      </c>
      <c r="C3203" s="7" t="s">
        <v>10</v>
      </c>
      <c r="D3203" s="8">
        <v>307.25</v>
      </c>
    </row>
    <row r="3204" spans="1:4" x14ac:dyDescent="0.2">
      <c r="A3204" s="6">
        <v>4637</v>
      </c>
      <c r="B3204" s="5" t="s">
        <v>3239</v>
      </c>
      <c r="C3204" s="7" t="s">
        <v>68</v>
      </c>
      <c r="D3204" s="8">
        <f>3558.79/7</f>
        <v>508.39857142857142</v>
      </c>
    </row>
    <row r="3205" spans="1:4" x14ac:dyDescent="0.2">
      <c r="A3205" s="6">
        <v>4638</v>
      </c>
      <c r="B3205" s="5" t="s">
        <v>3240</v>
      </c>
      <c r="C3205" s="7" t="s">
        <v>52</v>
      </c>
      <c r="D3205" s="8"/>
    </row>
    <row r="3206" spans="1:4" x14ac:dyDescent="0.2">
      <c r="A3206" s="6">
        <v>4639</v>
      </c>
      <c r="B3206" s="5" t="s">
        <v>3241</v>
      </c>
      <c r="C3206" s="7" t="s">
        <v>10</v>
      </c>
      <c r="D3206" s="8">
        <v>307.25</v>
      </c>
    </row>
    <row r="3207" spans="1:4" x14ac:dyDescent="0.2">
      <c r="A3207" s="6">
        <v>4640</v>
      </c>
      <c r="B3207" s="5" t="s">
        <v>3242</v>
      </c>
      <c r="C3207" s="7" t="s">
        <v>10</v>
      </c>
      <c r="D3207" s="8">
        <v>307.25</v>
      </c>
    </row>
    <row r="3208" spans="1:4" x14ac:dyDescent="0.2">
      <c r="A3208" s="6">
        <v>4641</v>
      </c>
      <c r="B3208" s="5" t="s">
        <v>3243</v>
      </c>
      <c r="C3208" s="7" t="s">
        <v>10</v>
      </c>
      <c r="D3208" s="8">
        <v>307.25</v>
      </c>
    </row>
    <row r="3209" spans="1:4" x14ac:dyDescent="0.2">
      <c r="A3209" s="6">
        <v>4642</v>
      </c>
      <c r="B3209" s="5" t="s">
        <v>3244</v>
      </c>
      <c r="C3209" s="7" t="s">
        <v>64</v>
      </c>
      <c r="D3209" s="8">
        <v>553.07000000000005</v>
      </c>
    </row>
    <row r="3210" spans="1:4" x14ac:dyDescent="0.2">
      <c r="A3210" s="6">
        <v>4643</v>
      </c>
      <c r="B3210" s="5" t="s">
        <v>3245</v>
      </c>
      <c r="C3210" s="7" t="s">
        <v>52</v>
      </c>
      <c r="D3210" s="8"/>
    </row>
    <row r="3211" spans="1:4" x14ac:dyDescent="0.2">
      <c r="A3211" s="6">
        <v>4644</v>
      </c>
      <c r="B3211" s="5" t="s">
        <v>3246</v>
      </c>
      <c r="C3211" s="7" t="s">
        <v>10</v>
      </c>
      <c r="D3211" s="8">
        <v>307.25</v>
      </c>
    </row>
    <row r="3212" spans="1:4" x14ac:dyDescent="0.2">
      <c r="A3212" s="6">
        <v>4645</v>
      </c>
      <c r="B3212" s="5" t="s">
        <v>3247</v>
      </c>
      <c r="C3212" s="7" t="s">
        <v>10</v>
      </c>
      <c r="D3212" s="8">
        <v>307.25</v>
      </c>
    </row>
    <row r="3213" spans="1:4" x14ac:dyDescent="0.2">
      <c r="A3213" s="6">
        <v>4646</v>
      </c>
      <c r="B3213" s="5" t="s">
        <v>3248</v>
      </c>
      <c r="C3213" s="7" t="s">
        <v>64</v>
      </c>
      <c r="D3213" s="8">
        <v>553.07000000000005</v>
      </c>
    </row>
    <row r="3214" spans="1:4" x14ac:dyDescent="0.2">
      <c r="A3214" s="6">
        <v>4647</v>
      </c>
      <c r="B3214" s="5" t="s">
        <v>3249</v>
      </c>
      <c r="C3214" s="7" t="s">
        <v>64</v>
      </c>
      <c r="D3214" s="8">
        <v>553.07000000000005</v>
      </c>
    </row>
    <row r="3215" spans="1:4" x14ac:dyDescent="0.2">
      <c r="A3215" s="6">
        <v>4648</v>
      </c>
      <c r="B3215" s="5" t="s">
        <v>3250</v>
      </c>
      <c r="C3215" s="7" t="s">
        <v>64</v>
      </c>
      <c r="D3215" s="8">
        <v>553.07000000000005</v>
      </c>
    </row>
    <row r="3216" spans="1:4" x14ac:dyDescent="0.2">
      <c r="A3216" s="6">
        <v>4649</v>
      </c>
      <c r="B3216" s="5" t="s">
        <v>3251</v>
      </c>
      <c r="C3216" s="7" t="s">
        <v>64</v>
      </c>
      <c r="D3216" s="8">
        <v>553.07000000000005</v>
      </c>
    </row>
    <row r="3217" spans="1:4" x14ac:dyDescent="0.2">
      <c r="A3217" s="6">
        <v>4650</v>
      </c>
      <c r="B3217" s="5" t="s">
        <v>3252</v>
      </c>
      <c r="C3217" s="7" t="s">
        <v>64</v>
      </c>
      <c r="D3217" s="8">
        <v>553.07000000000005</v>
      </c>
    </row>
    <row r="3218" spans="1:4" x14ac:dyDescent="0.2">
      <c r="A3218" s="6">
        <v>4651</v>
      </c>
      <c r="B3218" s="5" t="s">
        <v>3253</v>
      </c>
      <c r="C3218" s="7" t="s">
        <v>64</v>
      </c>
      <c r="D3218" s="8">
        <v>553.07000000000005</v>
      </c>
    </row>
    <row r="3219" spans="1:4" x14ac:dyDescent="0.2">
      <c r="A3219" s="6">
        <v>4652</v>
      </c>
      <c r="B3219" s="5" t="s">
        <v>3254</v>
      </c>
      <c r="C3219" s="7" t="s">
        <v>10</v>
      </c>
      <c r="D3219" s="8">
        <v>307.25</v>
      </c>
    </row>
    <row r="3220" spans="1:4" x14ac:dyDescent="0.2">
      <c r="A3220" s="6">
        <v>4653</v>
      </c>
      <c r="B3220" s="5" t="s">
        <v>3255</v>
      </c>
      <c r="C3220" s="7" t="s">
        <v>10</v>
      </c>
      <c r="D3220" s="8">
        <v>307.25</v>
      </c>
    </row>
    <row r="3221" spans="1:4" x14ac:dyDescent="0.2">
      <c r="A3221" s="6">
        <v>4654</v>
      </c>
      <c r="B3221" s="5" t="s">
        <v>3256</v>
      </c>
      <c r="C3221" s="7" t="s">
        <v>64</v>
      </c>
      <c r="D3221" s="8">
        <v>553.07000000000005</v>
      </c>
    </row>
    <row r="3222" spans="1:4" x14ac:dyDescent="0.2">
      <c r="A3222" s="6">
        <v>4655</v>
      </c>
      <c r="B3222" s="5" t="s">
        <v>3257</v>
      </c>
      <c r="C3222" s="7" t="s">
        <v>64</v>
      </c>
      <c r="D3222" s="8">
        <v>553.07000000000005</v>
      </c>
    </row>
    <row r="3223" spans="1:4" x14ac:dyDescent="0.2">
      <c r="A3223" s="6">
        <v>4656</v>
      </c>
      <c r="B3223" s="5" t="s">
        <v>3258</v>
      </c>
      <c r="C3223" s="7" t="s">
        <v>10</v>
      </c>
      <c r="D3223" s="8">
        <v>307.25</v>
      </c>
    </row>
    <row r="3224" spans="1:4" x14ac:dyDescent="0.2">
      <c r="A3224" s="6">
        <v>4657</v>
      </c>
      <c r="B3224" s="5" t="s">
        <v>3259</v>
      </c>
      <c r="C3224" s="7" t="s">
        <v>52</v>
      </c>
      <c r="D3224" s="8">
        <v>323.12</v>
      </c>
    </row>
    <row r="3225" spans="1:4" x14ac:dyDescent="0.2">
      <c r="A3225" s="6">
        <v>4658</v>
      </c>
      <c r="B3225" s="5" t="s">
        <v>3260</v>
      </c>
      <c r="C3225" s="7" t="s">
        <v>64</v>
      </c>
      <c r="D3225" s="8">
        <v>553.07000000000005</v>
      </c>
    </row>
    <row r="3226" spans="1:4" x14ac:dyDescent="0.2">
      <c r="A3226" s="6">
        <v>4659</v>
      </c>
      <c r="B3226" s="5" t="s">
        <v>3261</v>
      </c>
      <c r="C3226" s="7" t="s">
        <v>10</v>
      </c>
      <c r="D3226" s="8">
        <v>307.25</v>
      </c>
    </row>
    <row r="3227" spans="1:4" x14ac:dyDescent="0.2">
      <c r="A3227" s="6">
        <v>4660</v>
      </c>
      <c r="B3227" s="5" t="s">
        <v>3262</v>
      </c>
      <c r="C3227" s="7" t="s">
        <v>64</v>
      </c>
      <c r="D3227" s="8">
        <v>553.07000000000005</v>
      </c>
    </row>
    <row r="3228" spans="1:4" x14ac:dyDescent="0.2">
      <c r="A3228" s="6">
        <v>4661</v>
      </c>
      <c r="B3228" s="5" t="s">
        <v>3263</v>
      </c>
      <c r="C3228" s="7" t="s">
        <v>10</v>
      </c>
      <c r="D3228" s="8">
        <v>273.48</v>
      </c>
    </row>
    <row r="3229" spans="1:4" x14ac:dyDescent="0.2">
      <c r="A3229" s="6">
        <v>4662</v>
      </c>
      <c r="B3229" s="5" t="s">
        <v>3264</v>
      </c>
      <c r="C3229" s="7" t="s">
        <v>10</v>
      </c>
      <c r="D3229" s="8">
        <v>307.25</v>
      </c>
    </row>
    <row r="3230" spans="1:4" x14ac:dyDescent="0.2">
      <c r="A3230" s="6">
        <v>4663</v>
      </c>
      <c r="B3230" s="5" t="s">
        <v>3265</v>
      </c>
      <c r="C3230" s="7" t="s">
        <v>64</v>
      </c>
      <c r="D3230" s="8">
        <v>553.07000000000005</v>
      </c>
    </row>
    <row r="3231" spans="1:4" x14ac:dyDescent="0.2">
      <c r="A3231" s="6">
        <v>4664</v>
      </c>
      <c r="B3231" s="5" t="s">
        <v>3266</v>
      </c>
      <c r="C3231" s="7" t="s">
        <v>64</v>
      </c>
      <c r="D3231" s="8">
        <v>553.07000000000005</v>
      </c>
    </row>
    <row r="3232" spans="1:4" x14ac:dyDescent="0.2">
      <c r="A3232" s="6">
        <v>4665</v>
      </c>
      <c r="B3232" s="5" t="s">
        <v>3267</v>
      </c>
      <c r="C3232" s="7" t="s">
        <v>10</v>
      </c>
      <c r="D3232" s="8">
        <v>307.25</v>
      </c>
    </row>
    <row r="3233" spans="1:4" x14ac:dyDescent="0.2">
      <c r="A3233" s="6">
        <v>4666</v>
      </c>
      <c r="B3233" s="5" t="s">
        <v>3268</v>
      </c>
      <c r="C3233" s="7" t="s">
        <v>64</v>
      </c>
      <c r="D3233" s="8">
        <v>553.07000000000005</v>
      </c>
    </row>
    <row r="3234" spans="1:4" x14ac:dyDescent="0.2">
      <c r="A3234" s="6">
        <v>4667</v>
      </c>
      <c r="B3234" s="5" t="s">
        <v>3269</v>
      </c>
      <c r="C3234" s="7" t="s">
        <v>64</v>
      </c>
      <c r="D3234" s="8">
        <v>553.07000000000005</v>
      </c>
    </row>
    <row r="3235" spans="1:4" x14ac:dyDescent="0.2">
      <c r="A3235" s="6">
        <v>4668</v>
      </c>
      <c r="B3235" s="5" t="s">
        <v>3270</v>
      </c>
      <c r="C3235" s="7" t="s">
        <v>52</v>
      </c>
      <c r="D3235" s="8"/>
    </row>
    <row r="3236" spans="1:4" x14ac:dyDescent="0.2">
      <c r="A3236" s="6">
        <v>4669</v>
      </c>
      <c r="B3236" s="5" t="s">
        <v>3271</v>
      </c>
      <c r="C3236" s="7" t="s">
        <v>10</v>
      </c>
      <c r="D3236" s="8">
        <v>307.25</v>
      </c>
    </row>
    <row r="3237" spans="1:4" x14ac:dyDescent="0.2">
      <c r="A3237" s="6">
        <v>4670</v>
      </c>
      <c r="B3237" s="5" t="s">
        <v>3272</v>
      </c>
      <c r="C3237" s="7" t="s">
        <v>64</v>
      </c>
      <c r="D3237" s="8">
        <v>553.07000000000005</v>
      </c>
    </row>
    <row r="3238" spans="1:4" x14ac:dyDescent="0.2">
      <c r="A3238" s="6">
        <v>4671</v>
      </c>
      <c r="B3238" s="5" t="s">
        <v>3273</v>
      </c>
      <c r="C3238" s="7" t="s">
        <v>10</v>
      </c>
      <c r="D3238" s="8">
        <v>307.25</v>
      </c>
    </row>
    <row r="3239" spans="1:4" x14ac:dyDescent="0.2">
      <c r="A3239" s="6">
        <v>4672</v>
      </c>
      <c r="B3239" s="5" t="s">
        <v>3274</v>
      </c>
      <c r="C3239" s="7" t="s">
        <v>10</v>
      </c>
      <c r="D3239" s="8">
        <v>307.25</v>
      </c>
    </row>
    <row r="3240" spans="1:4" x14ac:dyDescent="0.2">
      <c r="A3240" s="6">
        <v>4673</v>
      </c>
      <c r="B3240" s="5" t="s">
        <v>3275</v>
      </c>
      <c r="C3240" s="7" t="s">
        <v>64</v>
      </c>
      <c r="D3240" s="8">
        <v>553.07000000000005</v>
      </c>
    </row>
    <row r="3241" spans="1:4" x14ac:dyDescent="0.2">
      <c r="A3241" s="6">
        <v>4674</v>
      </c>
      <c r="B3241" s="5" t="s">
        <v>3276</v>
      </c>
      <c r="C3241" s="7" t="s">
        <v>10</v>
      </c>
      <c r="D3241" s="8">
        <v>307.25</v>
      </c>
    </row>
    <row r="3242" spans="1:4" x14ac:dyDescent="0.2">
      <c r="A3242" s="6">
        <v>4675</v>
      </c>
      <c r="B3242" s="5" t="s">
        <v>3277</v>
      </c>
      <c r="C3242" s="7" t="s">
        <v>10</v>
      </c>
      <c r="D3242" s="8">
        <v>307.25</v>
      </c>
    </row>
    <row r="3243" spans="1:4" x14ac:dyDescent="0.2">
      <c r="A3243" s="6">
        <v>4676</v>
      </c>
      <c r="B3243" s="5" t="s">
        <v>3278</v>
      </c>
      <c r="C3243" s="7" t="s">
        <v>64</v>
      </c>
      <c r="D3243" s="8">
        <v>553.07000000000005</v>
      </c>
    </row>
    <row r="3244" spans="1:4" x14ac:dyDescent="0.2">
      <c r="A3244" s="6">
        <v>4677</v>
      </c>
      <c r="B3244" s="5" t="s">
        <v>3279</v>
      </c>
      <c r="C3244" s="7" t="s">
        <v>10</v>
      </c>
      <c r="D3244" s="8">
        <v>307.25</v>
      </c>
    </row>
    <row r="3245" spans="1:4" x14ac:dyDescent="0.2">
      <c r="A3245" s="6">
        <v>4678</v>
      </c>
      <c r="B3245" s="5" t="s">
        <v>3280</v>
      </c>
      <c r="C3245" s="7" t="s">
        <v>10</v>
      </c>
      <c r="D3245" s="8">
        <v>307.25</v>
      </c>
    </row>
    <row r="3246" spans="1:4" x14ac:dyDescent="0.2">
      <c r="A3246" s="6">
        <v>4679</v>
      </c>
      <c r="B3246" s="5" t="s">
        <v>3281</v>
      </c>
      <c r="C3246" s="7" t="s">
        <v>10</v>
      </c>
      <c r="D3246" s="8">
        <v>307.25</v>
      </c>
    </row>
    <row r="3247" spans="1:4" x14ac:dyDescent="0.2">
      <c r="A3247" s="6">
        <v>4680</v>
      </c>
      <c r="B3247" s="5" t="s">
        <v>3282</v>
      </c>
      <c r="C3247" s="7" t="s">
        <v>10</v>
      </c>
      <c r="D3247" s="8">
        <v>307.25</v>
      </c>
    </row>
    <row r="3248" spans="1:4" x14ac:dyDescent="0.2">
      <c r="A3248" s="6">
        <v>4681</v>
      </c>
      <c r="B3248" s="5" t="s">
        <v>3283</v>
      </c>
      <c r="C3248" s="7" t="s">
        <v>64</v>
      </c>
      <c r="D3248" s="8">
        <v>553.07000000000005</v>
      </c>
    </row>
    <row r="3249" spans="1:4" x14ac:dyDescent="0.2">
      <c r="A3249" s="6">
        <v>4682</v>
      </c>
      <c r="B3249" s="5" t="s">
        <v>3284</v>
      </c>
      <c r="C3249" s="7" t="s">
        <v>64</v>
      </c>
      <c r="D3249" s="8">
        <v>553.07000000000005</v>
      </c>
    </row>
    <row r="3250" spans="1:4" x14ac:dyDescent="0.2">
      <c r="A3250" s="6">
        <v>4683</v>
      </c>
      <c r="B3250" s="5" t="s">
        <v>3285</v>
      </c>
      <c r="C3250" s="7" t="s">
        <v>64</v>
      </c>
      <c r="D3250" s="8">
        <v>553.07000000000005</v>
      </c>
    </row>
    <row r="3251" spans="1:4" x14ac:dyDescent="0.2">
      <c r="A3251" s="6">
        <v>4684</v>
      </c>
      <c r="B3251" s="5" t="s">
        <v>3286</v>
      </c>
      <c r="C3251" s="7" t="s">
        <v>64</v>
      </c>
      <c r="D3251" s="8">
        <v>492.28</v>
      </c>
    </row>
    <row r="3252" spans="1:4" x14ac:dyDescent="0.2">
      <c r="A3252" s="6">
        <v>4685</v>
      </c>
      <c r="B3252" s="5" t="s">
        <v>3287</v>
      </c>
      <c r="C3252" s="7" t="s">
        <v>10</v>
      </c>
      <c r="D3252" s="8">
        <v>307.25</v>
      </c>
    </row>
    <row r="3253" spans="1:4" x14ac:dyDescent="0.2">
      <c r="A3253" s="6">
        <v>4686</v>
      </c>
      <c r="B3253" s="5" t="s">
        <v>3288</v>
      </c>
      <c r="C3253" s="7" t="s">
        <v>10</v>
      </c>
      <c r="D3253" s="8">
        <v>307.25</v>
      </c>
    </row>
    <row r="3254" spans="1:4" x14ac:dyDescent="0.2">
      <c r="A3254" s="6">
        <v>4687</v>
      </c>
      <c r="B3254" s="5" t="s">
        <v>3289</v>
      </c>
      <c r="C3254" s="7" t="s">
        <v>10</v>
      </c>
      <c r="D3254" s="8">
        <v>307.25</v>
      </c>
    </row>
    <row r="3255" spans="1:4" x14ac:dyDescent="0.2">
      <c r="A3255" s="6">
        <v>4688</v>
      </c>
      <c r="B3255" s="5" t="s">
        <v>3290</v>
      </c>
      <c r="C3255" s="7" t="s">
        <v>64</v>
      </c>
      <c r="D3255" s="8">
        <v>553.07000000000005</v>
      </c>
    </row>
    <row r="3256" spans="1:4" x14ac:dyDescent="0.2">
      <c r="A3256" s="6">
        <v>4689</v>
      </c>
      <c r="B3256" s="5" t="s">
        <v>3291</v>
      </c>
      <c r="C3256" s="7" t="s">
        <v>64</v>
      </c>
      <c r="D3256" s="8">
        <v>553.07000000000005</v>
      </c>
    </row>
    <row r="3257" spans="1:4" x14ac:dyDescent="0.2">
      <c r="A3257" s="6">
        <v>4690</v>
      </c>
      <c r="B3257" s="5" t="s">
        <v>3292</v>
      </c>
      <c r="C3257" s="7" t="s">
        <v>297</v>
      </c>
      <c r="D3257" s="8"/>
    </row>
    <row r="3258" spans="1:4" x14ac:dyDescent="0.2">
      <c r="A3258" s="6">
        <v>4691</v>
      </c>
      <c r="B3258" s="5" t="s">
        <v>3293</v>
      </c>
      <c r="C3258" s="7" t="s">
        <v>297</v>
      </c>
      <c r="D3258" s="8">
        <v>553.07000000000005</v>
      </c>
    </row>
    <row r="3259" spans="1:4" x14ac:dyDescent="0.2">
      <c r="A3259" s="6">
        <v>4692</v>
      </c>
      <c r="B3259" s="5" t="s">
        <v>3294</v>
      </c>
      <c r="C3259" s="7" t="s">
        <v>10</v>
      </c>
      <c r="D3259" s="8">
        <v>307.25</v>
      </c>
    </row>
    <row r="3260" spans="1:4" x14ac:dyDescent="0.2">
      <c r="A3260" s="6">
        <v>4693</v>
      </c>
      <c r="B3260" s="5" t="s">
        <v>3295</v>
      </c>
      <c r="C3260" s="7" t="s">
        <v>64</v>
      </c>
      <c r="D3260" s="8">
        <v>553.07000000000005</v>
      </c>
    </row>
    <row r="3261" spans="1:4" x14ac:dyDescent="0.2">
      <c r="A3261" s="6">
        <v>4694</v>
      </c>
      <c r="B3261" s="5" t="s">
        <v>3296</v>
      </c>
      <c r="C3261" s="7" t="s">
        <v>64</v>
      </c>
      <c r="D3261" s="8">
        <v>553.07000000000005</v>
      </c>
    </row>
    <row r="3262" spans="1:4" x14ac:dyDescent="0.2">
      <c r="A3262" s="6">
        <v>4695</v>
      </c>
      <c r="B3262" s="5" t="s">
        <v>3297</v>
      </c>
      <c r="C3262" s="7" t="s">
        <v>10</v>
      </c>
      <c r="D3262" s="8">
        <v>307.25</v>
      </c>
    </row>
    <row r="3263" spans="1:4" x14ac:dyDescent="0.2">
      <c r="A3263" s="6">
        <v>4696</v>
      </c>
      <c r="B3263" s="5" t="s">
        <v>3298</v>
      </c>
      <c r="C3263" s="7" t="s">
        <v>10</v>
      </c>
      <c r="D3263" s="8">
        <v>307.25</v>
      </c>
    </row>
    <row r="3264" spans="1:4" x14ac:dyDescent="0.2">
      <c r="A3264" s="6">
        <v>4697</v>
      </c>
      <c r="B3264" s="5" t="s">
        <v>3299</v>
      </c>
      <c r="C3264" s="7" t="s">
        <v>10</v>
      </c>
      <c r="D3264" s="8">
        <v>273.48</v>
      </c>
    </row>
    <row r="3265" spans="1:4" x14ac:dyDescent="0.2">
      <c r="A3265" s="6">
        <v>4698</v>
      </c>
      <c r="B3265" s="5" t="s">
        <v>3300</v>
      </c>
      <c r="C3265" s="7" t="s">
        <v>64</v>
      </c>
      <c r="D3265" s="8">
        <v>553.07000000000005</v>
      </c>
    </row>
    <row r="3266" spans="1:4" x14ac:dyDescent="0.2">
      <c r="A3266" s="6">
        <v>4699</v>
      </c>
      <c r="B3266" s="5" t="s">
        <v>3301</v>
      </c>
      <c r="C3266" s="7" t="s">
        <v>64</v>
      </c>
      <c r="D3266" s="8">
        <v>553.07000000000005</v>
      </c>
    </row>
    <row r="3267" spans="1:4" x14ac:dyDescent="0.2">
      <c r="A3267" s="6">
        <v>4700</v>
      </c>
      <c r="B3267" s="5" t="s">
        <v>3302</v>
      </c>
      <c r="C3267" s="7" t="s">
        <v>64</v>
      </c>
      <c r="D3267" s="8">
        <v>553.07000000000005</v>
      </c>
    </row>
    <row r="3268" spans="1:4" x14ac:dyDescent="0.2">
      <c r="A3268" s="6">
        <v>4701</v>
      </c>
      <c r="B3268" s="5" t="s">
        <v>3303</v>
      </c>
      <c r="C3268" s="7" t="s">
        <v>10</v>
      </c>
      <c r="D3268" s="8">
        <v>307.25</v>
      </c>
    </row>
    <row r="3269" spans="1:4" x14ac:dyDescent="0.2">
      <c r="A3269" s="6">
        <v>4702</v>
      </c>
      <c r="B3269" s="5" t="s">
        <v>3304</v>
      </c>
      <c r="C3269" s="7" t="s">
        <v>10</v>
      </c>
      <c r="D3269" s="8">
        <v>307.25</v>
      </c>
    </row>
    <row r="3270" spans="1:4" x14ac:dyDescent="0.2">
      <c r="A3270" s="6">
        <v>4703</v>
      </c>
      <c r="B3270" s="5" t="s">
        <v>3305</v>
      </c>
      <c r="C3270" s="7" t="s">
        <v>297</v>
      </c>
      <c r="D3270" s="8">
        <v>273.48</v>
      </c>
    </row>
    <row r="3271" spans="1:4" x14ac:dyDescent="0.2">
      <c r="A3271" s="6">
        <v>4704</v>
      </c>
      <c r="B3271" s="5" t="s">
        <v>3306</v>
      </c>
      <c r="C3271" s="7" t="s">
        <v>10</v>
      </c>
      <c r="D3271" s="8">
        <v>307.25</v>
      </c>
    </row>
    <row r="3272" spans="1:4" x14ac:dyDescent="0.2">
      <c r="A3272" s="6">
        <v>4705</v>
      </c>
      <c r="B3272" s="5" t="s">
        <v>3307</v>
      </c>
      <c r="C3272" s="7" t="s">
        <v>10</v>
      </c>
      <c r="D3272" s="8">
        <v>307.25</v>
      </c>
    </row>
    <row r="3273" spans="1:4" x14ac:dyDescent="0.2">
      <c r="A3273" s="6">
        <v>4706</v>
      </c>
      <c r="B3273" s="5" t="s">
        <v>3308</v>
      </c>
      <c r="C3273" s="7" t="s">
        <v>10</v>
      </c>
      <c r="D3273" s="8">
        <v>307.25</v>
      </c>
    </row>
    <row r="3274" spans="1:4" x14ac:dyDescent="0.2">
      <c r="A3274" s="6">
        <v>4707</v>
      </c>
      <c r="B3274" s="5" t="s">
        <v>3309</v>
      </c>
      <c r="C3274" s="7" t="s">
        <v>10</v>
      </c>
      <c r="D3274" s="8">
        <v>307.25</v>
      </c>
    </row>
    <row r="3275" spans="1:4" x14ac:dyDescent="0.2">
      <c r="A3275" s="6">
        <v>4708</v>
      </c>
      <c r="B3275" s="5" t="s">
        <v>3310</v>
      </c>
      <c r="C3275" s="7" t="s">
        <v>52</v>
      </c>
      <c r="D3275" s="8">
        <v>401.25</v>
      </c>
    </row>
    <row r="3276" spans="1:4" x14ac:dyDescent="0.2">
      <c r="A3276" s="6">
        <v>4709</v>
      </c>
      <c r="B3276" s="5" t="s">
        <v>3311</v>
      </c>
      <c r="C3276" s="7" t="s">
        <v>10</v>
      </c>
      <c r="D3276" s="8">
        <v>307.25</v>
      </c>
    </row>
    <row r="3277" spans="1:4" x14ac:dyDescent="0.2">
      <c r="A3277" s="6">
        <v>4710</v>
      </c>
      <c r="B3277" s="5" t="s">
        <v>3312</v>
      </c>
      <c r="C3277" s="7" t="s">
        <v>10</v>
      </c>
      <c r="D3277" s="8">
        <v>307.25</v>
      </c>
    </row>
    <row r="3278" spans="1:4" x14ac:dyDescent="0.2">
      <c r="A3278" s="6">
        <v>4711</v>
      </c>
      <c r="B3278" s="5" t="s">
        <v>3313</v>
      </c>
      <c r="C3278" s="7" t="s">
        <v>10</v>
      </c>
      <c r="D3278" s="8">
        <v>307.25</v>
      </c>
    </row>
    <row r="3279" spans="1:4" x14ac:dyDescent="0.2">
      <c r="A3279" s="6">
        <v>4712</v>
      </c>
      <c r="B3279" s="5" t="s">
        <v>3314</v>
      </c>
      <c r="C3279" s="7" t="s">
        <v>10</v>
      </c>
      <c r="D3279" s="8">
        <v>307.25</v>
      </c>
    </row>
    <row r="3280" spans="1:4" x14ac:dyDescent="0.2">
      <c r="A3280" s="6">
        <v>4713</v>
      </c>
      <c r="B3280" s="5" t="s">
        <v>3315</v>
      </c>
      <c r="C3280" s="7" t="s">
        <v>64</v>
      </c>
      <c r="D3280" s="8">
        <v>553.07000000000005</v>
      </c>
    </row>
    <row r="3281" spans="1:4" x14ac:dyDescent="0.2">
      <c r="A3281" s="6">
        <v>4714</v>
      </c>
      <c r="B3281" s="5" t="s">
        <v>3316</v>
      </c>
      <c r="C3281" s="7" t="s">
        <v>10</v>
      </c>
      <c r="D3281" s="8">
        <v>307.25</v>
      </c>
    </row>
    <row r="3282" spans="1:4" x14ac:dyDescent="0.2">
      <c r="A3282" s="6">
        <v>4715</v>
      </c>
      <c r="B3282" s="5" t="s">
        <v>3317</v>
      </c>
      <c r="C3282" s="7" t="s">
        <v>10</v>
      </c>
      <c r="D3282" s="8">
        <v>307.25</v>
      </c>
    </row>
    <row r="3283" spans="1:4" x14ac:dyDescent="0.2">
      <c r="A3283" s="6">
        <v>4716</v>
      </c>
      <c r="B3283" s="5" t="s">
        <v>3318</v>
      </c>
      <c r="C3283" s="7" t="s">
        <v>10</v>
      </c>
      <c r="D3283" s="8">
        <v>307.25</v>
      </c>
    </row>
    <row r="3284" spans="1:4" x14ac:dyDescent="0.2">
      <c r="A3284" s="6">
        <v>4717</v>
      </c>
      <c r="B3284" s="5" t="s">
        <v>3319</v>
      </c>
      <c r="C3284" s="7" t="s">
        <v>297</v>
      </c>
      <c r="D3284" s="8">
        <v>553.07000000000005</v>
      </c>
    </row>
    <row r="3285" spans="1:4" x14ac:dyDescent="0.2">
      <c r="A3285" s="6">
        <v>4718</v>
      </c>
      <c r="B3285" s="5" t="s">
        <v>3320</v>
      </c>
      <c r="C3285" s="7" t="s">
        <v>10</v>
      </c>
      <c r="D3285" s="8">
        <v>307.25</v>
      </c>
    </row>
    <row r="3286" spans="1:4" x14ac:dyDescent="0.2">
      <c r="A3286" s="6">
        <v>4719</v>
      </c>
      <c r="B3286" s="5" t="s">
        <v>3321</v>
      </c>
      <c r="C3286" s="7" t="s">
        <v>10</v>
      </c>
      <c r="D3286" s="8">
        <v>307.25</v>
      </c>
    </row>
    <row r="3287" spans="1:4" x14ac:dyDescent="0.2">
      <c r="A3287" s="6">
        <v>4720</v>
      </c>
      <c r="B3287" s="5" t="s">
        <v>3322</v>
      </c>
      <c r="C3287" s="7" t="s">
        <v>10</v>
      </c>
      <c r="D3287" s="8">
        <v>355</v>
      </c>
    </row>
    <row r="3288" spans="1:4" x14ac:dyDescent="0.2">
      <c r="A3288" s="6">
        <v>4721</v>
      </c>
      <c r="B3288" s="5" t="s">
        <v>3323</v>
      </c>
      <c r="C3288" s="7" t="s">
        <v>10</v>
      </c>
      <c r="D3288" s="8">
        <v>307.25</v>
      </c>
    </row>
    <row r="3289" spans="1:4" x14ac:dyDescent="0.2">
      <c r="A3289" s="6">
        <v>4722</v>
      </c>
      <c r="B3289" s="5" t="s">
        <v>3324</v>
      </c>
      <c r="C3289" s="7" t="s">
        <v>10</v>
      </c>
      <c r="D3289" s="8">
        <v>273.48</v>
      </c>
    </row>
    <row r="3290" spans="1:4" x14ac:dyDescent="0.2">
      <c r="A3290" s="6">
        <v>4723</v>
      </c>
      <c r="B3290" s="5" t="s">
        <v>3325</v>
      </c>
      <c r="C3290" s="7" t="s">
        <v>10</v>
      </c>
      <c r="D3290" s="8">
        <v>273.48</v>
      </c>
    </row>
    <row r="3291" spans="1:4" x14ac:dyDescent="0.2">
      <c r="A3291" s="6">
        <v>4724</v>
      </c>
      <c r="B3291" s="5" t="s">
        <v>3326</v>
      </c>
      <c r="C3291" s="7" t="s">
        <v>10</v>
      </c>
      <c r="D3291" s="8">
        <v>307.25</v>
      </c>
    </row>
    <row r="3292" spans="1:4" x14ac:dyDescent="0.2">
      <c r="A3292" s="6">
        <v>4725</v>
      </c>
      <c r="B3292" s="5" t="s">
        <v>3327</v>
      </c>
      <c r="C3292" s="7" t="s">
        <v>10</v>
      </c>
      <c r="D3292" s="8">
        <v>307.25</v>
      </c>
    </row>
    <row r="3293" spans="1:4" x14ac:dyDescent="0.2">
      <c r="A3293" s="6">
        <v>4726</v>
      </c>
      <c r="B3293" s="5" t="s">
        <v>3328</v>
      </c>
      <c r="C3293" s="7" t="s">
        <v>10</v>
      </c>
      <c r="D3293" s="8">
        <v>307.25</v>
      </c>
    </row>
    <row r="3294" spans="1:4" x14ac:dyDescent="0.2">
      <c r="A3294" s="6">
        <v>4727</v>
      </c>
      <c r="B3294" s="5" t="s">
        <v>3329</v>
      </c>
      <c r="C3294" s="7" t="s">
        <v>10</v>
      </c>
      <c r="D3294" s="8">
        <v>307.25</v>
      </c>
    </row>
    <row r="3295" spans="1:4" x14ac:dyDescent="0.2">
      <c r="A3295" s="6">
        <v>4728</v>
      </c>
      <c r="B3295" s="5" t="s">
        <v>3330</v>
      </c>
      <c r="C3295" s="7" t="s">
        <v>64</v>
      </c>
      <c r="D3295" s="8">
        <v>553.07000000000005</v>
      </c>
    </row>
    <row r="3296" spans="1:4" x14ac:dyDescent="0.2">
      <c r="A3296" s="6">
        <v>4729</v>
      </c>
      <c r="B3296" s="5" t="s">
        <v>3331</v>
      </c>
      <c r="C3296" s="7" t="s">
        <v>64</v>
      </c>
      <c r="D3296" s="8">
        <v>553.07000000000005</v>
      </c>
    </row>
    <row r="3297" spans="1:4" x14ac:dyDescent="0.2">
      <c r="A3297" s="6">
        <v>4730</v>
      </c>
      <c r="B3297" s="5" t="s">
        <v>3332</v>
      </c>
      <c r="C3297" s="7" t="s">
        <v>64</v>
      </c>
      <c r="D3297" s="8">
        <v>553.07000000000005</v>
      </c>
    </row>
    <row r="3298" spans="1:4" x14ac:dyDescent="0.2">
      <c r="A3298" s="6">
        <v>4731</v>
      </c>
      <c r="B3298" s="5" t="s">
        <v>3333</v>
      </c>
      <c r="C3298" s="7" t="s">
        <v>10</v>
      </c>
      <c r="D3298" s="8">
        <v>307.25</v>
      </c>
    </row>
    <row r="3299" spans="1:4" x14ac:dyDescent="0.2">
      <c r="A3299" s="6">
        <v>4732</v>
      </c>
      <c r="B3299" s="5" t="s">
        <v>3334</v>
      </c>
      <c r="C3299" s="7" t="s">
        <v>10</v>
      </c>
      <c r="D3299" s="8">
        <v>307.25</v>
      </c>
    </row>
    <row r="3300" spans="1:4" x14ac:dyDescent="0.2">
      <c r="A3300" s="6">
        <v>4733</v>
      </c>
      <c r="B3300" s="5" t="s">
        <v>3335</v>
      </c>
      <c r="C3300" s="7" t="s">
        <v>10</v>
      </c>
      <c r="D3300" s="8">
        <v>307.25</v>
      </c>
    </row>
    <row r="3301" spans="1:4" x14ac:dyDescent="0.2">
      <c r="A3301" s="6">
        <v>4734</v>
      </c>
      <c r="B3301" s="5" t="s">
        <v>3336</v>
      </c>
      <c r="C3301" s="7" t="s">
        <v>64</v>
      </c>
      <c r="D3301" s="8">
        <v>553.07000000000005</v>
      </c>
    </row>
    <row r="3302" spans="1:4" x14ac:dyDescent="0.2">
      <c r="A3302" s="6">
        <v>4735</v>
      </c>
      <c r="B3302" s="5" t="s">
        <v>3337</v>
      </c>
      <c r="C3302" s="7" t="s">
        <v>64</v>
      </c>
      <c r="D3302" s="8">
        <v>553.07000000000005</v>
      </c>
    </row>
    <row r="3303" spans="1:4" x14ac:dyDescent="0.2">
      <c r="A3303" s="6">
        <v>4736</v>
      </c>
      <c r="B3303" s="5" t="s">
        <v>3338</v>
      </c>
      <c r="C3303" s="7" t="s">
        <v>10</v>
      </c>
      <c r="D3303" s="8">
        <v>307.25</v>
      </c>
    </row>
    <row r="3304" spans="1:4" x14ac:dyDescent="0.2">
      <c r="A3304" s="6">
        <v>4737</v>
      </c>
      <c r="B3304" s="5" t="s">
        <v>3339</v>
      </c>
      <c r="C3304" s="7" t="s">
        <v>10</v>
      </c>
      <c r="D3304" s="8">
        <v>307.25</v>
      </c>
    </row>
    <row r="3305" spans="1:4" x14ac:dyDescent="0.2">
      <c r="A3305" s="6">
        <v>4738</v>
      </c>
      <c r="B3305" s="5" t="s">
        <v>3340</v>
      </c>
      <c r="C3305" s="7" t="s">
        <v>10</v>
      </c>
      <c r="D3305" s="8">
        <v>307.25</v>
      </c>
    </row>
    <row r="3306" spans="1:4" x14ac:dyDescent="0.2">
      <c r="A3306" s="6">
        <v>4739</v>
      </c>
      <c r="B3306" s="5" t="s">
        <v>3341</v>
      </c>
      <c r="C3306" s="7" t="s">
        <v>64</v>
      </c>
      <c r="D3306" s="8">
        <v>553.07000000000005</v>
      </c>
    </row>
    <row r="3307" spans="1:4" x14ac:dyDescent="0.2">
      <c r="A3307" s="6">
        <v>4740</v>
      </c>
      <c r="B3307" s="5" t="s">
        <v>3342</v>
      </c>
      <c r="C3307" s="7" t="s">
        <v>10</v>
      </c>
      <c r="D3307" s="8">
        <v>307.25</v>
      </c>
    </row>
    <row r="3308" spans="1:4" x14ac:dyDescent="0.2">
      <c r="A3308" s="6">
        <v>4741</v>
      </c>
      <c r="B3308" s="5" t="s">
        <v>3343</v>
      </c>
      <c r="C3308" s="7" t="s">
        <v>64</v>
      </c>
      <c r="D3308" s="8">
        <v>492.28</v>
      </c>
    </row>
    <row r="3309" spans="1:4" x14ac:dyDescent="0.2">
      <c r="A3309" s="6">
        <v>4742</v>
      </c>
      <c r="B3309" s="5" t="s">
        <v>3344</v>
      </c>
      <c r="C3309" s="7" t="s">
        <v>10</v>
      </c>
      <c r="D3309" s="8">
        <v>307.25</v>
      </c>
    </row>
    <row r="3310" spans="1:4" x14ac:dyDescent="0.2">
      <c r="A3310" s="6">
        <v>4743</v>
      </c>
      <c r="B3310" s="5" t="s">
        <v>3345</v>
      </c>
      <c r="C3310" s="7" t="s">
        <v>64</v>
      </c>
      <c r="D3310" s="8">
        <v>553.07000000000005</v>
      </c>
    </row>
    <row r="3311" spans="1:4" x14ac:dyDescent="0.2">
      <c r="A3311" s="6">
        <v>4744</v>
      </c>
      <c r="B3311" s="5" t="s">
        <v>3346</v>
      </c>
      <c r="C3311" s="7" t="s">
        <v>64</v>
      </c>
      <c r="D3311" s="8">
        <v>553.07000000000005</v>
      </c>
    </row>
    <row r="3312" spans="1:4" x14ac:dyDescent="0.2">
      <c r="A3312" s="6">
        <v>4745</v>
      </c>
      <c r="B3312" s="5" t="s">
        <v>3347</v>
      </c>
      <c r="C3312" s="7" t="s">
        <v>64</v>
      </c>
      <c r="D3312" s="8">
        <v>553.07000000000005</v>
      </c>
    </row>
    <row r="3313" spans="1:4" x14ac:dyDescent="0.2">
      <c r="A3313" s="6">
        <v>4746</v>
      </c>
      <c r="B3313" s="5" t="s">
        <v>3348</v>
      </c>
      <c r="C3313" s="7" t="s">
        <v>64</v>
      </c>
      <c r="D3313" s="8">
        <v>553.07000000000005</v>
      </c>
    </row>
    <row r="3314" spans="1:4" x14ac:dyDescent="0.2">
      <c r="A3314" s="6">
        <v>4747</v>
      </c>
      <c r="B3314" s="5" t="s">
        <v>3349</v>
      </c>
      <c r="C3314" s="7" t="s">
        <v>64</v>
      </c>
      <c r="D3314" s="8">
        <v>553.07000000000005</v>
      </c>
    </row>
    <row r="3315" spans="1:4" x14ac:dyDescent="0.2">
      <c r="A3315" s="6">
        <v>4748</v>
      </c>
      <c r="B3315" s="5" t="s">
        <v>3350</v>
      </c>
      <c r="C3315" s="7" t="s">
        <v>64</v>
      </c>
      <c r="D3315" s="8">
        <v>553.07000000000005</v>
      </c>
    </row>
    <row r="3316" spans="1:4" x14ac:dyDescent="0.2">
      <c r="A3316" s="6">
        <v>4749</v>
      </c>
      <c r="B3316" s="5" t="s">
        <v>3351</v>
      </c>
      <c r="C3316" s="7" t="s">
        <v>64</v>
      </c>
      <c r="D3316" s="8">
        <v>553.07000000000005</v>
      </c>
    </row>
    <row r="3317" spans="1:4" x14ac:dyDescent="0.2">
      <c r="A3317" s="6">
        <v>4750</v>
      </c>
      <c r="B3317" s="5" t="s">
        <v>3352</v>
      </c>
      <c r="C3317" s="7" t="s">
        <v>10</v>
      </c>
      <c r="D3317" s="8">
        <v>307.25</v>
      </c>
    </row>
    <row r="3318" spans="1:4" x14ac:dyDescent="0.2">
      <c r="A3318" s="6">
        <v>4751</v>
      </c>
      <c r="B3318" s="5" t="s">
        <v>3353</v>
      </c>
      <c r="C3318" s="7" t="s">
        <v>64</v>
      </c>
      <c r="D3318" s="8">
        <v>553.07000000000005</v>
      </c>
    </row>
    <row r="3319" spans="1:4" x14ac:dyDescent="0.2">
      <c r="A3319" s="6">
        <v>4752</v>
      </c>
      <c r="B3319" s="5" t="s">
        <v>3354</v>
      </c>
      <c r="C3319" s="7" t="s">
        <v>10</v>
      </c>
      <c r="D3319" s="8">
        <v>307.25</v>
      </c>
    </row>
    <row r="3320" spans="1:4" x14ac:dyDescent="0.2">
      <c r="A3320" s="6">
        <v>4753</v>
      </c>
      <c r="B3320" s="5" t="s">
        <v>3355</v>
      </c>
      <c r="C3320" s="7" t="s">
        <v>10</v>
      </c>
      <c r="D3320" s="8">
        <v>307.25</v>
      </c>
    </row>
    <row r="3321" spans="1:4" x14ac:dyDescent="0.2">
      <c r="A3321" s="6">
        <v>4754</v>
      </c>
      <c r="B3321" s="5" t="s">
        <v>3356</v>
      </c>
      <c r="C3321" s="7" t="s">
        <v>64</v>
      </c>
      <c r="D3321" s="8">
        <v>553.07000000000005</v>
      </c>
    </row>
    <row r="3322" spans="1:4" x14ac:dyDescent="0.2">
      <c r="A3322" s="6">
        <v>4755</v>
      </c>
      <c r="B3322" s="5" t="s">
        <v>3357</v>
      </c>
      <c r="C3322" s="7" t="s">
        <v>10</v>
      </c>
      <c r="D3322" s="8">
        <v>307.25</v>
      </c>
    </row>
    <row r="3323" spans="1:4" x14ac:dyDescent="0.2">
      <c r="A3323" s="6">
        <v>4756</v>
      </c>
      <c r="B3323" s="5" t="s">
        <v>3358</v>
      </c>
      <c r="C3323" s="7" t="s">
        <v>10</v>
      </c>
      <c r="D3323" s="8">
        <v>307.25</v>
      </c>
    </row>
    <row r="3324" spans="1:4" x14ac:dyDescent="0.2">
      <c r="A3324" s="6">
        <v>4757</v>
      </c>
      <c r="B3324" s="5" t="s">
        <v>3359</v>
      </c>
      <c r="C3324" s="7" t="s">
        <v>10</v>
      </c>
      <c r="D3324" s="8">
        <v>307.25</v>
      </c>
    </row>
    <row r="3325" spans="1:4" x14ac:dyDescent="0.2">
      <c r="A3325" s="6">
        <v>4758</v>
      </c>
      <c r="B3325" s="5" t="s">
        <v>3360</v>
      </c>
      <c r="C3325" s="7" t="s">
        <v>10</v>
      </c>
      <c r="D3325" s="8">
        <v>273.48</v>
      </c>
    </row>
    <row r="3326" spans="1:4" x14ac:dyDescent="0.2">
      <c r="A3326" s="6">
        <v>4759</v>
      </c>
      <c r="B3326" s="5" t="s">
        <v>3361</v>
      </c>
      <c r="C3326" s="7" t="s">
        <v>10</v>
      </c>
      <c r="D3326" s="8">
        <v>307.25</v>
      </c>
    </row>
    <row r="3327" spans="1:4" x14ac:dyDescent="0.2">
      <c r="A3327" s="6">
        <v>4760</v>
      </c>
      <c r="B3327" s="5" t="s">
        <v>3362</v>
      </c>
      <c r="C3327" s="7" t="s">
        <v>10</v>
      </c>
      <c r="D3327" s="8">
        <v>307.25</v>
      </c>
    </row>
    <row r="3328" spans="1:4" x14ac:dyDescent="0.2">
      <c r="A3328" s="6">
        <v>4761</v>
      </c>
      <c r="B3328" s="5" t="s">
        <v>3363</v>
      </c>
      <c r="C3328" s="7" t="s">
        <v>10</v>
      </c>
      <c r="D3328" s="8">
        <v>307.25</v>
      </c>
    </row>
    <row r="3329" spans="1:4" x14ac:dyDescent="0.2">
      <c r="A3329" s="6">
        <v>4762</v>
      </c>
      <c r="B3329" s="5" t="s">
        <v>3364</v>
      </c>
      <c r="C3329" s="7" t="s">
        <v>10</v>
      </c>
      <c r="D3329" s="8">
        <v>307.25</v>
      </c>
    </row>
    <row r="3330" spans="1:4" x14ac:dyDescent="0.2">
      <c r="A3330" s="6">
        <v>4763</v>
      </c>
      <c r="B3330" s="5" t="s">
        <v>3365</v>
      </c>
      <c r="C3330" s="7" t="s">
        <v>10</v>
      </c>
      <c r="D3330" s="8">
        <v>307.25</v>
      </c>
    </row>
    <row r="3331" spans="1:4" x14ac:dyDescent="0.2">
      <c r="A3331" s="6">
        <v>4764</v>
      </c>
      <c r="B3331" s="5" t="s">
        <v>3366</v>
      </c>
      <c r="C3331" s="7" t="s">
        <v>10</v>
      </c>
      <c r="D3331" s="8">
        <v>307.25</v>
      </c>
    </row>
    <row r="3332" spans="1:4" x14ac:dyDescent="0.2">
      <c r="A3332" s="6">
        <v>4765</v>
      </c>
      <c r="B3332" s="5" t="s">
        <v>3367</v>
      </c>
      <c r="C3332" s="7" t="s">
        <v>10</v>
      </c>
      <c r="D3332" s="8">
        <v>307.25</v>
      </c>
    </row>
    <row r="3333" spans="1:4" x14ac:dyDescent="0.2">
      <c r="A3333" s="6">
        <v>4766</v>
      </c>
      <c r="B3333" s="5" t="s">
        <v>3368</v>
      </c>
      <c r="C3333" s="7" t="s">
        <v>10</v>
      </c>
      <c r="D3333" s="8">
        <v>307.25</v>
      </c>
    </row>
    <row r="3334" spans="1:4" x14ac:dyDescent="0.2">
      <c r="A3334" s="6">
        <v>4767</v>
      </c>
      <c r="B3334" s="5" t="s">
        <v>3369</v>
      </c>
      <c r="C3334" s="7" t="s">
        <v>10</v>
      </c>
      <c r="D3334" s="8">
        <v>307.25</v>
      </c>
    </row>
    <row r="3335" spans="1:4" x14ac:dyDescent="0.2">
      <c r="A3335" s="6">
        <v>4768</v>
      </c>
      <c r="B3335" s="5" t="s">
        <v>3370</v>
      </c>
      <c r="C3335" s="7" t="s">
        <v>10</v>
      </c>
      <c r="D3335" s="8">
        <v>307.25</v>
      </c>
    </row>
    <row r="3336" spans="1:4" x14ac:dyDescent="0.2">
      <c r="A3336" s="6">
        <v>4769</v>
      </c>
      <c r="B3336" s="5" t="s">
        <v>3371</v>
      </c>
      <c r="C3336" s="7" t="s">
        <v>10</v>
      </c>
      <c r="D3336" s="8">
        <v>307.25</v>
      </c>
    </row>
    <row r="3337" spans="1:4" x14ac:dyDescent="0.2">
      <c r="A3337" s="6">
        <v>4770</v>
      </c>
      <c r="B3337" s="5" t="s">
        <v>3372</v>
      </c>
      <c r="C3337" s="7" t="s">
        <v>10</v>
      </c>
      <c r="D3337" s="8">
        <v>307.25</v>
      </c>
    </row>
    <row r="3338" spans="1:4" x14ac:dyDescent="0.2">
      <c r="A3338" s="6">
        <v>4771</v>
      </c>
      <c r="B3338" s="5" t="s">
        <v>3373</v>
      </c>
      <c r="C3338" s="7" t="s">
        <v>10</v>
      </c>
      <c r="D3338" s="8">
        <v>307.25</v>
      </c>
    </row>
    <row r="3339" spans="1:4" x14ac:dyDescent="0.2">
      <c r="A3339" s="6">
        <v>4772</v>
      </c>
      <c r="B3339" s="5" t="s">
        <v>3374</v>
      </c>
      <c r="C3339" s="7" t="s">
        <v>10</v>
      </c>
      <c r="D3339" s="8">
        <v>307.25</v>
      </c>
    </row>
    <row r="3340" spans="1:4" x14ac:dyDescent="0.2">
      <c r="A3340" s="6">
        <v>4773</v>
      </c>
      <c r="B3340" s="5" t="s">
        <v>3375</v>
      </c>
      <c r="C3340" s="7" t="s">
        <v>10</v>
      </c>
      <c r="D3340" s="8">
        <v>307.25</v>
      </c>
    </row>
    <row r="3341" spans="1:4" x14ac:dyDescent="0.2">
      <c r="A3341" s="6">
        <v>4774</v>
      </c>
      <c r="B3341" s="5" t="s">
        <v>3376</v>
      </c>
      <c r="C3341" s="7" t="s">
        <v>10</v>
      </c>
      <c r="D3341" s="8">
        <v>307.25</v>
      </c>
    </row>
    <row r="3342" spans="1:4" x14ac:dyDescent="0.2">
      <c r="A3342" s="6">
        <v>4775</v>
      </c>
      <c r="B3342" s="5" t="s">
        <v>3377</v>
      </c>
      <c r="C3342" s="7" t="s">
        <v>10</v>
      </c>
      <c r="D3342" s="8">
        <v>307.25</v>
      </c>
    </row>
    <row r="3343" spans="1:4" x14ac:dyDescent="0.2">
      <c r="A3343" s="6">
        <v>4776</v>
      </c>
      <c r="B3343" s="5" t="s">
        <v>3378</v>
      </c>
      <c r="C3343" s="7" t="s">
        <v>10</v>
      </c>
      <c r="D3343" s="8">
        <v>307.25</v>
      </c>
    </row>
    <row r="3344" spans="1:4" x14ac:dyDescent="0.2">
      <c r="A3344" s="6">
        <v>4777</v>
      </c>
      <c r="B3344" s="5" t="s">
        <v>3379</v>
      </c>
      <c r="C3344" s="7" t="s">
        <v>10</v>
      </c>
      <c r="D3344" s="8">
        <v>307.25</v>
      </c>
    </row>
    <row r="3345" spans="1:4" x14ac:dyDescent="0.2">
      <c r="A3345" s="6">
        <v>4778</v>
      </c>
      <c r="B3345" s="5" t="s">
        <v>3380</v>
      </c>
      <c r="C3345" s="7" t="s">
        <v>10</v>
      </c>
      <c r="D3345" s="8">
        <v>307.25</v>
      </c>
    </row>
    <row r="3346" spans="1:4" x14ac:dyDescent="0.2">
      <c r="A3346" s="6">
        <v>4779</v>
      </c>
      <c r="B3346" s="5" t="s">
        <v>3381</v>
      </c>
      <c r="C3346" s="7" t="s">
        <v>10</v>
      </c>
      <c r="D3346" s="8">
        <v>307.25</v>
      </c>
    </row>
    <row r="3347" spans="1:4" x14ac:dyDescent="0.2">
      <c r="A3347" s="6">
        <v>4780</v>
      </c>
      <c r="B3347" s="5" t="s">
        <v>3382</v>
      </c>
      <c r="C3347" s="7" t="s">
        <v>10</v>
      </c>
      <c r="D3347" s="8">
        <v>307.25</v>
      </c>
    </row>
    <row r="3348" spans="1:4" x14ac:dyDescent="0.2">
      <c r="A3348" s="6">
        <v>4781</v>
      </c>
      <c r="B3348" s="5" t="s">
        <v>3383</v>
      </c>
      <c r="C3348" s="7" t="s">
        <v>10</v>
      </c>
      <c r="D3348" s="8">
        <v>307.25</v>
      </c>
    </row>
    <row r="3349" spans="1:4" x14ac:dyDescent="0.2">
      <c r="A3349" s="6">
        <v>4782</v>
      </c>
      <c r="B3349" s="5" t="s">
        <v>3384</v>
      </c>
      <c r="C3349" s="7" t="s">
        <v>10</v>
      </c>
      <c r="D3349" s="8">
        <v>307.25</v>
      </c>
    </row>
    <row r="3350" spans="1:4" x14ac:dyDescent="0.2">
      <c r="A3350" s="6">
        <v>4783</v>
      </c>
      <c r="B3350" s="5" t="s">
        <v>3385</v>
      </c>
      <c r="C3350" s="7" t="s">
        <v>10</v>
      </c>
      <c r="D3350" s="8">
        <v>307.25</v>
      </c>
    </row>
    <row r="3351" spans="1:4" x14ac:dyDescent="0.2">
      <c r="A3351" s="6">
        <v>4784</v>
      </c>
      <c r="B3351" s="5" t="s">
        <v>3386</v>
      </c>
      <c r="C3351" s="7" t="s">
        <v>10</v>
      </c>
      <c r="D3351" s="8">
        <v>307.25</v>
      </c>
    </row>
    <row r="3352" spans="1:4" x14ac:dyDescent="0.2">
      <c r="A3352" s="6">
        <v>4785</v>
      </c>
      <c r="B3352" s="5" t="s">
        <v>3387</v>
      </c>
      <c r="C3352" s="7" t="s">
        <v>10</v>
      </c>
      <c r="D3352" s="8">
        <v>307.25</v>
      </c>
    </row>
    <row r="3353" spans="1:4" x14ac:dyDescent="0.2">
      <c r="A3353" s="6">
        <v>4786</v>
      </c>
      <c r="B3353" s="5" t="s">
        <v>3388</v>
      </c>
      <c r="C3353" s="7" t="s">
        <v>10</v>
      </c>
      <c r="D3353" s="8">
        <v>307.25</v>
      </c>
    </row>
    <row r="3354" spans="1:4" x14ac:dyDescent="0.2">
      <c r="A3354" s="6">
        <v>4787</v>
      </c>
      <c r="B3354" s="5" t="s">
        <v>3389</v>
      </c>
      <c r="C3354" s="7" t="s">
        <v>10</v>
      </c>
      <c r="D3354" s="8">
        <v>307.25</v>
      </c>
    </row>
    <row r="3355" spans="1:4" x14ac:dyDescent="0.2">
      <c r="A3355" s="6">
        <v>4788</v>
      </c>
      <c r="B3355" s="5" t="s">
        <v>3390</v>
      </c>
      <c r="C3355" s="7" t="s">
        <v>64</v>
      </c>
      <c r="D3355" s="8">
        <v>553.07000000000005</v>
      </c>
    </row>
    <row r="3356" spans="1:4" x14ac:dyDescent="0.2">
      <c r="A3356" s="6">
        <v>4789</v>
      </c>
      <c r="B3356" s="5" t="s">
        <v>3391</v>
      </c>
      <c r="C3356" s="7" t="s">
        <v>10</v>
      </c>
      <c r="D3356" s="8">
        <v>307.25</v>
      </c>
    </row>
    <row r="3357" spans="1:4" x14ac:dyDescent="0.2">
      <c r="A3357" s="6">
        <v>4790</v>
      </c>
      <c r="B3357" s="5" t="s">
        <v>3392</v>
      </c>
      <c r="C3357" s="7" t="s">
        <v>10</v>
      </c>
      <c r="D3357" s="8">
        <v>307.25</v>
      </c>
    </row>
    <row r="3358" spans="1:4" x14ac:dyDescent="0.2">
      <c r="A3358" s="6">
        <v>4791</v>
      </c>
      <c r="B3358" s="5" t="s">
        <v>3393</v>
      </c>
      <c r="C3358" s="7" t="s">
        <v>10</v>
      </c>
      <c r="D3358" s="8">
        <v>307.25</v>
      </c>
    </row>
    <row r="3359" spans="1:4" x14ac:dyDescent="0.2">
      <c r="A3359" s="6">
        <v>4792</v>
      </c>
      <c r="B3359" s="5" t="s">
        <v>3394</v>
      </c>
      <c r="C3359" s="7" t="s">
        <v>10</v>
      </c>
      <c r="D3359" s="8">
        <v>307.25</v>
      </c>
    </row>
    <row r="3360" spans="1:4" x14ac:dyDescent="0.2">
      <c r="A3360" s="6">
        <v>4793</v>
      </c>
      <c r="B3360" s="5" t="s">
        <v>3395</v>
      </c>
      <c r="C3360" s="7" t="s">
        <v>10</v>
      </c>
      <c r="D3360" s="8">
        <v>354.88</v>
      </c>
    </row>
    <row r="3361" spans="1:4" x14ac:dyDescent="0.2">
      <c r="A3361" s="6">
        <v>4794</v>
      </c>
      <c r="B3361" s="5" t="s">
        <v>3396</v>
      </c>
      <c r="C3361" s="7" t="s">
        <v>10</v>
      </c>
      <c r="D3361" s="8">
        <v>307.25</v>
      </c>
    </row>
    <row r="3362" spans="1:4" x14ac:dyDescent="0.2">
      <c r="A3362" s="6">
        <v>4795</v>
      </c>
      <c r="B3362" s="5" t="s">
        <v>3397</v>
      </c>
      <c r="C3362" s="7" t="s">
        <v>10</v>
      </c>
      <c r="D3362" s="8">
        <v>307.25</v>
      </c>
    </row>
    <row r="3363" spans="1:4" x14ac:dyDescent="0.2">
      <c r="A3363" s="6">
        <v>4796</v>
      </c>
      <c r="B3363" s="5" t="s">
        <v>3398</v>
      </c>
      <c r="C3363" s="7" t="s">
        <v>10</v>
      </c>
      <c r="D3363" s="8">
        <v>307.25</v>
      </c>
    </row>
    <row r="3364" spans="1:4" x14ac:dyDescent="0.2">
      <c r="A3364" s="6">
        <v>4797</v>
      </c>
      <c r="B3364" s="5" t="s">
        <v>3399</v>
      </c>
      <c r="C3364" s="7" t="s">
        <v>10</v>
      </c>
      <c r="D3364" s="8">
        <v>307.25</v>
      </c>
    </row>
    <row r="3365" spans="1:4" x14ac:dyDescent="0.2">
      <c r="A3365" s="6">
        <v>4798</v>
      </c>
      <c r="B3365" s="5" t="s">
        <v>3400</v>
      </c>
      <c r="C3365" s="7" t="s">
        <v>10</v>
      </c>
      <c r="D3365" s="8">
        <v>307.25</v>
      </c>
    </row>
    <row r="3366" spans="1:4" x14ac:dyDescent="0.2">
      <c r="A3366" s="6">
        <v>4799</v>
      </c>
      <c r="B3366" s="5" t="s">
        <v>3401</v>
      </c>
      <c r="C3366" s="7" t="s">
        <v>10</v>
      </c>
      <c r="D3366" s="8">
        <v>355</v>
      </c>
    </row>
    <row r="3367" spans="1:4" x14ac:dyDescent="0.2">
      <c r="A3367" s="6">
        <v>4800</v>
      </c>
      <c r="B3367" s="5" t="s">
        <v>3402</v>
      </c>
      <c r="C3367" s="7" t="s">
        <v>10</v>
      </c>
      <c r="D3367" s="8">
        <v>192.77</v>
      </c>
    </row>
    <row r="3368" spans="1:4" x14ac:dyDescent="0.2">
      <c r="A3368" s="6">
        <v>4801</v>
      </c>
      <c r="B3368" s="5" t="s">
        <v>3403</v>
      </c>
      <c r="C3368" s="7" t="s">
        <v>10</v>
      </c>
      <c r="D3368" s="8">
        <v>307.25</v>
      </c>
    </row>
    <row r="3369" spans="1:4" x14ac:dyDescent="0.2">
      <c r="A3369" s="6">
        <v>4802</v>
      </c>
      <c r="B3369" s="5" t="s">
        <v>3404</v>
      </c>
      <c r="C3369" s="7" t="s">
        <v>10</v>
      </c>
      <c r="D3369" s="8">
        <v>307.25</v>
      </c>
    </row>
    <row r="3370" spans="1:4" x14ac:dyDescent="0.2">
      <c r="A3370" s="6">
        <v>4803</v>
      </c>
      <c r="B3370" s="5" t="s">
        <v>3405</v>
      </c>
      <c r="C3370" s="7" t="s">
        <v>10</v>
      </c>
      <c r="D3370" s="8">
        <v>307.25</v>
      </c>
    </row>
    <row r="3371" spans="1:4" x14ac:dyDescent="0.2">
      <c r="A3371" s="6">
        <v>4804</v>
      </c>
      <c r="B3371" s="5" t="s">
        <v>3406</v>
      </c>
      <c r="C3371" s="7" t="s">
        <v>64</v>
      </c>
      <c r="D3371" s="8">
        <v>553.07000000000005</v>
      </c>
    </row>
    <row r="3372" spans="1:4" x14ac:dyDescent="0.2">
      <c r="A3372" s="6">
        <v>4805</v>
      </c>
      <c r="B3372" s="5" t="s">
        <v>3407</v>
      </c>
      <c r="C3372" s="7" t="s">
        <v>10</v>
      </c>
      <c r="D3372" s="8">
        <v>307.25</v>
      </c>
    </row>
    <row r="3373" spans="1:4" x14ac:dyDescent="0.2">
      <c r="A3373" s="6">
        <v>4806</v>
      </c>
      <c r="B3373" s="5" t="s">
        <v>3408</v>
      </c>
      <c r="C3373" s="7" t="s">
        <v>10</v>
      </c>
      <c r="D3373" s="8">
        <v>307.25</v>
      </c>
    </row>
    <row r="3374" spans="1:4" x14ac:dyDescent="0.2">
      <c r="A3374" s="6">
        <v>4807</v>
      </c>
      <c r="B3374" s="5" t="s">
        <v>3409</v>
      </c>
      <c r="C3374" s="7" t="s">
        <v>10</v>
      </c>
      <c r="D3374" s="8">
        <v>307.25</v>
      </c>
    </row>
    <row r="3375" spans="1:4" x14ac:dyDescent="0.2">
      <c r="A3375" s="6">
        <v>4808</v>
      </c>
      <c r="B3375" s="5" t="s">
        <v>3410</v>
      </c>
      <c r="C3375" s="7" t="s">
        <v>10</v>
      </c>
      <c r="D3375" s="8">
        <v>307.25</v>
      </c>
    </row>
    <row r="3376" spans="1:4" x14ac:dyDescent="0.2">
      <c r="A3376" s="6">
        <v>4809</v>
      </c>
      <c r="B3376" s="5" t="s">
        <v>3411</v>
      </c>
      <c r="C3376" s="7" t="s">
        <v>10</v>
      </c>
      <c r="D3376" s="8">
        <v>307.25</v>
      </c>
    </row>
    <row r="3377" spans="1:4" x14ac:dyDescent="0.2">
      <c r="A3377" s="6">
        <v>4810</v>
      </c>
      <c r="B3377" s="5" t="s">
        <v>3412</v>
      </c>
      <c r="C3377" s="7" t="s">
        <v>10</v>
      </c>
      <c r="D3377" s="8">
        <v>307.25</v>
      </c>
    </row>
    <row r="3378" spans="1:4" x14ac:dyDescent="0.2">
      <c r="A3378" s="6">
        <v>4811</v>
      </c>
      <c r="B3378" s="5" t="s">
        <v>3413</v>
      </c>
      <c r="C3378" s="7" t="s">
        <v>64</v>
      </c>
      <c r="D3378" s="8">
        <v>553.07000000000005</v>
      </c>
    </row>
    <row r="3379" spans="1:4" x14ac:dyDescent="0.2">
      <c r="A3379" s="6">
        <v>4812</v>
      </c>
      <c r="B3379" s="5" t="s">
        <v>3414</v>
      </c>
      <c r="C3379" s="7" t="s">
        <v>64</v>
      </c>
      <c r="D3379" s="8">
        <v>638.79999999999995</v>
      </c>
    </row>
    <row r="3380" spans="1:4" x14ac:dyDescent="0.2">
      <c r="A3380" s="6">
        <v>4813</v>
      </c>
      <c r="B3380" s="5" t="s">
        <v>3415</v>
      </c>
      <c r="C3380" s="7" t="s">
        <v>64</v>
      </c>
      <c r="D3380" s="8">
        <v>553.07000000000005</v>
      </c>
    </row>
    <row r="3381" spans="1:4" x14ac:dyDescent="0.2">
      <c r="A3381" s="6">
        <v>4814</v>
      </c>
      <c r="B3381" s="5" t="s">
        <v>3416</v>
      </c>
      <c r="C3381" s="7" t="s">
        <v>64</v>
      </c>
      <c r="D3381" s="8">
        <v>553.07000000000005</v>
      </c>
    </row>
    <row r="3382" spans="1:4" x14ac:dyDescent="0.2">
      <c r="A3382" s="6">
        <v>4815</v>
      </c>
      <c r="B3382" s="5" t="s">
        <v>3417</v>
      </c>
      <c r="C3382" s="7" t="s">
        <v>10</v>
      </c>
      <c r="D3382" s="8">
        <v>307.25</v>
      </c>
    </row>
    <row r="3383" spans="1:4" x14ac:dyDescent="0.2">
      <c r="A3383" s="6">
        <v>4816</v>
      </c>
      <c r="B3383" s="5" t="s">
        <v>3418</v>
      </c>
      <c r="C3383" s="7" t="s">
        <v>10</v>
      </c>
      <c r="D3383" s="8">
        <v>307.25</v>
      </c>
    </row>
    <row r="3384" spans="1:4" x14ac:dyDescent="0.2">
      <c r="A3384" s="6">
        <v>4817</v>
      </c>
      <c r="B3384" s="5" t="s">
        <v>3419</v>
      </c>
      <c r="C3384" s="7" t="s">
        <v>92</v>
      </c>
      <c r="D3384" s="8">
        <v>550</v>
      </c>
    </row>
    <row r="3385" spans="1:4" x14ac:dyDescent="0.2">
      <c r="A3385" s="6">
        <v>4818</v>
      </c>
      <c r="B3385" s="5" t="s">
        <v>3420</v>
      </c>
      <c r="C3385" s="7" t="s">
        <v>10</v>
      </c>
      <c r="D3385" s="8">
        <v>307.25</v>
      </c>
    </row>
    <row r="3386" spans="1:4" x14ac:dyDescent="0.2">
      <c r="A3386" s="6">
        <v>4819</v>
      </c>
      <c r="B3386" s="5" t="s">
        <v>3421</v>
      </c>
      <c r="C3386" s="7" t="s">
        <v>10</v>
      </c>
      <c r="D3386" s="8">
        <v>307.25</v>
      </c>
    </row>
    <row r="3387" spans="1:4" x14ac:dyDescent="0.2">
      <c r="A3387" s="6">
        <v>4820</v>
      </c>
      <c r="B3387" s="5" t="s">
        <v>3422</v>
      </c>
      <c r="C3387" s="7" t="s">
        <v>10</v>
      </c>
      <c r="D3387" s="8">
        <v>307.25</v>
      </c>
    </row>
    <row r="3388" spans="1:4" x14ac:dyDescent="0.2">
      <c r="A3388" s="6">
        <v>4821</v>
      </c>
      <c r="B3388" s="5" t="s">
        <v>3423</v>
      </c>
      <c r="C3388" s="7" t="s">
        <v>10</v>
      </c>
      <c r="D3388" s="8">
        <v>307.25</v>
      </c>
    </row>
    <row r="3389" spans="1:4" x14ac:dyDescent="0.2">
      <c r="A3389" s="6">
        <v>4822</v>
      </c>
      <c r="B3389" s="5" t="s">
        <v>3424</v>
      </c>
      <c r="C3389" s="7" t="s">
        <v>68</v>
      </c>
      <c r="D3389" s="8">
        <v>553.07000000000005</v>
      </c>
    </row>
    <row r="3390" spans="1:4" x14ac:dyDescent="0.2">
      <c r="A3390" s="6">
        <v>4823</v>
      </c>
      <c r="B3390" s="5" t="s">
        <v>3425</v>
      </c>
      <c r="C3390" s="7" t="s">
        <v>116</v>
      </c>
      <c r="D3390" s="8">
        <v>690.35</v>
      </c>
    </row>
    <row r="3391" spans="1:4" x14ac:dyDescent="0.2">
      <c r="A3391" s="6">
        <v>4824</v>
      </c>
      <c r="B3391" s="5" t="s">
        <v>3426</v>
      </c>
      <c r="C3391" s="7" t="s">
        <v>10</v>
      </c>
      <c r="D3391" s="8">
        <v>354.88</v>
      </c>
    </row>
    <row r="3392" spans="1:4" x14ac:dyDescent="0.2">
      <c r="A3392" s="6">
        <v>4825</v>
      </c>
      <c r="B3392" s="5" t="s">
        <v>3427</v>
      </c>
      <c r="C3392" s="7" t="s">
        <v>10</v>
      </c>
      <c r="D3392" s="8">
        <v>307.25</v>
      </c>
    </row>
    <row r="3393" spans="1:4" x14ac:dyDescent="0.2">
      <c r="A3393" s="6">
        <v>4826</v>
      </c>
      <c r="B3393" s="5" t="s">
        <v>3428</v>
      </c>
      <c r="C3393" s="7" t="s">
        <v>64</v>
      </c>
      <c r="D3393" s="8">
        <v>553.07000000000005</v>
      </c>
    </row>
    <row r="3394" spans="1:4" x14ac:dyDescent="0.2">
      <c r="A3394" s="6">
        <v>4827</v>
      </c>
      <c r="B3394" s="5" t="s">
        <v>3429</v>
      </c>
      <c r="C3394" s="7" t="s">
        <v>64</v>
      </c>
      <c r="D3394" s="8">
        <v>638.79999999999995</v>
      </c>
    </row>
    <row r="3395" spans="1:4" x14ac:dyDescent="0.2">
      <c r="A3395" s="6">
        <v>4828</v>
      </c>
      <c r="B3395" s="5" t="s">
        <v>3430</v>
      </c>
      <c r="C3395" s="7" t="s">
        <v>10</v>
      </c>
      <c r="D3395" s="8">
        <v>307.25</v>
      </c>
    </row>
    <row r="3396" spans="1:4" x14ac:dyDescent="0.2">
      <c r="A3396" s="6">
        <v>4829</v>
      </c>
      <c r="B3396" s="5" t="s">
        <v>3431</v>
      </c>
      <c r="C3396" s="7" t="s">
        <v>10</v>
      </c>
      <c r="D3396" s="8">
        <v>307.25</v>
      </c>
    </row>
    <row r="3397" spans="1:4" x14ac:dyDescent="0.2">
      <c r="A3397" s="6">
        <v>4830</v>
      </c>
      <c r="B3397" s="5" t="s">
        <v>3432</v>
      </c>
      <c r="C3397" s="7" t="s">
        <v>64</v>
      </c>
      <c r="D3397" s="8">
        <v>553.07000000000005</v>
      </c>
    </row>
    <row r="3398" spans="1:4" x14ac:dyDescent="0.2">
      <c r="A3398" s="6">
        <v>4831</v>
      </c>
      <c r="B3398" s="5" t="s">
        <v>3433</v>
      </c>
      <c r="C3398" s="7" t="s">
        <v>64</v>
      </c>
      <c r="D3398" s="8">
        <v>553.07000000000005</v>
      </c>
    </row>
    <row r="3399" spans="1:4" x14ac:dyDescent="0.2">
      <c r="A3399" s="6">
        <v>4832</v>
      </c>
      <c r="B3399" s="5" t="s">
        <v>3434</v>
      </c>
      <c r="C3399" s="7" t="s">
        <v>64</v>
      </c>
      <c r="D3399" s="8">
        <v>553.07000000000005</v>
      </c>
    </row>
    <row r="3400" spans="1:4" x14ac:dyDescent="0.2">
      <c r="A3400" s="6">
        <v>4833</v>
      </c>
      <c r="B3400" s="5" t="s">
        <v>3435</v>
      </c>
      <c r="C3400" s="7" t="s">
        <v>64</v>
      </c>
      <c r="D3400" s="8">
        <v>553.07000000000005</v>
      </c>
    </row>
    <row r="3401" spans="1:4" x14ac:dyDescent="0.2">
      <c r="A3401" s="6">
        <v>4834</v>
      </c>
      <c r="B3401" s="5" t="s">
        <v>3436</v>
      </c>
      <c r="C3401" s="7" t="s">
        <v>10</v>
      </c>
      <c r="D3401" s="8">
        <v>355</v>
      </c>
    </row>
    <row r="3402" spans="1:4" x14ac:dyDescent="0.2">
      <c r="A3402" s="6">
        <v>4835</v>
      </c>
      <c r="B3402" s="5" t="s">
        <v>3437</v>
      </c>
      <c r="C3402" s="7" t="s">
        <v>10</v>
      </c>
      <c r="D3402" s="8">
        <v>307.25</v>
      </c>
    </row>
    <row r="3403" spans="1:4" x14ac:dyDescent="0.2">
      <c r="A3403" s="6">
        <v>4836</v>
      </c>
      <c r="B3403" s="5" t="s">
        <v>3438</v>
      </c>
      <c r="C3403" s="7" t="s">
        <v>10</v>
      </c>
      <c r="D3403" s="8">
        <v>307.25</v>
      </c>
    </row>
    <row r="3404" spans="1:4" x14ac:dyDescent="0.2">
      <c r="A3404" s="6">
        <v>4837</v>
      </c>
      <c r="B3404" s="5" t="s">
        <v>3439</v>
      </c>
      <c r="C3404" s="7" t="s">
        <v>10</v>
      </c>
      <c r="D3404" s="8">
        <v>307.25</v>
      </c>
    </row>
    <row r="3405" spans="1:4" x14ac:dyDescent="0.2">
      <c r="A3405" s="6">
        <v>4838</v>
      </c>
      <c r="B3405" s="5" t="s">
        <v>3440</v>
      </c>
      <c r="C3405" s="7" t="s">
        <v>64</v>
      </c>
      <c r="D3405" s="8">
        <v>553.07000000000005</v>
      </c>
    </row>
    <row r="3406" spans="1:4" x14ac:dyDescent="0.2">
      <c r="A3406" s="6">
        <v>4839</v>
      </c>
      <c r="B3406" s="5" t="s">
        <v>3441</v>
      </c>
      <c r="C3406" s="7" t="s">
        <v>10</v>
      </c>
      <c r="D3406" s="8">
        <v>307.25</v>
      </c>
    </row>
    <row r="3407" spans="1:4" x14ac:dyDescent="0.2">
      <c r="A3407" s="6">
        <v>4840</v>
      </c>
      <c r="B3407" s="5" t="s">
        <v>3442</v>
      </c>
      <c r="C3407" s="7" t="s">
        <v>10</v>
      </c>
      <c r="D3407" s="8">
        <v>355</v>
      </c>
    </row>
    <row r="3408" spans="1:4" x14ac:dyDescent="0.2">
      <c r="A3408" s="6">
        <v>4841</v>
      </c>
      <c r="B3408" s="5" t="s">
        <v>3443</v>
      </c>
      <c r="C3408" s="7" t="s">
        <v>64</v>
      </c>
      <c r="D3408" s="8">
        <v>608.38</v>
      </c>
    </row>
    <row r="3409" spans="1:4" x14ac:dyDescent="0.2">
      <c r="A3409" s="6">
        <v>4842</v>
      </c>
      <c r="B3409" s="5" t="s">
        <v>3444</v>
      </c>
      <c r="C3409" s="7" t="s">
        <v>64</v>
      </c>
      <c r="D3409" s="8">
        <v>553.07000000000005</v>
      </c>
    </row>
    <row r="3410" spans="1:4" x14ac:dyDescent="0.2">
      <c r="A3410" s="6">
        <v>4843</v>
      </c>
      <c r="B3410" s="5" t="s">
        <v>3445</v>
      </c>
      <c r="C3410" s="7" t="s">
        <v>10</v>
      </c>
      <c r="D3410" s="8">
        <v>307.25</v>
      </c>
    </row>
    <row r="3411" spans="1:4" x14ac:dyDescent="0.2">
      <c r="A3411" s="6">
        <v>4844</v>
      </c>
      <c r="B3411" s="5" t="s">
        <v>3446</v>
      </c>
      <c r="C3411" s="7" t="s">
        <v>10</v>
      </c>
      <c r="D3411" s="8">
        <v>307.25</v>
      </c>
    </row>
    <row r="3412" spans="1:4" x14ac:dyDescent="0.2">
      <c r="A3412" s="6">
        <v>4845</v>
      </c>
      <c r="B3412" s="5" t="s">
        <v>3447</v>
      </c>
      <c r="C3412" s="7" t="s">
        <v>64</v>
      </c>
      <c r="D3412" s="8">
        <v>553.07000000000005</v>
      </c>
    </row>
    <row r="3413" spans="1:4" x14ac:dyDescent="0.2">
      <c r="A3413" s="6">
        <v>4846</v>
      </c>
      <c r="B3413" s="5" t="s">
        <v>3448</v>
      </c>
      <c r="C3413" s="7" t="s">
        <v>10</v>
      </c>
      <c r="D3413" s="8">
        <v>307.25</v>
      </c>
    </row>
    <row r="3414" spans="1:4" x14ac:dyDescent="0.2">
      <c r="A3414" s="6">
        <v>4847</v>
      </c>
      <c r="B3414" s="5" t="s">
        <v>3449</v>
      </c>
      <c r="C3414" s="7" t="s">
        <v>10</v>
      </c>
      <c r="D3414" s="8">
        <v>307.25</v>
      </c>
    </row>
    <row r="3415" spans="1:4" x14ac:dyDescent="0.2">
      <c r="A3415" s="6">
        <v>4848</v>
      </c>
      <c r="B3415" s="5" t="s">
        <v>3450</v>
      </c>
      <c r="C3415" s="7" t="s">
        <v>10</v>
      </c>
      <c r="D3415" s="8">
        <v>307.25</v>
      </c>
    </row>
    <row r="3416" spans="1:4" x14ac:dyDescent="0.2">
      <c r="A3416" s="6">
        <v>4849</v>
      </c>
      <c r="B3416" s="5" t="s">
        <v>3451</v>
      </c>
      <c r="C3416" s="7" t="s">
        <v>10</v>
      </c>
      <c r="D3416" s="8">
        <v>307.25</v>
      </c>
    </row>
    <row r="3417" spans="1:4" x14ac:dyDescent="0.2">
      <c r="A3417" s="6">
        <v>4850</v>
      </c>
      <c r="B3417" s="5" t="s">
        <v>3452</v>
      </c>
      <c r="C3417" s="7" t="s">
        <v>10</v>
      </c>
      <c r="D3417" s="8">
        <v>355</v>
      </c>
    </row>
    <row r="3418" spans="1:4" x14ac:dyDescent="0.2">
      <c r="A3418" s="6">
        <v>4851</v>
      </c>
      <c r="B3418" s="5" t="s">
        <v>3453</v>
      </c>
      <c r="C3418" s="7" t="s">
        <v>64</v>
      </c>
      <c r="D3418" s="8">
        <v>553.07000000000005</v>
      </c>
    </row>
    <row r="3419" spans="1:4" x14ac:dyDescent="0.2">
      <c r="A3419" s="6">
        <v>4852</v>
      </c>
      <c r="B3419" s="5" t="s">
        <v>3454</v>
      </c>
      <c r="C3419" s="7" t="s">
        <v>10</v>
      </c>
      <c r="D3419" s="8">
        <v>383.4</v>
      </c>
    </row>
    <row r="3420" spans="1:4" x14ac:dyDescent="0.2">
      <c r="A3420" s="6">
        <v>4853</v>
      </c>
      <c r="B3420" s="5" t="s">
        <v>3455</v>
      </c>
      <c r="C3420" s="7" t="s">
        <v>10</v>
      </c>
      <c r="D3420" s="8">
        <v>307.25</v>
      </c>
    </row>
    <row r="3421" spans="1:4" x14ac:dyDescent="0.2">
      <c r="A3421" s="6">
        <v>4854</v>
      </c>
      <c r="B3421" s="5" t="s">
        <v>3456</v>
      </c>
      <c r="C3421" s="7" t="s">
        <v>10</v>
      </c>
      <c r="D3421" s="8">
        <v>307.25</v>
      </c>
    </row>
    <row r="3422" spans="1:4" x14ac:dyDescent="0.2">
      <c r="A3422" s="6">
        <v>4855</v>
      </c>
      <c r="B3422" s="5" t="s">
        <v>3457</v>
      </c>
      <c r="C3422" s="7" t="s">
        <v>10</v>
      </c>
      <c r="D3422" s="8">
        <v>307.25</v>
      </c>
    </row>
    <row r="3423" spans="1:4" x14ac:dyDescent="0.2">
      <c r="A3423" s="6">
        <v>4856</v>
      </c>
      <c r="B3423" s="5" t="s">
        <v>3458</v>
      </c>
      <c r="C3423" s="7" t="s">
        <v>10</v>
      </c>
      <c r="D3423" s="8">
        <v>307.25</v>
      </c>
    </row>
    <row r="3424" spans="1:4" x14ac:dyDescent="0.2">
      <c r="A3424" s="6">
        <v>4857</v>
      </c>
      <c r="B3424" s="5" t="s">
        <v>3459</v>
      </c>
      <c r="C3424" s="7" t="s">
        <v>10</v>
      </c>
      <c r="D3424" s="8">
        <v>355</v>
      </c>
    </row>
    <row r="3425" spans="1:4" x14ac:dyDescent="0.2">
      <c r="A3425" s="6">
        <v>4858</v>
      </c>
      <c r="B3425" s="5" t="s">
        <v>3460</v>
      </c>
      <c r="C3425" s="7" t="s">
        <v>10</v>
      </c>
      <c r="D3425" s="8">
        <v>509.05</v>
      </c>
    </row>
    <row r="3426" spans="1:4" x14ac:dyDescent="0.2">
      <c r="A3426" s="6">
        <v>4859</v>
      </c>
      <c r="B3426" s="5" t="s">
        <v>3461</v>
      </c>
      <c r="C3426" s="7" t="s">
        <v>3462</v>
      </c>
      <c r="D3426" s="8">
        <v>307.25</v>
      </c>
    </row>
    <row r="3427" spans="1:4" x14ac:dyDescent="0.2">
      <c r="A3427" s="6">
        <v>4860</v>
      </c>
      <c r="B3427" s="5" t="s">
        <v>3463</v>
      </c>
      <c r="C3427" s="7" t="s">
        <v>10</v>
      </c>
      <c r="D3427" s="8">
        <v>307.25</v>
      </c>
    </row>
    <row r="3428" spans="1:4" x14ac:dyDescent="0.2">
      <c r="A3428" s="6">
        <v>4861</v>
      </c>
      <c r="B3428" s="5" t="s">
        <v>3464</v>
      </c>
      <c r="C3428" s="7" t="s">
        <v>64</v>
      </c>
      <c r="D3428" s="8">
        <v>553.07000000000005</v>
      </c>
    </row>
    <row r="3429" spans="1:4" x14ac:dyDescent="0.2">
      <c r="A3429" s="6">
        <v>4862</v>
      </c>
      <c r="B3429" s="5" t="s">
        <v>3465</v>
      </c>
      <c r="C3429" s="7" t="s">
        <v>64</v>
      </c>
      <c r="D3429" s="8">
        <v>553.07000000000005</v>
      </c>
    </row>
    <row r="3430" spans="1:4" x14ac:dyDescent="0.2">
      <c r="A3430" s="6">
        <v>4863</v>
      </c>
      <c r="B3430" s="5" t="s">
        <v>3466</v>
      </c>
      <c r="C3430" s="7" t="s">
        <v>64</v>
      </c>
      <c r="D3430" s="8">
        <v>553.07000000000005</v>
      </c>
    </row>
    <row r="3431" spans="1:4" x14ac:dyDescent="0.2">
      <c r="A3431" s="6">
        <v>4864</v>
      </c>
      <c r="B3431" s="5" t="s">
        <v>3467</v>
      </c>
      <c r="C3431" s="7" t="s">
        <v>10</v>
      </c>
      <c r="D3431" s="8">
        <v>307.25</v>
      </c>
    </row>
    <row r="3432" spans="1:4" x14ac:dyDescent="0.2">
      <c r="A3432" s="6">
        <v>4865</v>
      </c>
      <c r="B3432" s="5" t="s">
        <v>3468</v>
      </c>
      <c r="C3432" s="7" t="s">
        <v>10</v>
      </c>
      <c r="D3432" s="8">
        <v>355</v>
      </c>
    </row>
    <row r="3433" spans="1:4" x14ac:dyDescent="0.2">
      <c r="A3433" s="6">
        <v>4866</v>
      </c>
      <c r="B3433" s="5" t="s">
        <v>3469</v>
      </c>
      <c r="C3433" s="7" t="s">
        <v>10</v>
      </c>
      <c r="D3433" s="8">
        <v>355</v>
      </c>
    </row>
    <row r="3434" spans="1:4" x14ac:dyDescent="0.2">
      <c r="A3434" s="6">
        <v>4867</v>
      </c>
      <c r="B3434" s="5" t="s">
        <v>3470</v>
      </c>
      <c r="C3434" s="7" t="s">
        <v>10</v>
      </c>
      <c r="D3434" s="8">
        <v>307.25</v>
      </c>
    </row>
    <row r="3435" spans="1:4" x14ac:dyDescent="0.2">
      <c r="A3435" s="6">
        <v>4868</v>
      </c>
      <c r="B3435" s="5" t="s">
        <v>3471</v>
      </c>
      <c r="C3435" s="7" t="s">
        <v>10</v>
      </c>
      <c r="D3435" s="8">
        <v>600</v>
      </c>
    </row>
    <row r="3436" spans="1:4" x14ac:dyDescent="0.2">
      <c r="A3436" s="6">
        <v>4869</v>
      </c>
      <c r="B3436" s="5" t="s">
        <v>3472</v>
      </c>
      <c r="C3436" s="7" t="s">
        <v>64</v>
      </c>
      <c r="D3436" s="8">
        <v>800</v>
      </c>
    </row>
    <row r="3437" spans="1:4" x14ac:dyDescent="0.2">
      <c r="A3437" s="6">
        <v>4870</v>
      </c>
      <c r="B3437" s="5" t="s">
        <v>3473</v>
      </c>
      <c r="C3437" s="7" t="s">
        <v>10</v>
      </c>
      <c r="D3437" s="8">
        <v>600</v>
      </c>
    </row>
    <row r="3438" spans="1:4" x14ac:dyDescent="0.2">
      <c r="A3438" s="6">
        <v>4871</v>
      </c>
      <c r="B3438" s="5" t="s">
        <v>3474</v>
      </c>
      <c r="C3438" s="7" t="s">
        <v>10</v>
      </c>
      <c r="D3438" s="8">
        <v>600</v>
      </c>
    </row>
    <row r="3439" spans="1:4" x14ac:dyDescent="0.2">
      <c r="A3439" s="6">
        <v>4872</v>
      </c>
      <c r="B3439" s="5" t="s">
        <v>3475</v>
      </c>
      <c r="C3439" s="7" t="s">
        <v>10</v>
      </c>
      <c r="D3439" s="8">
        <v>600</v>
      </c>
    </row>
    <row r="3440" spans="1:4" x14ac:dyDescent="0.2">
      <c r="A3440" s="6">
        <v>4873</v>
      </c>
      <c r="B3440" s="5" t="s">
        <v>3476</v>
      </c>
      <c r="C3440" s="7" t="s">
        <v>10</v>
      </c>
      <c r="D3440" s="8">
        <v>600</v>
      </c>
    </row>
    <row r="3441" spans="1:4" x14ac:dyDescent="0.2">
      <c r="A3441" s="6">
        <v>4874</v>
      </c>
      <c r="B3441" s="5" t="s">
        <v>3477</v>
      </c>
      <c r="C3441" s="7" t="s">
        <v>64</v>
      </c>
      <c r="D3441" s="8">
        <v>800</v>
      </c>
    </row>
    <row r="3442" spans="1:4" x14ac:dyDescent="0.2">
      <c r="A3442" s="6">
        <v>4875</v>
      </c>
      <c r="B3442" s="5" t="s">
        <v>3478</v>
      </c>
      <c r="C3442" s="7" t="s">
        <v>10</v>
      </c>
      <c r="D3442" s="8">
        <v>600</v>
      </c>
    </row>
    <row r="3443" spans="1:4" x14ac:dyDescent="0.2">
      <c r="A3443" s="6">
        <v>4876</v>
      </c>
      <c r="B3443" s="5" t="s">
        <v>3479</v>
      </c>
      <c r="C3443" s="7" t="s">
        <v>10</v>
      </c>
      <c r="D3443" s="8">
        <v>600</v>
      </c>
    </row>
    <row r="3444" spans="1:4" x14ac:dyDescent="0.2">
      <c r="A3444" s="6">
        <v>4877</v>
      </c>
      <c r="B3444" s="5" t="s">
        <v>3480</v>
      </c>
      <c r="C3444" s="7" t="s">
        <v>64</v>
      </c>
      <c r="D3444" s="8">
        <v>800</v>
      </c>
    </row>
    <row r="3445" spans="1:4" x14ac:dyDescent="0.2">
      <c r="A3445" s="6">
        <v>4878</v>
      </c>
      <c r="B3445" s="5" t="s">
        <v>3481</v>
      </c>
      <c r="C3445" s="7" t="s">
        <v>64</v>
      </c>
      <c r="D3445" s="8">
        <v>800</v>
      </c>
    </row>
    <row r="3446" spans="1:4" x14ac:dyDescent="0.2">
      <c r="A3446" s="6">
        <v>4879</v>
      </c>
      <c r="B3446" s="5" t="s">
        <v>3482</v>
      </c>
      <c r="C3446" s="7" t="s">
        <v>3483</v>
      </c>
      <c r="D3446" s="8">
        <v>650</v>
      </c>
    </row>
    <row r="3447" spans="1:4" x14ac:dyDescent="0.2">
      <c r="A3447" s="6">
        <v>4880</v>
      </c>
      <c r="B3447" s="5" t="s">
        <v>3484</v>
      </c>
      <c r="C3447" s="7" t="s">
        <v>10</v>
      </c>
      <c r="D3447" s="8">
        <v>600</v>
      </c>
    </row>
    <row r="3448" spans="1:4" x14ac:dyDescent="0.2">
      <c r="A3448" s="6">
        <v>4881</v>
      </c>
      <c r="B3448" s="5" t="s">
        <v>3485</v>
      </c>
      <c r="C3448" s="7" t="s">
        <v>10</v>
      </c>
      <c r="D3448" s="8">
        <v>600</v>
      </c>
    </row>
    <row r="3449" spans="1:4" x14ac:dyDescent="0.2">
      <c r="A3449" s="6">
        <v>4882</v>
      </c>
      <c r="B3449" s="5" t="s">
        <v>3486</v>
      </c>
      <c r="C3449" s="7" t="s">
        <v>10</v>
      </c>
      <c r="D3449" s="8">
        <v>600</v>
      </c>
    </row>
    <row r="3450" spans="1:4" x14ac:dyDescent="0.2">
      <c r="A3450" s="6">
        <v>4883</v>
      </c>
      <c r="B3450" s="5" t="s">
        <v>3487</v>
      </c>
      <c r="C3450" s="7" t="s">
        <v>10</v>
      </c>
      <c r="D3450" s="8">
        <v>600</v>
      </c>
    </row>
    <row r="3451" spans="1:4" x14ac:dyDescent="0.2">
      <c r="A3451" s="6">
        <v>4884</v>
      </c>
      <c r="B3451" s="5" t="s">
        <v>3488</v>
      </c>
      <c r="C3451" s="7" t="s">
        <v>10</v>
      </c>
      <c r="D3451" s="8">
        <v>600</v>
      </c>
    </row>
    <row r="3452" spans="1:4" x14ac:dyDescent="0.2">
      <c r="A3452" s="6">
        <v>4885</v>
      </c>
      <c r="B3452" s="5" t="s">
        <v>3489</v>
      </c>
      <c r="C3452" s="7" t="s">
        <v>64</v>
      </c>
      <c r="D3452" s="8">
        <v>800</v>
      </c>
    </row>
    <row r="3453" spans="1:4" x14ac:dyDescent="0.2">
      <c r="A3453" s="6">
        <v>4886</v>
      </c>
      <c r="B3453" s="5" t="s">
        <v>3490</v>
      </c>
      <c r="C3453" s="7" t="s">
        <v>64</v>
      </c>
      <c r="D3453" s="8">
        <v>800</v>
      </c>
    </row>
    <row r="3454" spans="1:4" x14ac:dyDescent="0.2">
      <c r="A3454" s="6">
        <v>4887</v>
      </c>
      <c r="B3454" s="5" t="s">
        <v>3491</v>
      </c>
      <c r="C3454" s="7" t="s">
        <v>3483</v>
      </c>
      <c r="D3454" s="8">
        <v>650</v>
      </c>
    </row>
    <row r="3455" spans="1:4" x14ac:dyDescent="0.2">
      <c r="A3455" s="6">
        <v>4888</v>
      </c>
      <c r="B3455" s="5" t="s">
        <v>3492</v>
      </c>
      <c r="C3455" s="7" t="s">
        <v>10</v>
      </c>
      <c r="D3455" s="8">
        <v>600</v>
      </c>
    </row>
    <row r="3456" spans="1:4" x14ac:dyDescent="0.2">
      <c r="A3456" s="6">
        <v>4889</v>
      </c>
      <c r="B3456" s="5" t="s">
        <v>3493</v>
      </c>
      <c r="C3456" s="7" t="s">
        <v>10</v>
      </c>
      <c r="D3456" s="8">
        <v>600</v>
      </c>
    </row>
    <row r="3457" spans="1:4" x14ac:dyDescent="0.2">
      <c r="A3457" s="6">
        <v>4890</v>
      </c>
      <c r="B3457" s="5" t="s">
        <v>3494</v>
      </c>
      <c r="C3457" s="7" t="s">
        <v>10</v>
      </c>
      <c r="D3457" s="8">
        <v>600</v>
      </c>
    </row>
    <row r="3458" spans="1:4" x14ac:dyDescent="0.2">
      <c r="A3458" s="6">
        <v>4891</v>
      </c>
      <c r="B3458" s="5" t="s">
        <v>3495</v>
      </c>
      <c r="C3458" s="7" t="s">
        <v>297</v>
      </c>
      <c r="D3458" s="8">
        <v>307.25</v>
      </c>
    </row>
    <row r="3459" spans="1:4" x14ac:dyDescent="0.2">
      <c r="A3459" s="6">
        <v>4892</v>
      </c>
      <c r="B3459" s="5" t="s">
        <v>3496</v>
      </c>
      <c r="C3459" s="7" t="s">
        <v>64</v>
      </c>
      <c r="D3459" s="8">
        <v>800</v>
      </c>
    </row>
    <row r="3460" spans="1:4" x14ac:dyDescent="0.2">
      <c r="A3460" s="6">
        <v>4893</v>
      </c>
      <c r="B3460" s="5" t="s">
        <v>3497</v>
      </c>
      <c r="C3460" s="7" t="s">
        <v>10</v>
      </c>
      <c r="D3460" s="8">
        <v>307.25</v>
      </c>
    </row>
    <row r="3461" spans="1:4" x14ac:dyDescent="0.2">
      <c r="A3461" s="6">
        <v>4894</v>
      </c>
      <c r="B3461" s="5" t="s">
        <v>3498</v>
      </c>
      <c r="C3461" s="7" t="s">
        <v>10</v>
      </c>
      <c r="D3461" s="8">
        <v>596.04</v>
      </c>
    </row>
    <row r="3462" spans="1:4" x14ac:dyDescent="0.2">
      <c r="A3462" s="6">
        <v>4895</v>
      </c>
      <c r="B3462" s="5" t="s">
        <v>3499</v>
      </c>
      <c r="C3462" s="7" t="s">
        <v>10</v>
      </c>
      <c r="D3462" s="8">
        <v>600</v>
      </c>
    </row>
    <row r="3463" spans="1:4" x14ac:dyDescent="0.2">
      <c r="A3463" s="6">
        <v>4896</v>
      </c>
      <c r="B3463" s="5" t="s">
        <v>3500</v>
      </c>
      <c r="C3463" s="7" t="s">
        <v>10</v>
      </c>
      <c r="D3463" s="8">
        <v>600</v>
      </c>
    </row>
    <row r="3464" spans="1:4" x14ac:dyDescent="0.2">
      <c r="A3464" s="6">
        <v>4897</v>
      </c>
      <c r="B3464" s="5" t="s">
        <v>3501</v>
      </c>
      <c r="C3464" s="7" t="s">
        <v>10</v>
      </c>
      <c r="D3464" s="8">
        <v>600</v>
      </c>
    </row>
    <row r="3465" spans="1:4" x14ac:dyDescent="0.2">
      <c r="A3465" s="6">
        <v>4898</v>
      </c>
      <c r="B3465" s="5" t="s">
        <v>3470</v>
      </c>
      <c r="C3465" s="7" t="s">
        <v>10</v>
      </c>
      <c r="D3465" s="8">
        <v>307.25</v>
      </c>
    </row>
    <row r="3466" spans="1:4" x14ac:dyDescent="0.2">
      <c r="A3466" s="6">
        <v>4899</v>
      </c>
      <c r="B3466" s="5" t="s">
        <v>3502</v>
      </c>
      <c r="C3466" s="7" t="s">
        <v>10</v>
      </c>
      <c r="D3466" s="8">
        <v>307.25</v>
      </c>
    </row>
    <row r="3467" spans="1:4" x14ac:dyDescent="0.2">
      <c r="A3467" s="6">
        <v>4900</v>
      </c>
      <c r="B3467" s="5" t="s">
        <v>3503</v>
      </c>
      <c r="C3467" s="7" t="s">
        <v>10</v>
      </c>
      <c r="D3467" s="8">
        <v>307.25</v>
      </c>
    </row>
    <row r="3468" spans="1:4" x14ac:dyDescent="0.2">
      <c r="A3468" s="6">
        <v>4901</v>
      </c>
      <c r="B3468" s="5" t="s">
        <v>3504</v>
      </c>
      <c r="C3468" s="7" t="s">
        <v>10</v>
      </c>
      <c r="D3468" s="8">
        <v>355</v>
      </c>
    </row>
    <row r="3469" spans="1:4" x14ac:dyDescent="0.2">
      <c r="A3469" s="6">
        <v>4902</v>
      </c>
      <c r="B3469" s="5" t="s">
        <v>3505</v>
      </c>
      <c r="C3469" s="7" t="s">
        <v>10</v>
      </c>
      <c r="D3469" s="8">
        <v>307.25</v>
      </c>
    </row>
    <row r="3470" spans="1:4" x14ac:dyDescent="0.2">
      <c r="A3470" s="6">
        <v>4903</v>
      </c>
      <c r="B3470" s="5" t="s">
        <v>3506</v>
      </c>
      <c r="C3470" s="7" t="s">
        <v>265</v>
      </c>
      <c r="D3470" s="8">
        <v>337.98</v>
      </c>
    </row>
    <row r="3471" spans="1:4" x14ac:dyDescent="0.2">
      <c r="A3471" s="6">
        <v>4904</v>
      </c>
      <c r="B3471" s="5" t="s">
        <v>3507</v>
      </c>
      <c r="C3471" s="7" t="s">
        <v>265</v>
      </c>
      <c r="D3471" s="8">
        <v>354.88</v>
      </c>
    </row>
    <row r="3472" spans="1:4" x14ac:dyDescent="0.2">
      <c r="A3472" s="6">
        <v>4905</v>
      </c>
      <c r="B3472" s="5" t="s">
        <v>3508</v>
      </c>
      <c r="C3472" s="7" t="s">
        <v>64</v>
      </c>
      <c r="D3472" s="8">
        <v>690</v>
      </c>
    </row>
    <row r="3473" spans="1:4" x14ac:dyDescent="0.2">
      <c r="A3473" s="6">
        <v>4906</v>
      </c>
      <c r="B3473" s="5" t="s">
        <v>3509</v>
      </c>
      <c r="C3473" s="7" t="s">
        <v>10</v>
      </c>
      <c r="D3473" s="8">
        <v>354.88</v>
      </c>
    </row>
    <row r="3474" spans="1:4" x14ac:dyDescent="0.2">
      <c r="A3474" s="6">
        <v>4907</v>
      </c>
      <c r="B3474" s="5" t="s">
        <v>3510</v>
      </c>
      <c r="C3474" s="7" t="s">
        <v>10</v>
      </c>
      <c r="D3474" s="8">
        <v>522.59</v>
      </c>
    </row>
    <row r="3475" spans="1:4" x14ac:dyDescent="0.2">
      <c r="A3475" s="6">
        <v>4908</v>
      </c>
      <c r="B3475" s="5" t="s">
        <v>3511</v>
      </c>
      <c r="C3475" s="7" t="s">
        <v>297</v>
      </c>
      <c r="D3475" s="8">
        <v>690</v>
      </c>
    </row>
    <row r="3476" spans="1:4" x14ac:dyDescent="0.2">
      <c r="A3476" s="6">
        <v>4909</v>
      </c>
      <c r="B3476" s="5" t="s">
        <v>3512</v>
      </c>
      <c r="C3476" s="7" t="s">
        <v>10</v>
      </c>
      <c r="D3476" s="8">
        <v>354.88</v>
      </c>
    </row>
    <row r="3477" spans="1:4" x14ac:dyDescent="0.2">
      <c r="A3477" s="6">
        <v>4910</v>
      </c>
      <c r="B3477" s="5" t="s">
        <v>3513</v>
      </c>
      <c r="C3477" s="7" t="s">
        <v>64</v>
      </c>
      <c r="D3477" s="8">
        <v>638.79999999999995</v>
      </c>
    </row>
    <row r="3478" spans="1:4" x14ac:dyDescent="0.2">
      <c r="A3478" s="6">
        <v>4911</v>
      </c>
      <c r="B3478" s="5" t="s">
        <v>3514</v>
      </c>
      <c r="C3478" s="7" t="s">
        <v>64</v>
      </c>
      <c r="D3478" s="8">
        <v>638.79999999999995</v>
      </c>
    </row>
    <row r="3479" spans="1:4" x14ac:dyDescent="0.2">
      <c r="A3479" s="6">
        <v>4912</v>
      </c>
      <c r="B3479" s="5" t="s">
        <v>3515</v>
      </c>
      <c r="C3479" s="7" t="s">
        <v>64</v>
      </c>
      <c r="D3479" s="8">
        <v>638.79999999999995</v>
      </c>
    </row>
    <row r="3480" spans="1:4" x14ac:dyDescent="0.2">
      <c r="A3480" s="6">
        <v>4913</v>
      </c>
      <c r="B3480" s="5" t="s">
        <v>3516</v>
      </c>
      <c r="C3480" s="7" t="s">
        <v>10</v>
      </c>
      <c r="D3480" s="8">
        <v>354.88</v>
      </c>
    </row>
    <row r="3481" spans="1:4" x14ac:dyDescent="0.2">
      <c r="A3481" s="6">
        <v>4914</v>
      </c>
      <c r="B3481" s="5" t="s">
        <v>3517</v>
      </c>
      <c r="C3481" s="7" t="s">
        <v>10</v>
      </c>
      <c r="D3481" s="8">
        <v>337.98</v>
      </c>
    </row>
    <row r="3482" spans="1:4" x14ac:dyDescent="0.2">
      <c r="A3482" s="6">
        <v>4915</v>
      </c>
      <c r="B3482" s="5" t="s">
        <v>3518</v>
      </c>
      <c r="C3482" s="7" t="s">
        <v>10</v>
      </c>
      <c r="D3482" s="8">
        <v>354.88</v>
      </c>
    </row>
    <row r="3483" spans="1:4" x14ac:dyDescent="0.2">
      <c r="A3483" s="6">
        <v>4916</v>
      </c>
      <c r="B3483" s="5" t="s">
        <v>3519</v>
      </c>
      <c r="C3483" s="7" t="s">
        <v>64</v>
      </c>
      <c r="D3483" s="8">
        <v>638.79999999999995</v>
      </c>
    </row>
    <row r="3484" spans="1:4" x14ac:dyDescent="0.2">
      <c r="A3484" s="6">
        <v>4917</v>
      </c>
      <c r="B3484" s="5" t="s">
        <v>3520</v>
      </c>
      <c r="C3484" s="7" t="s">
        <v>64</v>
      </c>
      <c r="D3484" s="8">
        <v>638.79999999999995</v>
      </c>
    </row>
    <row r="3485" spans="1:4" x14ac:dyDescent="0.2">
      <c r="A3485" s="6">
        <v>4918</v>
      </c>
      <c r="B3485" s="5" t="s">
        <v>3521</v>
      </c>
      <c r="C3485" s="7" t="s">
        <v>10</v>
      </c>
      <c r="D3485" s="8">
        <v>354.88</v>
      </c>
    </row>
    <row r="3486" spans="1:4" x14ac:dyDescent="0.2">
      <c r="A3486" s="6">
        <v>4919</v>
      </c>
      <c r="B3486" s="5" t="s">
        <v>3522</v>
      </c>
      <c r="C3486" s="7" t="s">
        <v>10</v>
      </c>
      <c r="D3486" s="8">
        <v>354.88</v>
      </c>
    </row>
    <row r="3487" spans="1:4" x14ac:dyDescent="0.2">
      <c r="A3487" s="6">
        <v>4920</v>
      </c>
      <c r="B3487" s="5" t="s">
        <v>3523</v>
      </c>
      <c r="C3487" s="7" t="s">
        <v>64</v>
      </c>
      <c r="D3487" s="8">
        <v>871.56</v>
      </c>
    </row>
    <row r="3488" spans="1:4" x14ac:dyDescent="0.2">
      <c r="A3488" s="6">
        <v>4921</v>
      </c>
      <c r="B3488" s="5" t="s">
        <v>3524</v>
      </c>
      <c r="C3488" s="7" t="s">
        <v>10</v>
      </c>
      <c r="D3488" s="8">
        <v>509.05</v>
      </c>
    </row>
    <row r="3489" spans="1:4" x14ac:dyDescent="0.2">
      <c r="A3489" s="6">
        <v>4922</v>
      </c>
      <c r="B3489" s="5" t="s">
        <v>3525</v>
      </c>
      <c r="C3489" s="7" t="s">
        <v>10</v>
      </c>
      <c r="D3489" s="8">
        <v>383.4</v>
      </c>
    </row>
    <row r="3490" spans="1:4" x14ac:dyDescent="0.2">
      <c r="A3490" s="6">
        <v>4923</v>
      </c>
      <c r="B3490" s="5" t="s">
        <v>3526</v>
      </c>
      <c r="C3490" s="7" t="s">
        <v>10</v>
      </c>
      <c r="D3490" s="8">
        <v>383.4</v>
      </c>
    </row>
    <row r="3491" spans="1:4" x14ac:dyDescent="0.2">
      <c r="A3491" s="6">
        <v>4924</v>
      </c>
      <c r="B3491" s="5" t="s">
        <v>3527</v>
      </c>
      <c r="C3491" s="7" t="s">
        <v>10</v>
      </c>
      <c r="D3491" s="8">
        <v>354.88</v>
      </c>
    </row>
    <row r="3492" spans="1:4" x14ac:dyDescent="0.2">
      <c r="A3492" s="6">
        <v>4925</v>
      </c>
      <c r="B3492" s="5" t="s">
        <v>3528</v>
      </c>
      <c r="C3492" s="7" t="s">
        <v>68</v>
      </c>
      <c r="D3492" s="8">
        <v>367.69</v>
      </c>
    </row>
    <row r="3493" spans="1:4" x14ac:dyDescent="0.2">
      <c r="A3493" s="6">
        <v>4926</v>
      </c>
      <c r="B3493" s="5" t="s">
        <v>3529</v>
      </c>
      <c r="C3493" s="7" t="s">
        <v>64</v>
      </c>
      <c r="D3493" s="8">
        <v>608.38</v>
      </c>
    </row>
    <row r="3494" spans="1:4" x14ac:dyDescent="0.2">
      <c r="A3494" s="6">
        <v>4927</v>
      </c>
      <c r="B3494" s="5" t="s">
        <v>3530</v>
      </c>
      <c r="C3494" s="7" t="s">
        <v>64</v>
      </c>
      <c r="D3494" s="8">
        <v>608.38</v>
      </c>
    </row>
    <row r="3495" spans="1:4" x14ac:dyDescent="0.2">
      <c r="A3495" s="6">
        <v>4928</v>
      </c>
      <c r="B3495" s="5" t="s">
        <v>3531</v>
      </c>
      <c r="C3495" s="7" t="s">
        <v>10</v>
      </c>
      <c r="D3495" s="8">
        <v>509.05</v>
      </c>
    </row>
    <row r="3496" spans="1:4" x14ac:dyDescent="0.2">
      <c r="A3496" s="6">
        <v>4929</v>
      </c>
      <c r="B3496" s="5" t="s">
        <v>3532</v>
      </c>
      <c r="C3496" s="7" t="s">
        <v>10</v>
      </c>
      <c r="D3496" s="8">
        <v>354.88</v>
      </c>
    </row>
    <row r="3497" spans="1:4" x14ac:dyDescent="0.2">
      <c r="A3497" s="6">
        <v>4930</v>
      </c>
      <c r="B3497" s="5" t="s">
        <v>3533</v>
      </c>
      <c r="C3497" s="7" t="s">
        <v>10</v>
      </c>
      <c r="D3497" s="8">
        <v>354.88</v>
      </c>
    </row>
    <row r="3498" spans="1:4" x14ac:dyDescent="0.2">
      <c r="A3498" s="6">
        <v>4931</v>
      </c>
      <c r="B3498" s="5" t="s">
        <v>3534</v>
      </c>
      <c r="C3498" s="7" t="s">
        <v>265</v>
      </c>
      <c r="D3498" s="8">
        <v>354.88</v>
      </c>
    </row>
    <row r="3499" spans="1:4" x14ac:dyDescent="0.2">
      <c r="A3499" s="6">
        <v>4932</v>
      </c>
      <c r="B3499" s="5" t="s">
        <v>3535</v>
      </c>
      <c r="C3499" s="7" t="s">
        <v>10</v>
      </c>
      <c r="D3499" s="8">
        <v>354.88</v>
      </c>
    </row>
    <row r="3500" spans="1:4" x14ac:dyDescent="0.2">
      <c r="A3500" s="6">
        <v>4933</v>
      </c>
      <c r="B3500" s="5" t="s">
        <v>3536</v>
      </c>
      <c r="C3500" s="7" t="s">
        <v>68</v>
      </c>
      <c r="D3500" s="8">
        <v>367.69</v>
      </c>
    </row>
    <row r="3501" spans="1:4" x14ac:dyDescent="0.2">
      <c r="A3501" s="6">
        <v>4934</v>
      </c>
      <c r="B3501" s="5" t="s">
        <v>3537</v>
      </c>
      <c r="C3501" s="7" t="s">
        <v>64</v>
      </c>
      <c r="D3501" s="8">
        <v>638.79999999999995</v>
      </c>
    </row>
    <row r="3502" spans="1:4" x14ac:dyDescent="0.2">
      <c r="A3502" s="6">
        <v>4935</v>
      </c>
      <c r="B3502" s="5" t="s">
        <v>3538</v>
      </c>
      <c r="C3502" s="7" t="s">
        <v>64</v>
      </c>
      <c r="D3502" s="8">
        <v>690</v>
      </c>
    </row>
    <row r="3503" spans="1:4" x14ac:dyDescent="0.2">
      <c r="A3503" s="6">
        <v>4936</v>
      </c>
      <c r="B3503" s="5" t="s">
        <v>3539</v>
      </c>
      <c r="C3503" s="7" t="s">
        <v>64</v>
      </c>
      <c r="D3503" s="8">
        <v>690</v>
      </c>
    </row>
    <row r="3504" spans="1:4" x14ac:dyDescent="0.2">
      <c r="A3504" s="6">
        <v>4937</v>
      </c>
      <c r="B3504" s="5" t="s">
        <v>3540</v>
      </c>
      <c r="C3504" s="7" t="s">
        <v>10</v>
      </c>
      <c r="D3504" s="8">
        <v>354.88</v>
      </c>
    </row>
    <row r="3505" spans="1:4" x14ac:dyDescent="0.2">
      <c r="A3505" s="6">
        <v>4938</v>
      </c>
      <c r="B3505" s="5" t="s">
        <v>3541</v>
      </c>
      <c r="C3505" s="7" t="s">
        <v>10</v>
      </c>
      <c r="D3505" s="8">
        <v>354.88</v>
      </c>
    </row>
    <row r="3506" spans="1:4" x14ac:dyDescent="0.2">
      <c r="A3506" s="6">
        <v>4939</v>
      </c>
      <c r="B3506" s="5" t="s">
        <v>3542</v>
      </c>
      <c r="C3506" s="7" t="s">
        <v>10</v>
      </c>
      <c r="D3506" s="8">
        <v>405</v>
      </c>
    </row>
    <row r="3507" spans="1:4" x14ac:dyDescent="0.2">
      <c r="A3507" s="6">
        <v>4940</v>
      </c>
      <c r="B3507" s="5" t="s">
        <v>3543</v>
      </c>
      <c r="C3507" s="7" t="s">
        <v>10</v>
      </c>
      <c r="D3507" s="8">
        <v>354.88</v>
      </c>
    </row>
    <row r="3508" spans="1:4" x14ac:dyDescent="0.2">
      <c r="A3508" s="6">
        <v>4941</v>
      </c>
      <c r="B3508" s="5" t="s">
        <v>3544</v>
      </c>
      <c r="C3508" s="7" t="s">
        <v>64</v>
      </c>
      <c r="D3508" s="8">
        <v>638.79999999999995</v>
      </c>
    </row>
    <row r="3509" spans="1:4" x14ac:dyDescent="0.2">
      <c r="A3509" s="6">
        <v>4942</v>
      </c>
      <c r="B3509" s="5" t="s">
        <v>3545</v>
      </c>
      <c r="C3509" s="7" t="s">
        <v>64</v>
      </c>
      <c r="D3509" s="8">
        <v>638.79999999999995</v>
      </c>
    </row>
    <row r="3510" spans="1:4" x14ac:dyDescent="0.2">
      <c r="A3510" s="6">
        <v>4943</v>
      </c>
      <c r="B3510" s="5" t="s">
        <v>3546</v>
      </c>
      <c r="C3510" s="7" t="s">
        <v>64</v>
      </c>
      <c r="D3510" s="8">
        <v>638.79999999999995</v>
      </c>
    </row>
    <row r="3511" spans="1:4" x14ac:dyDescent="0.2">
      <c r="A3511" s="6">
        <v>4944</v>
      </c>
      <c r="B3511" s="5" t="s">
        <v>3547</v>
      </c>
      <c r="C3511" s="7" t="s">
        <v>10</v>
      </c>
      <c r="D3511" s="8">
        <v>354.88</v>
      </c>
    </row>
    <row r="3512" spans="1:4" x14ac:dyDescent="0.2">
      <c r="A3512" s="6">
        <v>4945</v>
      </c>
      <c r="B3512" s="5" t="s">
        <v>3548</v>
      </c>
      <c r="C3512" s="7" t="s">
        <v>10</v>
      </c>
      <c r="D3512" s="8">
        <v>354.88</v>
      </c>
    </row>
    <row r="3513" spans="1:4" x14ac:dyDescent="0.2">
      <c r="A3513" s="6">
        <v>4946</v>
      </c>
      <c r="B3513" s="5" t="s">
        <v>3549</v>
      </c>
      <c r="C3513" s="7" t="s">
        <v>64</v>
      </c>
      <c r="D3513" s="8">
        <v>638.79999999999995</v>
      </c>
    </row>
    <row r="3514" spans="1:4" x14ac:dyDescent="0.2">
      <c r="A3514" s="6">
        <v>4947</v>
      </c>
      <c r="B3514" s="5" t="s">
        <v>3550</v>
      </c>
      <c r="C3514" s="7" t="s">
        <v>10</v>
      </c>
      <c r="D3514" s="8">
        <v>354.88</v>
      </c>
    </row>
    <row r="3515" spans="1:4" x14ac:dyDescent="0.2">
      <c r="A3515" s="6">
        <v>4948</v>
      </c>
      <c r="B3515" s="5" t="s">
        <v>3551</v>
      </c>
      <c r="C3515" s="7" t="s">
        <v>64</v>
      </c>
      <c r="D3515" s="8">
        <v>638.79999999999995</v>
      </c>
    </row>
    <row r="3516" spans="1:4" x14ac:dyDescent="0.2">
      <c r="A3516" s="6">
        <v>4949</v>
      </c>
      <c r="B3516" s="5" t="s">
        <v>3552</v>
      </c>
      <c r="C3516" s="7" t="s">
        <v>64</v>
      </c>
      <c r="D3516" s="8">
        <v>638.79999999999995</v>
      </c>
    </row>
    <row r="3517" spans="1:4" x14ac:dyDescent="0.2">
      <c r="A3517" s="6">
        <v>4950</v>
      </c>
      <c r="B3517" s="5" t="s">
        <v>3553</v>
      </c>
      <c r="C3517" s="7" t="s">
        <v>64</v>
      </c>
      <c r="D3517" s="8">
        <v>608.38</v>
      </c>
    </row>
    <row r="3518" spans="1:4" x14ac:dyDescent="0.2">
      <c r="A3518" s="6">
        <v>4951</v>
      </c>
      <c r="B3518" s="5" t="s">
        <v>3554</v>
      </c>
      <c r="C3518" s="7" t="s">
        <v>10</v>
      </c>
      <c r="D3518" s="8">
        <v>337.98</v>
      </c>
    </row>
    <row r="3519" spans="1:4" x14ac:dyDescent="0.2">
      <c r="A3519" s="6">
        <v>4952</v>
      </c>
      <c r="B3519" s="5" t="s">
        <v>3555</v>
      </c>
      <c r="C3519" s="7" t="s">
        <v>10</v>
      </c>
      <c r="D3519" s="8">
        <v>354.88</v>
      </c>
    </row>
    <row r="3520" spans="1:4" x14ac:dyDescent="0.2">
      <c r="A3520" s="6">
        <v>4953</v>
      </c>
      <c r="B3520" s="5" t="s">
        <v>3556</v>
      </c>
      <c r="C3520" s="7" t="s">
        <v>10</v>
      </c>
      <c r="D3520" s="8">
        <v>354.88</v>
      </c>
    </row>
    <row r="3521" spans="1:4" x14ac:dyDescent="0.2">
      <c r="A3521" s="6">
        <v>4954</v>
      </c>
      <c r="B3521" s="5" t="s">
        <v>3557</v>
      </c>
      <c r="C3521" s="7" t="s">
        <v>10</v>
      </c>
      <c r="D3521" s="8">
        <v>354.88</v>
      </c>
    </row>
    <row r="3522" spans="1:4" x14ac:dyDescent="0.2">
      <c r="A3522" s="6">
        <v>4955</v>
      </c>
      <c r="B3522" s="5" t="s">
        <v>3558</v>
      </c>
      <c r="C3522" s="7" t="s">
        <v>64</v>
      </c>
      <c r="D3522" s="8">
        <v>638.79999999999995</v>
      </c>
    </row>
    <row r="3523" spans="1:4" x14ac:dyDescent="0.2">
      <c r="A3523" s="6">
        <v>4956</v>
      </c>
      <c r="B3523" s="5" t="s">
        <v>3559</v>
      </c>
      <c r="C3523" s="7" t="s">
        <v>10</v>
      </c>
      <c r="D3523" s="8">
        <v>354.88</v>
      </c>
    </row>
    <row r="3524" spans="1:4" x14ac:dyDescent="0.2">
      <c r="A3524" s="6">
        <v>4957</v>
      </c>
      <c r="B3524" s="5" t="s">
        <v>3560</v>
      </c>
      <c r="C3524" s="7" t="s">
        <v>64</v>
      </c>
      <c r="D3524" s="8">
        <v>638.79999999999995</v>
      </c>
    </row>
    <row r="3525" spans="1:4" x14ac:dyDescent="0.2">
      <c r="A3525" s="6">
        <v>4958</v>
      </c>
      <c r="B3525" s="5" t="s">
        <v>3561</v>
      </c>
      <c r="C3525" s="7" t="s">
        <v>64</v>
      </c>
      <c r="D3525" s="8">
        <v>638.79999999999995</v>
      </c>
    </row>
    <row r="3526" spans="1:4" x14ac:dyDescent="0.2">
      <c r="A3526" s="6">
        <v>4959</v>
      </c>
      <c r="B3526" s="5" t="s">
        <v>3562</v>
      </c>
      <c r="C3526" s="7" t="s">
        <v>64</v>
      </c>
      <c r="D3526" s="8">
        <v>638.79999999999995</v>
      </c>
    </row>
    <row r="3527" spans="1:4" x14ac:dyDescent="0.2">
      <c r="A3527" s="6">
        <v>4960</v>
      </c>
      <c r="B3527" s="5" t="s">
        <v>3563</v>
      </c>
      <c r="C3527" s="7" t="s">
        <v>10</v>
      </c>
      <c r="D3527" s="8">
        <v>354.88</v>
      </c>
    </row>
    <row r="3528" spans="1:4" x14ac:dyDescent="0.2">
      <c r="A3528" s="6">
        <v>4961</v>
      </c>
      <c r="B3528" s="5" t="s">
        <v>3564</v>
      </c>
      <c r="C3528" s="7" t="s">
        <v>64</v>
      </c>
      <c r="D3528" s="8">
        <v>638.79999999999995</v>
      </c>
    </row>
    <row r="3529" spans="1:4" x14ac:dyDescent="0.2">
      <c r="A3529" s="6">
        <v>4962</v>
      </c>
      <c r="B3529" s="5" t="s">
        <v>3565</v>
      </c>
      <c r="C3529" s="7" t="s">
        <v>64</v>
      </c>
      <c r="D3529" s="8">
        <v>638.79999999999995</v>
      </c>
    </row>
    <row r="3530" spans="1:4" x14ac:dyDescent="0.2">
      <c r="A3530" s="6">
        <v>4963</v>
      </c>
      <c r="B3530" s="5" t="s">
        <v>3566</v>
      </c>
      <c r="C3530" s="7" t="s">
        <v>10</v>
      </c>
      <c r="D3530" s="8">
        <v>354.88</v>
      </c>
    </row>
    <row r="3531" spans="1:4" x14ac:dyDescent="0.2">
      <c r="A3531" s="6">
        <v>4964</v>
      </c>
      <c r="B3531" s="5" t="s">
        <v>3567</v>
      </c>
      <c r="C3531" s="7" t="s">
        <v>64</v>
      </c>
      <c r="D3531" s="8">
        <v>638.79999999999995</v>
      </c>
    </row>
    <row r="3532" spans="1:4" x14ac:dyDescent="0.2">
      <c r="A3532" s="6">
        <v>4965</v>
      </c>
      <c r="B3532" s="5" t="s">
        <v>3568</v>
      </c>
      <c r="C3532" s="7" t="s">
        <v>10</v>
      </c>
      <c r="D3532" s="8">
        <v>354.88</v>
      </c>
    </row>
    <row r="3533" spans="1:4" x14ac:dyDescent="0.2">
      <c r="A3533" s="6">
        <v>4966</v>
      </c>
      <c r="B3533" s="5" t="s">
        <v>3569</v>
      </c>
      <c r="C3533" s="7" t="s">
        <v>10</v>
      </c>
      <c r="D3533" s="8">
        <v>354.88</v>
      </c>
    </row>
    <row r="3534" spans="1:4" x14ac:dyDescent="0.2">
      <c r="A3534" s="6">
        <v>4967</v>
      </c>
      <c r="B3534" s="5" t="s">
        <v>3570</v>
      </c>
      <c r="C3534" s="7" t="s">
        <v>10</v>
      </c>
      <c r="D3534" s="8">
        <v>354.88</v>
      </c>
    </row>
    <row r="3535" spans="1:4" x14ac:dyDescent="0.2">
      <c r="A3535" s="6">
        <v>4968</v>
      </c>
      <c r="B3535" s="5" t="s">
        <v>3571</v>
      </c>
      <c r="C3535" s="7" t="s">
        <v>10</v>
      </c>
      <c r="D3535" s="8">
        <v>354.88</v>
      </c>
    </row>
    <row r="3536" spans="1:4" x14ac:dyDescent="0.2">
      <c r="A3536" s="6">
        <v>4969</v>
      </c>
      <c r="B3536" s="5" t="s">
        <v>3572</v>
      </c>
      <c r="C3536" s="7" t="s">
        <v>10</v>
      </c>
      <c r="D3536" s="8">
        <v>354.88</v>
      </c>
    </row>
    <row r="3537" spans="1:4" x14ac:dyDescent="0.2">
      <c r="A3537" s="6">
        <v>4970</v>
      </c>
      <c r="B3537" s="5" t="s">
        <v>3573</v>
      </c>
      <c r="C3537" s="7" t="s">
        <v>64</v>
      </c>
      <c r="D3537" s="8">
        <v>638.79999999999995</v>
      </c>
    </row>
    <row r="3538" spans="1:4" x14ac:dyDescent="0.2">
      <c r="A3538" s="6">
        <v>4971</v>
      </c>
      <c r="B3538" s="5" t="s">
        <v>3574</v>
      </c>
      <c r="C3538" s="7" t="s">
        <v>64</v>
      </c>
      <c r="D3538" s="8">
        <v>638.79999999999995</v>
      </c>
    </row>
    <row r="3539" spans="1:4" x14ac:dyDescent="0.2">
      <c r="A3539" s="6">
        <v>4972</v>
      </c>
      <c r="B3539" s="5" t="s">
        <v>3575</v>
      </c>
      <c r="C3539" s="7" t="s">
        <v>64</v>
      </c>
      <c r="D3539" s="8">
        <v>638.79999999999995</v>
      </c>
    </row>
    <row r="3540" spans="1:4" x14ac:dyDescent="0.2">
      <c r="A3540" s="6">
        <v>4973</v>
      </c>
      <c r="B3540" s="5" t="s">
        <v>3576</v>
      </c>
      <c r="C3540" s="7" t="s">
        <v>10</v>
      </c>
      <c r="D3540" s="8">
        <v>354.88</v>
      </c>
    </row>
    <row r="3541" spans="1:4" x14ac:dyDescent="0.2">
      <c r="A3541" s="6">
        <v>4974</v>
      </c>
      <c r="B3541" s="5" t="s">
        <v>3577</v>
      </c>
      <c r="C3541" s="7" t="s">
        <v>64</v>
      </c>
      <c r="D3541" s="8">
        <v>638.79999999999995</v>
      </c>
    </row>
    <row r="3542" spans="1:4" x14ac:dyDescent="0.2">
      <c r="A3542" s="6">
        <v>4975</v>
      </c>
      <c r="B3542" s="5" t="s">
        <v>3578</v>
      </c>
      <c r="C3542" s="7" t="s">
        <v>10</v>
      </c>
      <c r="D3542" s="8">
        <v>354.88</v>
      </c>
    </row>
    <row r="3543" spans="1:4" x14ac:dyDescent="0.2">
      <c r="A3543" s="6">
        <v>4976</v>
      </c>
      <c r="B3543" s="5" t="s">
        <v>3579</v>
      </c>
      <c r="C3543" s="7" t="s">
        <v>10</v>
      </c>
      <c r="D3543" s="8">
        <v>354.88</v>
      </c>
    </row>
    <row r="3544" spans="1:4" x14ac:dyDescent="0.2">
      <c r="A3544" s="6">
        <v>4977</v>
      </c>
      <c r="B3544" s="5" t="s">
        <v>3580</v>
      </c>
      <c r="C3544" s="7" t="s">
        <v>10</v>
      </c>
      <c r="D3544" s="8">
        <v>354.88</v>
      </c>
    </row>
    <row r="3545" spans="1:4" x14ac:dyDescent="0.2">
      <c r="A3545" s="6">
        <v>4978</v>
      </c>
      <c r="B3545" s="5" t="s">
        <v>3581</v>
      </c>
      <c r="C3545" s="7" t="s">
        <v>64</v>
      </c>
      <c r="D3545" s="8">
        <v>638.79999999999995</v>
      </c>
    </row>
    <row r="3546" spans="1:4" x14ac:dyDescent="0.2">
      <c r="A3546" s="6">
        <v>4979</v>
      </c>
      <c r="B3546" s="5" t="s">
        <v>3582</v>
      </c>
      <c r="C3546" s="7" t="s">
        <v>10</v>
      </c>
      <c r="D3546" s="8">
        <v>354.88</v>
      </c>
    </row>
    <row r="3547" spans="1:4" x14ac:dyDescent="0.2">
      <c r="A3547" s="6">
        <v>4980</v>
      </c>
      <c r="B3547" s="5" t="s">
        <v>3583</v>
      </c>
      <c r="C3547" s="7" t="s">
        <v>3584</v>
      </c>
      <c r="D3547" s="8">
        <v>269.99</v>
      </c>
    </row>
    <row r="3548" spans="1:4" x14ac:dyDescent="0.2">
      <c r="A3548" s="6">
        <v>4981</v>
      </c>
      <c r="B3548" s="5" t="s">
        <v>3585</v>
      </c>
      <c r="C3548" s="7" t="s">
        <v>10</v>
      </c>
      <c r="D3548" s="8">
        <v>354.88</v>
      </c>
    </row>
    <row r="3549" spans="1:4" x14ac:dyDescent="0.2">
      <c r="A3549" s="6">
        <v>4982</v>
      </c>
      <c r="B3549" s="5" t="s">
        <v>3586</v>
      </c>
      <c r="C3549" s="7" t="s">
        <v>10</v>
      </c>
      <c r="D3549" s="8">
        <v>354.88</v>
      </c>
    </row>
    <row r="3550" spans="1:4" x14ac:dyDescent="0.2">
      <c r="A3550" s="6">
        <v>4983</v>
      </c>
      <c r="B3550" s="5" t="s">
        <v>3587</v>
      </c>
      <c r="C3550" s="7" t="s">
        <v>64</v>
      </c>
      <c r="D3550" s="8">
        <v>638.79999999999995</v>
      </c>
    </row>
    <row r="3551" spans="1:4" x14ac:dyDescent="0.2">
      <c r="A3551" s="6">
        <v>4984</v>
      </c>
      <c r="B3551" s="5" t="s">
        <v>3588</v>
      </c>
      <c r="C3551" s="7" t="s">
        <v>10</v>
      </c>
      <c r="D3551" s="8">
        <v>354.88</v>
      </c>
    </row>
    <row r="3552" spans="1:4" x14ac:dyDescent="0.2">
      <c r="A3552" s="6">
        <v>4985</v>
      </c>
      <c r="B3552" s="5" t="s">
        <v>3589</v>
      </c>
      <c r="C3552" s="7" t="s">
        <v>64</v>
      </c>
      <c r="D3552" s="8">
        <v>638.79999999999995</v>
      </c>
    </row>
    <row r="3553" spans="1:4" x14ac:dyDescent="0.2">
      <c r="A3553" s="6">
        <v>4986</v>
      </c>
      <c r="B3553" s="5" t="s">
        <v>3590</v>
      </c>
      <c r="C3553" s="7" t="s">
        <v>10</v>
      </c>
      <c r="D3553" s="8">
        <v>354.88</v>
      </c>
    </row>
    <row r="3554" spans="1:4" x14ac:dyDescent="0.2">
      <c r="A3554" s="6">
        <v>4987</v>
      </c>
      <c r="B3554" s="5" t="s">
        <v>3591</v>
      </c>
      <c r="C3554" s="7" t="s">
        <v>10</v>
      </c>
      <c r="D3554" s="8">
        <v>354.88</v>
      </c>
    </row>
    <row r="3555" spans="1:4" x14ac:dyDescent="0.2">
      <c r="A3555" s="6">
        <v>4988</v>
      </c>
      <c r="B3555" s="5" t="s">
        <v>3592</v>
      </c>
      <c r="C3555" s="7" t="s">
        <v>10</v>
      </c>
      <c r="D3555" s="8">
        <v>402.95</v>
      </c>
    </row>
    <row r="3556" spans="1:4" x14ac:dyDescent="0.2">
      <c r="A3556" s="6">
        <v>4989</v>
      </c>
      <c r="B3556" s="5" t="s">
        <v>3593</v>
      </c>
      <c r="C3556" s="7" t="s">
        <v>10</v>
      </c>
      <c r="D3556" s="8">
        <v>354.88</v>
      </c>
    </row>
    <row r="3557" spans="1:4" x14ac:dyDescent="0.2">
      <c r="A3557" s="6">
        <v>4990</v>
      </c>
      <c r="B3557" s="5" t="s">
        <v>3594</v>
      </c>
      <c r="C3557" s="7" t="s">
        <v>10</v>
      </c>
      <c r="D3557" s="8">
        <v>354.88</v>
      </c>
    </row>
    <row r="3558" spans="1:4" x14ac:dyDescent="0.2">
      <c r="A3558" s="6">
        <v>4991</v>
      </c>
      <c r="B3558" s="5" t="s">
        <v>3595</v>
      </c>
      <c r="C3558" s="7" t="s">
        <v>10</v>
      </c>
      <c r="D3558" s="8">
        <v>405</v>
      </c>
    </row>
    <row r="3559" spans="1:4" x14ac:dyDescent="0.2">
      <c r="A3559" s="6">
        <v>4992</v>
      </c>
      <c r="B3559" s="5" t="s">
        <v>3596</v>
      </c>
      <c r="C3559" s="7" t="s">
        <v>64</v>
      </c>
      <c r="D3559" s="8">
        <v>638.79999999999995</v>
      </c>
    </row>
    <row r="3560" spans="1:4" x14ac:dyDescent="0.2">
      <c r="A3560" s="6">
        <v>4993</v>
      </c>
      <c r="B3560" s="5" t="s">
        <v>3597</v>
      </c>
      <c r="C3560" s="7" t="s">
        <v>10</v>
      </c>
      <c r="D3560" s="8">
        <v>354.88</v>
      </c>
    </row>
    <row r="3561" spans="1:4" x14ac:dyDescent="0.2">
      <c r="A3561" s="6">
        <v>4994</v>
      </c>
      <c r="B3561" s="5" t="s">
        <v>3598</v>
      </c>
      <c r="C3561" s="7" t="s">
        <v>10</v>
      </c>
      <c r="D3561" s="8">
        <v>376.52</v>
      </c>
    </row>
    <row r="3562" spans="1:4" x14ac:dyDescent="0.2">
      <c r="A3562" s="6">
        <v>4995</v>
      </c>
      <c r="B3562" s="5" t="s">
        <v>3599</v>
      </c>
      <c r="C3562" s="7" t="s">
        <v>10</v>
      </c>
      <c r="D3562" s="8">
        <v>367.7</v>
      </c>
    </row>
    <row r="3563" spans="1:4" x14ac:dyDescent="0.2">
      <c r="A3563" s="6">
        <v>4996</v>
      </c>
      <c r="B3563" s="5" t="s">
        <v>3600</v>
      </c>
      <c r="C3563" s="7" t="s">
        <v>64</v>
      </c>
      <c r="D3563" s="8">
        <v>638.79999999999995</v>
      </c>
    </row>
    <row r="3564" spans="1:4" x14ac:dyDescent="0.2">
      <c r="A3564" s="6">
        <v>4997</v>
      </c>
      <c r="B3564" s="5" t="s">
        <v>3601</v>
      </c>
      <c r="C3564" s="7" t="s">
        <v>64</v>
      </c>
      <c r="D3564" s="8">
        <v>638.79999999999995</v>
      </c>
    </row>
    <row r="3565" spans="1:4" x14ac:dyDescent="0.2">
      <c r="A3565" s="6">
        <v>4998</v>
      </c>
      <c r="B3565" s="5" t="s">
        <v>3602</v>
      </c>
      <c r="C3565" s="7" t="s">
        <v>10</v>
      </c>
      <c r="D3565" s="8">
        <v>497.7</v>
      </c>
    </row>
    <row r="3566" spans="1:4" x14ac:dyDescent="0.2">
      <c r="A3566" s="6">
        <v>4999</v>
      </c>
      <c r="B3566" s="5" t="s">
        <v>3603</v>
      </c>
      <c r="C3566" s="7" t="s">
        <v>64</v>
      </c>
      <c r="D3566" s="8">
        <v>638.79999999999995</v>
      </c>
    </row>
    <row r="3567" spans="1:4" x14ac:dyDescent="0.2">
      <c r="A3567" s="6">
        <v>5000</v>
      </c>
      <c r="B3567" s="5" t="s">
        <v>3604</v>
      </c>
      <c r="C3567" s="7" t="s">
        <v>64</v>
      </c>
      <c r="D3567" s="8">
        <v>638.79999999999995</v>
      </c>
    </row>
    <row r="3568" spans="1:4" x14ac:dyDescent="0.2">
      <c r="A3568" s="6">
        <v>5001</v>
      </c>
      <c r="B3568" s="5" t="s">
        <v>3605</v>
      </c>
      <c r="C3568" s="7" t="s">
        <v>64</v>
      </c>
      <c r="D3568" s="8">
        <v>638.79999999999995</v>
      </c>
    </row>
    <row r="3569" spans="1:4" x14ac:dyDescent="0.2">
      <c r="A3569" s="6">
        <v>5002</v>
      </c>
      <c r="B3569" s="5" t="s">
        <v>3606</v>
      </c>
      <c r="C3569" s="7" t="s">
        <v>64</v>
      </c>
      <c r="D3569" s="8">
        <v>638.79999999999995</v>
      </c>
    </row>
    <row r="3570" spans="1:4" x14ac:dyDescent="0.2">
      <c r="A3570" s="6">
        <v>5003</v>
      </c>
      <c r="B3570" s="5" t="s">
        <v>3607</v>
      </c>
      <c r="C3570" s="7" t="s">
        <v>64</v>
      </c>
      <c r="D3570" s="8">
        <v>638.79999999999995</v>
      </c>
    </row>
    <row r="3571" spans="1:4" x14ac:dyDescent="0.2">
      <c r="A3571" s="6">
        <v>5004</v>
      </c>
      <c r="B3571" s="5" t="s">
        <v>3608</v>
      </c>
      <c r="C3571" s="7" t="s">
        <v>10</v>
      </c>
      <c r="D3571" s="8">
        <v>428.64</v>
      </c>
    </row>
    <row r="3572" spans="1:4" x14ac:dyDescent="0.2">
      <c r="A3572" s="6">
        <v>5005</v>
      </c>
      <c r="B3572" s="5" t="s">
        <v>3609</v>
      </c>
      <c r="C3572" s="7" t="s">
        <v>64</v>
      </c>
      <c r="D3572" s="8">
        <v>638.79999999999995</v>
      </c>
    </row>
    <row r="3573" spans="1:4" x14ac:dyDescent="0.2">
      <c r="A3573" s="6">
        <v>5006</v>
      </c>
      <c r="B3573" s="5" t="s">
        <v>3610</v>
      </c>
      <c r="C3573" s="7" t="s">
        <v>10</v>
      </c>
      <c r="D3573" s="8">
        <v>354.88</v>
      </c>
    </row>
    <row r="3574" spans="1:4" x14ac:dyDescent="0.2">
      <c r="A3574" s="6">
        <v>5007</v>
      </c>
      <c r="B3574" s="5" t="s">
        <v>3611</v>
      </c>
      <c r="C3574" s="7" t="s">
        <v>10</v>
      </c>
      <c r="D3574" s="8">
        <v>354.88</v>
      </c>
    </row>
    <row r="3575" spans="1:4" x14ac:dyDescent="0.2">
      <c r="A3575" s="6">
        <v>5008</v>
      </c>
      <c r="B3575" s="5" t="s">
        <v>1249</v>
      </c>
      <c r="C3575" s="7" t="s">
        <v>10</v>
      </c>
      <c r="D3575" s="8">
        <v>354.88</v>
      </c>
    </row>
    <row r="3576" spans="1:4" x14ac:dyDescent="0.2">
      <c r="A3576" s="6">
        <v>5009</v>
      </c>
      <c r="B3576" s="5" t="s">
        <v>3612</v>
      </c>
      <c r="C3576" s="7" t="s">
        <v>10</v>
      </c>
      <c r="D3576" s="8">
        <v>354.88</v>
      </c>
    </row>
    <row r="3577" spans="1:4" x14ac:dyDescent="0.2">
      <c r="A3577" s="6">
        <v>5010</v>
      </c>
      <c r="B3577" s="5" t="s">
        <v>3613</v>
      </c>
      <c r="C3577" s="7" t="s">
        <v>10</v>
      </c>
      <c r="D3577" s="8">
        <v>354.88</v>
      </c>
    </row>
    <row r="3578" spans="1:4" x14ac:dyDescent="0.2">
      <c r="A3578" s="6">
        <v>5011</v>
      </c>
      <c r="B3578" s="5" t="s">
        <v>3614</v>
      </c>
      <c r="C3578" s="7" t="s">
        <v>10</v>
      </c>
      <c r="D3578" s="8">
        <v>354.88</v>
      </c>
    </row>
    <row r="3579" spans="1:4" x14ac:dyDescent="0.2">
      <c r="A3579" s="6">
        <v>5012</v>
      </c>
      <c r="B3579" s="5" t="s">
        <v>3615</v>
      </c>
      <c r="C3579" s="7" t="s">
        <v>10</v>
      </c>
      <c r="D3579" s="8">
        <v>354.88</v>
      </c>
    </row>
    <row r="3580" spans="1:4" x14ac:dyDescent="0.2">
      <c r="A3580" s="6">
        <v>5013</v>
      </c>
      <c r="B3580" s="5" t="s">
        <v>3616</v>
      </c>
      <c r="C3580" s="7" t="s">
        <v>64</v>
      </c>
      <c r="D3580" s="8">
        <v>638.79999999999995</v>
      </c>
    </row>
    <row r="3581" spans="1:4" x14ac:dyDescent="0.2">
      <c r="A3581" s="6">
        <v>5014</v>
      </c>
      <c r="B3581" s="5" t="s">
        <v>3617</v>
      </c>
      <c r="C3581" s="7" t="s">
        <v>64</v>
      </c>
      <c r="D3581" s="8">
        <v>638.79999999999995</v>
      </c>
    </row>
    <row r="3582" spans="1:4" x14ac:dyDescent="0.2">
      <c r="A3582" s="6">
        <v>5015</v>
      </c>
      <c r="B3582" s="5" t="s">
        <v>3618</v>
      </c>
      <c r="C3582" s="7" t="s">
        <v>64</v>
      </c>
      <c r="D3582" s="8">
        <v>638.79999999999995</v>
      </c>
    </row>
    <row r="3583" spans="1:4" x14ac:dyDescent="0.2">
      <c r="A3583" s="6">
        <v>5016</v>
      </c>
      <c r="B3583" s="5" t="s">
        <v>3619</v>
      </c>
      <c r="C3583" s="7" t="s">
        <v>10</v>
      </c>
      <c r="D3583" s="8">
        <v>354.88</v>
      </c>
    </row>
    <row r="3584" spans="1:4" x14ac:dyDescent="0.2">
      <c r="A3584" s="6">
        <v>5017</v>
      </c>
      <c r="B3584" s="5" t="s">
        <v>3620</v>
      </c>
      <c r="C3584" s="7" t="s">
        <v>10</v>
      </c>
      <c r="D3584" s="8">
        <v>354.88</v>
      </c>
    </row>
    <row r="3585" spans="1:4" x14ac:dyDescent="0.2">
      <c r="A3585" s="6">
        <v>5018</v>
      </c>
      <c r="B3585" s="5" t="s">
        <v>3621</v>
      </c>
      <c r="C3585" s="7" t="s">
        <v>10</v>
      </c>
      <c r="D3585" s="8">
        <v>402.57</v>
      </c>
    </row>
    <row r="3586" spans="1:4" x14ac:dyDescent="0.2">
      <c r="A3586" s="6">
        <v>5019</v>
      </c>
      <c r="B3586" s="5" t="s">
        <v>3622</v>
      </c>
      <c r="C3586" s="7" t="s">
        <v>10</v>
      </c>
      <c r="D3586" s="8">
        <v>354.88</v>
      </c>
    </row>
    <row r="3587" spans="1:4" x14ac:dyDescent="0.2">
      <c r="A3587" s="6">
        <v>5020</v>
      </c>
      <c r="B3587" s="5" t="s">
        <v>3623</v>
      </c>
      <c r="C3587" s="7" t="s">
        <v>64</v>
      </c>
      <c r="D3587" s="8">
        <v>638.79999999999995</v>
      </c>
    </row>
    <row r="3588" spans="1:4" x14ac:dyDescent="0.2">
      <c r="A3588" s="6">
        <v>5021</v>
      </c>
      <c r="B3588" s="5" t="s">
        <v>3624</v>
      </c>
      <c r="C3588" s="7" t="s">
        <v>10</v>
      </c>
      <c r="D3588" s="8">
        <v>354.88</v>
      </c>
    </row>
    <row r="3589" spans="1:4" x14ac:dyDescent="0.2">
      <c r="A3589" s="6">
        <v>5022</v>
      </c>
      <c r="B3589" s="5" t="s">
        <v>3625</v>
      </c>
      <c r="C3589" s="7" t="s">
        <v>10</v>
      </c>
      <c r="D3589" s="8">
        <v>354.88</v>
      </c>
    </row>
    <row r="3590" spans="1:4" x14ac:dyDescent="0.2">
      <c r="A3590" s="6">
        <v>5023</v>
      </c>
      <c r="B3590" s="5" t="s">
        <v>3626</v>
      </c>
      <c r="C3590" s="7" t="s">
        <v>64</v>
      </c>
      <c r="D3590" s="8">
        <v>638.79999999999995</v>
      </c>
    </row>
    <row r="3591" spans="1:4" x14ac:dyDescent="0.2">
      <c r="A3591" s="6">
        <v>5024</v>
      </c>
      <c r="B3591" s="5" t="s">
        <v>3627</v>
      </c>
      <c r="C3591" s="7" t="s">
        <v>64</v>
      </c>
      <c r="D3591" s="8">
        <v>638.79999999999995</v>
      </c>
    </row>
    <row r="3592" spans="1:4" x14ac:dyDescent="0.2">
      <c r="A3592" s="6">
        <v>5025</v>
      </c>
      <c r="B3592" s="5" t="s">
        <v>3628</v>
      </c>
      <c r="C3592" s="7" t="s">
        <v>10</v>
      </c>
      <c r="D3592" s="8">
        <v>354.88</v>
      </c>
    </row>
    <row r="3593" spans="1:4" x14ac:dyDescent="0.2">
      <c r="A3593" s="6">
        <v>5026</v>
      </c>
      <c r="B3593" s="5" t="s">
        <v>3629</v>
      </c>
      <c r="C3593" s="7" t="s">
        <v>10</v>
      </c>
      <c r="D3593" s="8">
        <v>354.88</v>
      </c>
    </row>
    <row r="3594" spans="1:4" x14ac:dyDescent="0.2">
      <c r="A3594" s="6">
        <v>5027</v>
      </c>
      <c r="B3594" s="5" t="s">
        <v>3630</v>
      </c>
      <c r="C3594" s="7" t="s">
        <v>10</v>
      </c>
      <c r="D3594" s="8">
        <v>354.88</v>
      </c>
    </row>
    <row r="3595" spans="1:4" x14ac:dyDescent="0.2">
      <c r="A3595" s="6">
        <v>5028</v>
      </c>
      <c r="B3595" s="5" t="s">
        <v>3631</v>
      </c>
      <c r="C3595" s="7" t="s">
        <v>10</v>
      </c>
      <c r="D3595" s="8">
        <v>354.88</v>
      </c>
    </row>
    <row r="3596" spans="1:4" x14ac:dyDescent="0.2">
      <c r="A3596" s="6">
        <v>5029</v>
      </c>
      <c r="B3596" s="5" t="s">
        <v>3632</v>
      </c>
      <c r="C3596" s="7" t="s">
        <v>64</v>
      </c>
      <c r="D3596" s="8">
        <v>638.79999999999995</v>
      </c>
    </row>
    <row r="3597" spans="1:4" x14ac:dyDescent="0.2">
      <c r="A3597" s="6">
        <v>5030</v>
      </c>
      <c r="B3597" s="5" t="s">
        <v>3633</v>
      </c>
      <c r="C3597" s="7" t="s">
        <v>10</v>
      </c>
      <c r="D3597" s="8">
        <v>354.88</v>
      </c>
    </row>
    <row r="3598" spans="1:4" x14ac:dyDescent="0.2">
      <c r="A3598" s="6">
        <v>5031</v>
      </c>
      <c r="B3598" s="5" t="s">
        <v>3634</v>
      </c>
      <c r="C3598" s="7" t="s">
        <v>10</v>
      </c>
      <c r="D3598" s="8">
        <v>405</v>
      </c>
    </row>
    <row r="3599" spans="1:4" x14ac:dyDescent="0.2">
      <c r="A3599" s="6">
        <v>5032</v>
      </c>
      <c r="B3599" s="5" t="s">
        <v>3635</v>
      </c>
      <c r="C3599" s="7" t="s">
        <v>64</v>
      </c>
      <c r="D3599" s="8">
        <v>638.79999999999995</v>
      </c>
    </row>
    <row r="3600" spans="1:4" x14ac:dyDescent="0.2">
      <c r="A3600" s="6">
        <v>5033</v>
      </c>
      <c r="B3600" s="5" t="s">
        <v>3636</v>
      </c>
      <c r="C3600" s="7" t="s">
        <v>10</v>
      </c>
      <c r="D3600" s="8">
        <v>354.88</v>
      </c>
    </row>
    <row r="3601" spans="1:4" x14ac:dyDescent="0.2">
      <c r="A3601" s="6">
        <v>5034</v>
      </c>
      <c r="B3601" s="5" t="s">
        <v>3637</v>
      </c>
      <c r="C3601" s="7" t="s">
        <v>10</v>
      </c>
      <c r="D3601" s="8">
        <v>354.88</v>
      </c>
    </row>
    <row r="3602" spans="1:4" x14ac:dyDescent="0.2">
      <c r="A3602" s="6">
        <v>5035</v>
      </c>
      <c r="B3602" s="5" t="s">
        <v>3638</v>
      </c>
      <c r="C3602" s="7" t="s">
        <v>10</v>
      </c>
      <c r="D3602" s="8">
        <v>405</v>
      </c>
    </row>
    <row r="3603" spans="1:4" x14ac:dyDescent="0.2">
      <c r="A3603" s="6">
        <v>5036</v>
      </c>
      <c r="B3603" s="5" t="s">
        <v>3639</v>
      </c>
      <c r="C3603" s="7" t="s">
        <v>10</v>
      </c>
      <c r="D3603" s="8">
        <v>354.88</v>
      </c>
    </row>
    <row r="3604" spans="1:4" x14ac:dyDescent="0.2">
      <c r="A3604" s="6">
        <v>5037</v>
      </c>
      <c r="B3604" s="5" t="s">
        <v>3640</v>
      </c>
      <c r="C3604" s="7" t="s">
        <v>10</v>
      </c>
      <c r="D3604" s="8">
        <v>354.88</v>
      </c>
    </row>
    <row r="3605" spans="1:4" x14ac:dyDescent="0.2">
      <c r="A3605" s="6">
        <v>5038</v>
      </c>
      <c r="B3605" s="5" t="s">
        <v>3641</v>
      </c>
      <c r="C3605" s="7" t="s">
        <v>10</v>
      </c>
      <c r="D3605" s="8">
        <v>354.88</v>
      </c>
    </row>
    <row r="3606" spans="1:4" x14ac:dyDescent="0.2">
      <c r="A3606" s="6">
        <v>5039</v>
      </c>
      <c r="B3606" s="5" t="s">
        <v>3642</v>
      </c>
      <c r="C3606" s="7" t="s">
        <v>10</v>
      </c>
      <c r="D3606" s="8">
        <v>354.88</v>
      </c>
    </row>
    <row r="3607" spans="1:4" x14ac:dyDescent="0.2">
      <c r="A3607" s="6">
        <v>5040</v>
      </c>
      <c r="B3607" s="5" t="s">
        <v>3643</v>
      </c>
      <c r="C3607" s="7" t="s">
        <v>64</v>
      </c>
      <c r="D3607" s="8">
        <v>638.79999999999995</v>
      </c>
    </row>
    <row r="3608" spans="1:4" x14ac:dyDescent="0.2">
      <c r="A3608" s="6">
        <v>5041</v>
      </c>
      <c r="B3608" s="5" t="s">
        <v>3644</v>
      </c>
      <c r="C3608" s="7" t="s">
        <v>64</v>
      </c>
      <c r="D3608" s="8">
        <v>638.79999999999995</v>
      </c>
    </row>
    <row r="3609" spans="1:4" x14ac:dyDescent="0.2">
      <c r="A3609" s="6">
        <v>5042</v>
      </c>
      <c r="B3609" s="5" t="s">
        <v>3645</v>
      </c>
      <c r="C3609" s="7" t="s">
        <v>64</v>
      </c>
      <c r="D3609" s="8">
        <v>638.79999999999995</v>
      </c>
    </row>
    <row r="3610" spans="1:4" x14ac:dyDescent="0.2">
      <c r="A3610" s="6">
        <v>5043</v>
      </c>
      <c r="B3610" s="5" t="s">
        <v>3646</v>
      </c>
      <c r="C3610" s="7" t="s">
        <v>10</v>
      </c>
      <c r="D3610" s="8">
        <v>354.88</v>
      </c>
    </row>
    <row r="3611" spans="1:4" x14ac:dyDescent="0.2">
      <c r="A3611" s="6">
        <v>5044</v>
      </c>
      <c r="B3611" s="5" t="s">
        <v>3647</v>
      </c>
      <c r="C3611" s="7" t="s">
        <v>10</v>
      </c>
      <c r="D3611" s="8">
        <v>354.88</v>
      </c>
    </row>
    <row r="3612" spans="1:4" x14ac:dyDescent="0.2">
      <c r="A3612" s="6">
        <v>5045</v>
      </c>
      <c r="B3612" s="5" t="s">
        <v>3648</v>
      </c>
      <c r="C3612" s="7" t="s">
        <v>10</v>
      </c>
      <c r="D3612" s="8">
        <v>354.88</v>
      </c>
    </row>
    <row r="3613" spans="1:4" x14ac:dyDescent="0.2">
      <c r="A3613" s="6">
        <v>5046</v>
      </c>
      <c r="B3613" s="5" t="s">
        <v>3649</v>
      </c>
      <c r="C3613" s="7" t="s">
        <v>10</v>
      </c>
      <c r="D3613" s="8">
        <v>367.7</v>
      </c>
    </row>
    <row r="3614" spans="1:4" x14ac:dyDescent="0.2">
      <c r="A3614" s="6">
        <v>5047</v>
      </c>
      <c r="B3614" s="5" t="s">
        <v>3650</v>
      </c>
      <c r="C3614" s="7" t="s">
        <v>10</v>
      </c>
      <c r="D3614" s="8">
        <v>354.88</v>
      </c>
    </row>
    <row r="3615" spans="1:4" x14ac:dyDescent="0.2">
      <c r="A3615" s="6">
        <v>5048</v>
      </c>
      <c r="B3615" s="5" t="s">
        <v>3651</v>
      </c>
      <c r="C3615" s="7" t="s">
        <v>10</v>
      </c>
      <c r="D3615" s="8">
        <v>354.88</v>
      </c>
    </row>
    <row r="3616" spans="1:4" x14ac:dyDescent="0.2">
      <c r="A3616" s="6">
        <v>5049</v>
      </c>
      <c r="B3616" s="5" t="s">
        <v>3652</v>
      </c>
      <c r="C3616" s="7" t="s">
        <v>10</v>
      </c>
      <c r="D3616" s="8">
        <v>354.88</v>
      </c>
    </row>
    <row r="3617" spans="1:4" x14ac:dyDescent="0.2">
      <c r="A3617" s="6">
        <v>5050</v>
      </c>
      <c r="B3617" s="5" t="s">
        <v>3653</v>
      </c>
      <c r="C3617" s="7" t="s">
        <v>10</v>
      </c>
      <c r="D3617" s="8">
        <v>354.88</v>
      </c>
    </row>
    <row r="3618" spans="1:4" x14ac:dyDescent="0.2">
      <c r="A3618" s="6">
        <v>5051</v>
      </c>
      <c r="B3618" s="5" t="s">
        <v>3654</v>
      </c>
      <c r="C3618" s="7" t="s">
        <v>10</v>
      </c>
      <c r="D3618" s="8">
        <v>402.79</v>
      </c>
    </row>
    <row r="3619" spans="1:4" x14ac:dyDescent="0.2">
      <c r="A3619" s="6">
        <v>5052</v>
      </c>
      <c r="B3619" s="5" t="s">
        <v>3655</v>
      </c>
      <c r="C3619" s="7" t="s">
        <v>10</v>
      </c>
      <c r="D3619" s="8">
        <v>354.88</v>
      </c>
    </row>
    <row r="3620" spans="1:4" x14ac:dyDescent="0.2">
      <c r="A3620" s="6">
        <v>5053</v>
      </c>
      <c r="B3620" s="5" t="s">
        <v>3656</v>
      </c>
      <c r="C3620" s="7" t="s">
        <v>64</v>
      </c>
      <c r="D3620" s="8">
        <v>638.79999999999995</v>
      </c>
    </row>
    <row r="3621" spans="1:4" x14ac:dyDescent="0.2">
      <c r="A3621" s="6">
        <v>5054</v>
      </c>
      <c r="B3621" s="5" t="s">
        <v>3657</v>
      </c>
      <c r="C3621" s="7" t="s">
        <v>10</v>
      </c>
      <c r="D3621" s="8">
        <v>402.79</v>
      </c>
    </row>
    <row r="3622" spans="1:4" x14ac:dyDescent="0.2">
      <c r="A3622" s="6">
        <v>5055</v>
      </c>
      <c r="B3622" s="5" t="s">
        <v>3658</v>
      </c>
      <c r="C3622" s="7" t="s">
        <v>10</v>
      </c>
      <c r="D3622" s="8">
        <v>354.88</v>
      </c>
    </row>
    <row r="3623" spans="1:4" x14ac:dyDescent="0.2">
      <c r="A3623" s="6">
        <v>5056</v>
      </c>
      <c r="B3623" s="5" t="s">
        <v>3659</v>
      </c>
      <c r="C3623" s="7" t="s">
        <v>10</v>
      </c>
      <c r="D3623" s="8">
        <v>354.88</v>
      </c>
    </row>
    <row r="3624" spans="1:4" x14ac:dyDescent="0.2">
      <c r="A3624" s="6">
        <v>5057</v>
      </c>
      <c r="B3624" s="5" t="s">
        <v>3660</v>
      </c>
      <c r="C3624" s="7" t="s">
        <v>10</v>
      </c>
      <c r="D3624" s="8">
        <v>354.88</v>
      </c>
    </row>
    <row r="3625" spans="1:4" x14ac:dyDescent="0.2">
      <c r="A3625" s="6">
        <v>5058</v>
      </c>
      <c r="B3625" s="5" t="s">
        <v>3661</v>
      </c>
      <c r="C3625" s="7" t="s">
        <v>10</v>
      </c>
      <c r="D3625" s="8">
        <v>405</v>
      </c>
    </row>
    <row r="3626" spans="1:4" x14ac:dyDescent="0.2">
      <c r="A3626" s="6">
        <v>5059</v>
      </c>
      <c r="B3626" s="5" t="s">
        <v>3662</v>
      </c>
      <c r="C3626" s="7" t="s">
        <v>52</v>
      </c>
      <c r="D3626" s="8">
        <v>438.43</v>
      </c>
    </row>
    <row r="3627" spans="1:4" x14ac:dyDescent="0.2">
      <c r="A3627" s="6">
        <v>5060</v>
      </c>
      <c r="B3627" s="5" t="s">
        <v>3663</v>
      </c>
      <c r="C3627" s="7" t="s">
        <v>64</v>
      </c>
      <c r="D3627" s="8">
        <v>638.79999999999995</v>
      </c>
    </row>
    <row r="3628" spans="1:4" x14ac:dyDescent="0.2">
      <c r="A3628" s="6">
        <v>5061</v>
      </c>
      <c r="B3628" s="5" t="s">
        <v>3664</v>
      </c>
      <c r="C3628" s="7" t="s">
        <v>52</v>
      </c>
      <c r="D3628" s="8">
        <v>438.43</v>
      </c>
    </row>
    <row r="3629" spans="1:4" x14ac:dyDescent="0.2">
      <c r="A3629" s="6">
        <v>5062</v>
      </c>
      <c r="B3629" s="5" t="s">
        <v>3665</v>
      </c>
      <c r="C3629" s="7" t="s">
        <v>10</v>
      </c>
      <c r="D3629" s="8">
        <v>354.88</v>
      </c>
    </row>
    <row r="3630" spans="1:4" x14ac:dyDescent="0.2">
      <c r="A3630" s="6">
        <v>5063</v>
      </c>
      <c r="B3630" s="5" t="s">
        <v>3666</v>
      </c>
      <c r="C3630" s="7" t="s">
        <v>10</v>
      </c>
      <c r="D3630" s="8">
        <v>354.88</v>
      </c>
    </row>
    <row r="3631" spans="1:4" x14ac:dyDescent="0.2">
      <c r="A3631" s="6">
        <v>5064</v>
      </c>
      <c r="B3631" s="5" t="s">
        <v>3667</v>
      </c>
      <c r="C3631" s="7" t="s">
        <v>64</v>
      </c>
      <c r="D3631" s="8">
        <v>638.79999999999995</v>
      </c>
    </row>
    <row r="3632" spans="1:4" x14ac:dyDescent="0.2">
      <c r="A3632" s="6">
        <v>5065</v>
      </c>
      <c r="B3632" s="5" t="s">
        <v>3668</v>
      </c>
      <c r="C3632" s="7" t="s">
        <v>64</v>
      </c>
      <c r="D3632" s="8">
        <v>638.79999999999995</v>
      </c>
    </row>
    <row r="3633" spans="1:4" x14ac:dyDescent="0.2">
      <c r="A3633" s="6">
        <v>5066</v>
      </c>
      <c r="B3633" s="5" t="s">
        <v>3669</v>
      </c>
      <c r="C3633" s="7" t="s">
        <v>64</v>
      </c>
      <c r="D3633" s="8">
        <v>638.79999999999995</v>
      </c>
    </row>
    <row r="3634" spans="1:4" x14ac:dyDescent="0.2">
      <c r="A3634" s="6">
        <v>5067</v>
      </c>
      <c r="B3634" s="5" t="s">
        <v>3670</v>
      </c>
      <c r="C3634" s="7" t="s">
        <v>52</v>
      </c>
      <c r="D3634" s="8">
        <v>438.43</v>
      </c>
    </row>
    <row r="3635" spans="1:4" x14ac:dyDescent="0.2">
      <c r="A3635" s="6">
        <v>5068</v>
      </c>
      <c r="B3635" s="5" t="s">
        <v>3671</v>
      </c>
      <c r="C3635" s="7" t="s">
        <v>64</v>
      </c>
      <c r="D3635" s="8">
        <v>638.79999999999995</v>
      </c>
    </row>
    <row r="3636" spans="1:4" x14ac:dyDescent="0.2">
      <c r="A3636" s="6">
        <v>5069</v>
      </c>
      <c r="B3636" s="5" t="s">
        <v>3672</v>
      </c>
      <c r="C3636" s="7" t="s">
        <v>10</v>
      </c>
      <c r="D3636" s="8">
        <v>354.88</v>
      </c>
    </row>
    <row r="3637" spans="1:4" x14ac:dyDescent="0.2">
      <c r="A3637" s="6">
        <v>5070</v>
      </c>
      <c r="B3637" s="5" t="s">
        <v>3673</v>
      </c>
      <c r="C3637" s="7" t="s">
        <v>64</v>
      </c>
      <c r="D3637" s="8">
        <v>638.79999999999995</v>
      </c>
    </row>
    <row r="3638" spans="1:4" x14ac:dyDescent="0.2">
      <c r="A3638" s="6">
        <v>5071</v>
      </c>
      <c r="B3638" s="5" t="s">
        <v>3674</v>
      </c>
      <c r="C3638" s="7" t="s">
        <v>64</v>
      </c>
      <c r="D3638" s="8">
        <v>638.79999999999995</v>
      </c>
    </row>
    <row r="3639" spans="1:4" x14ac:dyDescent="0.2">
      <c r="A3639" s="6">
        <v>5072</v>
      </c>
      <c r="B3639" s="5" t="s">
        <v>3675</v>
      </c>
      <c r="C3639" s="7" t="s">
        <v>64</v>
      </c>
      <c r="D3639" s="8">
        <v>638.79999999999995</v>
      </c>
    </row>
    <row r="3640" spans="1:4" x14ac:dyDescent="0.2">
      <c r="A3640" s="6">
        <v>5073</v>
      </c>
      <c r="B3640" s="5" t="s">
        <v>3676</v>
      </c>
      <c r="C3640" s="7" t="s">
        <v>64</v>
      </c>
      <c r="D3640" s="8">
        <v>638.79999999999995</v>
      </c>
    </row>
    <row r="3641" spans="1:4" x14ac:dyDescent="0.2">
      <c r="A3641" s="6">
        <v>5074</v>
      </c>
      <c r="B3641" s="5" t="s">
        <v>3677</v>
      </c>
      <c r="C3641" s="7" t="s">
        <v>64</v>
      </c>
      <c r="D3641" s="8">
        <v>638.79999999999995</v>
      </c>
    </row>
    <row r="3642" spans="1:4" x14ac:dyDescent="0.2">
      <c r="A3642" s="6">
        <v>5075</v>
      </c>
      <c r="B3642" s="5" t="s">
        <v>3678</v>
      </c>
      <c r="C3642" s="7" t="s">
        <v>64</v>
      </c>
      <c r="D3642" s="8">
        <v>638.79999999999995</v>
      </c>
    </row>
    <row r="3643" spans="1:4" x14ac:dyDescent="0.2">
      <c r="A3643" s="6">
        <v>5076</v>
      </c>
      <c r="B3643" s="5" t="s">
        <v>3679</v>
      </c>
      <c r="C3643" s="7" t="s">
        <v>10</v>
      </c>
      <c r="D3643" s="8">
        <v>405</v>
      </c>
    </row>
    <row r="3644" spans="1:4" x14ac:dyDescent="0.2">
      <c r="A3644" s="6">
        <v>5077</v>
      </c>
      <c r="B3644" s="5" t="s">
        <v>3680</v>
      </c>
      <c r="C3644" s="7" t="s">
        <v>10</v>
      </c>
      <c r="D3644" s="8">
        <v>405</v>
      </c>
    </row>
    <row r="3645" spans="1:4" x14ac:dyDescent="0.2">
      <c r="A3645" s="6">
        <v>5078</v>
      </c>
      <c r="B3645" s="5" t="s">
        <v>3681</v>
      </c>
      <c r="C3645" s="7" t="s">
        <v>10</v>
      </c>
      <c r="D3645" s="8">
        <v>354.88</v>
      </c>
    </row>
    <row r="3646" spans="1:4" x14ac:dyDescent="0.2">
      <c r="A3646" s="6">
        <v>5079</v>
      </c>
      <c r="B3646" s="5" t="s">
        <v>3682</v>
      </c>
      <c r="C3646" s="7" t="s">
        <v>64</v>
      </c>
      <c r="D3646" s="8">
        <v>638.79999999999995</v>
      </c>
    </row>
    <row r="3647" spans="1:4" x14ac:dyDescent="0.2">
      <c r="A3647" s="6">
        <v>5080</v>
      </c>
      <c r="B3647" s="5" t="s">
        <v>3683</v>
      </c>
      <c r="C3647" s="7" t="s">
        <v>10</v>
      </c>
      <c r="D3647" s="8">
        <v>405</v>
      </c>
    </row>
    <row r="3648" spans="1:4" x14ac:dyDescent="0.2">
      <c r="A3648" s="6">
        <v>5081</v>
      </c>
      <c r="B3648" s="5" t="s">
        <v>3684</v>
      </c>
      <c r="C3648" s="7" t="s">
        <v>10</v>
      </c>
      <c r="D3648" s="8">
        <v>405</v>
      </c>
    </row>
    <row r="3649" spans="1:4" x14ac:dyDescent="0.2">
      <c r="A3649" s="6">
        <v>5082</v>
      </c>
      <c r="B3649" s="5" t="s">
        <v>3685</v>
      </c>
      <c r="C3649" s="7" t="s">
        <v>10</v>
      </c>
      <c r="D3649" s="8">
        <v>405</v>
      </c>
    </row>
    <row r="3650" spans="1:4" x14ac:dyDescent="0.2">
      <c r="A3650" s="6">
        <v>5083</v>
      </c>
      <c r="B3650" s="5" t="s">
        <v>3686</v>
      </c>
      <c r="C3650" s="7" t="s">
        <v>10</v>
      </c>
      <c r="D3650" s="8">
        <v>405</v>
      </c>
    </row>
    <row r="3651" spans="1:4" x14ac:dyDescent="0.2">
      <c r="A3651"/>
      <c r="B3651"/>
      <c r="C3651"/>
      <c r="D3651"/>
    </row>
    <row r="3652" spans="1:4" x14ac:dyDescent="0.2">
      <c r="A3652"/>
      <c r="B3652"/>
      <c r="C3652"/>
      <c r="D3652"/>
    </row>
    <row r="3653" spans="1:4" x14ac:dyDescent="0.2">
      <c r="A3653"/>
      <c r="B3653"/>
      <c r="C3653"/>
      <c r="D3653"/>
    </row>
    <row r="3654" spans="1:4" x14ac:dyDescent="0.2">
      <c r="A3654"/>
      <c r="B3654"/>
      <c r="C3654"/>
      <c r="D3654"/>
    </row>
    <row r="3655" spans="1:4" x14ac:dyDescent="0.2">
      <c r="A3655"/>
      <c r="B3655"/>
      <c r="C3655"/>
      <c r="D3655"/>
    </row>
    <row r="3656" spans="1:4" x14ac:dyDescent="0.2">
      <c r="A3656"/>
      <c r="B3656"/>
      <c r="C3656"/>
      <c r="D3656"/>
    </row>
    <row r="3657" spans="1:4" x14ac:dyDescent="0.2">
      <c r="A3657"/>
      <c r="B3657"/>
      <c r="C3657"/>
      <c r="D3657"/>
    </row>
    <row r="3658" spans="1:4" x14ac:dyDescent="0.2">
      <c r="A3658"/>
      <c r="B3658"/>
      <c r="C3658"/>
      <c r="D3658"/>
    </row>
    <row r="3659" spans="1:4" x14ac:dyDescent="0.2">
      <c r="A3659"/>
      <c r="B3659"/>
      <c r="C3659"/>
      <c r="D3659"/>
    </row>
    <row r="3660" spans="1:4" x14ac:dyDescent="0.2">
      <c r="A3660"/>
      <c r="B3660"/>
      <c r="C3660"/>
      <c r="D3660"/>
    </row>
    <row r="3661" spans="1:4" x14ac:dyDescent="0.2">
      <c r="A3661"/>
      <c r="B3661"/>
      <c r="C3661"/>
      <c r="D3661"/>
    </row>
    <row r="3662" spans="1:4" x14ac:dyDescent="0.2">
      <c r="A3662"/>
      <c r="B3662"/>
      <c r="C3662"/>
      <c r="D3662"/>
    </row>
    <row r="3663" spans="1:4" x14ac:dyDescent="0.2">
      <c r="A3663"/>
      <c r="B3663"/>
      <c r="C3663"/>
      <c r="D3663"/>
    </row>
    <row r="3664" spans="1:4" x14ac:dyDescent="0.2">
      <c r="A3664"/>
      <c r="B3664"/>
      <c r="C3664"/>
      <c r="D3664"/>
    </row>
    <row r="3665" spans="1:4" x14ac:dyDescent="0.2">
      <c r="A3665"/>
      <c r="B3665"/>
      <c r="C3665"/>
      <c r="D3665"/>
    </row>
    <row r="3666" spans="1:4" x14ac:dyDescent="0.2">
      <c r="A3666"/>
      <c r="B3666"/>
      <c r="C3666"/>
      <c r="D3666"/>
    </row>
    <row r="3667" spans="1:4" x14ac:dyDescent="0.2">
      <c r="A3667"/>
      <c r="B3667"/>
      <c r="C3667"/>
      <c r="D3667"/>
    </row>
    <row r="3668" spans="1:4" x14ac:dyDescent="0.2">
      <c r="A3668"/>
      <c r="B3668"/>
      <c r="C3668"/>
      <c r="D3668"/>
    </row>
    <row r="3669" spans="1:4" x14ac:dyDescent="0.2">
      <c r="A3669"/>
      <c r="B3669"/>
      <c r="C3669"/>
      <c r="D3669"/>
    </row>
    <row r="3670" spans="1:4" x14ac:dyDescent="0.2">
      <c r="A3670"/>
      <c r="B3670"/>
      <c r="C3670"/>
      <c r="D3670"/>
    </row>
    <row r="3671" spans="1:4" x14ac:dyDescent="0.2">
      <c r="A3671"/>
      <c r="B3671"/>
      <c r="C3671"/>
      <c r="D3671"/>
    </row>
    <row r="3672" spans="1:4" x14ac:dyDescent="0.2">
      <c r="A3672"/>
      <c r="B3672"/>
      <c r="C3672"/>
      <c r="D3672"/>
    </row>
    <row r="3673" spans="1:4" x14ac:dyDescent="0.2">
      <c r="A3673"/>
      <c r="B3673"/>
      <c r="C3673"/>
      <c r="D3673"/>
    </row>
    <row r="3674" spans="1:4" x14ac:dyDescent="0.2">
      <c r="A3674"/>
      <c r="B3674"/>
      <c r="C3674"/>
      <c r="D3674"/>
    </row>
    <row r="3675" spans="1:4" x14ac:dyDescent="0.2">
      <c r="A3675"/>
      <c r="B3675"/>
      <c r="C3675"/>
      <c r="D3675"/>
    </row>
    <row r="3676" spans="1:4" x14ac:dyDescent="0.2">
      <c r="A3676"/>
      <c r="B3676"/>
      <c r="C3676"/>
      <c r="D3676"/>
    </row>
    <row r="3677" spans="1:4" x14ac:dyDescent="0.2">
      <c r="A3677"/>
      <c r="B3677"/>
      <c r="C3677"/>
      <c r="D3677"/>
    </row>
    <row r="3678" spans="1:4" x14ac:dyDescent="0.2">
      <c r="A3678"/>
      <c r="B3678"/>
      <c r="C3678"/>
      <c r="D3678"/>
    </row>
    <row r="3679" spans="1:4" x14ac:dyDescent="0.2">
      <c r="A3679"/>
      <c r="B3679"/>
      <c r="C3679"/>
      <c r="D3679"/>
    </row>
    <row r="3680" spans="1:4" x14ac:dyDescent="0.2">
      <c r="A3680"/>
      <c r="B3680"/>
      <c r="C3680"/>
      <c r="D3680"/>
    </row>
    <row r="3681" spans="1:4" x14ac:dyDescent="0.2">
      <c r="A3681"/>
      <c r="B3681"/>
      <c r="C3681"/>
      <c r="D3681"/>
    </row>
    <row r="3682" spans="1:4" x14ac:dyDescent="0.2">
      <c r="A3682"/>
      <c r="B3682"/>
      <c r="C3682"/>
      <c r="D3682"/>
    </row>
    <row r="3683" spans="1:4" x14ac:dyDescent="0.2">
      <c r="A3683"/>
      <c r="B3683"/>
      <c r="C3683"/>
      <c r="D3683"/>
    </row>
    <row r="3684" spans="1:4" x14ac:dyDescent="0.2">
      <c r="A3684"/>
      <c r="B3684"/>
      <c r="C3684"/>
      <c r="D3684"/>
    </row>
    <row r="3685" spans="1:4" x14ac:dyDescent="0.2">
      <c r="A3685"/>
      <c r="B3685"/>
      <c r="C3685"/>
      <c r="D3685"/>
    </row>
    <row r="3686" spans="1:4" x14ac:dyDescent="0.2">
      <c r="A3686"/>
      <c r="B3686"/>
      <c r="C3686"/>
      <c r="D3686"/>
    </row>
    <row r="3687" spans="1:4" x14ac:dyDescent="0.2">
      <c r="A3687"/>
      <c r="B3687"/>
      <c r="C3687"/>
      <c r="D3687"/>
    </row>
    <row r="3688" spans="1:4" x14ac:dyDescent="0.2">
      <c r="A3688"/>
      <c r="B3688"/>
      <c r="C3688"/>
      <c r="D3688"/>
    </row>
    <row r="3689" spans="1:4" x14ac:dyDescent="0.2">
      <c r="A3689"/>
      <c r="B3689"/>
      <c r="C3689"/>
      <c r="D3689"/>
    </row>
    <row r="3690" spans="1:4" x14ac:dyDescent="0.2">
      <c r="A3690"/>
      <c r="B3690"/>
      <c r="C3690"/>
      <c r="D3690"/>
    </row>
    <row r="3691" spans="1:4" x14ac:dyDescent="0.2">
      <c r="A3691"/>
      <c r="B3691"/>
      <c r="C3691"/>
      <c r="D3691"/>
    </row>
    <row r="3692" spans="1:4" x14ac:dyDescent="0.2">
      <c r="A3692"/>
      <c r="B3692"/>
      <c r="C3692"/>
      <c r="D3692"/>
    </row>
    <row r="3693" spans="1:4" x14ac:dyDescent="0.2">
      <c r="A3693"/>
      <c r="B3693"/>
      <c r="C3693"/>
      <c r="D3693"/>
    </row>
    <row r="3694" spans="1:4" x14ac:dyDescent="0.2">
      <c r="A3694"/>
      <c r="B3694"/>
      <c r="C3694"/>
      <c r="D3694"/>
    </row>
    <row r="3695" spans="1:4" x14ac:dyDescent="0.2">
      <c r="A3695"/>
      <c r="B3695"/>
      <c r="C3695"/>
      <c r="D3695"/>
    </row>
    <row r="3696" spans="1:4" x14ac:dyDescent="0.2">
      <c r="A3696"/>
      <c r="B3696"/>
      <c r="C3696"/>
      <c r="D3696"/>
    </row>
    <row r="3697" spans="1:4" x14ac:dyDescent="0.2">
      <c r="A3697"/>
      <c r="B3697"/>
      <c r="C3697"/>
      <c r="D3697"/>
    </row>
    <row r="3698" spans="1:4" x14ac:dyDescent="0.2">
      <c r="A3698"/>
      <c r="B3698"/>
      <c r="C3698"/>
      <c r="D3698"/>
    </row>
    <row r="3699" spans="1:4" x14ac:dyDescent="0.2">
      <c r="A3699"/>
      <c r="B3699"/>
      <c r="C3699"/>
      <c r="D3699"/>
    </row>
    <row r="3700" spans="1:4" x14ac:dyDescent="0.2">
      <c r="A3700"/>
      <c r="B3700"/>
      <c r="C3700"/>
      <c r="D3700"/>
    </row>
    <row r="3701" spans="1:4" x14ac:dyDescent="0.2">
      <c r="A3701"/>
      <c r="B3701"/>
      <c r="C3701"/>
      <c r="D3701"/>
    </row>
    <row r="3702" spans="1:4" x14ac:dyDescent="0.2">
      <c r="A3702"/>
      <c r="B3702"/>
      <c r="C3702"/>
      <c r="D3702"/>
    </row>
    <row r="3703" spans="1:4" x14ac:dyDescent="0.2">
      <c r="A3703"/>
      <c r="B3703"/>
      <c r="C3703"/>
      <c r="D3703"/>
    </row>
    <row r="3704" spans="1:4" x14ac:dyDescent="0.2">
      <c r="A3704"/>
      <c r="B3704"/>
      <c r="C3704"/>
      <c r="D3704"/>
    </row>
    <row r="3705" spans="1:4" x14ac:dyDescent="0.2">
      <c r="A3705"/>
      <c r="B3705"/>
      <c r="C3705"/>
      <c r="D3705"/>
    </row>
    <row r="3706" spans="1:4" x14ac:dyDescent="0.2">
      <c r="A3706"/>
      <c r="B3706"/>
      <c r="C3706"/>
      <c r="D3706"/>
    </row>
    <row r="3707" spans="1:4" x14ac:dyDescent="0.2">
      <c r="A3707"/>
      <c r="B3707"/>
      <c r="C3707"/>
      <c r="D3707"/>
    </row>
    <row r="3708" spans="1:4" x14ac:dyDescent="0.2">
      <c r="A3708"/>
      <c r="B3708"/>
      <c r="C3708"/>
      <c r="D3708"/>
    </row>
    <row r="3709" spans="1:4" x14ac:dyDescent="0.2">
      <c r="A3709"/>
      <c r="B3709"/>
      <c r="C3709"/>
      <c r="D3709"/>
    </row>
    <row r="3710" spans="1:4" x14ac:dyDescent="0.2">
      <c r="A3710"/>
      <c r="B3710"/>
      <c r="C3710"/>
      <c r="D3710"/>
    </row>
    <row r="3711" spans="1:4" x14ac:dyDescent="0.2">
      <c r="A3711"/>
      <c r="B3711"/>
      <c r="C3711"/>
      <c r="D3711"/>
    </row>
    <row r="3712" spans="1:4" x14ac:dyDescent="0.2">
      <c r="A3712"/>
      <c r="B3712"/>
      <c r="C3712"/>
      <c r="D3712"/>
    </row>
    <row r="3713" spans="1:4" x14ac:dyDescent="0.2">
      <c r="A3713"/>
      <c r="B3713"/>
      <c r="C3713"/>
      <c r="D3713"/>
    </row>
    <row r="3714" spans="1:4" x14ac:dyDescent="0.2">
      <c r="A3714"/>
      <c r="B3714"/>
      <c r="C3714"/>
      <c r="D3714"/>
    </row>
    <row r="3715" spans="1:4" x14ac:dyDescent="0.2">
      <c r="A3715"/>
      <c r="B3715"/>
      <c r="C3715"/>
      <c r="D3715"/>
    </row>
    <row r="3716" spans="1:4" x14ac:dyDescent="0.2">
      <c r="A3716"/>
      <c r="B3716"/>
      <c r="C3716"/>
      <c r="D3716"/>
    </row>
    <row r="3717" spans="1:4" x14ac:dyDescent="0.2">
      <c r="A3717"/>
      <c r="B3717"/>
      <c r="C3717"/>
      <c r="D3717"/>
    </row>
    <row r="3718" spans="1:4" x14ac:dyDescent="0.2">
      <c r="A3718"/>
      <c r="B3718"/>
      <c r="C3718"/>
      <c r="D3718"/>
    </row>
    <row r="3719" spans="1:4" x14ac:dyDescent="0.2">
      <c r="A3719"/>
      <c r="B3719"/>
      <c r="C3719"/>
      <c r="D3719"/>
    </row>
    <row r="3720" spans="1:4" x14ac:dyDescent="0.2">
      <c r="A3720"/>
      <c r="B3720"/>
      <c r="C3720"/>
      <c r="D3720"/>
    </row>
    <row r="3721" spans="1:4" x14ac:dyDescent="0.2">
      <c r="A3721"/>
      <c r="B3721"/>
      <c r="C3721"/>
      <c r="D3721"/>
    </row>
    <row r="3722" spans="1:4" x14ac:dyDescent="0.2">
      <c r="A3722"/>
      <c r="B3722"/>
      <c r="C3722"/>
      <c r="D3722"/>
    </row>
    <row r="3723" spans="1:4" x14ac:dyDescent="0.2">
      <c r="A3723"/>
      <c r="B3723"/>
      <c r="C3723"/>
      <c r="D3723"/>
    </row>
    <row r="3724" spans="1:4" x14ac:dyDescent="0.2">
      <c r="A3724"/>
      <c r="B3724"/>
      <c r="C3724"/>
      <c r="D3724"/>
    </row>
    <row r="3725" spans="1:4" x14ac:dyDescent="0.2">
      <c r="A3725"/>
      <c r="B3725"/>
      <c r="C3725"/>
      <c r="D3725"/>
    </row>
    <row r="3726" spans="1:4" x14ac:dyDescent="0.2">
      <c r="A3726"/>
      <c r="B3726"/>
      <c r="C3726"/>
      <c r="D3726"/>
    </row>
    <row r="3727" spans="1:4" x14ac:dyDescent="0.2">
      <c r="A3727"/>
      <c r="B3727"/>
      <c r="C3727"/>
      <c r="D3727"/>
    </row>
    <row r="3728" spans="1:4" x14ac:dyDescent="0.2">
      <c r="A3728"/>
      <c r="B3728"/>
      <c r="C3728"/>
      <c r="D3728"/>
    </row>
    <row r="3729" spans="1:4" x14ac:dyDescent="0.2">
      <c r="A3729"/>
      <c r="B3729"/>
      <c r="C3729"/>
      <c r="D3729"/>
    </row>
    <row r="3730" spans="1:4" x14ac:dyDescent="0.2">
      <c r="A3730"/>
      <c r="B3730"/>
      <c r="C3730"/>
      <c r="D3730"/>
    </row>
    <row r="3731" spans="1:4" x14ac:dyDescent="0.2">
      <c r="A3731"/>
      <c r="B3731"/>
      <c r="C3731"/>
      <c r="D3731"/>
    </row>
    <row r="3732" spans="1:4" x14ac:dyDescent="0.2">
      <c r="A3732"/>
      <c r="B3732"/>
      <c r="C3732"/>
      <c r="D3732"/>
    </row>
    <row r="3733" spans="1:4" x14ac:dyDescent="0.2">
      <c r="A3733"/>
      <c r="B3733"/>
      <c r="C3733"/>
      <c r="D3733"/>
    </row>
    <row r="3734" spans="1:4" x14ac:dyDescent="0.2">
      <c r="A3734"/>
      <c r="B3734"/>
      <c r="C3734"/>
      <c r="D3734"/>
    </row>
    <row r="3735" spans="1:4" x14ac:dyDescent="0.2">
      <c r="A3735"/>
      <c r="B3735"/>
      <c r="C3735"/>
      <c r="D3735"/>
    </row>
    <row r="3736" spans="1:4" x14ac:dyDescent="0.2">
      <c r="A3736"/>
      <c r="B3736"/>
      <c r="C3736"/>
      <c r="D3736"/>
    </row>
    <row r="3737" spans="1:4" x14ac:dyDescent="0.2">
      <c r="A3737"/>
      <c r="B3737"/>
      <c r="C3737"/>
      <c r="D3737"/>
    </row>
    <row r="3738" spans="1:4" x14ac:dyDescent="0.2">
      <c r="A3738"/>
      <c r="B3738"/>
      <c r="C3738"/>
      <c r="D3738"/>
    </row>
    <row r="3739" spans="1:4" x14ac:dyDescent="0.2">
      <c r="A3739"/>
      <c r="B3739"/>
      <c r="C3739"/>
      <c r="D3739"/>
    </row>
    <row r="3740" spans="1:4" x14ac:dyDescent="0.2">
      <c r="A3740"/>
      <c r="B3740"/>
      <c r="C3740"/>
      <c r="D3740"/>
    </row>
    <row r="3741" spans="1:4" x14ac:dyDescent="0.2">
      <c r="A3741"/>
      <c r="B3741"/>
      <c r="C3741"/>
      <c r="D3741"/>
    </row>
    <row r="3742" spans="1:4" x14ac:dyDescent="0.2">
      <c r="A3742"/>
      <c r="B3742"/>
      <c r="C3742"/>
      <c r="D3742"/>
    </row>
    <row r="3743" spans="1:4" x14ac:dyDescent="0.2">
      <c r="A3743"/>
      <c r="B3743"/>
      <c r="C3743"/>
      <c r="D3743"/>
    </row>
    <row r="3744" spans="1:4" x14ac:dyDescent="0.2">
      <c r="A3744"/>
      <c r="B3744"/>
      <c r="C3744"/>
      <c r="D3744"/>
    </row>
    <row r="3745" spans="1:4" x14ac:dyDescent="0.2">
      <c r="A3745"/>
      <c r="B3745"/>
      <c r="C3745"/>
      <c r="D3745"/>
    </row>
    <row r="3746" spans="1:4" x14ac:dyDescent="0.2">
      <c r="A3746"/>
      <c r="B3746"/>
      <c r="C3746"/>
      <c r="D3746"/>
    </row>
    <row r="3747" spans="1:4" x14ac:dyDescent="0.2">
      <c r="A3747"/>
      <c r="B3747"/>
      <c r="C3747"/>
      <c r="D3747"/>
    </row>
    <row r="3748" spans="1:4" x14ac:dyDescent="0.2">
      <c r="A3748"/>
      <c r="B3748"/>
      <c r="C3748"/>
      <c r="D3748"/>
    </row>
    <row r="3749" spans="1:4" x14ac:dyDescent="0.2">
      <c r="A3749"/>
      <c r="B3749"/>
      <c r="C3749"/>
      <c r="D3749"/>
    </row>
    <row r="3750" spans="1:4" x14ac:dyDescent="0.2">
      <c r="A3750"/>
      <c r="B3750"/>
      <c r="C3750"/>
      <c r="D3750"/>
    </row>
    <row r="3751" spans="1:4" x14ac:dyDescent="0.2">
      <c r="A3751"/>
      <c r="B3751"/>
      <c r="C3751"/>
      <c r="D3751"/>
    </row>
    <row r="3752" spans="1:4" x14ac:dyDescent="0.2">
      <c r="A3752"/>
      <c r="B3752"/>
      <c r="C3752"/>
      <c r="D3752"/>
    </row>
    <row r="3753" spans="1:4" x14ac:dyDescent="0.2">
      <c r="A3753"/>
      <c r="B3753"/>
      <c r="C3753"/>
      <c r="D3753"/>
    </row>
    <row r="3754" spans="1:4" x14ac:dyDescent="0.2">
      <c r="A3754"/>
      <c r="B3754"/>
      <c r="C3754"/>
      <c r="D3754"/>
    </row>
    <row r="3755" spans="1:4" x14ac:dyDescent="0.2">
      <c r="A3755"/>
      <c r="B3755"/>
      <c r="C3755"/>
      <c r="D3755"/>
    </row>
    <row r="3756" spans="1:4" x14ac:dyDescent="0.2">
      <c r="A3756"/>
      <c r="B3756"/>
      <c r="C3756"/>
      <c r="D3756"/>
    </row>
    <row r="3757" spans="1:4" x14ac:dyDescent="0.2">
      <c r="A3757"/>
      <c r="B3757"/>
      <c r="C3757"/>
      <c r="D3757"/>
    </row>
    <row r="3758" spans="1:4" x14ac:dyDescent="0.2">
      <c r="A3758"/>
      <c r="B3758"/>
      <c r="C3758"/>
      <c r="D3758"/>
    </row>
    <row r="3759" spans="1:4" x14ac:dyDescent="0.2">
      <c r="A3759"/>
      <c r="B3759"/>
      <c r="C3759"/>
      <c r="D3759"/>
    </row>
    <row r="3760" spans="1:4" x14ac:dyDescent="0.2">
      <c r="A3760"/>
      <c r="B3760"/>
      <c r="C3760"/>
      <c r="D3760"/>
    </row>
    <row r="3761" spans="1:4" x14ac:dyDescent="0.2">
      <c r="A3761"/>
      <c r="B3761"/>
      <c r="C3761"/>
      <c r="D3761"/>
    </row>
    <row r="3762" spans="1:4" x14ac:dyDescent="0.2">
      <c r="A3762"/>
      <c r="B3762"/>
      <c r="C3762"/>
      <c r="D3762"/>
    </row>
    <row r="3763" spans="1:4" x14ac:dyDescent="0.2">
      <c r="A3763"/>
      <c r="B3763"/>
      <c r="C3763"/>
      <c r="D3763"/>
    </row>
    <row r="3764" spans="1:4" x14ac:dyDescent="0.2">
      <c r="A3764"/>
      <c r="B3764"/>
      <c r="C3764"/>
      <c r="D3764"/>
    </row>
    <row r="3765" spans="1:4" x14ac:dyDescent="0.2">
      <c r="A3765"/>
      <c r="B3765"/>
      <c r="C3765"/>
      <c r="D3765"/>
    </row>
    <row r="3766" spans="1:4" x14ac:dyDescent="0.2">
      <c r="A3766"/>
      <c r="B3766"/>
      <c r="C3766"/>
      <c r="D3766"/>
    </row>
    <row r="3767" spans="1:4" x14ac:dyDescent="0.2">
      <c r="A3767"/>
      <c r="B3767"/>
      <c r="C3767"/>
      <c r="D3767"/>
    </row>
    <row r="3768" spans="1:4" x14ac:dyDescent="0.2">
      <c r="A3768"/>
      <c r="B3768"/>
      <c r="C3768"/>
      <c r="D3768"/>
    </row>
    <row r="3769" spans="1:4" x14ac:dyDescent="0.2">
      <c r="A3769"/>
      <c r="B3769"/>
      <c r="C3769"/>
      <c r="D3769"/>
    </row>
    <row r="3770" spans="1:4" x14ac:dyDescent="0.2">
      <c r="A3770"/>
      <c r="B3770"/>
      <c r="C3770"/>
      <c r="D3770"/>
    </row>
    <row r="3771" spans="1:4" x14ac:dyDescent="0.2">
      <c r="A3771"/>
      <c r="B3771"/>
      <c r="C3771"/>
      <c r="D3771"/>
    </row>
    <row r="3772" spans="1:4" x14ac:dyDescent="0.2">
      <c r="A3772"/>
      <c r="B3772"/>
      <c r="C3772"/>
      <c r="D3772"/>
    </row>
    <row r="3773" spans="1:4" x14ac:dyDescent="0.2">
      <c r="A3773"/>
      <c r="B3773"/>
      <c r="C3773"/>
      <c r="D3773"/>
    </row>
    <row r="3774" spans="1:4" x14ac:dyDescent="0.2">
      <c r="A3774"/>
      <c r="B3774"/>
      <c r="C3774"/>
      <c r="D3774"/>
    </row>
    <row r="3775" spans="1:4" x14ac:dyDescent="0.2">
      <c r="A3775"/>
      <c r="B3775"/>
      <c r="C3775"/>
      <c r="D3775"/>
    </row>
    <row r="3776" spans="1:4" x14ac:dyDescent="0.2">
      <c r="A3776"/>
      <c r="B3776"/>
      <c r="C3776"/>
      <c r="D3776"/>
    </row>
    <row r="3777" spans="1:4" x14ac:dyDescent="0.2">
      <c r="A3777"/>
      <c r="B3777"/>
      <c r="C3777"/>
      <c r="D3777"/>
    </row>
    <row r="3778" spans="1:4" x14ac:dyDescent="0.2">
      <c r="A3778"/>
      <c r="B3778"/>
      <c r="C3778"/>
      <c r="D3778"/>
    </row>
    <row r="3779" spans="1:4" x14ac:dyDescent="0.2">
      <c r="A3779"/>
      <c r="B3779"/>
      <c r="C3779"/>
      <c r="D3779"/>
    </row>
    <row r="3780" spans="1:4" x14ac:dyDescent="0.2">
      <c r="A3780"/>
      <c r="B3780"/>
      <c r="C3780"/>
      <c r="D3780"/>
    </row>
    <row r="3781" spans="1:4" x14ac:dyDescent="0.2">
      <c r="A3781"/>
      <c r="B3781"/>
      <c r="C3781"/>
      <c r="D3781"/>
    </row>
    <row r="3782" spans="1:4" x14ac:dyDescent="0.2">
      <c r="A3782"/>
      <c r="B3782"/>
      <c r="C3782"/>
      <c r="D3782"/>
    </row>
    <row r="3783" spans="1:4" x14ac:dyDescent="0.2">
      <c r="A3783"/>
      <c r="B3783"/>
      <c r="C3783"/>
      <c r="D3783"/>
    </row>
    <row r="3784" spans="1:4" x14ac:dyDescent="0.2">
      <c r="A3784"/>
      <c r="B3784"/>
      <c r="C3784"/>
      <c r="D3784"/>
    </row>
    <row r="3785" spans="1:4" x14ac:dyDescent="0.2">
      <c r="A3785"/>
      <c r="B3785"/>
      <c r="C3785"/>
      <c r="D3785"/>
    </row>
    <row r="3786" spans="1:4" x14ac:dyDescent="0.2">
      <c r="A3786"/>
      <c r="B3786"/>
      <c r="C3786"/>
      <c r="D3786"/>
    </row>
    <row r="3787" spans="1:4" x14ac:dyDescent="0.2">
      <c r="A3787"/>
      <c r="B3787"/>
      <c r="C3787"/>
      <c r="D3787"/>
    </row>
    <row r="3788" spans="1:4" x14ac:dyDescent="0.2">
      <c r="A3788"/>
      <c r="B3788"/>
      <c r="C3788"/>
      <c r="D3788"/>
    </row>
    <row r="3789" spans="1:4" x14ac:dyDescent="0.2">
      <c r="A3789"/>
      <c r="B3789"/>
      <c r="C3789"/>
      <c r="D3789"/>
    </row>
    <row r="3790" spans="1:4" x14ac:dyDescent="0.2">
      <c r="A3790"/>
      <c r="B3790"/>
      <c r="C3790"/>
      <c r="D3790"/>
    </row>
    <row r="3791" spans="1:4" x14ac:dyDescent="0.2">
      <c r="A3791"/>
      <c r="B3791"/>
      <c r="C3791"/>
      <c r="D3791"/>
    </row>
    <row r="3792" spans="1:4" x14ac:dyDescent="0.2">
      <c r="A3792"/>
      <c r="B3792"/>
      <c r="C3792"/>
      <c r="D3792"/>
    </row>
    <row r="3793" spans="1:4" x14ac:dyDescent="0.2">
      <c r="A3793"/>
      <c r="B3793"/>
      <c r="C3793"/>
      <c r="D3793"/>
    </row>
    <row r="3794" spans="1:4" x14ac:dyDescent="0.2">
      <c r="A3794"/>
      <c r="B3794"/>
      <c r="C3794"/>
      <c r="D3794"/>
    </row>
    <row r="3795" spans="1:4" x14ac:dyDescent="0.2">
      <c r="A3795"/>
      <c r="B3795"/>
      <c r="C3795"/>
      <c r="D3795"/>
    </row>
    <row r="3796" spans="1:4" x14ac:dyDescent="0.2">
      <c r="A3796"/>
      <c r="B3796"/>
      <c r="C3796"/>
      <c r="D3796"/>
    </row>
    <row r="3797" spans="1:4" x14ac:dyDescent="0.2">
      <c r="A3797"/>
      <c r="B3797"/>
      <c r="C3797"/>
      <c r="D3797"/>
    </row>
    <row r="3798" spans="1:4" x14ac:dyDescent="0.2">
      <c r="A3798"/>
      <c r="B3798"/>
      <c r="C3798"/>
      <c r="D3798"/>
    </row>
    <row r="3799" spans="1:4" x14ac:dyDescent="0.2">
      <c r="A3799"/>
      <c r="B3799"/>
      <c r="C3799"/>
      <c r="D3799"/>
    </row>
    <row r="3800" spans="1:4" x14ac:dyDescent="0.2">
      <c r="A3800"/>
      <c r="B3800"/>
      <c r="C3800"/>
      <c r="D3800"/>
    </row>
    <row r="3801" spans="1:4" x14ac:dyDescent="0.2">
      <c r="A3801"/>
      <c r="B3801"/>
      <c r="C3801"/>
      <c r="D3801"/>
    </row>
    <row r="3802" spans="1:4" x14ac:dyDescent="0.2">
      <c r="A3802"/>
      <c r="B3802"/>
      <c r="C3802"/>
      <c r="D3802"/>
    </row>
    <row r="3803" spans="1:4" x14ac:dyDescent="0.2">
      <c r="A3803"/>
      <c r="B3803"/>
      <c r="C3803"/>
      <c r="D3803"/>
    </row>
    <row r="3804" spans="1:4" x14ac:dyDescent="0.2">
      <c r="A3804"/>
      <c r="B3804"/>
      <c r="C3804"/>
      <c r="D3804"/>
    </row>
    <row r="3805" spans="1:4" x14ac:dyDescent="0.2">
      <c r="A3805"/>
      <c r="B3805"/>
      <c r="C3805"/>
      <c r="D3805"/>
    </row>
    <row r="3806" spans="1:4" x14ac:dyDescent="0.2">
      <c r="A3806"/>
      <c r="B3806"/>
      <c r="C3806"/>
      <c r="D3806"/>
    </row>
    <row r="3807" spans="1:4" x14ac:dyDescent="0.2">
      <c r="A3807"/>
      <c r="B3807"/>
      <c r="C3807"/>
      <c r="D3807"/>
    </row>
    <row r="3808" spans="1:4" x14ac:dyDescent="0.2">
      <c r="A3808"/>
      <c r="B3808"/>
      <c r="C3808"/>
      <c r="D3808"/>
    </row>
    <row r="3809" spans="1:4" x14ac:dyDescent="0.2">
      <c r="A3809"/>
      <c r="B3809"/>
      <c r="C3809"/>
      <c r="D3809"/>
    </row>
    <row r="3810" spans="1:4" x14ac:dyDescent="0.2">
      <c r="A3810"/>
      <c r="B3810"/>
      <c r="C3810"/>
      <c r="D3810"/>
    </row>
    <row r="3811" spans="1:4" x14ac:dyDescent="0.2">
      <c r="A3811"/>
      <c r="B3811"/>
      <c r="C3811"/>
      <c r="D3811"/>
    </row>
    <row r="3812" spans="1:4" x14ac:dyDescent="0.2">
      <c r="A3812"/>
      <c r="B3812"/>
      <c r="C3812"/>
      <c r="D3812"/>
    </row>
    <row r="3813" spans="1:4" x14ac:dyDescent="0.2">
      <c r="A3813"/>
      <c r="B3813"/>
      <c r="C3813"/>
      <c r="D3813"/>
    </row>
    <row r="3814" spans="1:4" x14ac:dyDescent="0.2">
      <c r="A3814"/>
      <c r="B3814"/>
      <c r="C3814"/>
      <c r="D3814"/>
    </row>
    <row r="3815" spans="1:4" x14ac:dyDescent="0.2">
      <c r="A3815"/>
      <c r="B3815"/>
      <c r="C3815"/>
      <c r="D3815"/>
    </row>
    <row r="3816" spans="1:4" x14ac:dyDescent="0.2">
      <c r="A3816"/>
      <c r="B3816"/>
      <c r="C3816"/>
      <c r="D3816"/>
    </row>
    <row r="3817" spans="1:4" x14ac:dyDescent="0.2">
      <c r="A3817"/>
      <c r="B3817"/>
      <c r="C3817"/>
      <c r="D3817"/>
    </row>
    <row r="3818" spans="1:4" x14ac:dyDescent="0.2">
      <c r="A3818"/>
      <c r="B3818"/>
      <c r="C3818"/>
      <c r="D3818"/>
    </row>
    <row r="3819" spans="1:4" x14ac:dyDescent="0.2">
      <c r="A3819"/>
      <c r="B3819"/>
      <c r="C3819"/>
      <c r="D3819"/>
    </row>
    <row r="3820" spans="1:4" x14ac:dyDescent="0.2">
      <c r="A3820"/>
      <c r="B3820"/>
      <c r="C3820"/>
      <c r="D3820"/>
    </row>
    <row r="3821" spans="1:4" x14ac:dyDescent="0.2">
      <c r="A3821"/>
      <c r="B3821"/>
      <c r="C3821"/>
      <c r="D3821"/>
    </row>
    <row r="3822" spans="1:4" x14ac:dyDescent="0.2">
      <c r="A3822"/>
      <c r="B3822"/>
      <c r="C3822"/>
      <c r="D3822"/>
    </row>
    <row r="3823" spans="1:4" x14ac:dyDescent="0.2">
      <c r="A3823"/>
      <c r="B3823"/>
      <c r="C3823"/>
      <c r="D3823"/>
    </row>
    <row r="3824" spans="1:4" x14ac:dyDescent="0.2">
      <c r="A3824"/>
      <c r="B3824"/>
      <c r="C3824"/>
      <c r="D3824"/>
    </row>
    <row r="3825" spans="1:4" x14ac:dyDescent="0.2">
      <c r="A3825"/>
      <c r="B3825"/>
      <c r="C3825"/>
      <c r="D3825"/>
    </row>
    <row r="3826" spans="1:4" x14ac:dyDescent="0.2">
      <c r="A3826"/>
      <c r="B3826"/>
      <c r="C3826"/>
      <c r="D3826"/>
    </row>
    <row r="3827" spans="1:4" x14ac:dyDescent="0.2">
      <c r="A3827"/>
      <c r="B3827"/>
      <c r="C3827"/>
      <c r="D3827"/>
    </row>
    <row r="3828" spans="1:4" x14ac:dyDescent="0.2">
      <c r="A3828"/>
      <c r="B3828"/>
      <c r="C3828"/>
      <c r="D3828"/>
    </row>
    <row r="3829" spans="1:4" x14ac:dyDescent="0.2">
      <c r="A3829"/>
      <c r="B3829"/>
      <c r="C3829"/>
      <c r="D3829"/>
    </row>
    <row r="3830" spans="1:4" x14ac:dyDescent="0.2">
      <c r="A3830"/>
      <c r="B3830"/>
      <c r="C3830"/>
      <c r="D3830"/>
    </row>
    <row r="3831" spans="1:4" x14ac:dyDescent="0.2">
      <c r="A3831"/>
      <c r="B3831"/>
      <c r="C3831"/>
      <c r="D3831"/>
    </row>
    <row r="3832" spans="1:4" x14ac:dyDescent="0.2">
      <c r="A3832"/>
      <c r="B3832"/>
      <c r="C3832"/>
      <c r="D3832"/>
    </row>
    <row r="3833" spans="1:4" x14ac:dyDescent="0.2">
      <c r="A3833"/>
      <c r="B3833"/>
      <c r="C3833"/>
      <c r="D3833"/>
    </row>
    <row r="3834" spans="1:4" x14ac:dyDescent="0.2">
      <c r="A3834"/>
      <c r="B3834"/>
      <c r="C3834"/>
      <c r="D3834"/>
    </row>
    <row r="3835" spans="1:4" x14ac:dyDescent="0.2">
      <c r="A3835"/>
      <c r="B3835"/>
      <c r="C3835"/>
      <c r="D3835"/>
    </row>
    <row r="3836" spans="1:4" x14ac:dyDescent="0.2">
      <c r="A3836"/>
      <c r="B3836"/>
      <c r="C3836"/>
      <c r="D3836"/>
    </row>
    <row r="3837" spans="1:4" x14ac:dyDescent="0.2">
      <c r="A3837"/>
      <c r="B3837"/>
      <c r="C3837"/>
      <c r="D3837"/>
    </row>
    <row r="3838" spans="1:4" x14ac:dyDescent="0.2">
      <c r="A3838"/>
      <c r="B3838"/>
      <c r="C3838"/>
      <c r="D3838"/>
    </row>
    <row r="3839" spans="1:4" x14ac:dyDescent="0.2">
      <c r="A3839"/>
      <c r="B3839"/>
      <c r="C3839"/>
      <c r="D3839"/>
    </row>
    <row r="3840" spans="1:4" x14ac:dyDescent="0.2">
      <c r="A3840"/>
      <c r="B3840"/>
      <c r="C3840"/>
      <c r="D3840"/>
    </row>
    <row r="3841" spans="1:4" x14ac:dyDescent="0.2">
      <c r="A3841"/>
      <c r="B3841"/>
      <c r="C3841"/>
      <c r="D3841"/>
    </row>
    <row r="3842" spans="1:4" x14ac:dyDescent="0.2">
      <c r="A3842"/>
      <c r="B3842"/>
      <c r="C3842"/>
      <c r="D3842"/>
    </row>
    <row r="3843" spans="1:4" x14ac:dyDescent="0.2">
      <c r="A3843"/>
      <c r="B3843"/>
      <c r="C3843"/>
      <c r="D3843"/>
    </row>
    <row r="3844" spans="1:4" x14ac:dyDescent="0.2">
      <c r="A3844"/>
      <c r="B3844"/>
      <c r="C3844"/>
      <c r="D3844"/>
    </row>
    <row r="3845" spans="1:4" x14ac:dyDescent="0.2">
      <c r="A3845"/>
      <c r="B3845"/>
      <c r="C3845"/>
      <c r="D3845"/>
    </row>
    <row r="3846" spans="1:4" x14ac:dyDescent="0.2">
      <c r="A3846"/>
      <c r="B3846"/>
      <c r="C3846"/>
      <c r="D3846"/>
    </row>
    <row r="3847" spans="1:4" x14ac:dyDescent="0.2">
      <c r="A3847"/>
      <c r="B3847"/>
      <c r="C3847"/>
      <c r="D3847"/>
    </row>
    <row r="3848" spans="1:4" x14ac:dyDescent="0.2">
      <c r="A3848"/>
      <c r="B3848"/>
      <c r="C3848"/>
      <c r="D3848"/>
    </row>
    <row r="3849" spans="1:4" x14ac:dyDescent="0.2">
      <c r="A3849"/>
      <c r="B3849"/>
      <c r="C3849"/>
      <c r="D3849"/>
    </row>
    <row r="3850" spans="1:4" x14ac:dyDescent="0.2">
      <c r="A3850"/>
      <c r="B3850"/>
      <c r="C3850"/>
      <c r="D3850"/>
    </row>
    <row r="3851" spans="1:4" x14ac:dyDescent="0.2">
      <c r="A3851"/>
      <c r="B3851"/>
      <c r="C3851"/>
      <c r="D3851"/>
    </row>
    <row r="3852" spans="1:4" x14ac:dyDescent="0.2">
      <c r="A3852"/>
      <c r="B3852"/>
      <c r="C3852"/>
      <c r="D3852"/>
    </row>
    <row r="3853" spans="1:4" x14ac:dyDescent="0.2">
      <c r="A3853"/>
      <c r="B3853"/>
      <c r="C3853"/>
      <c r="D3853"/>
    </row>
    <row r="3854" spans="1:4" x14ac:dyDescent="0.2">
      <c r="A3854"/>
      <c r="B3854"/>
      <c r="C3854"/>
      <c r="D3854"/>
    </row>
    <row r="3855" spans="1:4" x14ac:dyDescent="0.2">
      <c r="A3855"/>
      <c r="B3855"/>
      <c r="C3855"/>
      <c r="D3855"/>
    </row>
    <row r="3856" spans="1:4" x14ac:dyDescent="0.2">
      <c r="A3856"/>
      <c r="B3856"/>
      <c r="C3856"/>
      <c r="D3856"/>
    </row>
    <row r="3857" spans="1:4" x14ac:dyDescent="0.2">
      <c r="A3857"/>
      <c r="B3857"/>
      <c r="C3857"/>
      <c r="D3857"/>
    </row>
    <row r="3858" spans="1:4" x14ac:dyDescent="0.2">
      <c r="A3858"/>
      <c r="B3858"/>
      <c r="C3858"/>
      <c r="D3858"/>
    </row>
    <row r="3859" spans="1:4" x14ac:dyDescent="0.2">
      <c r="A3859"/>
      <c r="B3859"/>
      <c r="C3859"/>
      <c r="D3859"/>
    </row>
    <row r="3860" spans="1:4" x14ac:dyDescent="0.2">
      <c r="A3860"/>
      <c r="B3860"/>
      <c r="C3860"/>
      <c r="D3860"/>
    </row>
    <row r="3861" spans="1:4" x14ac:dyDescent="0.2">
      <c r="A3861"/>
      <c r="B3861"/>
      <c r="C3861"/>
      <c r="D3861"/>
    </row>
    <row r="3862" spans="1:4" x14ac:dyDescent="0.2">
      <c r="A3862"/>
      <c r="B3862"/>
      <c r="C3862"/>
      <c r="D3862"/>
    </row>
    <row r="3863" spans="1:4" x14ac:dyDescent="0.2">
      <c r="A3863"/>
      <c r="B3863"/>
      <c r="C3863"/>
      <c r="D3863"/>
    </row>
    <row r="3864" spans="1:4" x14ac:dyDescent="0.2">
      <c r="A3864"/>
      <c r="B3864"/>
      <c r="C3864"/>
      <c r="D3864"/>
    </row>
    <row r="3865" spans="1:4" x14ac:dyDescent="0.2">
      <c r="A3865"/>
      <c r="B3865"/>
      <c r="C3865"/>
      <c r="D3865"/>
    </row>
    <row r="3866" spans="1:4" x14ac:dyDescent="0.2">
      <c r="A3866"/>
      <c r="B3866"/>
      <c r="C3866"/>
      <c r="D3866"/>
    </row>
    <row r="3867" spans="1:4" x14ac:dyDescent="0.2">
      <c r="A3867"/>
      <c r="B3867"/>
      <c r="C3867"/>
      <c r="D3867"/>
    </row>
    <row r="3868" spans="1:4" x14ac:dyDescent="0.2">
      <c r="A3868"/>
      <c r="B3868"/>
      <c r="C3868"/>
      <c r="D3868"/>
    </row>
    <row r="3869" spans="1:4" x14ac:dyDescent="0.2">
      <c r="A3869"/>
      <c r="B3869"/>
      <c r="C3869"/>
      <c r="D3869"/>
    </row>
    <row r="3870" spans="1:4" x14ac:dyDescent="0.2">
      <c r="A3870"/>
      <c r="B3870"/>
      <c r="C3870"/>
      <c r="D3870"/>
    </row>
    <row r="3871" spans="1:4" x14ac:dyDescent="0.2">
      <c r="A3871"/>
      <c r="B3871"/>
      <c r="C3871"/>
      <c r="D3871"/>
    </row>
    <row r="3872" spans="1:4" x14ac:dyDescent="0.2">
      <c r="A3872"/>
      <c r="B3872"/>
      <c r="C3872"/>
      <c r="D3872"/>
    </row>
    <row r="3873" spans="1:4" x14ac:dyDescent="0.2">
      <c r="A3873"/>
      <c r="B3873"/>
      <c r="C3873"/>
      <c r="D3873"/>
    </row>
    <row r="3874" spans="1:4" x14ac:dyDescent="0.2">
      <c r="A3874"/>
      <c r="B3874"/>
      <c r="C3874"/>
      <c r="D3874"/>
    </row>
    <row r="3875" spans="1:4" x14ac:dyDescent="0.2">
      <c r="A3875"/>
      <c r="B3875"/>
      <c r="C3875"/>
      <c r="D3875"/>
    </row>
    <row r="3876" spans="1:4" x14ac:dyDescent="0.2">
      <c r="A3876"/>
      <c r="B3876"/>
      <c r="C3876"/>
      <c r="D3876"/>
    </row>
    <row r="3877" spans="1:4" x14ac:dyDescent="0.2">
      <c r="A3877"/>
      <c r="B3877"/>
      <c r="C3877"/>
      <c r="D3877"/>
    </row>
    <row r="3878" spans="1:4" x14ac:dyDescent="0.2">
      <c r="A3878"/>
      <c r="B3878"/>
      <c r="C3878"/>
      <c r="D3878"/>
    </row>
    <row r="3879" spans="1:4" x14ac:dyDescent="0.2">
      <c r="A3879"/>
      <c r="B3879"/>
      <c r="C3879"/>
      <c r="D3879"/>
    </row>
    <row r="3880" spans="1:4" x14ac:dyDescent="0.2">
      <c r="A3880"/>
      <c r="B3880"/>
      <c r="C3880"/>
      <c r="D3880"/>
    </row>
    <row r="3881" spans="1:4" x14ac:dyDescent="0.2">
      <c r="A3881"/>
      <c r="B3881"/>
      <c r="C3881"/>
      <c r="D3881"/>
    </row>
    <row r="3882" spans="1:4" x14ac:dyDescent="0.2">
      <c r="A3882"/>
      <c r="B3882"/>
      <c r="C3882"/>
      <c r="D3882"/>
    </row>
    <row r="3883" spans="1:4" x14ac:dyDescent="0.2">
      <c r="A3883"/>
      <c r="B3883"/>
      <c r="C3883"/>
      <c r="D3883"/>
    </row>
    <row r="3884" spans="1:4" x14ac:dyDescent="0.2">
      <c r="A3884"/>
      <c r="B3884"/>
      <c r="C3884"/>
      <c r="D3884"/>
    </row>
    <row r="3885" spans="1:4" x14ac:dyDescent="0.2">
      <c r="A3885"/>
      <c r="B3885"/>
      <c r="C3885"/>
      <c r="D3885"/>
    </row>
    <row r="3886" spans="1:4" x14ac:dyDescent="0.2">
      <c r="A3886"/>
      <c r="B3886"/>
      <c r="C3886"/>
      <c r="D3886"/>
    </row>
    <row r="3887" spans="1:4" x14ac:dyDescent="0.2">
      <c r="A3887"/>
      <c r="B3887"/>
      <c r="C3887"/>
      <c r="D3887"/>
    </row>
    <row r="3888" spans="1:4" x14ac:dyDescent="0.2">
      <c r="A3888"/>
      <c r="B3888"/>
      <c r="C3888"/>
      <c r="D3888"/>
    </row>
    <row r="3889" spans="1:4" x14ac:dyDescent="0.2">
      <c r="A3889"/>
      <c r="B3889"/>
      <c r="C3889"/>
      <c r="D3889"/>
    </row>
    <row r="3890" spans="1:4" x14ac:dyDescent="0.2">
      <c r="A3890"/>
      <c r="B3890"/>
      <c r="C3890"/>
      <c r="D3890"/>
    </row>
    <row r="3891" spans="1:4" x14ac:dyDescent="0.2">
      <c r="A3891"/>
      <c r="B3891"/>
      <c r="C3891"/>
      <c r="D3891"/>
    </row>
    <row r="3892" spans="1:4" x14ac:dyDescent="0.2">
      <c r="A3892"/>
      <c r="B3892"/>
      <c r="C3892"/>
      <c r="D3892"/>
    </row>
    <row r="3893" spans="1:4" x14ac:dyDescent="0.2">
      <c r="A3893"/>
      <c r="B3893"/>
      <c r="C3893"/>
      <c r="D3893"/>
    </row>
    <row r="3894" spans="1:4" x14ac:dyDescent="0.2">
      <c r="A3894"/>
      <c r="B3894"/>
      <c r="C3894"/>
      <c r="D3894"/>
    </row>
    <row r="3895" spans="1:4" x14ac:dyDescent="0.2">
      <c r="A3895"/>
      <c r="B3895"/>
      <c r="C3895"/>
      <c r="D3895"/>
    </row>
    <row r="3896" spans="1:4" x14ac:dyDescent="0.2">
      <c r="A3896"/>
      <c r="B3896"/>
      <c r="C3896"/>
      <c r="D3896"/>
    </row>
    <row r="3897" spans="1:4" x14ac:dyDescent="0.2">
      <c r="A3897"/>
      <c r="B3897"/>
      <c r="C3897"/>
      <c r="D3897"/>
    </row>
    <row r="3898" spans="1:4" x14ac:dyDescent="0.2">
      <c r="A3898"/>
      <c r="B3898"/>
      <c r="C3898"/>
      <c r="D3898"/>
    </row>
    <row r="3899" spans="1:4" x14ac:dyDescent="0.2">
      <c r="A3899"/>
      <c r="B3899"/>
      <c r="C3899"/>
      <c r="D3899"/>
    </row>
    <row r="3900" spans="1:4" x14ac:dyDescent="0.2">
      <c r="A3900"/>
      <c r="B3900"/>
      <c r="C3900"/>
      <c r="D3900"/>
    </row>
    <row r="3901" spans="1:4" x14ac:dyDescent="0.2">
      <c r="A3901"/>
      <c r="B3901"/>
      <c r="C3901"/>
      <c r="D3901"/>
    </row>
    <row r="3902" spans="1:4" x14ac:dyDescent="0.2">
      <c r="A3902"/>
      <c r="B3902"/>
      <c r="C3902"/>
      <c r="D3902"/>
    </row>
    <row r="3903" spans="1:4" x14ac:dyDescent="0.2">
      <c r="A3903"/>
      <c r="B3903"/>
      <c r="C3903"/>
      <c r="D3903"/>
    </row>
    <row r="3904" spans="1:4" x14ac:dyDescent="0.2">
      <c r="A3904"/>
      <c r="B3904"/>
      <c r="C3904"/>
      <c r="D3904"/>
    </row>
    <row r="3905" spans="1:4" x14ac:dyDescent="0.2">
      <c r="A3905"/>
      <c r="B3905"/>
      <c r="C3905"/>
      <c r="D3905"/>
    </row>
    <row r="3906" spans="1:4" x14ac:dyDescent="0.2">
      <c r="A3906"/>
      <c r="B3906"/>
      <c r="C3906"/>
      <c r="D3906"/>
    </row>
    <row r="3907" spans="1:4" x14ac:dyDescent="0.2">
      <c r="A3907"/>
      <c r="B3907"/>
      <c r="C3907"/>
      <c r="D3907"/>
    </row>
    <row r="3908" spans="1:4" x14ac:dyDescent="0.2">
      <c r="A3908"/>
      <c r="B3908"/>
      <c r="C3908"/>
      <c r="D3908"/>
    </row>
    <row r="3909" spans="1:4" x14ac:dyDescent="0.2">
      <c r="A3909"/>
      <c r="B3909"/>
      <c r="C3909"/>
      <c r="D3909"/>
    </row>
    <row r="3910" spans="1:4" x14ac:dyDescent="0.2">
      <c r="A3910"/>
      <c r="B3910"/>
      <c r="C3910"/>
      <c r="D3910"/>
    </row>
    <row r="3911" spans="1:4" x14ac:dyDescent="0.2">
      <c r="A3911"/>
      <c r="B3911"/>
      <c r="C3911"/>
      <c r="D3911"/>
    </row>
    <row r="3912" spans="1:4" x14ac:dyDescent="0.2">
      <c r="A3912"/>
      <c r="B3912"/>
      <c r="C3912"/>
      <c r="D3912"/>
    </row>
    <row r="3913" spans="1:4" x14ac:dyDescent="0.2">
      <c r="A3913"/>
      <c r="B3913"/>
      <c r="C3913"/>
      <c r="D3913"/>
    </row>
    <row r="3914" spans="1:4" x14ac:dyDescent="0.2">
      <c r="A3914"/>
      <c r="B3914"/>
      <c r="C3914"/>
      <c r="D3914"/>
    </row>
    <row r="3915" spans="1:4" x14ac:dyDescent="0.2">
      <c r="A3915"/>
      <c r="B3915"/>
      <c r="C3915"/>
      <c r="D3915"/>
    </row>
    <row r="3916" spans="1:4" x14ac:dyDescent="0.2">
      <c r="A3916"/>
      <c r="B3916"/>
      <c r="C3916"/>
      <c r="D3916"/>
    </row>
    <row r="3917" spans="1:4" x14ac:dyDescent="0.2">
      <c r="A3917"/>
      <c r="B3917"/>
      <c r="C3917"/>
      <c r="D3917"/>
    </row>
    <row r="3918" spans="1:4" x14ac:dyDescent="0.2">
      <c r="A3918"/>
      <c r="B3918"/>
      <c r="C3918"/>
      <c r="D3918"/>
    </row>
    <row r="3919" spans="1:4" x14ac:dyDescent="0.2">
      <c r="A3919"/>
      <c r="B3919"/>
      <c r="C3919"/>
      <c r="D3919"/>
    </row>
    <row r="3920" spans="1:4" x14ac:dyDescent="0.2">
      <c r="A3920"/>
      <c r="B3920"/>
      <c r="C3920"/>
      <c r="D3920"/>
    </row>
    <row r="3921" spans="1:4" x14ac:dyDescent="0.2">
      <c r="A3921"/>
      <c r="B3921"/>
      <c r="C3921"/>
      <c r="D3921"/>
    </row>
    <row r="3922" spans="1:4" x14ac:dyDescent="0.2">
      <c r="A3922"/>
      <c r="B3922"/>
      <c r="C3922"/>
      <c r="D3922"/>
    </row>
    <row r="3923" spans="1:4" x14ac:dyDescent="0.2">
      <c r="A3923"/>
      <c r="B3923"/>
      <c r="C3923"/>
      <c r="D3923"/>
    </row>
    <row r="3924" spans="1:4" x14ac:dyDescent="0.2">
      <c r="A3924"/>
      <c r="B3924"/>
      <c r="C3924"/>
      <c r="D3924"/>
    </row>
    <row r="3925" spans="1:4" x14ac:dyDescent="0.2">
      <c r="A3925"/>
      <c r="B3925"/>
      <c r="C3925"/>
      <c r="D3925"/>
    </row>
    <row r="3926" spans="1:4" x14ac:dyDescent="0.2">
      <c r="A3926"/>
      <c r="B3926"/>
      <c r="C3926"/>
      <c r="D3926"/>
    </row>
    <row r="3927" spans="1:4" x14ac:dyDescent="0.2">
      <c r="A3927"/>
      <c r="B3927"/>
      <c r="C3927"/>
      <c r="D3927"/>
    </row>
    <row r="3928" spans="1:4" x14ac:dyDescent="0.2">
      <c r="A3928"/>
      <c r="B3928"/>
      <c r="C3928"/>
      <c r="D3928"/>
    </row>
    <row r="3929" spans="1:4" x14ac:dyDescent="0.2">
      <c r="A3929"/>
      <c r="B3929"/>
      <c r="C3929"/>
      <c r="D3929"/>
    </row>
    <row r="3930" spans="1:4" x14ac:dyDescent="0.2">
      <c r="A3930"/>
      <c r="B3930"/>
      <c r="C3930"/>
      <c r="D3930"/>
    </row>
    <row r="3931" spans="1:4" x14ac:dyDescent="0.2">
      <c r="A3931"/>
      <c r="B3931"/>
      <c r="C3931"/>
      <c r="D3931"/>
    </row>
    <row r="3932" spans="1:4" x14ac:dyDescent="0.2">
      <c r="A3932"/>
      <c r="B3932"/>
      <c r="C3932"/>
      <c r="D3932"/>
    </row>
    <row r="3933" spans="1:4" x14ac:dyDescent="0.2">
      <c r="A3933"/>
      <c r="B3933"/>
      <c r="C3933"/>
      <c r="D3933"/>
    </row>
    <row r="3934" spans="1:4" x14ac:dyDescent="0.2">
      <c r="A3934"/>
      <c r="B3934"/>
      <c r="C3934"/>
      <c r="D3934"/>
    </row>
    <row r="3935" spans="1:4" x14ac:dyDescent="0.2">
      <c r="A3935"/>
      <c r="B3935"/>
      <c r="C3935"/>
      <c r="D3935"/>
    </row>
    <row r="3936" spans="1:4" x14ac:dyDescent="0.2">
      <c r="A3936"/>
      <c r="B3936"/>
      <c r="C3936"/>
      <c r="D3936"/>
    </row>
    <row r="3937" spans="1:4" x14ac:dyDescent="0.2">
      <c r="A3937"/>
      <c r="B3937"/>
      <c r="C3937"/>
      <c r="D3937"/>
    </row>
    <row r="3938" spans="1:4" x14ac:dyDescent="0.2">
      <c r="A3938"/>
      <c r="B3938"/>
      <c r="C3938"/>
      <c r="D3938"/>
    </row>
    <row r="3939" spans="1:4" x14ac:dyDescent="0.2">
      <c r="A3939"/>
      <c r="B3939"/>
      <c r="C3939"/>
      <c r="D3939"/>
    </row>
    <row r="3940" spans="1:4" x14ac:dyDescent="0.2">
      <c r="A3940"/>
      <c r="B3940"/>
      <c r="C3940"/>
      <c r="D3940"/>
    </row>
    <row r="3941" spans="1:4" x14ac:dyDescent="0.2">
      <c r="A3941"/>
      <c r="B3941"/>
      <c r="C3941"/>
      <c r="D3941"/>
    </row>
    <row r="3942" spans="1:4" x14ac:dyDescent="0.2">
      <c r="A3942"/>
      <c r="B3942"/>
      <c r="C3942"/>
      <c r="D3942"/>
    </row>
    <row r="3943" spans="1:4" x14ac:dyDescent="0.2">
      <c r="A3943"/>
      <c r="B3943"/>
      <c r="C3943"/>
      <c r="D3943"/>
    </row>
    <row r="3944" spans="1:4" x14ac:dyDescent="0.2">
      <c r="A3944"/>
      <c r="B3944"/>
      <c r="C3944"/>
      <c r="D3944"/>
    </row>
    <row r="3945" spans="1:4" x14ac:dyDescent="0.2">
      <c r="A3945"/>
      <c r="B3945"/>
      <c r="C3945"/>
      <c r="D3945"/>
    </row>
    <row r="3946" spans="1:4" x14ac:dyDescent="0.2">
      <c r="A3946"/>
      <c r="B3946"/>
      <c r="C3946"/>
      <c r="D3946"/>
    </row>
    <row r="3947" spans="1:4" x14ac:dyDescent="0.2">
      <c r="A3947"/>
      <c r="B3947"/>
      <c r="C3947"/>
      <c r="D3947"/>
    </row>
    <row r="3948" spans="1:4" x14ac:dyDescent="0.2">
      <c r="A3948"/>
      <c r="B3948"/>
      <c r="C3948"/>
      <c r="D3948"/>
    </row>
    <row r="3949" spans="1:4" x14ac:dyDescent="0.2">
      <c r="A3949"/>
      <c r="B3949"/>
      <c r="C3949"/>
      <c r="D3949"/>
    </row>
    <row r="3950" spans="1:4" x14ac:dyDescent="0.2">
      <c r="A3950"/>
      <c r="B3950"/>
      <c r="C3950"/>
      <c r="D3950"/>
    </row>
    <row r="3951" spans="1:4" x14ac:dyDescent="0.2">
      <c r="A3951"/>
      <c r="B3951"/>
      <c r="C3951"/>
      <c r="D3951"/>
    </row>
    <row r="3952" spans="1:4" x14ac:dyDescent="0.2">
      <c r="A3952"/>
      <c r="B3952"/>
      <c r="C3952"/>
      <c r="D3952"/>
    </row>
    <row r="3953" spans="1:4" x14ac:dyDescent="0.2">
      <c r="A3953"/>
      <c r="B3953"/>
      <c r="C3953"/>
      <c r="D3953"/>
    </row>
    <row r="3954" spans="1:4" x14ac:dyDescent="0.2">
      <c r="A3954"/>
      <c r="B3954"/>
      <c r="C3954"/>
      <c r="D3954"/>
    </row>
    <row r="3955" spans="1:4" x14ac:dyDescent="0.2">
      <c r="A3955"/>
      <c r="B3955"/>
      <c r="C3955"/>
      <c r="D3955"/>
    </row>
    <row r="3956" spans="1:4" x14ac:dyDescent="0.2">
      <c r="A3956"/>
      <c r="B3956"/>
      <c r="C3956"/>
      <c r="D3956"/>
    </row>
    <row r="3957" spans="1:4" x14ac:dyDescent="0.2">
      <c r="A3957"/>
      <c r="B3957"/>
      <c r="C3957"/>
      <c r="D3957"/>
    </row>
    <row r="3958" spans="1:4" x14ac:dyDescent="0.2">
      <c r="A3958"/>
      <c r="B3958"/>
      <c r="C3958"/>
      <c r="D3958"/>
    </row>
    <row r="3959" spans="1:4" x14ac:dyDescent="0.2">
      <c r="A3959"/>
      <c r="B3959"/>
      <c r="C3959"/>
      <c r="D3959"/>
    </row>
    <row r="3960" spans="1:4" x14ac:dyDescent="0.2">
      <c r="A3960"/>
      <c r="B3960"/>
      <c r="C3960"/>
      <c r="D3960"/>
    </row>
    <row r="3961" spans="1:4" x14ac:dyDescent="0.2">
      <c r="A3961"/>
      <c r="B3961"/>
      <c r="C3961"/>
      <c r="D3961"/>
    </row>
    <row r="3962" spans="1:4" x14ac:dyDescent="0.2">
      <c r="A3962"/>
      <c r="B3962"/>
      <c r="C3962"/>
      <c r="D3962"/>
    </row>
    <row r="3963" spans="1:4" x14ac:dyDescent="0.2">
      <c r="A3963"/>
      <c r="B3963"/>
      <c r="C3963"/>
      <c r="D3963"/>
    </row>
    <row r="3964" spans="1:4" x14ac:dyDescent="0.2">
      <c r="A3964"/>
      <c r="B3964"/>
      <c r="C3964"/>
      <c r="D3964"/>
    </row>
    <row r="3965" spans="1:4" x14ac:dyDescent="0.2">
      <c r="A3965"/>
      <c r="B3965"/>
      <c r="C3965"/>
      <c r="D3965"/>
    </row>
    <row r="3966" spans="1:4" x14ac:dyDescent="0.2">
      <c r="A3966"/>
      <c r="B3966"/>
      <c r="C3966"/>
      <c r="D3966"/>
    </row>
    <row r="3967" spans="1:4" x14ac:dyDescent="0.2">
      <c r="A3967"/>
      <c r="B3967"/>
      <c r="C3967"/>
      <c r="D3967"/>
    </row>
    <row r="3968" spans="1:4" x14ac:dyDescent="0.2">
      <c r="A3968"/>
      <c r="B3968"/>
      <c r="C3968"/>
      <c r="D3968"/>
    </row>
    <row r="3969" spans="1:4" x14ac:dyDescent="0.2">
      <c r="A3969"/>
      <c r="B3969"/>
      <c r="C3969"/>
      <c r="D3969"/>
    </row>
    <row r="3970" spans="1:4" x14ac:dyDescent="0.2">
      <c r="A3970"/>
      <c r="B3970"/>
      <c r="C3970"/>
      <c r="D3970"/>
    </row>
    <row r="3971" spans="1:4" x14ac:dyDescent="0.2">
      <c r="A3971"/>
      <c r="B3971"/>
      <c r="C3971"/>
      <c r="D3971"/>
    </row>
    <row r="3972" spans="1:4" x14ac:dyDescent="0.2">
      <c r="A3972"/>
      <c r="B3972"/>
      <c r="C3972"/>
      <c r="D3972"/>
    </row>
    <row r="3973" spans="1:4" x14ac:dyDescent="0.2">
      <c r="A3973"/>
      <c r="B3973"/>
      <c r="C3973"/>
      <c r="D3973"/>
    </row>
    <row r="3974" spans="1:4" x14ac:dyDescent="0.2">
      <c r="A3974"/>
      <c r="B3974"/>
      <c r="C3974"/>
      <c r="D3974"/>
    </row>
    <row r="3975" spans="1:4" x14ac:dyDescent="0.2">
      <c r="A3975"/>
      <c r="B3975"/>
      <c r="C3975"/>
      <c r="D3975"/>
    </row>
    <row r="3976" spans="1:4" x14ac:dyDescent="0.2">
      <c r="A3976"/>
      <c r="B3976"/>
      <c r="C3976"/>
      <c r="D3976"/>
    </row>
    <row r="3977" spans="1:4" x14ac:dyDescent="0.2">
      <c r="A3977"/>
      <c r="B3977"/>
      <c r="C3977"/>
      <c r="D3977"/>
    </row>
    <row r="3978" spans="1:4" x14ac:dyDescent="0.2">
      <c r="A3978"/>
      <c r="B3978"/>
      <c r="C3978"/>
      <c r="D3978"/>
    </row>
    <row r="3979" spans="1:4" x14ac:dyDescent="0.2">
      <c r="A3979"/>
      <c r="B3979"/>
      <c r="C3979"/>
      <c r="D3979"/>
    </row>
    <row r="3980" spans="1:4" x14ac:dyDescent="0.2">
      <c r="A3980"/>
      <c r="B3980"/>
      <c r="C3980"/>
      <c r="D3980"/>
    </row>
    <row r="3981" spans="1:4" x14ac:dyDescent="0.2">
      <c r="A3981"/>
      <c r="B3981"/>
      <c r="C3981"/>
      <c r="D3981"/>
    </row>
    <row r="3982" spans="1:4" x14ac:dyDescent="0.2">
      <c r="A3982"/>
      <c r="B3982"/>
      <c r="C3982"/>
      <c r="D3982"/>
    </row>
    <row r="3983" spans="1:4" x14ac:dyDescent="0.2">
      <c r="A3983"/>
      <c r="B3983"/>
      <c r="C3983"/>
      <c r="D3983"/>
    </row>
    <row r="3984" spans="1:4" x14ac:dyDescent="0.2">
      <c r="A3984"/>
      <c r="B3984"/>
      <c r="C3984"/>
      <c r="D3984"/>
    </row>
    <row r="3985" spans="1:4" x14ac:dyDescent="0.2">
      <c r="A3985"/>
      <c r="B3985"/>
      <c r="C3985"/>
      <c r="D3985"/>
    </row>
    <row r="3986" spans="1:4" x14ac:dyDescent="0.2">
      <c r="A3986"/>
      <c r="B3986"/>
      <c r="C3986"/>
      <c r="D3986"/>
    </row>
    <row r="3987" spans="1:4" x14ac:dyDescent="0.2">
      <c r="A3987"/>
      <c r="B3987"/>
      <c r="C3987"/>
      <c r="D3987"/>
    </row>
    <row r="3988" spans="1:4" x14ac:dyDescent="0.2">
      <c r="A3988"/>
      <c r="B3988"/>
      <c r="C3988"/>
      <c r="D3988"/>
    </row>
    <row r="3989" spans="1:4" x14ac:dyDescent="0.2">
      <c r="A3989"/>
      <c r="B3989"/>
      <c r="C3989"/>
      <c r="D3989"/>
    </row>
    <row r="3990" spans="1:4" x14ac:dyDescent="0.2">
      <c r="A3990"/>
      <c r="B3990"/>
      <c r="C3990"/>
      <c r="D3990"/>
    </row>
    <row r="3991" spans="1:4" x14ac:dyDescent="0.2">
      <c r="A3991"/>
      <c r="B3991"/>
      <c r="C3991"/>
      <c r="D3991"/>
    </row>
    <row r="3992" spans="1:4" x14ac:dyDescent="0.2">
      <c r="A3992"/>
      <c r="B3992"/>
      <c r="C3992"/>
      <c r="D3992"/>
    </row>
    <row r="3993" spans="1:4" x14ac:dyDescent="0.2">
      <c r="A3993"/>
      <c r="B3993"/>
      <c r="C3993"/>
      <c r="D3993"/>
    </row>
    <row r="3994" spans="1:4" x14ac:dyDescent="0.2">
      <c r="A3994"/>
      <c r="B3994"/>
      <c r="C3994"/>
      <c r="D3994"/>
    </row>
    <row r="3995" spans="1:4" x14ac:dyDescent="0.2">
      <c r="A3995"/>
      <c r="B3995"/>
      <c r="C3995"/>
      <c r="D3995"/>
    </row>
    <row r="3996" spans="1:4" x14ac:dyDescent="0.2">
      <c r="A3996"/>
      <c r="B3996"/>
      <c r="C3996"/>
      <c r="D3996"/>
    </row>
    <row r="3997" spans="1:4" x14ac:dyDescent="0.2">
      <c r="A3997"/>
      <c r="B3997"/>
      <c r="C3997"/>
      <c r="D3997"/>
    </row>
    <row r="3998" spans="1:4" x14ac:dyDescent="0.2">
      <c r="A3998"/>
      <c r="B3998"/>
      <c r="C3998"/>
      <c r="D3998"/>
    </row>
    <row r="3999" spans="1:4" x14ac:dyDescent="0.2">
      <c r="A3999"/>
      <c r="B3999"/>
      <c r="C3999"/>
      <c r="D3999"/>
    </row>
    <row r="4000" spans="1:4" x14ac:dyDescent="0.2">
      <c r="A4000"/>
      <c r="B4000"/>
      <c r="C4000"/>
      <c r="D4000"/>
    </row>
    <row r="4001" spans="1:4" x14ac:dyDescent="0.2">
      <c r="A4001"/>
      <c r="B4001"/>
      <c r="C4001"/>
      <c r="D4001"/>
    </row>
    <row r="4002" spans="1:4" x14ac:dyDescent="0.2">
      <c r="A4002"/>
      <c r="B4002"/>
      <c r="C4002"/>
      <c r="D4002"/>
    </row>
    <row r="4003" spans="1:4" x14ac:dyDescent="0.2">
      <c r="A4003"/>
      <c r="B4003"/>
      <c r="C4003"/>
      <c r="D4003"/>
    </row>
    <row r="4004" spans="1:4" x14ac:dyDescent="0.2">
      <c r="A4004"/>
      <c r="B4004"/>
      <c r="C4004"/>
      <c r="D4004"/>
    </row>
    <row r="4005" spans="1:4" x14ac:dyDescent="0.2">
      <c r="A4005"/>
      <c r="B4005"/>
      <c r="C4005"/>
      <c r="D4005"/>
    </row>
    <row r="4006" spans="1:4" x14ac:dyDescent="0.2">
      <c r="A4006"/>
      <c r="B4006"/>
      <c r="C4006"/>
      <c r="D4006"/>
    </row>
    <row r="4007" spans="1:4" x14ac:dyDescent="0.2">
      <c r="A4007"/>
      <c r="B4007"/>
      <c r="C4007"/>
      <c r="D4007"/>
    </row>
    <row r="4008" spans="1:4" x14ac:dyDescent="0.2">
      <c r="A4008"/>
      <c r="B4008"/>
      <c r="C4008"/>
      <c r="D4008"/>
    </row>
    <row r="4009" spans="1:4" x14ac:dyDescent="0.2">
      <c r="A4009"/>
      <c r="B4009"/>
      <c r="C4009"/>
      <c r="D4009"/>
    </row>
    <row r="4010" spans="1:4" x14ac:dyDescent="0.2">
      <c r="A4010"/>
      <c r="B4010"/>
      <c r="C4010"/>
      <c r="D4010"/>
    </row>
    <row r="4011" spans="1:4" x14ac:dyDescent="0.2">
      <c r="A4011"/>
      <c r="B4011"/>
      <c r="C4011"/>
      <c r="D4011"/>
    </row>
    <row r="4012" spans="1:4" x14ac:dyDescent="0.2">
      <c r="A4012"/>
      <c r="B4012"/>
      <c r="C4012"/>
      <c r="D4012"/>
    </row>
    <row r="4013" spans="1:4" x14ac:dyDescent="0.2">
      <c r="A4013"/>
      <c r="B4013"/>
      <c r="C4013"/>
      <c r="D4013"/>
    </row>
    <row r="4014" spans="1:4" x14ac:dyDescent="0.2">
      <c r="A4014"/>
      <c r="B4014"/>
      <c r="C4014"/>
      <c r="D4014"/>
    </row>
    <row r="4015" spans="1:4" x14ac:dyDescent="0.2">
      <c r="A4015"/>
      <c r="B4015"/>
      <c r="C4015"/>
      <c r="D4015"/>
    </row>
    <row r="4016" spans="1:4" x14ac:dyDescent="0.2">
      <c r="A4016"/>
      <c r="B4016"/>
      <c r="C4016"/>
      <c r="D4016"/>
    </row>
    <row r="4017" spans="1:4" x14ac:dyDescent="0.2">
      <c r="A4017"/>
      <c r="B4017"/>
      <c r="C4017"/>
      <c r="D4017"/>
    </row>
    <row r="4018" spans="1:4" x14ac:dyDescent="0.2">
      <c r="A4018"/>
      <c r="B4018"/>
      <c r="C4018"/>
      <c r="D4018"/>
    </row>
    <row r="4019" spans="1:4" x14ac:dyDescent="0.2">
      <c r="A4019"/>
      <c r="B4019"/>
      <c r="C4019"/>
      <c r="D4019"/>
    </row>
    <row r="4020" spans="1:4" x14ac:dyDescent="0.2">
      <c r="A4020"/>
      <c r="B4020"/>
      <c r="C4020"/>
      <c r="D4020"/>
    </row>
    <row r="4021" spans="1:4" x14ac:dyDescent="0.2">
      <c r="A4021"/>
      <c r="B4021"/>
      <c r="C4021"/>
      <c r="D4021"/>
    </row>
    <row r="4022" spans="1:4" x14ac:dyDescent="0.2">
      <c r="A4022"/>
      <c r="B4022"/>
      <c r="C4022"/>
      <c r="D4022"/>
    </row>
    <row r="4023" spans="1:4" x14ac:dyDescent="0.2">
      <c r="A4023"/>
      <c r="B4023"/>
      <c r="C4023"/>
      <c r="D4023"/>
    </row>
    <row r="4024" spans="1:4" x14ac:dyDescent="0.2">
      <c r="A4024"/>
      <c r="B4024"/>
      <c r="C4024"/>
      <c r="D4024"/>
    </row>
    <row r="4025" spans="1:4" x14ac:dyDescent="0.2">
      <c r="A4025"/>
      <c r="B4025"/>
      <c r="C4025"/>
      <c r="D4025"/>
    </row>
    <row r="4026" spans="1:4" x14ac:dyDescent="0.2">
      <c r="A4026"/>
      <c r="B4026"/>
      <c r="C4026"/>
      <c r="D4026"/>
    </row>
    <row r="4027" spans="1:4" x14ac:dyDescent="0.2">
      <c r="A4027"/>
      <c r="B4027"/>
      <c r="C4027"/>
      <c r="D4027"/>
    </row>
    <row r="4028" spans="1:4" x14ac:dyDescent="0.2">
      <c r="A4028"/>
      <c r="B4028"/>
      <c r="C4028"/>
      <c r="D4028"/>
    </row>
    <row r="4029" spans="1:4" x14ac:dyDescent="0.2">
      <c r="A4029"/>
      <c r="B4029"/>
      <c r="C4029"/>
      <c r="D4029"/>
    </row>
    <row r="4030" spans="1:4" x14ac:dyDescent="0.2">
      <c r="A4030"/>
      <c r="B4030"/>
      <c r="C4030"/>
      <c r="D4030"/>
    </row>
    <row r="4031" spans="1:4" x14ac:dyDescent="0.2">
      <c r="A4031"/>
      <c r="B4031"/>
      <c r="C4031"/>
      <c r="D4031"/>
    </row>
    <row r="4032" spans="1:4" x14ac:dyDescent="0.2">
      <c r="A4032"/>
      <c r="B4032"/>
      <c r="C4032"/>
      <c r="D4032"/>
    </row>
    <row r="4033" spans="1:4" x14ac:dyDescent="0.2">
      <c r="A4033"/>
      <c r="B4033"/>
      <c r="C4033"/>
      <c r="D4033"/>
    </row>
    <row r="4034" spans="1:4" x14ac:dyDescent="0.2">
      <c r="A4034"/>
      <c r="B4034"/>
      <c r="C4034"/>
      <c r="D4034"/>
    </row>
    <row r="4035" spans="1:4" x14ac:dyDescent="0.2">
      <c r="A4035"/>
      <c r="B4035"/>
      <c r="C4035"/>
      <c r="D4035"/>
    </row>
    <row r="4036" spans="1:4" x14ac:dyDescent="0.2">
      <c r="A4036"/>
      <c r="B4036"/>
      <c r="C4036"/>
      <c r="D4036"/>
    </row>
    <row r="4037" spans="1:4" x14ac:dyDescent="0.2">
      <c r="A4037"/>
      <c r="B4037"/>
      <c r="C4037"/>
      <c r="D4037"/>
    </row>
    <row r="4038" spans="1:4" x14ac:dyDescent="0.2">
      <c r="A4038"/>
      <c r="B4038"/>
      <c r="C4038"/>
      <c r="D4038"/>
    </row>
    <row r="4039" spans="1:4" x14ac:dyDescent="0.2">
      <c r="A4039"/>
      <c r="B4039"/>
      <c r="C4039"/>
      <c r="D4039"/>
    </row>
    <row r="4040" spans="1:4" x14ac:dyDescent="0.2">
      <c r="A4040"/>
      <c r="B4040"/>
      <c r="C4040"/>
      <c r="D4040"/>
    </row>
    <row r="4041" spans="1:4" x14ac:dyDescent="0.2">
      <c r="A4041"/>
      <c r="B4041"/>
      <c r="C4041"/>
      <c r="D4041"/>
    </row>
    <row r="4042" spans="1:4" x14ac:dyDescent="0.2">
      <c r="A4042"/>
      <c r="B4042"/>
      <c r="C4042"/>
      <c r="D4042"/>
    </row>
    <row r="4043" spans="1:4" x14ac:dyDescent="0.2">
      <c r="A4043"/>
      <c r="B4043"/>
      <c r="C4043"/>
      <c r="D4043"/>
    </row>
    <row r="4044" spans="1:4" x14ac:dyDescent="0.2">
      <c r="A4044"/>
      <c r="B4044"/>
      <c r="C4044"/>
      <c r="D4044"/>
    </row>
    <row r="4045" spans="1:4" x14ac:dyDescent="0.2">
      <c r="A4045"/>
      <c r="B4045"/>
      <c r="C4045"/>
      <c r="D4045"/>
    </row>
    <row r="4046" spans="1:4" x14ac:dyDescent="0.2">
      <c r="A4046"/>
      <c r="B4046"/>
      <c r="C4046"/>
      <c r="D4046"/>
    </row>
    <row r="4047" spans="1:4" x14ac:dyDescent="0.2">
      <c r="A4047"/>
      <c r="B4047"/>
      <c r="C4047"/>
      <c r="D4047"/>
    </row>
    <row r="4048" spans="1:4" x14ac:dyDescent="0.2">
      <c r="A4048"/>
      <c r="B4048"/>
      <c r="C4048"/>
      <c r="D4048"/>
    </row>
    <row r="4049" spans="1:4" x14ac:dyDescent="0.2">
      <c r="A4049"/>
      <c r="B4049"/>
      <c r="C4049"/>
      <c r="D4049"/>
    </row>
    <row r="4050" spans="1:4" x14ac:dyDescent="0.2">
      <c r="A4050"/>
      <c r="B4050"/>
      <c r="C4050"/>
      <c r="D4050"/>
    </row>
    <row r="4051" spans="1:4" x14ac:dyDescent="0.2">
      <c r="A4051"/>
      <c r="B4051"/>
      <c r="C4051"/>
      <c r="D4051"/>
    </row>
    <row r="4052" spans="1:4" x14ac:dyDescent="0.2">
      <c r="A4052"/>
      <c r="B4052"/>
      <c r="C4052"/>
      <c r="D4052"/>
    </row>
    <row r="4053" spans="1:4" x14ac:dyDescent="0.2">
      <c r="A4053"/>
      <c r="B4053"/>
      <c r="C4053"/>
      <c r="D4053"/>
    </row>
    <row r="4054" spans="1:4" x14ac:dyDescent="0.2">
      <c r="A4054"/>
      <c r="B4054"/>
      <c r="C4054"/>
      <c r="D4054"/>
    </row>
    <row r="4055" spans="1:4" x14ac:dyDescent="0.2">
      <c r="A4055"/>
      <c r="B4055"/>
      <c r="C4055"/>
      <c r="D4055"/>
    </row>
    <row r="4056" spans="1:4" x14ac:dyDescent="0.2">
      <c r="A4056"/>
      <c r="B4056"/>
      <c r="C4056"/>
      <c r="D4056"/>
    </row>
    <row r="4057" spans="1:4" x14ac:dyDescent="0.2">
      <c r="A4057"/>
      <c r="B4057"/>
      <c r="C4057"/>
      <c r="D4057"/>
    </row>
    <row r="4058" spans="1:4" x14ac:dyDescent="0.2">
      <c r="A4058"/>
      <c r="B4058"/>
      <c r="C4058"/>
      <c r="D4058"/>
    </row>
    <row r="4059" spans="1:4" x14ac:dyDescent="0.2">
      <c r="A4059"/>
      <c r="B4059"/>
      <c r="C4059"/>
      <c r="D4059"/>
    </row>
    <row r="4060" spans="1:4" x14ac:dyDescent="0.2">
      <c r="A4060"/>
      <c r="B4060"/>
      <c r="C4060"/>
      <c r="D4060"/>
    </row>
    <row r="4061" spans="1:4" x14ac:dyDescent="0.2">
      <c r="A4061"/>
      <c r="B4061"/>
      <c r="C4061"/>
      <c r="D4061"/>
    </row>
    <row r="4062" spans="1:4" x14ac:dyDescent="0.2">
      <c r="A4062"/>
      <c r="B4062"/>
      <c r="C4062"/>
      <c r="D4062"/>
    </row>
    <row r="4063" spans="1:4" x14ac:dyDescent="0.2">
      <c r="A4063"/>
      <c r="B4063"/>
      <c r="C4063"/>
      <c r="D4063"/>
    </row>
    <row r="4064" spans="1:4" x14ac:dyDescent="0.2">
      <c r="A4064"/>
      <c r="B4064"/>
      <c r="C4064"/>
      <c r="D4064"/>
    </row>
    <row r="4065" spans="1:4" x14ac:dyDescent="0.2">
      <c r="A4065"/>
      <c r="B4065"/>
      <c r="C4065"/>
      <c r="D4065"/>
    </row>
    <row r="4066" spans="1:4" x14ac:dyDescent="0.2">
      <c r="A4066"/>
      <c r="B4066"/>
      <c r="C4066"/>
      <c r="D4066"/>
    </row>
    <row r="4067" spans="1:4" x14ac:dyDescent="0.2">
      <c r="A4067"/>
      <c r="B4067"/>
      <c r="C4067"/>
      <c r="D4067"/>
    </row>
    <row r="4068" spans="1:4" x14ac:dyDescent="0.2">
      <c r="A4068"/>
      <c r="B4068"/>
      <c r="C4068"/>
      <c r="D4068"/>
    </row>
    <row r="4069" spans="1:4" x14ac:dyDescent="0.2">
      <c r="A4069"/>
      <c r="B4069"/>
      <c r="C4069"/>
      <c r="D4069"/>
    </row>
    <row r="4070" spans="1:4" x14ac:dyDescent="0.2">
      <c r="A4070"/>
      <c r="B4070"/>
      <c r="C4070"/>
      <c r="D4070"/>
    </row>
    <row r="4071" spans="1:4" x14ac:dyDescent="0.2">
      <c r="A4071"/>
      <c r="B4071"/>
      <c r="C4071"/>
      <c r="D4071"/>
    </row>
    <row r="4072" spans="1:4" x14ac:dyDescent="0.2">
      <c r="A4072"/>
      <c r="B4072"/>
      <c r="C4072"/>
      <c r="D4072"/>
    </row>
    <row r="4073" spans="1:4" x14ac:dyDescent="0.2">
      <c r="A4073"/>
      <c r="B4073"/>
      <c r="C4073"/>
      <c r="D4073"/>
    </row>
    <row r="4074" spans="1:4" x14ac:dyDescent="0.2">
      <c r="A4074"/>
      <c r="B4074"/>
      <c r="C4074"/>
      <c r="D4074"/>
    </row>
    <row r="4075" spans="1:4" x14ac:dyDescent="0.2">
      <c r="A4075"/>
      <c r="B4075"/>
      <c r="C4075"/>
      <c r="D4075"/>
    </row>
    <row r="4076" spans="1:4" x14ac:dyDescent="0.2">
      <c r="A4076"/>
      <c r="B4076"/>
      <c r="C4076"/>
      <c r="D4076"/>
    </row>
    <row r="4077" spans="1:4" x14ac:dyDescent="0.2">
      <c r="A4077"/>
      <c r="B4077"/>
      <c r="C4077"/>
      <c r="D4077"/>
    </row>
    <row r="4078" spans="1:4" x14ac:dyDescent="0.2">
      <c r="A4078"/>
      <c r="B4078"/>
      <c r="C4078"/>
      <c r="D4078"/>
    </row>
    <row r="4079" spans="1:4" x14ac:dyDescent="0.2">
      <c r="A4079"/>
      <c r="B4079"/>
      <c r="C4079"/>
      <c r="D4079"/>
    </row>
    <row r="4080" spans="1:4" x14ac:dyDescent="0.2">
      <c r="A4080"/>
      <c r="B4080"/>
      <c r="C4080"/>
      <c r="D4080"/>
    </row>
    <row r="4081" spans="1:4" x14ac:dyDescent="0.2">
      <c r="A4081"/>
      <c r="B4081"/>
      <c r="C4081"/>
      <c r="D4081"/>
    </row>
    <row r="4082" spans="1:4" x14ac:dyDescent="0.2">
      <c r="A4082"/>
      <c r="B4082"/>
      <c r="C4082"/>
      <c r="D4082"/>
    </row>
  </sheetData>
  <conditionalFormatting sqref="A2:D3650">
    <cfRule type="expression" dxfId="2" priority="16">
      <formula>#REF!="FINADO"</formula>
    </cfRule>
  </conditionalFormatting>
  <conditionalFormatting sqref="A2:D3659 C3660:D3660 A3661:D3797">
    <cfRule type="expression" dxfId="1" priority="8">
      <formula>#REF!="BAJA"</formula>
    </cfRule>
    <cfRule type="expression" dxfId="0" priority="12">
      <formula>#REF!="INCAPACIDAD"</formula>
    </cfRule>
  </conditionalFormatting>
  <printOptions horizontalCentered="1"/>
  <pageMargins left="0.11811023622047245" right="0.11811023622047245" top="0.51181102362204722" bottom="0.19685039370078741" header="0.31496062992125984" footer="0.11811023622047245"/>
  <pageSetup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4</vt:i4>
      </vt:variant>
    </vt:vector>
  </HeadingPairs>
  <TitlesOfParts>
    <vt:vector size="5" baseType="lpstr">
      <vt:lpstr>BASE DATOS TOTAL</vt:lpstr>
      <vt:lpstr>'BASE DATOS TOTAL'!AA</vt:lpstr>
      <vt:lpstr>'BASE DATOS TOTAL'!Área_de_impresión</vt:lpstr>
      <vt:lpstr>'BASE DATOS TOTAL'!CO</vt:lpstr>
      <vt:lpstr>'BASE DATOS TOTAL'!LUIS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Vidal</dc:creator>
  <cp:lastModifiedBy>Carlos Vidal</cp:lastModifiedBy>
  <dcterms:created xsi:type="dcterms:W3CDTF">2026-06-03T18:35:04Z</dcterms:created>
  <dcterms:modified xsi:type="dcterms:W3CDTF">2026-06-03T22:31:47Z</dcterms:modified>
</cp:coreProperties>
</file>