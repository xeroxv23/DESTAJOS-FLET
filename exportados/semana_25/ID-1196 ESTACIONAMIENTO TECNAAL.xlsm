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1505FA17-F8E9-486D-B46B-4488A6B43C7C}" xr6:coauthVersionLast="47" xr6:coauthVersionMax="47" xr10:uidLastSave="{00000000-0000-0000-0000-000000000000}"/>
  <bookViews>
    <workbookView xWindow="2688" yWindow="2688" windowWidth="17280" windowHeight="8880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'026'!$A$1:$R$81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63" i="491" l="1"/>
  <c r="HQ63" i="491"/>
  <c r="HP63" i="491"/>
  <c r="HO63" i="491"/>
  <c r="HN63" i="491"/>
  <c r="HM63" i="491"/>
  <c r="HL63" i="491"/>
  <c r="HK63" i="491"/>
  <c r="HJ63" i="491"/>
  <c r="HI63" i="491"/>
  <c r="HH63" i="491"/>
  <c r="HG63" i="491"/>
  <c r="HF63" i="491"/>
  <c r="HE63" i="491"/>
  <c r="HD63" i="491"/>
  <c r="HC63" i="491"/>
  <c r="HB63" i="491"/>
  <c r="HA63" i="491"/>
  <c r="GZ63" i="491"/>
  <c r="GY63" i="491"/>
  <c r="GX63" i="491"/>
  <c r="GW63" i="491"/>
  <c r="GV63" i="491"/>
  <c r="GU63" i="491"/>
  <c r="GT63" i="491"/>
  <c r="GS63" i="491"/>
  <c r="GR63" i="491"/>
  <c r="GQ63" i="491"/>
  <c r="GP63" i="491"/>
  <c r="GO63" i="491"/>
  <c r="GN63" i="491"/>
  <c r="GM63" i="491"/>
  <c r="GL63" i="491"/>
  <c r="GK63" i="491"/>
  <c r="GJ63" i="491"/>
  <c r="GI63" i="491"/>
  <c r="GH63" i="491"/>
  <c r="GG63" i="491"/>
  <c r="GF63" i="491"/>
  <c r="GE63" i="491"/>
  <c r="GD63" i="491"/>
  <c r="GC63" i="491"/>
  <c r="GB63" i="491"/>
  <c r="GA63" i="491"/>
  <c r="FZ63" i="491"/>
  <c r="FY63" i="491"/>
  <c r="FX63" i="491"/>
  <c r="FW63" i="491"/>
  <c r="FV63" i="491"/>
  <c r="FU63" i="491"/>
  <c r="FT63" i="491"/>
  <c r="FS63" i="491"/>
  <c r="FR63" i="491"/>
  <c r="FQ63" i="491"/>
  <c r="FP63" i="491"/>
  <c r="FO63" i="491"/>
  <c r="FN63" i="491"/>
  <c r="FM63" i="491"/>
  <c r="FL63" i="491"/>
  <c r="FK63" i="491"/>
  <c r="FJ63" i="491"/>
  <c r="FI63" i="491"/>
  <c r="FH63" i="491"/>
  <c r="FG63" i="491"/>
  <c r="FF63" i="491"/>
  <c r="FE63" i="491"/>
  <c r="FD63" i="491"/>
  <c r="FC63" i="491"/>
  <c r="FB63" i="491"/>
  <c r="FA63" i="491"/>
  <c r="EZ63" i="491"/>
  <c r="EY63" i="491"/>
  <c r="EX63" i="491"/>
  <c r="EW63" i="491"/>
  <c r="EV63" i="491"/>
  <c r="EU63" i="491"/>
  <c r="ET63" i="491"/>
  <c r="ES63" i="491"/>
  <c r="ER63" i="491"/>
  <c r="EQ63" i="491"/>
  <c r="EP63" i="491"/>
  <c r="EO63" i="491"/>
  <c r="EN63" i="491"/>
  <c r="EM63" i="491"/>
  <c r="EL63" i="491"/>
  <c r="EK63" i="491"/>
  <c r="EJ63" i="491"/>
  <c r="EI63" i="491"/>
  <c r="EH63" i="491"/>
  <c r="EG63" i="491"/>
  <c r="EF63" i="491"/>
  <c r="EE63" i="491"/>
  <c r="ED63" i="491"/>
  <c r="EC63" i="491"/>
  <c r="EB63" i="491"/>
  <c r="EA63" i="491"/>
  <c r="DZ63" i="491"/>
  <c r="DY63" i="491"/>
  <c r="DX63" i="491"/>
  <c r="DW63" i="491"/>
  <c r="DT63" i="491"/>
  <c r="DS63" i="491"/>
  <c r="DR63" i="491"/>
  <c r="DQ63" i="491"/>
  <c r="DP63" i="491"/>
  <c r="DO63" i="491"/>
  <c r="DN63" i="491"/>
  <c r="DM63" i="491"/>
  <c r="DL63" i="491"/>
  <c r="DK63" i="491"/>
  <c r="DJ63" i="491"/>
  <c r="DI63" i="491"/>
  <c r="DH63" i="491"/>
  <c r="DG63" i="491"/>
  <c r="DF63" i="491"/>
  <c r="DE63" i="491"/>
  <c r="DD63" i="491"/>
  <c r="DC63" i="491"/>
  <c r="DB63" i="491"/>
  <c r="DA63" i="491"/>
  <c r="CZ63" i="491"/>
  <c r="CY63" i="491"/>
  <c r="CX63" i="491"/>
  <c r="CW63" i="491"/>
  <c r="CV63" i="491"/>
  <c r="CU63" i="491"/>
  <c r="CT63" i="491"/>
  <c r="CS63" i="491"/>
  <c r="CR63" i="491"/>
  <c r="CQ63" i="491"/>
  <c r="CP63" i="491"/>
  <c r="CO63" i="491"/>
  <c r="CN63" i="491"/>
  <c r="CM63" i="491"/>
  <c r="CL63" i="491"/>
  <c r="CK63" i="491"/>
  <c r="CJ63" i="491"/>
  <c r="CI63" i="491"/>
  <c r="CH63" i="491"/>
  <c r="CG63" i="491"/>
  <c r="CF63" i="491"/>
  <c r="CE63" i="491"/>
  <c r="CD63" i="491"/>
  <c r="CC63" i="491"/>
  <c r="CB63" i="491"/>
  <c r="CA63" i="491"/>
  <c r="BZ63" i="491"/>
  <c r="BY63" i="491"/>
  <c r="BX63" i="491"/>
  <c r="BW63" i="491"/>
  <c r="BV63" i="491"/>
  <c r="BU63" i="491"/>
  <c r="BT63" i="491"/>
  <c r="BS63" i="491"/>
  <c r="BR63" i="491"/>
  <c r="BQ63" i="491"/>
  <c r="BP63" i="491"/>
  <c r="BO63" i="491"/>
  <c r="BN63" i="491"/>
  <c r="BM63" i="491"/>
  <c r="BL63" i="491"/>
  <c r="BK63" i="491"/>
  <c r="BJ63" i="491"/>
  <c r="BI63" i="491"/>
  <c r="BH63" i="491"/>
  <c r="BG63" i="491"/>
  <c r="BF63" i="491"/>
  <c r="BE63" i="491"/>
  <c r="BD63" i="491"/>
  <c r="BC63" i="491"/>
  <c r="BB63" i="491"/>
  <c r="BA63" i="491"/>
  <c r="AZ63" i="491"/>
  <c r="AY63" i="491"/>
  <c r="AX63" i="491"/>
  <c r="AW63" i="491"/>
  <c r="AV63" i="491"/>
  <c r="AU63" i="491"/>
  <c r="AT63" i="491"/>
  <c r="AS63" i="491"/>
  <c r="AR63" i="491"/>
  <c r="AQ63" i="491"/>
  <c r="AP63" i="491"/>
  <c r="AO63" i="491"/>
  <c r="AN63" i="491"/>
  <c r="AM63" i="491"/>
  <c r="AL63" i="491"/>
  <c r="AK63" i="491"/>
  <c r="AJ63" i="491"/>
  <c r="AI63" i="491"/>
  <c r="AH63" i="491"/>
  <c r="AG63" i="491"/>
  <c r="AF63" i="491"/>
  <c r="AE63" i="491"/>
  <c r="AD63" i="491"/>
  <c r="AC63" i="491"/>
  <c r="AB63" i="491"/>
  <c r="AA63" i="491"/>
  <c r="Z63" i="491"/>
  <c r="Y63" i="491"/>
  <c r="T63" i="491"/>
  <c r="U63" i="491" s="1"/>
  <c r="R63" i="491"/>
  <c r="Q63" i="491"/>
  <c r="O63" i="491"/>
  <c r="N63" i="491"/>
  <c r="M63" i="491"/>
  <c r="G63" i="491"/>
  <c r="C63" i="491"/>
  <c r="HR62" i="491"/>
  <c r="HQ62" i="491"/>
  <c r="HP62" i="491"/>
  <c r="HO62" i="491"/>
  <c r="HN62" i="491"/>
  <c r="HM62" i="491"/>
  <c r="HL62" i="491"/>
  <c r="HK62" i="491"/>
  <c r="HJ62" i="491"/>
  <c r="HI62" i="491"/>
  <c r="HH62" i="491"/>
  <c r="HG62" i="491"/>
  <c r="HF62" i="491"/>
  <c r="HE62" i="491"/>
  <c r="HD62" i="491"/>
  <c r="HC62" i="491"/>
  <c r="HB62" i="491"/>
  <c r="HA62" i="491"/>
  <c r="GZ62" i="491"/>
  <c r="GY62" i="491"/>
  <c r="GX62" i="491"/>
  <c r="GW62" i="491"/>
  <c r="GV62" i="491"/>
  <c r="GU62" i="491"/>
  <c r="GT62" i="491"/>
  <c r="GS62" i="491"/>
  <c r="GR62" i="491"/>
  <c r="GQ62" i="491"/>
  <c r="GP62" i="491"/>
  <c r="GO62" i="491"/>
  <c r="GN62" i="491"/>
  <c r="GM62" i="491"/>
  <c r="GL62" i="491"/>
  <c r="GK62" i="491"/>
  <c r="GJ62" i="491"/>
  <c r="GI62" i="491"/>
  <c r="GH62" i="491"/>
  <c r="GG62" i="491"/>
  <c r="GF62" i="491"/>
  <c r="GE62" i="491"/>
  <c r="GD62" i="491"/>
  <c r="GC62" i="491"/>
  <c r="GB62" i="491"/>
  <c r="GA62" i="491"/>
  <c r="FZ62" i="491"/>
  <c r="FY62" i="491"/>
  <c r="FX62" i="491"/>
  <c r="FW62" i="491"/>
  <c r="FV62" i="491"/>
  <c r="FU62" i="491"/>
  <c r="FT62" i="491"/>
  <c r="FS62" i="491"/>
  <c r="FR62" i="491"/>
  <c r="FQ62" i="491"/>
  <c r="FP62" i="491"/>
  <c r="FO62" i="491"/>
  <c r="FN62" i="491"/>
  <c r="FM62" i="491"/>
  <c r="FL62" i="491"/>
  <c r="FK62" i="491"/>
  <c r="FJ62" i="491"/>
  <c r="FI62" i="491"/>
  <c r="FH62" i="491"/>
  <c r="FG62" i="491"/>
  <c r="FF62" i="491"/>
  <c r="FE62" i="491"/>
  <c r="FD62" i="491"/>
  <c r="FC62" i="491"/>
  <c r="FB62" i="491"/>
  <c r="FA62" i="491"/>
  <c r="EZ62" i="491"/>
  <c r="EY62" i="491"/>
  <c r="EX62" i="491"/>
  <c r="EW62" i="491"/>
  <c r="EV62" i="491"/>
  <c r="EU62" i="491"/>
  <c r="ET62" i="491"/>
  <c r="ES62" i="491"/>
  <c r="ER62" i="491"/>
  <c r="EQ62" i="491"/>
  <c r="EP62" i="491"/>
  <c r="EO62" i="491"/>
  <c r="EN62" i="491"/>
  <c r="EM62" i="491"/>
  <c r="EL62" i="491"/>
  <c r="EK62" i="491"/>
  <c r="EJ62" i="491"/>
  <c r="EI62" i="491"/>
  <c r="EH62" i="491"/>
  <c r="EG62" i="491"/>
  <c r="EF62" i="491"/>
  <c r="EE62" i="491"/>
  <c r="ED62" i="491"/>
  <c r="EC62" i="491"/>
  <c r="EB62" i="491"/>
  <c r="EA62" i="491"/>
  <c r="DZ62" i="491"/>
  <c r="DY62" i="491"/>
  <c r="DX62" i="491"/>
  <c r="DW62" i="491"/>
  <c r="DT62" i="491"/>
  <c r="DS62" i="491"/>
  <c r="DR62" i="491"/>
  <c r="DQ62" i="491"/>
  <c r="DP62" i="491"/>
  <c r="DO62" i="491"/>
  <c r="DN62" i="491"/>
  <c r="DM62" i="491"/>
  <c r="DL62" i="491"/>
  <c r="DK62" i="491"/>
  <c r="DJ62" i="491"/>
  <c r="DI62" i="491"/>
  <c r="DH62" i="491"/>
  <c r="DG62" i="491"/>
  <c r="DF62" i="491"/>
  <c r="DE62" i="491"/>
  <c r="DD62" i="491"/>
  <c r="DC62" i="491"/>
  <c r="DB62" i="491"/>
  <c r="DA62" i="491"/>
  <c r="CZ62" i="491"/>
  <c r="CY62" i="491"/>
  <c r="CX62" i="491"/>
  <c r="CW62" i="491"/>
  <c r="CV62" i="491"/>
  <c r="CU62" i="491"/>
  <c r="CT62" i="491"/>
  <c r="CS62" i="491"/>
  <c r="CR62" i="491"/>
  <c r="CQ62" i="491"/>
  <c r="CP62" i="491"/>
  <c r="CO62" i="491"/>
  <c r="CN62" i="491"/>
  <c r="CM62" i="491"/>
  <c r="CL62" i="491"/>
  <c r="CK62" i="491"/>
  <c r="CJ62" i="491"/>
  <c r="CI62" i="491"/>
  <c r="CH62" i="491"/>
  <c r="CG62" i="491"/>
  <c r="CF62" i="491"/>
  <c r="CE62" i="491"/>
  <c r="CD62" i="491"/>
  <c r="CC62" i="491"/>
  <c r="CB62" i="491"/>
  <c r="CA62" i="491"/>
  <c r="BZ62" i="491"/>
  <c r="BY62" i="491"/>
  <c r="BX62" i="491"/>
  <c r="BW62" i="491"/>
  <c r="BV62" i="491"/>
  <c r="BU62" i="491"/>
  <c r="BT62" i="491"/>
  <c r="BS62" i="491"/>
  <c r="BR62" i="491"/>
  <c r="BQ62" i="491"/>
  <c r="BP62" i="491"/>
  <c r="BO62" i="491"/>
  <c r="BN62" i="491"/>
  <c r="BM62" i="491"/>
  <c r="BL62" i="491"/>
  <c r="BK62" i="491"/>
  <c r="BJ62" i="491"/>
  <c r="BI62" i="491"/>
  <c r="BH62" i="491"/>
  <c r="BG62" i="491"/>
  <c r="BF62" i="491"/>
  <c r="BE62" i="491"/>
  <c r="BD62" i="491"/>
  <c r="BC62" i="491"/>
  <c r="BB62" i="491"/>
  <c r="BA62" i="491"/>
  <c r="AZ62" i="491"/>
  <c r="AY62" i="491"/>
  <c r="AX62" i="491"/>
  <c r="AW62" i="491"/>
  <c r="AV62" i="491"/>
  <c r="AU62" i="491"/>
  <c r="AT62" i="491"/>
  <c r="AS62" i="491"/>
  <c r="AR62" i="491"/>
  <c r="AQ62" i="491"/>
  <c r="AP62" i="491"/>
  <c r="AO62" i="491"/>
  <c r="AN62" i="491"/>
  <c r="AM62" i="491"/>
  <c r="AL62" i="491"/>
  <c r="AK62" i="491"/>
  <c r="AJ62" i="491"/>
  <c r="AI62" i="491"/>
  <c r="AH62" i="491"/>
  <c r="AG62" i="491"/>
  <c r="AF62" i="491"/>
  <c r="AE62" i="491"/>
  <c r="AD62" i="491"/>
  <c r="AC62" i="491"/>
  <c r="AB62" i="491"/>
  <c r="AA62" i="491"/>
  <c r="Z62" i="491"/>
  <c r="Y62" i="491"/>
  <c r="T62" i="491"/>
  <c r="U62" i="491" s="1"/>
  <c r="R62" i="491"/>
  <c r="Q62" i="491"/>
  <c r="O62" i="491"/>
  <c r="N62" i="491"/>
  <c r="M62" i="491"/>
  <c r="G62" i="491"/>
  <c r="C62" i="491"/>
  <c r="HR61" i="491"/>
  <c r="HQ61" i="491"/>
  <c r="HP61" i="491"/>
  <c r="HO61" i="491"/>
  <c r="HN61" i="491"/>
  <c r="HM61" i="491"/>
  <c r="HL61" i="491"/>
  <c r="HK61" i="491"/>
  <c r="HJ61" i="491"/>
  <c r="HI61" i="491"/>
  <c r="HH61" i="491"/>
  <c r="HG61" i="491"/>
  <c r="HF61" i="491"/>
  <c r="HE61" i="491"/>
  <c r="HD61" i="491"/>
  <c r="HC61" i="491"/>
  <c r="HB61" i="491"/>
  <c r="HA61" i="491"/>
  <c r="GZ61" i="491"/>
  <c r="GY61" i="491"/>
  <c r="GX61" i="491"/>
  <c r="GW61" i="491"/>
  <c r="GV61" i="491"/>
  <c r="GU61" i="491"/>
  <c r="GT61" i="491"/>
  <c r="GS61" i="491"/>
  <c r="GR61" i="491"/>
  <c r="GQ61" i="491"/>
  <c r="GP61" i="491"/>
  <c r="GO61" i="491"/>
  <c r="GN61" i="491"/>
  <c r="GM61" i="491"/>
  <c r="GL61" i="491"/>
  <c r="GK61" i="491"/>
  <c r="GJ61" i="491"/>
  <c r="GI61" i="491"/>
  <c r="GH61" i="491"/>
  <c r="GG61" i="491"/>
  <c r="GF61" i="491"/>
  <c r="GE61" i="491"/>
  <c r="GD61" i="491"/>
  <c r="GC61" i="491"/>
  <c r="GB61" i="491"/>
  <c r="GA61" i="491"/>
  <c r="FZ61" i="491"/>
  <c r="FY61" i="491"/>
  <c r="FX61" i="491"/>
  <c r="FW61" i="491"/>
  <c r="FV61" i="491"/>
  <c r="FU61" i="491"/>
  <c r="FT61" i="491"/>
  <c r="FS61" i="491"/>
  <c r="FR61" i="491"/>
  <c r="FQ61" i="491"/>
  <c r="FP61" i="491"/>
  <c r="FO61" i="491"/>
  <c r="FN61" i="491"/>
  <c r="FM61" i="491"/>
  <c r="FL61" i="491"/>
  <c r="FK61" i="491"/>
  <c r="FJ61" i="491"/>
  <c r="FI61" i="491"/>
  <c r="FH61" i="491"/>
  <c r="FG61" i="491"/>
  <c r="FF61" i="491"/>
  <c r="FE61" i="491"/>
  <c r="FD61" i="491"/>
  <c r="FC61" i="491"/>
  <c r="FB61" i="491"/>
  <c r="FA61" i="491"/>
  <c r="EZ61" i="491"/>
  <c r="EY61" i="491"/>
  <c r="EX61" i="491"/>
  <c r="EW61" i="491"/>
  <c r="EV61" i="491"/>
  <c r="EU61" i="491"/>
  <c r="ET61" i="491"/>
  <c r="ES61" i="491"/>
  <c r="ER61" i="491"/>
  <c r="EQ61" i="491"/>
  <c r="EP61" i="491"/>
  <c r="EO61" i="491"/>
  <c r="EN61" i="491"/>
  <c r="EM61" i="491"/>
  <c r="EL61" i="491"/>
  <c r="EK61" i="491"/>
  <c r="EJ61" i="491"/>
  <c r="EI61" i="491"/>
  <c r="EH61" i="491"/>
  <c r="EG61" i="491"/>
  <c r="EF61" i="491"/>
  <c r="EE61" i="491"/>
  <c r="ED61" i="491"/>
  <c r="EC61" i="491"/>
  <c r="EB61" i="491"/>
  <c r="EA61" i="491"/>
  <c r="DZ61" i="491"/>
  <c r="DY61" i="491"/>
  <c r="DX61" i="491"/>
  <c r="DW61" i="491"/>
  <c r="DT61" i="491"/>
  <c r="DS61" i="491"/>
  <c r="DR61" i="491"/>
  <c r="DQ61" i="491"/>
  <c r="DP61" i="491"/>
  <c r="DO61" i="491"/>
  <c r="DN61" i="491"/>
  <c r="DM61" i="491"/>
  <c r="DL61" i="491"/>
  <c r="DK61" i="491"/>
  <c r="DJ61" i="491"/>
  <c r="DI61" i="491"/>
  <c r="DH61" i="491"/>
  <c r="DG61" i="491"/>
  <c r="DF61" i="491"/>
  <c r="DE61" i="491"/>
  <c r="DD61" i="491"/>
  <c r="DC61" i="491"/>
  <c r="DB61" i="491"/>
  <c r="DA61" i="491"/>
  <c r="CZ61" i="491"/>
  <c r="CY61" i="491"/>
  <c r="CX61" i="491"/>
  <c r="CW61" i="491"/>
  <c r="CV61" i="491"/>
  <c r="CU61" i="491"/>
  <c r="CT61" i="491"/>
  <c r="CS61" i="491"/>
  <c r="CR61" i="491"/>
  <c r="CQ61" i="491"/>
  <c r="CP61" i="491"/>
  <c r="CO61" i="491"/>
  <c r="CN61" i="491"/>
  <c r="CM61" i="491"/>
  <c r="CL61" i="491"/>
  <c r="CK61" i="491"/>
  <c r="CJ61" i="491"/>
  <c r="CI61" i="491"/>
  <c r="CH61" i="491"/>
  <c r="CG61" i="491"/>
  <c r="CF61" i="491"/>
  <c r="CE61" i="491"/>
  <c r="CD61" i="491"/>
  <c r="CC61" i="491"/>
  <c r="CB61" i="491"/>
  <c r="CA61" i="491"/>
  <c r="BZ61" i="491"/>
  <c r="BY61" i="491"/>
  <c r="BX61" i="491"/>
  <c r="BW61" i="491"/>
  <c r="BV61" i="491"/>
  <c r="BU61" i="491"/>
  <c r="BT61" i="491"/>
  <c r="BS61" i="491"/>
  <c r="BR61" i="491"/>
  <c r="BQ61" i="491"/>
  <c r="BP61" i="491"/>
  <c r="BO61" i="491"/>
  <c r="BN61" i="491"/>
  <c r="BM61" i="491"/>
  <c r="BL61" i="491"/>
  <c r="BK61" i="491"/>
  <c r="BJ61" i="491"/>
  <c r="BI61" i="491"/>
  <c r="BH61" i="491"/>
  <c r="BG61" i="491"/>
  <c r="BF61" i="491"/>
  <c r="BE61" i="491"/>
  <c r="BD61" i="491"/>
  <c r="BC61" i="491"/>
  <c r="BB61" i="491"/>
  <c r="BA61" i="491"/>
  <c r="AZ61" i="491"/>
  <c r="AY61" i="491"/>
  <c r="AX61" i="491"/>
  <c r="AW61" i="491"/>
  <c r="AV61" i="491"/>
  <c r="AU61" i="491"/>
  <c r="AT61" i="491"/>
  <c r="AS61" i="491"/>
  <c r="AR61" i="491"/>
  <c r="AQ61" i="491"/>
  <c r="AP61" i="491"/>
  <c r="AO61" i="491"/>
  <c r="AN61" i="491"/>
  <c r="AM61" i="491"/>
  <c r="AL61" i="491"/>
  <c r="AK61" i="491"/>
  <c r="AJ61" i="491"/>
  <c r="AI61" i="491"/>
  <c r="AH61" i="491"/>
  <c r="AG61" i="491"/>
  <c r="AF61" i="491"/>
  <c r="AE61" i="491"/>
  <c r="AD61" i="491"/>
  <c r="AC61" i="491"/>
  <c r="AB61" i="491"/>
  <c r="AA61" i="491"/>
  <c r="Z61" i="491"/>
  <c r="Y61" i="491"/>
  <c r="T61" i="491"/>
  <c r="U61" i="491" s="1"/>
  <c r="R61" i="491"/>
  <c r="Q61" i="491"/>
  <c r="O61" i="491"/>
  <c r="N61" i="491"/>
  <c r="M61" i="491"/>
  <c r="G61" i="491"/>
  <c r="C61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R46" i="491"/>
  <c r="Q46" i="491"/>
  <c r="O46" i="491"/>
  <c r="N46" i="491"/>
  <c r="M46" i="49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W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Y45" i="491"/>
  <c r="T45" i="491"/>
  <c r="U45" i="491" s="1"/>
  <c r="R45" i="491"/>
  <c r="Q45" i="491"/>
  <c r="O45" i="491"/>
  <c r="N45" i="491"/>
  <c r="M45" i="491"/>
  <c r="G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T44" i="491"/>
  <c r="U44" i="491" s="1"/>
  <c r="Y44" i="491" s="1"/>
  <c r="R44" i="491"/>
  <c r="Q44" i="491"/>
  <c r="O44" i="491"/>
  <c r="DW44" i="491" s="1"/>
  <c r="N44" i="491"/>
  <c r="M44" i="491"/>
  <c r="G44" i="491"/>
  <c r="C44" i="491"/>
  <c r="R79" i="491"/>
  <c r="C78" i="491"/>
  <c r="HR77" i="491"/>
  <c r="HQ77" i="491"/>
  <c r="HP77" i="491"/>
  <c r="HO77" i="491"/>
  <c r="HN77" i="491"/>
  <c r="HM77" i="491"/>
  <c r="HL77" i="491"/>
  <c r="HK77" i="491"/>
  <c r="HJ77" i="491"/>
  <c r="HI77" i="491"/>
  <c r="HH77" i="491"/>
  <c r="HG77" i="491"/>
  <c r="HF77" i="491"/>
  <c r="HE77" i="491"/>
  <c r="HD77" i="491"/>
  <c r="HC77" i="491"/>
  <c r="HB77" i="491"/>
  <c r="HA77" i="491"/>
  <c r="GZ77" i="491"/>
  <c r="GY77" i="491"/>
  <c r="GX77" i="491"/>
  <c r="GW77" i="491"/>
  <c r="GV77" i="491"/>
  <c r="GU77" i="491"/>
  <c r="GT77" i="491"/>
  <c r="GS77" i="491"/>
  <c r="GR77" i="491"/>
  <c r="GQ77" i="491"/>
  <c r="GP77" i="491"/>
  <c r="GO77" i="491"/>
  <c r="GN77" i="491"/>
  <c r="GM77" i="491"/>
  <c r="GL77" i="491"/>
  <c r="GK77" i="491"/>
  <c r="GJ77" i="491"/>
  <c r="GI77" i="491"/>
  <c r="GH77" i="491"/>
  <c r="GG77" i="491"/>
  <c r="GF77" i="491"/>
  <c r="GE77" i="491"/>
  <c r="GD77" i="491"/>
  <c r="GC77" i="491"/>
  <c r="GB77" i="491"/>
  <c r="GA77" i="491"/>
  <c r="FZ77" i="491"/>
  <c r="FY77" i="491"/>
  <c r="FX77" i="491"/>
  <c r="FW77" i="491"/>
  <c r="FV77" i="491"/>
  <c r="FU77" i="491"/>
  <c r="FT77" i="491"/>
  <c r="FS77" i="491"/>
  <c r="FR77" i="491"/>
  <c r="FQ77" i="491"/>
  <c r="FP77" i="491"/>
  <c r="FO77" i="491"/>
  <c r="FN77" i="491"/>
  <c r="FM77" i="491"/>
  <c r="FL77" i="491"/>
  <c r="FK77" i="491"/>
  <c r="FJ77" i="491"/>
  <c r="FI77" i="491"/>
  <c r="FH77" i="491"/>
  <c r="FG77" i="491"/>
  <c r="FF77" i="491"/>
  <c r="FE77" i="491"/>
  <c r="FD77" i="491"/>
  <c r="FC77" i="491"/>
  <c r="FB77" i="491"/>
  <c r="FA77" i="491"/>
  <c r="EZ77" i="491"/>
  <c r="EY77" i="491"/>
  <c r="EX77" i="491"/>
  <c r="EW77" i="491"/>
  <c r="EV77" i="491"/>
  <c r="EU77" i="491"/>
  <c r="ET77" i="491"/>
  <c r="ES77" i="491"/>
  <c r="ER77" i="491"/>
  <c r="EQ77" i="491"/>
  <c r="EP77" i="491"/>
  <c r="EO77" i="491"/>
  <c r="EN77" i="491"/>
  <c r="EM77" i="491"/>
  <c r="EL77" i="491"/>
  <c r="EK77" i="491"/>
  <c r="EJ77" i="491"/>
  <c r="EI77" i="491"/>
  <c r="EH77" i="491"/>
  <c r="EG77" i="491"/>
  <c r="EF77" i="491"/>
  <c r="EE77" i="491"/>
  <c r="ED77" i="491"/>
  <c r="EC77" i="491"/>
  <c r="EB77" i="491"/>
  <c r="EA77" i="491"/>
  <c r="DZ77" i="491"/>
  <c r="DY77" i="491"/>
  <c r="DX77" i="491"/>
  <c r="DW77" i="491"/>
  <c r="DT77" i="491"/>
  <c r="DS77" i="491"/>
  <c r="DR77" i="491"/>
  <c r="DQ77" i="491"/>
  <c r="DP77" i="491"/>
  <c r="DO77" i="491"/>
  <c r="DN77" i="491"/>
  <c r="DM77" i="491"/>
  <c r="DL77" i="491"/>
  <c r="DK77" i="491"/>
  <c r="DJ77" i="491"/>
  <c r="DI77" i="491"/>
  <c r="DH77" i="491"/>
  <c r="DG77" i="491"/>
  <c r="DF77" i="491"/>
  <c r="DE77" i="491"/>
  <c r="DD77" i="491"/>
  <c r="DC77" i="491"/>
  <c r="DB77" i="491"/>
  <c r="DA77" i="491"/>
  <c r="CZ77" i="491"/>
  <c r="CY77" i="491"/>
  <c r="CX77" i="491"/>
  <c r="CW77" i="491"/>
  <c r="CV77" i="491"/>
  <c r="CU77" i="491"/>
  <c r="CT77" i="491"/>
  <c r="CS77" i="491"/>
  <c r="CR77" i="491"/>
  <c r="CQ77" i="491"/>
  <c r="CP77" i="491"/>
  <c r="CO77" i="491"/>
  <c r="CN77" i="491"/>
  <c r="CM77" i="491"/>
  <c r="CL77" i="491"/>
  <c r="CK77" i="491"/>
  <c r="CJ77" i="491"/>
  <c r="CI77" i="491"/>
  <c r="CH77" i="491"/>
  <c r="CG77" i="491"/>
  <c r="CF77" i="491"/>
  <c r="CE77" i="491"/>
  <c r="CD77" i="491"/>
  <c r="CC77" i="491"/>
  <c r="CB77" i="491"/>
  <c r="CA77" i="491"/>
  <c r="BZ77" i="491"/>
  <c r="BY77" i="491"/>
  <c r="BX77" i="491"/>
  <c r="BW77" i="491"/>
  <c r="BV77" i="491"/>
  <c r="BU77" i="491"/>
  <c r="BT77" i="491"/>
  <c r="BS77" i="491"/>
  <c r="BR77" i="491"/>
  <c r="BQ77" i="491"/>
  <c r="BP77" i="491"/>
  <c r="BO77" i="491"/>
  <c r="BN77" i="491"/>
  <c r="BM77" i="491"/>
  <c r="BL77" i="491"/>
  <c r="BK77" i="491"/>
  <c r="BJ77" i="491"/>
  <c r="BI77" i="491"/>
  <c r="BH77" i="491"/>
  <c r="BG77" i="491"/>
  <c r="BF77" i="491"/>
  <c r="BE77" i="491"/>
  <c r="BD77" i="491"/>
  <c r="BC77" i="491"/>
  <c r="BB77" i="491"/>
  <c r="BA77" i="491"/>
  <c r="AZ77" i="491"/>
  <c r="AY77" i="491"/>
  <c r="AX77" i="491"/>
  <c r="AW77" i="491"/>
  <c r="AV77" i="491"/>
  <c r="AU77" i="491"/>
  <c r="AT77" i="491"/>
  <c r="AS77" i="491"/>
  <c r="AR77" i="491"/>
  <c r="AQ77" i="491"/>
  <c r="AP77" i="491"/>
  <c r="AO77" i="491"/>
  <c r="AN77" i="491"/>
  <c r="AM77" i="491"/>
  <c r="AL77" i="491"/>
  <c r="AK77" i="491"/>
  <c r="AJ77" i="491"/>
  <c r="AI77" i="491"/>
  <c r="AH77" i="491"/>
  <c r="AG77" i="491"/>
  <c r="AF77" i="491"/>
  <c r="AE77" i="491"/>
  <c r="AD77" i="491"/>
  <c r="AC77" i="491"/>
  <c r="AB77" i="491"/>
  <c r="AA77" i="491"/>
  <c r="Z77" i="491"/>
  <c r="Y77" i="491"/>
  <c r="T77" i="491"/>
  <c r="U77" i="491" s="1"/>
  <c r="Q77" i="491"/>
  <c r="O77" i="491"/>
  <c r="N77" i="491"/>
  <c r="M77" i="491"/>
  <c r="G77" i="491"/>
  <c r="F77" i="491"/>
  <c r="C77" i="491"/>
  <c r="HR76" i="491"/>
  <c r="HQ76" i="491"/>
  <c r="HP76" i="491"/>
  <c r="HO76" i="491"/>
  <c r="HN76" i="491"/>
  <c r="HM76" i="491"/>
  <c r="HL76" i="491"/>
  <c r="HK76" i="491"/>
  <c r="HJ76" i="491"/>
  <c r="HI76" i="491"/>
  <c r="HH76" i="491"/>
  <c r="HG76" i="491"/>
  <c r="HF76" i="491"/>
  <c r="HE76" i="491"/>
  <c r="HD76" i="491"/>
  <c r="HC76" i="491"/>
  <c r="HB76" i="491"/>
  <c r="HA76" i="491"/>
  <c r="GZ76" i="491"/>
  <c r="GY76" i="491"/>
  <c r="GX76" i="491"/>
  <c r="GW76" i="491"/>
  <c r="GV76" i="491"/>
  <c r="GU76" i="491"/>
  <c r="GT76" i="491"/>
  <c r="GS76" i="491"/>
  <c r="GR76" i="491"/>
  <c r="GQ76" i="491"/>
  <c r="GP76" i="491"/>
  <c r="GO76" i="491"/>
  <c r="GN76" i="491"/>
  <c r="GM76" i="491"/>
  <c r="GL76" i="491"/>
  <c r="GK76" i="491"/>
  <c r="GJ76" i="491"/>
  <c r="GI76" i="491"/>
  <c r="GH76" i="491"/>
  <c r="GG76" i="491"/>
  <c r="GF76" i="491"/>
  <c r="GE76" i="491"/>
  <c r="GD76" i="491"/>
  <c r="GC76" i="491"/>
  <c r="GB76" i="491"/>
  <c r="GA76" i="491"/>
  <c r="FZ76" i="491"/>
  <c r="FY76" i="491"/>
  <c r="FX76" i="491"/>
  <c r="FW76" i="491"/>
  <c r="FV76" i="491"/>
  <c r="FU76" i="491"/>
  <c r="FT76" i="491"/>
  <c r="FS76" i="491"/>
  <c r="FR76" i="491"/>
  <c r="FQ76" i="491"/>
  <c r="FP76" i="491"/>
  <c r="FO76" i="491"/>
  <c r="FN76" i="491"/>
  <c r="FM76" i="491"/>
  <c r="FL76" i="491"/>
  <c r="FK76" i="491"/>
  <c r="FJ76" i="491"/>
  <c r="FI76" i="491"/>
  <c r="FH76" i="491"/>
  <c r="FG76" i="491"/>
  <c r="FF76" i="491"/>
  <c r="FE76" i="491"/>
  <c r="FD76" i="491"/>
  <c r="FC76" i="491"/>
  <c r="FB76" i="491"/>
  <c r="FA76" i="491"/>
  <c r="EZ76" i="491"/>
  <c r="EY76" i="491"/>
  <c r="EX76" i="491"/>
  <c r="EW76" i="491"/>
  <c r="EV76" i="491"/>
  <c r="EU76" i="491"/>
  <c r="ET76" i="491"/>
  <c r="ES76" i="491"/>
  <c r="ER76" i="491"/>
  <c r="EQ76" i="491"/>
  <c r="EP76" i="491"/>
  <c r="EO76" i="491"/>
  <c r="EN76" i="491"/>
  <c r="EM76" i="491"/>
  <c r="EL76" i="491"/>
  <c r="EK76" i="491"/>
  <c r="EJ76" i="491"/>
  <c r="EI76" i="491"/>
  <c r="EH76" i="491"/>
  <c r="EG76" i="491"/>
  <c r="EF76" i="491"/>
  <c r="EE76" i="491"/>
  <c r="ED76" i="491"/>
  <c r="EC76" i="491"/>
  <c r="EB76" i="491"/>
  <c r="EA76" i="491"/>
  <c r="DZ76" i="491"/>
  <c r="DY76" i="491"/>
  <c r="DX76" i="491"/>
  <c r="DW76" i="491"/>
  <c r="DT76" i="491"/>
  <c r="DS76" i="491"/>
  <c r="DR76" i="491"/>
  <c r="DQ76" i="491"/>
  <c r="DP76" i="491"/>
  <c r="DO76" i="491"/>
  <c r="DN76" i="491"/>
  <c r="DM76" i="491"/>
  <c r="DL76" i="491"/>
  <c r="DK76" i="491"/>
  <c r="DJ76" i="491"/>
  <c r="DI76" i="491"/>
  <c r="DH76" i="491"/>
  <c r="DG76" i="491"/>
  <c r="DF76" i="491"/>
  <c r="DE76" i="491"/>
  <c r="DD76" i="491"/>
  <c r="DC76" i="491"/>
  <c r="DB76" i="491"/>
  <c r="DA76" i="491"/>
  <c r="CZ76" i="491"/>
  <c r="CY76" i="491"/>
  <c r="CX76" i="491"/>
  <c r="CW76" i="491"/>
  <c r="CV76" i="491"/>
  <c r="CU76" i="491"/>
  <c r="CT76" i="491"/>
  <c r="CS76" i="491"/>
  <c r="CR76" i="491"/>
  <c r="CQ76" i="491"/>
  <c r="CP76" i="491"/>
  <c r="CO76" i="491"/>
  <c r="CN76" i="491"/>
  <c r="CM76" i="491"/>
  <c r="CL76" i="491"/>
  <c r="CK76" i="491"/>
  <c r="CJ76" i="491"/>
  <c r="CI76" i="491"/>
  <c r="CH76" i="491"/>
  <c r="CG76" i="491"/>
  <c r="CF76" i="491"/>
  <c r="CE76" i="491"/>
  <c r="CD76" i="491"/>
  <c r="CC76" i="491"/>
  <c r="CB76" i="491"/>
  <c r="CA76" i="491"/>
  <c r="BZ76" i="491"/>
  <c r="BY76" i="491"/>
  <c r="BX76" i="491"/>
  <c r="BW76" i="491"/>
  <c r="BV76" i="491"/>
  <c r="BU76" i="491"/>
  <c r="BT76" i="491"/>
  <c r="BS76" i="491"/>
  <c r="BR76" i="491"/>
  <c r="BQ76" i="491"/>
  <c r="BP76" i="491"/>
  <c r="BO76" i="491"/>
  <c r="BN76" i="491"/>
  <c r="BM76" i="491"/>
  <c r="BL76" i="491"/>
  <c r="BK76" i="491"/>
  <c r="BJ76" i="491"/>
  <c r="BI76" i="491"/>
  <c r="BH76" i="491"/>
  <c r="BG76" i="491"/>
  <c r="BF76" i="491"/>
  <c r="BE76" i="491"/>
  <c r="BD76" i="491"/>
  <c r="BC76" i="491"/>
  <c r="BB76" i="491"/>
  <c r="BA76" i="491"/>
  <c r="AZ76" i="491"/>
  <c r="AY76" i="491"/>
  <c r="AX76" i="491"/>
  <c r="AW76" i="491"/>
  <c r="AV76" i="491"/>
  <c r="AU76" i="491"/>
  <c r="AT76" i="491"/>
  <c r="AS76" i="491"/>
  <c r="AR76" i="491"/>
  <c r="AQ76" i="491"/>
  <c r="AP76" i="491"/>
  <c r="AO76" i="491"/>
  <c r="AN76" i="491"/>
  <c r="AM76" i="491"/>
  <c r="AL76" i="491"/>
  <c r="AK76" i="491"/>
  <c r="AJ76" i="491"/>
  <c r="AI76" i="491"/>
  <c r="AH76" i="491"/>
  <c r="AG76" i="491"/>
  <c r="AF76" i="491"/>
  <c r="AE76" i="491"/>
  <c r="AD76" i="491"/>
  <c r="AC76" i="491"/>
  <c r="AB76" i="491"/>
  <c r="AA76" i="491"/>
  <c r="Z76" i="491"/>
  <c r="Y76" i="491"/>
  <c r="T76" i="491"/>
  <c r="U76" i="491" s="1"/>
  <c r="Q76" i="491"/>
  <c r="O76" i="491"/>
  <c r="N76" i="491"/>
  <c r="M76" i="491"/>
  <c r="G76" i="491"/>
  <c r="F76" i="491"/>
  <c r="C76" i="491"/>
  <c r="HR75" i="491"/>
  <c r="HQ75" i="491"/>
  <c r="HP75" i="491"/>
  <c r="HO75" i="491"/>
  <c r="HN75" i="491"/>
  <c r="HM75" i="491"/>
  <c r="HL75" i="491"/>
  <c r="HK75" i="491"/>
  <c r="HJ75" i="491"/>
  <c r="HI75" i="491"/>
  <c r="HH75" i="491"/>
  <c r="HG75" i="491"/>
  <c r="HF75" i="491"/>
  <c r="HE75" i="491"/>
  <c r="HD75" i="491"/>
  <c r="HC75" i="491"/>
  <c r="HB75" i="491"/>
  <c r="HA75" i="491"/>
  <c r="GZ75" i="491"/>
  <c r="GY75" i="491"/>
  <c r="GX75" i="491"/>
  <c r="GW75" i="491"/>
  <c r="GV75" i="491"/>
  <c r="GU75" i="491"/>
  <c r="GT75" i="491"/>
  <c r="GS75" i="491"/>
  <c r="GR75" i="491"/>
  <c r="GQ75" i="491"/>
  <c r="GP75" i="491"/>
  <c r="GO75" i="491"/>
  <c r="GN75" i="491"/>
  <c r="GM75" i="491"/>
  <c r="GL75" i="491"/>
  <c r="GK75" i="491"/>
  <c r="GJ75" i="491"/>
  <c r="GI75" i="491"/>
  <c r="GH75" i="491"/>
  <c r="GG75" i="491"/>
  <c r="GF75" i="491"/>
  <c r="GE75" i="491"/>
  <c r="GD75" i="491"/>
  <c r="GC75" i="491"/>
  <c r="GB75" i="491"/>
  <c r="GA75" i="491"/>
  <c r="FZ75" i="491"/>
  <c r="FY75" i="491"/>
  <c r="FX75" i="491"/>
  <c r="FW75" i="491"/>
  <c r="FV75" i="491"/>
  <c r="FU75" i="491"/>
  <c r="FT75" i="491"/>
  <c r="FS75" i="491"/>
  <c r="FR75" i="491"/>
  <c r="FQ75" i="491"/>
  <c r="FP75" i="491"/>
  <c r="FO75" i="491"/>
  <c r="FN75" i="491"/>
  <c r="FM75" i="491"/>
  <c r="FL75" i="491"/>
  <c r="FK75" i="491"/>
  <c r="FJ75" i="491"/>
  <c r="FI75" i="491"/>
  <c r="FH75" i="491"/>
  <c r="FG75" i="491"/>
  <c r="FF75" i="491"/>
  <c r="FE75" i="491"/>
  <c r="FD75" i="491"/>
  <c r="FC75" i="491"/>
  <c r="FB75" i="491"/>
  <c r="FA75" i="491"/>
  <c r="EZ75" i="491"/>
  <c r="EY75" i="491"/>
  <c r="EX75" i="491"/>
  <c r="EW75" i="491"/>
  <c r="EV75" i="491"/>
  <c r="EU75" i="491"/>
  <c r="ET75" i="491"/>
  <c r="ES75" i="491"/>
  <c r="ER75" i="491"/>
  <c r="EQ75" i="491"/>
  <c r="EP75" i="491"/>
  <c r="EO75" i="491"/>
  <c r="EN75" i="491"/>
  <c r="EM75" i="491"/>
  <c r="EL75" i="491"/>
  <c r="EK75" i="491"/>
  <c r="EJ75" i="491"/>
  <c r="EI75" i="491"/>
  <c r="EH75" i="491"/>
  <c r="EG75" i="491"/>
  <c r="EF75" i="491"/>
  <c r="EE75" i="491"/>
  <c r="ED75" i="491"/>
  <c r="EC75" i="491"/>
  <c r="EB75" i="491"/>
  <c r="EA75" i="491"/>
  <c r="DZ75" i="491"/>
  <c r="DY75" i="491"/>
  <c r="DX75" i="491"/>
  <c r="DW75" i="491"/>
  <c r="DT75" i="491"/>
  <c r="DS75" i="491"/>
  <c r="DR75" i="491"/>
  <c r="DQ75" i="491"/>
  <c r="DP75" i="491"/>
  <c r="DO75" i="491"/>
  <c r="DN75" i="491"/>
  <c r="DM75" i="491"/>
  <c r="DL75" i="491"/>
  <c r="DK75" i="491"/>
  <c r="DJ75" i="491"/>
  <c r="DI75" i="491"/>
  <c r="DH75" i="491"/>
  <c r="DG75" i="491"/>
  <c r="DF75" i="491"/>
  <c r="DE75" i="491"/>
  <c r="DD75" i="491"/>
  <c r="DC75" i="491"/>
  <c r="DB75" i="491"/>
  <c r="DA75" i="491"/>
  <c r="CZ75" i="491"/>
  <c r="CY75" i="491"/>
  <c r="CX75" i="491"/>
  <c r="CW75" i="491"/>
  <c r="CV75" i="491"/>
  <c r="CU75" i="491"/>
  <c r="CT75" i="491"/>
  <c r="CS75" i="491"/>
  <c r="CR75" i="491"/>
  <c r="CQ75" i="491"/>
  <c r="CP75" i="491"/>
  <c r="CO75" i="491"/>
  <c r="CN75" i="491"/>
  <c r="CM75" i="491"/>
  <c r="CL75" i="491"/>
  <c r="CK75" i="491"/>
  <c r="CJ75" i="491"/>
  <c r="CI75" i="491"/>
  <c r="CH75" i="491"/>
  <c r="CG75" i="491"/>
  <c r="CF75" i="491"/>
  <c r="CE75" i="491"/>
  <c r="CD75" i="491"/>
  <c r="CC75" i="491"/>
  <c r="CB75" i="491"/>
  <c r="CA75" i="491"/>
  <c r="BZ75" i="491"/>
  <c r="BY75" i="491"/>
  <c r="BX75" i="491"/>
  <c r="BW75" i="491"/>
  <c r="BV75" i="491"/>
  <c r="BU75" i="491"/>
  <c r="BT75" i="491"/>
  <c r="BS75" i="491"/>
  <c r="BR75" i="491"/>
  <c r="BQ75" i="491"/>
  <c r="BP75" i="491"/>
  <c r="BO75" i="491"/>
  <c r="BN75" i="491"/>
  <c r="BM75" i="491"/>
  <c r="BL75" i="491"/>
  <c r="BK75" i="491"/>
  <c r="BJ75" i="491"/>
  <c r="BI75" i="491"/>
  <c r="BH75" i="491"/>
  <c r="BG75" i="491"/>
  <c r="BF75" i="491"/>
  <c r="BE75" i="491"/>
  <c r="BD75" i="491"/>
  <c r="BC75" i="491"/>
  <c r="BB75" i="491"/>
  <c r="BA75" i="491"/>
  <c r="AZ75" i="491"/>
  <c r="AY75" i="491"/>
  <c r="AX75" i="491"/>
  <c r="AW75" i="491"/>
  <c r="AV75" i="491"/>
  <c r="AU75" i="491"/>
  <c r="AT75" i="491"/>
  <c r="AS75" i="491"/>
  <c r="AR75" i="491"/>
  <c r="AQ75" i="491"/>
  <c r="AP75" i="491"/>
  <c r="AO75" i="491"/>
  <c r="AN75" i="491"/>
  <c r="AM75" i="491"/>
  <c r="AL75" i="491"/>
  <c r="AK75" i="491"/>
  <c r="AJ75" i="491"/>
  <c r="AI75" i="491"/>
  <c r="AH75" i="491"/>
  <c r="AG75" i="491"/>
  <c r="AF75" i="491"/>
  <c r="AE75" i="491"/>
  <c r="AD75" i="491"/>
  <c r="AC75" i="491"/>
  <c r="AB75" i="491"/>
  <c r="AA75" i="491"/>
  <c r="Z75" i="491"/>
  <c r="Y75" i="491"/>
  <c r="T75" i="491"/>
  <c r="U75" i="491" s="1"/>
  <c r="Q75" i="491"/>
  <c r="O75" i="491"/>
  <c r="N75" i="491"/>
  <c r="M75" i="491"/>
  <c r="G75" i="491"/>
  <c r="F75" i="491"/>
  <c r="C75" i="491"/>
  <c r="HR74" i="491"/>
  <c r="HQ74" i="491"/>
  <c r="HP74" i="491"/>
  <c r="HO74" i="491"/>
  <c r="HN74" i="491"/>
  <c r="HM74" i="491"/>
  <c r="HL74" i="491"/>
  <c r="HK74" i="491"/>
  <c r="HJ74" i="491"/>
  <c r="HI74" i="491"/>
  <c r="HH74" i="491"/>
  <c r="HG74" i="491"/>
  <c r="HF74" i="491"/>
  <c r="HE74" i="491"/>
  <c r="HD74" i="491"/>
  <c r="HC74" i="491"/>
  <c r="HB74" i="491"/>
  <c r="HA74" i="491"/>
  <c r="GZ74" i="491"/>
  <c r="GY74" i="491"/>
  <c r="GX74" i="491"/>
  <c r="GW74" i="491"/>
  <c r="GV74" i="491"/>
  <c r="GU74" i="491"/>
  <c r="GT74" i="491"/>
  <c r="GS74" i="491"/>
  <c r="GR74" i="491"/>
  <c r="GQ74" i="491"/>
  <c r="GP74" i="491"/>
  <c r="GO74" i="491"/>
  <c r="GN74" i="491"/>
  <c r="GM74" i="491"/>
  <c r="GL74" i="491"/>
  <c r="GK74" i="491"/>
  <c r="GJ74" i="491"/>
  <c r="GI74" i="491"/>
  <c r="GH74" i="491"/>
  <c r="GG74" i="491"/>
  <c r="GF74" i="491"/>
  <c r="GE74" i="491"/>
  <c r="GD74" i="491"/>
  <c r="GC74" i="491"/>
  <c r="GB74" i="491"/>
  <c r="GA74" i="491"/>
  <c r="FZ74" i="491"/>
  <c r="FY74" i="491"/>
  <c r="FX74" i="491"/>
  <c r="FW74" i="491"/>
  <c r="FV74" i="491"/>
  <c r="FU74" i="491"/>
  <c r="FT74" i="491"/>
  <c r="FS74" i="491"/>
  <c r="FR74" i="491"/>
  <c r="FQ74" i="491"/>
  <c r="FP74" i="491"/>
  <c r="FO74" i="491"/>
  <c r="FN74" i="491"/>
  <c r="FM74" i="491"/>
  <c r="FL74" i="491"/>
  <c r="FK74" i="491"/>
  <c r="FJ74" i="491"/>
  <c r="FI74" i="491"/>
  <c r="FH74" i="491"/>
  <c r="FG74" i="491"/>
  <c r="FF74" i="491"/>
  <c r="FE74" i="491"/>
  <c r="FD74" i="491"/>
  <c r="FC74" i="491"/>
  <c r="FB74" i="491"/>
  <c r="FA74" i="491"/>
  <c r="EZ74" i="491"/>
  <c r="EY74" i="491"/>
  <c r="EX74" i="491"/>
  <c r="EW74" i="491"/>
  <c r="EV74" i="491"/>
  <c r="EU74" i="491"/>
  <c r="ET74" i="491"/>
  <c r="ES74" i="491"/>
  <c r="ER74" i="491"/>
  <c r="EQ74" i="491"/>
  <c r="EP74" i="491"/>
  <c r="EO74" i="491"/>
  <c r="EN74" i="491"/>
  <c r="EM74" i="491"/>
  <c r="EL74" i="491"/>
  <c r="EK74" i="491"/>
  <c r="EJ74" i="491"/>
  <c r="EI74" i="491"/>
  <c r="EH74" i="491"/>
  <c r="EG74" i="491"/>
  <c r="EF74" i="491"/>
  <c r="EE74" i="491"/>
  <c r="ED74" i="491"/>
  <c r="EC74" i="491"/>
  <c r="EB74" i="491"/>
  <c r="EA74" i="491"/>
  <c r="DZ74" i="491"/>
  <c r="DY74" i="491"/>
  <c r="DX74" i="491"/>
  <c r="DW74" i="491"/>
  <c r="DT74" i="491"/>
  <c r="DS74" i="491"/>
  <c r="DR74" i="491"/>
  <c r="DQ74" i="491"/>
  <c r="DP74" i="491"/>
  <c r="DO74" i="491"/>
  <c r="DN74" i="491"/>
  <c r="DM74" i="491"/>
  <c r="DL74" i="491"/>
  <c r="DK74" i="491"/>
  <c r="DJ74" i="491"/>
  <c r="DI74" i="491"/>
  <c r="DH74" i="491"/>
  <c r="DG74" i="491"/>
  <c r="DF74" i="491"/>
  <c r="DE74" i="491"/>
  <c r="DD74" i="491"/>
  <c r="DC74" i="491"/>
  <c r="DB74" i="491"/>
  <c r="DA74" i="491"/>
  <c r="CZ74" i="491"/>
  <c r="CY74" i="491"/>
  <c r="CX74" i="491"/>
  <c r="CW74" i="491"/>
  <c r="CV74" i="491"/>
  <c r="CU74" i="491"/>
  <c r="CT74" i="491"/>
  <c r="CS74" i="491"/>
  <c r="CR74" i="491"/>
  <c r="CQ74" i="491"/>
  <c r="CP74" i="491"/>
  <c r="CO74" i="491"/>
  <c r="CN74" i="491"/>
  <c r="CM74" i="491"/>
  <c r="CL74" i="491"/>
  <c r="CK74" i="491"/>
  <c r="CJ74" i="491"/>
  <c r="CI74" i="491"/>
  <c r="CH74" i="491"/>
  <c r="CG74" i="491"/>
  <c r="CF74" i="491"/>
  <c r="CE74" i="491"/>
  <c r="CD74" i="491"/>
  <c r="CC74" i="491"/>
  <c r="CB74" i="491"/>
  <c r="CA74" i="491"/>
  <c r="BZ74" i="491"/>
  <c r="BY74" i="491"/>
  <c r="BX74" i="491"/>
  <c r="BW74" i="491"/>
  <c r="BV74" i="491"/>
  <c r="BU74" i="491"/>
  <c r="BT74" i="491"/>
  <c r="BS74" i="491"/>
  <c r="BR74" i="491"/>
  <c r="BQ74" i="491"/>
  <c r="BP74" i="491"/>
  <c r="BO74" i="491"/>
  <c r="BN74" i="491"/>
  <c r="BM74" i="491"/>
  <c r="BL74" i="491"/>
  <c r="BK74" i="491"/>
  <c r="BJ74" i="491"/>
  <c r="BI74" i="491"/>
  <c r="BH74" i="491"/>
  <c r="BG74" i="491"/>
  <c r="BF74" i="491"/>
  <c r="BE74" i="491"/>
  <c r="BD74" i="491"/>
  <c r="BC74" i="491"/>
  <c r="BB74" i="491"/>
  <c r="BA74" i="491"/>
  <c r="AZ74" i="491"/>
  <c r="AY74" i="491"/>
  <c r="AX74" i="491"/>
  <c r="AW74" i="491"/>
  <c r="AV74" i="491"/>
  <c r="AU74" i="491"/>
  <c r="AT74" i="491"/>
  <c r="AS74" i="491"/>
  <c r="AR74" i="491"/>
  <c r="AQ74" i="491"/>
  <c r="AP74" i="491"/>
  <c r="AO74" i="491"/>
  <c r="AN74" i="491"/>
  <c r="AM74" i="491"/>
  <c r="AL74" i="491"/>
  <c r="AK74" i="491"/>
  <c r="AJ74" i="491"/>
  <c r="AI74" i="491"/>
  <c r="AH74" i="491"/>
  <c r="AG74" i="491"/>
  <c r="AF74" i="491"/>
  <c r="AE74" i="491"/>
  <c r="AD74" i="491"/>
  <c r="AC74" i="491"/>
  <c r="AB74" i="491"/>
  <c r="AA74" i="491"/>
  <c r="Z74" i="491"/>
  <c r="Y74" i="491"/>
  <c r="T74" i="491"/>
  <c r="U74" i="491" s="1"/>
  <c r="Q74" i="491"/>
  <c r="O74" i="491"/>
  <c r="N74" i="491"/>
  <c r="M74" i="491"/>
  <c r="G74" i="491"/>
  <c r="F74" i="491"/>
  <c r="C74" i="491"/>
  <c r="HR73" i="491"/>
  <c r="HQ73" i="491"/>
  <c r="HP73" i="491"/>
  <c r="HO73" i="491"/>
  <c r="HN73" i="491"/>
  <c r="HM73" i="491"/>
  <c r="HL73" i="491"/>
  <c r="HK73" i="491"/>
  <c r="HJ73" i="491"/>
  <c r="HI73" i="491"/>
  <c r="HH73" i="491"/>
  <c r="HG73" i="491"/>
  <c r="HF73" i="491"/>
  <c r="HE73" i="491"/>
  <c r="HD73" i="491"/>
  <c r="HC73" i="491"/>
  <c r="HB73" i="491"/>
  <c r="HA73" i="491"/>
  <c r="GZ73" i="491"/>
  <c r="GY73" i="491"/>
  <c r="GX73" i="491"/>
  <c r="GW73" i="491"/>
  <c r="GV73" i="491"/>
  <c r="GU73" i="491"/>
  <c r="GT73" i="491"/>
  <c r="GS73" i="491"/>
  <c r="GR73" i="491"/>
  <c r="GQ73" i="491"/>
  <c r="GP73" i="491"/>
  <c r="GO73" i="491"/>
  <c r="GN73" i="491"/>
  <c r="GM73" i="491"/>
  <c r="GL73" i="491"/>
  <c r="GK73" i="491"/>
  <c r="GJ73" i="491"/>
  <c r="GI73" i="491"/>
  <c r="GH73" i="491"/>
  <c r="GG73" i="491"/>
  <c r="GF73" i="491"/>
  <c r="GE73" i="491"/>
  <c r="GD73" i="491"/>
  <c r="GC73" i="491"/>
  <c r="GB73" i="491"/>
  <c r="GA73" i="491"/>
  <c r="FZ73" i="491"/>
  <c r="FY73" i="491"/>
  <c r="FX73" i="491"/>
  <c r="FW73" i="491"/>
  <c r="FV73" i="491"/>
  <c r="FU73" i="491"/>
  <c r="FT73" i="491"/>
  <c r="FS73" i="491"/>
  <c r="FR73" i="491"/>
  <c r="FQ73" i="491"/>
  <c r="FP73" i="491"/>
  <c r="FO73" i="491"/>
  <c r="FN73" i="491"/>
  <c r="FM73" i="491"/>
  <c r="FL73" i="491"/>
  <c r="FK73" i="491"/>
  <c r="FJ73" i="491"/>
  <c r="FI73" i="491"/>
  <c r="FH73" i="491"/>
  <c r="FG73" i="491"/>
  <c r="FF73" i="491"/>
  <c r="FE73" i="491"/>
  <c r="FD73" i="491"/>
  <c r="FC73" i="491"/>
  <c r="FB73" i="491"/>
  <c r="FA73" i="491"/>
  <c r="EZ73" i="491"/>
  <c r="EY73" i="491"/>
  <c r="EX73" i="491"/>
  <c r="EW73" i="491"/>
  <c r="EV73" i="491"/>
  <c r="EU73" i="491"/>
  <c r="ET73" i="491"/>
  <c r="ES73" i="491"/>
  <c r="ER73" i="491"/>
  <c r="EQ73" i="491"/>
  <c r="EP73" i="491"/>
  <c r="EO73" i="491"/>
  <c r="EN73" i="491"/>
  <c r="EM73" i="491"/>
  <c r="EL73" i="491"/>
  <c r="EK73" i="491"/>
  <c r="EJ73" i="491"/>
  <c r="EI73" i="491"/>
  <c r="EH73" i="491"/>
  <c r="EG73" i="491"/>
  <c r="EF73" i="491"/>
  <c r="EE73" i="491"/>
  <c r="ED73" i="491"/>
  <c r="EC73" i="491"/>
  <c r="EB73" i="491"/>
  <c r="EA73" i="491"/>
  <c r="DZ73" i="491"/>
  <c r="DY73" i="491"/>
  <c r="DX73" i="491"/>
  <c r="DW73" i="491"/>
  <c r="DT73" i="491"/>
  <c r="DS73" i="491"/>
  <c r="DR73" i="491"/>
  <c r="DQ73" i="491"/>
  <c r="DP73" i="491"/>
  <c r="DO73" i="491"/>
  <c r="DN73" i="491"/>
  <c r="DM73" i="491"/>
  <c r="DL73" i="491"/>
  <c r="DK73" i="491"/>
  <c r="DJ73" i="491"/>
  <c r="DI73" i="491"/>
  <c r="DH73" i="491"/>
  <c r="DG73" i="491"/>
  <c r="DF73" i="491"/>
  <c r="DE73" i="491"/>
  <c r="DD73" i="491"/>
  <c r="DC73" i="491"/>
  <c r="DB73" i="491"/>
  <c r="DA73" i="491"/>
  <c r="CZ73" i="491"/>
  <c r="CY73" i="491"/>
  <c r="CX73" i="491"/>
  <c r="CW73" i="491"/>
  <c r="CV73" i="491"/>
  <c r="CU73" i="491"/>
  <c r="CT73" i="491"/>
  <c r="CS73" i="491"/>
  <c r="CR73" i="491"/>
  <c r="CQ73" i="491"/>
  <c r="CP73" i="491"/>
  <c r="CO73" i="491"/>
  <c r="CN73" i="491"/>
  <c r="CM73" i="491"/>
  <c r="CL73" i="491"/>
  <c r="CK73" i="491"/>
  <c r="CJ73" i="491"/>
  <c r="CI73" i="491"/>
  <c r="CH73" i="491"/>
  <c r="CG73" i="491"/>
  <c r="CF73" i="491"/>
  <c r="CE73" i="491"/>
  <c r="CD73" i="491"/>
  <c r="CC73" i="491"/>
  <c r="CB73" i="491"/>
  <c r="CA73" i="491"/>
  <c r="BZ73" i="491"/>
  <c r="BY73" i="491"/>
  <c r="BX73" i="491"/>
  <c r="BW73" i="491"/>
  <c r="BV73" i="491"/>
  <c r="BU73" i="491"/>
  <c r="BT73" i="491"/>
  <c r="BS73" i="491"/>
  <c r="BR73" i="491"/>
  <c r="BQ73" i="491"/>
  <c r="BP73" i="491"/>
  <c r="BO73" i="491"/>
  <c r="BN73" i="491"/>
  <c r="BM73" i="491"/>
  <c r="BL73" i="491"/>
  <c r="BK73" i="491"/>
  <c r="BJ73" i="491"/>
  <c r="BI73" i="491"/>
  <c r="BH73" i="491"/>
  <c r="BG73" i="491"/>
  <c r="BF73" i="491"/>
  <c r="BE73" i="491"/>
  <c r="BD73" i="491"/>
  <c r="BC73" i="491"/>
  <c r="BB73" i="491"/>
  <c r="BA73" i="491"/>
  <c r="AZ73" i="491"/>
  <c r="AY73" i="491"/>
  <c r="AX73" i="491"/>
  <c r="AW73" i="491"/>
  <c r="AV73" i="491"/>
  <c r="AU73" i="491"/>
  <c r="AT73" i="491"/>
  <c r="AS73" i="491"/>
  <c r="AR73" i="491"/>
  <c r="AQ73" i="491"/>
  <c r="AP73" i="491"/>
  <c r="AO73" i="491"/>
  <c r="AN73" i="491"/>
  <c r="AM73" i="491"/>
  <c r="AL73" i="491"/>
  <c r="AK73" i="491"/>
  <c r="AJ73" i="491"/>
  <c r="AI73" i="491"/>
  <c r="AH73" i="491"/>
  <c r="AG73" i="491"/>
  <c r="AF73" i="491"/>
  <c r="AE73" i="491"/>
  <c r="AD73" i="491"/>
  <c r="AC73" i="491"/>
  <c r="AB73" i="491"/>
  <c r="AA73" i="491"/>
  <c r="Z73" i="491"/>
  <c r="Y73" i="491"/>
  <c r="T73" i="491"/>
  <c r="U73" i="491" s="1"/>
  <c r="Q73" i="491"/>
  <c r="O73" i="491"/>
  <c r="N73" i="491"/>
  <c r="M73" i="491"/>
  <c r="G73" i="491"/>
  <c r="F73" i="491"/>
  <c r="C73" i="491"/>
  <c r="HR72" i="491"/>
  <c r="HQ72" i="491"/>
  <c r="HP72" i="491"/>
  <c r="HO72" i="491"/>
  <c r="HN72" i="491"/>
  <c r="HM72" i="491"/>
  <c r="HL72" i="491"/>
  <c r="HK72" i="491"/>
  <c r="HJ72" i="491"/>
  <c r="HI72" i="491"/>
  <c r="HH72" i="491"/>
  <c r="HG72" i="491"/>
  <c r="HF72" i="491"/>
  <c r="HE72" i="491"/>
  <c r="HD72" i="491"/>
  <c r="HC72" i="491"/>
  <c r="HB72" i="491"/>
  <c r="HA72" i="491"/>
  <c r="GZ72" i="491"/>
  <c r="GY72" i="491"/>
  <c r="GX72" i="491"/>
  <c r="GW72" i="491"/>
  <c r="GV72" i="491"/>
  <c r="GU72" i="491"/>
  <c r="GT72" i="491"/>
  <c r="GR72" i="491"/>
  <c r="GQ72" i="491"/>
  <c r="GP72" i="491"/>
  <c r="GO72" i="491"/>
  <c r="GN72" i="491"/>
  <c r="GM72" i="491"/>
  <c r="GL72" i="491"/>
  <c r="GK72" i="491"/>
  <c r="GJ72" i="491"/>
  <c r="GI72" i="491"/>
  <c r="GH72" i="491"/>
  <c r="GG72" i="491"/>
  <c r="GF72" i="491"/>
  <c r="GE72" i="491"/>
  <c r="GD72" i="491"/>
  <c r="GC72" i="491"/>
  <c r="GB72" i="491"/>
  <c r="GA72" i="491"/>
  <c r="FZ72" i="491"/>
  <c r="FY72" i="491"/>
  <c r="FX72" i="491"/>
  <c r="FW72" i="491"/>
  <c r="FV72" i="491"/>
  <c r="FU72" i="491"/>
  <c r="FT72" i="491"/>
  <c r="FS72" i="491"/>
  <c r="FR72" i="491"/>
  <c r="FQ72" i="491"/>
  <c r="FP72" i="491"/>
  <c r="FO72" i="491"/>
  <c r="FN72" i="491"/>
  <c r="FM72" i="491"/>
  <c r="FL72" i="491"/>
  <c r="FK72" i="491"/>
  <c r="FJ72" i="491"/>
  <c r="FI72" i="491"/>
  <c r="FH72" i="491"/>
  <c r="FG72" i="491"/>
  <c r="FF72" i="491"/>
  <c r="FE72" i="491"/>
  <c r="FD72" i="491"/>
  <c r="FC72" i="491"/>
  <c r="FB72" i="491"/>
  <c r="FA72" i="491"/>
  <c r="EZ72" i="491"/>
  <c r="EY72" i="491"/>
  <c r="EX72" i="491"/>
  <c r="EW72" i="491"/>
  <c r="EV72" i="491"/>
  <c r="EU72" i="491"/>
  <c r="ET72" i="491"/>
  <c r="ES72" i="491"/>
  <c r="ER72" i="491"/>
  <c r="EQ72" i="491"/>
  <c r="EP72" i="491"/>
  <c r="EO72" i="491"/>
  <c r="EN72" i="491"/>
  <c r="EM72" i="491"/>
  <c r="EL72" i="491"/>
  <c r="EK72" i="491"/>
  <c r="EJ72" i="491"/>
  <c r="EI72" i="491"/>
  <c r="EH72" i="491"/>
  <c r="EG72" i="491"/>
  <c r="EF72" i="491"/>
  <c r="EE72" i="491"/>
  <c r="ED72" i="491"/>
  <c r="EC72" i="491"/>
  <c r="EB72" i="491"/>
  <c r="EA72" i="491"/>
  <c r="DZ72" i="491"/>
  <c r="DY72" i="491"/>
  <c r="DX72" i="491"/>
  <c r="DW72" i="491"/>
  <c r="DT72" i="491"/>
  <c r="DS72" i="491"/>
  <c r="DR72" i="491"/>
  <c r="DQ72" i="491"/>
  <c r="DP72" i="491"/>
  <c r="DO72" i="491"/>
  <c r="DN72" i="491"/>
  <c r="DM72" i="491"/>
  <c r="DL72" i="491"/>
  <c r="DK72" i="491"/>
  <c r="DJ72" i="491"/>
  <c r="DI72" i="491"/>
  <c r="DH72" i="491"/>
  <c r="DG72" i="491"/>
  <c r="DF72" i="491"/>
  <c r="DE72" i="491"/>
  <c r="DD72" i="491"/>
  <c r="DC72" i="491"/>
  <c r="DB72" i="491"/>
  <c r="DA72" i="491"/>
  <c r="CZ72" i="491"/>
  <c r="CY72" i="491"/>
  <c r="CX72" i="491"/>
  <c r="CW72" i="491"/>
  <c r="CV72" i="491"/>
  <c r="CT72" i="491"/>
  <c r="CS72" i="491"/>
  <c r="CR72" i="491"/>
  <c r="CQ72" i="491"/>
  <c r="CP72" i="491"/>
  <c r="CO72" i="491"/>
  <c r="CN72" i="491"/>
  <c r="CM72" i="491"/>
  <c r="CL72" i="491"/>
  <c r="CK72" i="491"/>
  <c r="CJ72" i="491"/>
  <c r="CI72" i="491"/>
  <c r="CH72" i="491"/>
  <c r="CG72" i="491"/>
  <c r="CF72" i="491"/>
  <c r="CE72" i="491"/>
  <c r="CD72" i="491"/>
  <c r="CC72" i="491"/>
  <c r="CB72" i="491"/>
  <c r="CA72" i="491"/>
  <c r="BZ72" i="491"/>
  <c r="BY72" i="491"/>
  <c r="BX72" i="491"/>
  <c r="BW72" i="491"/>
  <c r="BV72" i="491"/>
  <c r="BU72" i="491"/>
  <c r="BT72" i="491"/>
  <c r="BS72" i="491"/>
  <c r="BR72" i="491"/>
  <c r="BQ72" i="491"/>
  <c r="BP72" i="491"/>
  <c r="BO72" i="491"/>
  <c r="BN72" i="491"/>
  <c r="BM72" i="491"/>
  <c r="BL72" i="491"/>
  <c r="BK72" i="491"/>
  <c r="BJ72" i="491"/>
  <c r="BI72" i="491"/>
  <c r="BH72" i="491"/>
  <c r="BG72" i="491"/>
  <c r="BF72" i="491"/>
  <c r="BE72" i="491"/>
  <c r="BD72" i="491"/>
  <c r="BC72" i="491"/>
  <c r="BB72" i="491"/>
  <c r="BA72" i="491"/>
  <c r="AZ72" i="491"/>
  <c r="AY72" i="491"/>
  <c r="AX72" i="491"/>
  <c r="AW72" i="491"/>
  <c r="AV72" i="491"/>
  <c r="AU72" i="491"/>
  <c r="AT72" i="491"/>
  <c r="AS72" i="491"/>
  <c r="AR72" i="491"/>
  <c r="AQ72" i="491"/>
  <c r="AP72" i="491"/>
  <c r="AO72" i="491"/>
  <c r="AN72" i="491"/>
  <c r="AM72" i="491"/>
  <c r="AL72" i="491"/>
  <c r="AK72" i="491"/>
  <c r="AJ72" i="491"/>
  <c r="AI72" i="491"/>
  <c r="AH72" i="491"/>
  <c r="AG72" i="491"/>
  <c r="AF72" i="491"/>
  <c r="AE72" i="491"/>
  <c r="AD72" i="491"/>
  <c r="AC72" i="491"/>
  <c r="AB72" i="491"/>
  <c r="AA72" i="491"/>
  <c r="Z72" i="491"/>
  <c r="Y72" i="491"/>
  <c r="T72" i="491"/>
  <c r="U72" i="491" s="1"/>
  <c r="CU72" i="491" s="1"/>
  <c r="N72" i="491"/>
  <c r="G72" i="491"/>
  <c r="C72" i="491"/>
  <c r="HR71" i="491"/>
  <c r="HQ71" i="491"/>
  <c r="HP71" i="491"/>
  <c r="HO71" i="491"/>
  <c r="HN71" i="491"/>
  <c r="HM71" i="491"/>
  <c r="HL71" i="491"/>
  <c r="HK71" i="491"/>
  <c r="HJ71" i="491"/>
  <c r="HI71" i="491"/>
  <c r="HH71" i="491"/>
  <c r="HG71" i="491"/>
  <c r="HF71" i="491"/>
  <c r="HE71" i="491"/>
  <c r="HD71" i="491"/>
  <c r="HC71" i="491"/>
  <c r="HB71" i="491"/>
  <c r="HA71" i="491"/>
  <c r="GZ71" i="491"/>
  <c r="GY71" i="491"/>
  <c r="GX71" i="491"/>
  <c r="GW71" i="491"/>
  <c r="GV71" i="491"/>
  <c r="GU71" i="491"/>
  <c r="GT71" i="491"/>
  <c r="GS71" i="491"/>
  <c r="GR71" i="491"/>
  <c r="GQ71" i="491"/>
  <c r="GP71" i="491"/>
  <c r="GO71" i="491"/>
  <c r="GN71" i="491"/>
  <c r="GM71" i="491"/>
  <c r="GL71" i="491"/>
  <c r="GK71" i="491"/>
  <c r="GJ71" i="491"/>
  <c r="GI71" i="491"/>
  <c r="GH71" i="491"/>
  <c r="GG71" i="491"/>
  <c r="GF71" i="491"/>
  <c r="GE71" i="491"/>
  <c r="GD71" i="491"/>
  <c r="GC71" i="491"/>
  <c r="GB71" i="491"/>
  <c r="GA71" i="491"/>
  <c r="FZ71" i="491"/>
  <c r="FY71" i="491"/>
  <c r="FX71" i="491"/>
  <c r="FW71" i="491"/>
  <c r="FV71" i="491"/>
  <c r="FU71" i="491"/>
  <c r="FT71" i="491"/>
  <c r="FS71" i="491"/>
  <c r="FR71" i="491"/>
  <c r="FQ71" i="491"/>
  <c r="FP71" i="491"/>
  <c r="FO71" i="491"/>
  <c r="FN71" i="491"/>
  <c r="FM71" i="491"/>
  <c r="FL71" i="491"/>
  <c r="FK71" i="491"/>
  <c r="FJ71" i="491"/>
  <c r="FI71" i="491"/>
  <c r="FH71" i="491"/>
  <c r="FG71" i="491"/>
  <c r="FF71" i="491"/>
  <c r="FE71" i="491"/>
  <c r="FD71" i="491"/>
  <c r="FC71" i="491"/>
  <c r="FB71" i="491"/>
  <c r="FA71" i="491"/>
  <c r="EZ71" i="491"/>
  <c r="EY71" i="491"/>
  <c r="EX71" i="491"/>
  <c r="EW71" i="491"/>
  <c r="EV71" i="491"/>
  <c r="EU71" i="491"/>
  <c r="ET71" i="491"/>
  <c r="ES71" i="491"/>
  <c r="ER71" i="491"/>
  <c r="EQ71" i="491"/>
  <c r="EP71" i="491"/>
  <c r="EO71" i="491"/>
  <c r="EN71" i="491"/>
  <c r="EM71" i="491"/>
  <c r="EL71" i="491"/>
  <c r="EK71" i="491"/>
  <c r="EJ71" i="491"/>
  <c r="EI71" i="491"/>
  <c r="EH71" i="491"/>
  <c r="EG71" i="491"/>
  <c r="EF71" i="491"/>
  <c r="EE71" i="491"/>
  <c r="ED71" i="491"/>
  <c r="EC71" i="491"/>
  <c r="EB71" i="491"/>
  <c r="EA71" i="491"/>
  <c r="DZ71" i="491"/>
  <c r="DY71" i="491"/>
  <c r="DX71" i="491"/>
  <c r="DW71" i="491"/>
  <c r="DT71" i="491"/>
  <c r="DS71" i="491"/>
  <c r="DR71" i="491"/>
  <c r="DQ71" i="491"/>
  <c r="DP71" i="491"/>
  <c r="DO71" i="491"/>
  <c r="DN71" i="491"/>
  <c r="DM71" i="491"/>
  <c r="DL71" i="491"/>
  <c r="DK71" i="491"/>
  <c r="DJ71" i="491"/>
  <c r="DI71" i="491"/>
  <c r="DH71" i="491"/>
  <c r="DG71" i="491"/>
  <c r="DF71" i="491"/>
  <c r="DE71" i="491"/>
  <c r="DD71" i="491"/>
  <c r="DC71" i="491"/>
  <c r="DB71" i="491"/>
  <c r="DA71" i="491"/>
  <c r="CZ71" i="491"/>
  <c r="CY71" i="491"/>
  <c r="CX71" i="491"/>
  <c r="CW71" i="491"/>
  <c r="CV71" i="491"/>
  <c r="CU71" i="491"/>
  <c r="CT71" i="491"/>
  <c r="CS71" i="491"/>
  <c r="CR71" i="491"/>
  <c r="CQ71" i="491"/>
  <c r="CP71" i="491"/>
  <c r="CO71" i="491"/>
  <c r="CN71" i="491"/>
  <c r="CM71" i="491"/>
  <c r="CL71" i="491"/>
  <c r="CK71" i="491"/>
  <c r="CJ71" i="491"/>
  <c r="CI71" i="491"/>
  <c r="CH71" i="491"/>
  <c r="CG71" i="491"/>
  <c r="CF71" i="491"/>
  <c r="CE71" i="491"/>
  <c r="CD71" i="491"/>
  <c r="CC71" i="491"/>
  <c r="CB71" i="491"/>
  <c r="CA71" i="491"/>
  <c r="BZ71" i="491"/>
  <c r="BY71" i="491"/>
  <c r="BX71" i="491"/>
  <c r="BW71" i="491"/>
  <c r="BV71" i="491"/>
  <c r="BU71" i="491"/>
  <c r="BT71" i="491"/>
  <c r="BS71" i="491"/>
  <c r="BR71" i="491"/>
  <c r="BQ71" i="491"/>
  <c r="BP71" i="491"/>
  <c r="BO71" i="491"/>
  <c r="BN71" i="491"/>
  <c r="BM71" i="491"/>
  <c r="BL71" i="491"/>
  <c r="BK71" i="491"/>
  <c r="BJ71" i="491"/>
  <c r="BI71" i="491"/>
  <c r="BH71" i="491"/>
  <c r="BG71" i="491"/>
  <c r="BF71" i="491"/>
  <c r="BE71" i="491"/>
  <c r="BD71" i="491"/>
  <c r="BC71" i="491"/>
  <c r="BB71" i="491"/>
  <c r="BA71" i="491"/>
  <c r="AZ71" i="491"/>
  <c r="AY71" i="491"/>
  <c r="AX71" i="491"/>
  <c r="AW71" i="491"/>
  <c r="AV71" i="491"/>
  <c r="AU71" i="491"/>
  <c r="AT71" i="491"/>
  <c r="AS71" i="491"/>
  <c r="AR71" i="491"/>
  <c r="AQ71" i="491"/>
  <c r="AP71" i="491"/>
  <c r="AO71" i="491"/>
  <c r="AN71" i="491"/>
  <c r="AM71" i="491"/>
  <c r="AL71" i="491"/>
  <c r="AK71" i="491"/>
  <c r="AJ71" i="491"/>
  <c r="AI71" i="491"/>
  <c r="AH71" i="491"/>
  <c r="AG71" i="491"/>
  <c r="AF71" i="491"/>
  <c r="AE71" i="491"/>
  <c r="AD71" i="491"/>
  <c r="AC71" i="491"/>
  <c r="AB71" i="491"/>
  <c r="AA71" i="491"/>
  <c r="Z71" i="491"/>
  <c r="Y71" i="491"/>
  <c r="T71" i="491"/>
  <c r="U71" i="491" s="1"/>
  <c r="Q71" i="491"/>
  <c r="O71" i="491"/>
  <c r="N71" i="491"/>
  <c r="M71" i="491"/>
  <c r="G71" i="491"/>
  <c r="F71" i="491"/>
  <c r="C71" i="491"/>
  <c r="HR65" i="491"/>
  <c r="HQ65" i="491"/>
  <c r="HP65" i="491"/>
  <c r="HO65" i="491"/>
  <c r="HN65" i="491"/>
  <c r="HM65" i="491"/>
  <c r="HL65" i="491"/>
  <c r="HK65" i="491"/>
  <c r="HJ65" i="491"/>
  <c r="HI65" i="491"/>
  <c r="HH65" i="491"/>
  <c r="HG65" i="491"/>
  <c r="HF65" i="491"/>
  <c r="HE65" i="491"/>
  <c r="HD65" i="491"/>
  <c r="HC65" i="491"/>
  <c r="HB65" i="491"/>
  <c r="HA65" i="491"/>
  <c r="GZ65" i="491"/>
  <c r="GY65" i="491"/>
  <c r="GX65" i="491"/>
  <c r="GW65" i="491"/>
  <c r="GV65" i="491"/>
  <c r="GU65" i="491"/>
  <c r="GT65" i="491"/>
  <c r="GS65" i="491"/>
  <c r="GR65" i="491"/>
  <c r="GQ65" i="491"/>
  <c r="GP65" i="491"/>
  <c r="GO65" i="491"/>
  <c r="GN65" i="491"/>
  <c r="GM65" i="491"/>
  <c r="GL65" i="491"/>
  <c r="GK65" i="491"/>
  <c r="GJ65" i="491"/>
  <c r="GI65" i="491"/>
  <c r="GH65" i="491"/>
  <c r="GG65" i="491"/>
  <c r="GF65" i="491"/>
  <c r="GE65" i="491"/>
  <c r="GD65" i="491"/>
  <c r="GC65" i="491"/>
  <c r="GB65" i="491"/>
  <c r="GA65" i="491"/>
  <c r="FZ65" i="491"/>
  <c r="FY65" i="491"/>
  <c r="FX65" i="491"/>
  <c r="FW65" i="491"/>
  <c r="FV65" i="491"/>
  <c r="FU65" i="491"/>
  <c r="FT65" i="491"/>
  <c r="FS65" i="491"/>
  <c r="FR65" i="491"/>
  <c r="FQ65" i="491"/>
  <c r="FP65" i="491"/>
  <c r="FO65" i="491"/>
  <c r="FN65" i="491"/>
  <c r="FM65" i="491"/>
  <c r="FL65" i="491"/>
  <c r="FK65" i="491"/>
  <c r="FJ65" i="491"/>
  <c r="FI65" i="491"/>
  <c r="FH65" i="491"/>
  <c r="FG65" i="491"/>
  <c r="FF65" i="491"/>
  <c r="FE65" i="491"/>
  <c r="FD65" i="491"/>
  <c r="FC65" i="491"/>
  <c r="FB65" i="491"/>
  <c r="FA65" i="491"/>
  <c r="EZ65" i="491"/>
  <c r="EY65" i="491"/>
  <c r="EX65" i="491"/>
  <c r="EW65" i="491"/>
  <c r="EV65" i="491"/>
  <c r="EU65" i="491"/>
  <c r="ET65" i="491"/>
  <c r="ES65" i="491"/>
  <c r="ER65" i="491"/>
  <c r="EQ65" i="491"/>
  <c r="EP65" i="491"/>
  <c r="EO65" i="491"/>
  <c r="EN65" i="491"/>
  <c r="EM65" i="491"/>
  <c r="EL65" i="491"/>
  <c r="EK65" i="491"/>
  <c r="EJ65" i="491"/>
  <c r="EI65" i="491"/>
  <c r="EH65" i="491"/>
  <c r="EG65" i="491"/>
  <c r="EF65" i="491"/>
  <c r="EE65" i="491"/>
  <c r="ED65" i="491"/>
  <c r="EC65" i="491"/>
  <c r="EB65" i="491"/>
  <c r="EA65" i="491"/>
  <c r="DZ65" i="491"/>
  <c r="DY65" i="491"/>
  <c r="DX65" i="491"/>
  <c r="DW65" i="491"/>
  <c r="DT65" i="491"/>
  <c r="DS65" i="491"/>
  <c r="DR65" i="491"/>
  <c r="DQ65" i="491"/>
  <c r="DP65" i="491"/>
  <c r="DO65" i="491"/>
  <c r="DN65" i="491"/>
  <c r="DM65" i="491"/>
  <c r="DL65" i="491"/>
  <c r="DK65" i="491"/>
  <c r="DJ65" i="491"/>
  <c r="DI65" i="491"/>
  <c r="DH65" i="491"/>
  <c r="DG65" i="491"/>
  <c r="DF65" i="491"/>
  <c r="DE65" i="491"/>
  <c r="DD65" i="491"/>
  <c r="DC65" i="491"/>
  <c r="DB65" i="491"/>
  <c r="DA65" i="491"/>
  <c r="CZ65" i="491"/>
  <c r="CY65" i="491"/>
  <c r="CX65" i="491"/>
  <c r="CW65" i="491"/>
  <c r="CV65" i="491"/>
  <c r="CU65" i="491"/>
  <c r="CT65" i="491"/>
  <c r="CS65" i="491"/>
  <c r="CR65" i="491"/>
  <c r="CQ65" i="491"/>
  <c r="CP65" i="491"/>
  <c r="CO65" i="491"/>
  <c r="CN65" i="491"/>
  <c r="CM65" i="491"/>
  <c r="CL65" i="491"/>
  <c r="CK65" i="491"/>
  <c r="CJ65" i="491"/>
  <c r="CI65" i="491"/>
  <c r="CH65" i="491"/>
  <c r="CG65" i="491"/>
  <c r="CF65" i="491"/>
  <c r="CE65" i="491"/>
  <c r="CD65" i="491"/>
  <c r="CC65" i="491"/>
  <c r="CB65" i="491"/>
  <c r="CA65" i="491"/>
  <c r="BZ65" i="491"/>
  <c r="BY65" i="491"/>
  <c r="BX65" i="491"/>
  <c r="BW65" i="491"/>
  <c r="BV65" i="491"/>
  <c r="BU65" i="491"/>
  <c r="BT65" i="491"/>
  <c r="BS65" i="491"/>
  <c r="BR65" i="491"/>
  <c r="BQ65" i="491"/>
  <c r="BP65" i="491"/>
  <c r="BO65" i="491"/>
  <c r="BN65" i="491"/>
  <c r="BM65" i="491"/>
  <c r="BL65" i="491"/>
  <c r="BK65" i="491"/>
  <c r="BJ65" i="491"/>
  <c r="BI65" i="491"/>
  <c r="BH65" i="491"/>
  <c r="BG65" i="491"/>
  <c r="BF65" i="491"/>
  <c r="BE65" i="491"/>
  <c r="BD65" i="491"/>
  <c r="BC65" i="491"/>
  <c r="BB65" i="491"/>
  <c r="BA65" i="491"/>
  <c r="AZ65" i="491"/>
  <c r="AY65" i="491"/>
  <c r="AX65" i="491"/>
  <c r="AW65" i="491"/>
  <c r="AV65" i="491"/>
  <c r="AU65" i="491"/>
  <c r="AT65" i="491"/>
  <c r="AS65" i="491"/>
  <c r="AR65" i="491"/>
  <c r="AQ65" i="491"/>
  <c r="AP65" i="491"/>
  <c r="AO65" i="491"/>
  <c r="AN65" i="491"/>
  <c r="AM65" i="491"/>
  <c r="AL65" i="491"/>
  <c r="AK65" i="491"/>
  <c r="AJ65" i="491"/>
  <c r="AI65" i="491"/>
  <c r="AH65" i="491"/>
  <c r="AG65" i="491"/>
  <c r="AF65" i="491"/>
  <c r="AE65" i="491"/>
  <c r="AD65" i="491"/>
  <c r="AC65" i="491"/>
  <c r="AB65" i="491"/>
  <c r="AA65" i="491"/>
  <c r="Z65" i="491"/>
  <c r="Y65" i="491"/>
  <c r="T65" i="491"/>
  <c r="U65" i="491" s="1"/>
  <c r="R65" i="491"/>
  <c r="Q65" i="491"/>
  <c r="O65" i="491"/>
  <c r="N65" i="491"/>
  <c r="M65" i="491"/>
  <c r="G65" i="491"/>
  <c r="C65" i="491"/>
  <c r="HR64" i="491"/>
  <c r="HQ64" i="491"/>
  <c r="HP64" i="491"/>
  <c r="HO64" i="491"/>
  <c r="HN64" i="491"/>
  <c r="HM64" i="491"/>
  <c r="HL64" i="491"/>
  <c r="HK64" i="491"/>
  <c r="HJ64" i="491"/>
  <c r="HI64" i="491"/>
  <c r="HH64" i="491"/>
  <c r="HG64" i="491"/>
  <c r="HF64" i="491"/>
  <c r="HE64" i="491"/>
  <c r="HD64" i="491"/>
  <c r="HC64" i="491"/>
  <c r="HB64" i="491"/>
  <c r="HA64" i="491"/>
  <c r="GZ64" i="491"/>
  <c r="GY64" i="491"/>
  <c r="GX64" i="491"/>
  <c r="GW64" i="491"/>
  <c r="GV64" i="491"/>
  <c r="GU64" i="491"/>
  <c r="GT64" i="491"/>
  <c r="GS64" i="491"/>
  <c r="GR64" i="491"/>
  <c r="GQ64" i="491"/>
  <c r="GP64" i="491"/>
  <c r="GO64" i="491"/>
  <c r="GN64" i="491"/>
  <c r="GM64" i="491"/>
  <c r="GL64" i="491"/>
  <c r="GK64" i="491"/>
  <c r="GJ64" i="491"/>
  <c r="GI64" i="491"/>
  <c r="GH64" i="491"/>
  <c r="GG64" i="491"/>
  <c r="GF64" i="491"/>
  <c r="GE64" i="491"/>
  <c r="GD64" i="491"/>
  <c r="GC64" i="491"/>
  <c r="GB64" i="491"/>
  <c r="GA64" i="491"/>
  <c r="FZ64" i="491"/>
  <c r="FY64" i="491"/>
  <c r="FX64" i="491"/>
  <c r="FW64" i="491"/>
  <c r="FV64" i="491"/>
  <c r="FU64" i="491"/>
  <c r="FT64" i="491"/>
  <c r="FS64" i="491"/>
  <c r="FR64" i="491"/>
  <c r="FQ64" i="491"/>
  <c r="FP64" i="491"/>
  <c r="FO64" i="491"/>
  <c r="FN64" i="491"/>
  <c r="FM64" i="491"/>
  <c r="FL64" i="491"/>
  <c r="FK64" i="491"/>
  <c r="FJ64" i="491"/>
  <c r="FI64" i="491"/>
  <c r="FH64" i="491"/>
  <c r="FG64" i="491"/>
  <c r="FF64" i="491"/>
  <c r="FE64" i="491"/>
  <c r="FD64" i="491"/>
  <c r="FC64" i="491"/>
  <c r="FB64" i="491"/>
  <c r="FA64" i="491"/>
  <c r="EZ64" i="491"/>
  <c r="EY64" i="491"/>
  <c r="EX64" i="491"/>
  <c r="EW64" i="491"/>
  <c r="EV64" i="491"/>
  <c r="EU64" i="491"/>
  <c r="ET64" i="491"/>
  <c r="ES64" i="491"/>
  <c r="ER64" i="491"/>
  <c r="EQ64" i="491"/>
  <c r="EP64" i="491"/>
  <c r="EO64" i="491"/>
  <c r="EN64" i="491"/>
  <c r="EM64" i="491"/>
  <c r="EL64" i="491"/>
  <c r="EK64" i="491"/>
  <c r="EJ64" i="491"/>
  <c r="EI64" i="491"/>
  <c r="EH64" i="491"/>
  <c r="EG64" i="491"/>
  <c r="EF64" i="491"/>
  <c r="EE64" i="491"/>
  <c r="ED64" i="491"/>
  <c r="EC64" i="491"/>
  <c r="EB64" i="491"/>
  <c r="EA64" i="491"/>
  <c r="DZ64" i="491"/>
  <c r="DY64" i="491"/>
  <c r="DX64" i="491"/>
  <c r="DW64" i="491"/>
  <c r="DT64" i="491"/>
  <c r="DS64" i="491"/>
  <c r="DR64" i="491"/>
  <c r="DQ64" i="491"/>
  <c r="DP64" i="491"/>
  <c r="DO64" i="491"/>
  <c r="DN64" i="491"/>
  <c r="DM64" i="491"/>
  <c r="DL64" i="491"/>
  <c r="DK64" i="491"/>
  <c r="DJ64" i="491"/>
  <c r="DI64" i="491"/>
  <c r="DH64" i="491"/>
  <c r="DG64" i="491"/>
  <c r="DF64" i="491"/>
  <c r="DE64" i="491"/>
  <c r="DD64" i="491"/>
  <c r="DC64" i="491"/>
  <c r="DB64" i="491"/>
  <c r="DA64" i="491"/>
  <c r="CZ64" i="491"/>
  <c r="CY64" i="491"/>
  <c r="CX64" i="491"/>
  <c r="CW64" i="491"/>
  <c r="CV64" i="491"/>
  <c r="CU64" i="491"/>
  <c r="CT64" i="491"/>
  <c r="CS64" i="491"/>
  <c r="CR64" i="491"/>
  <c r="CQ64" i="491"/>
  <c r="CP64" i="491"/>
  <c r="CO64" i="491"/>
  <c r="CN64" i="491"/>
  <c r="CM64" i="491"/>
  <c r="CL64" i="491"/>
  <c r="CK64" i="491"/>
  <c r="CJ64" i="491"/>
  <c r="CI64" i="491"/>
  <c r="CH64" i="491"/>
  <c r="CG64" i="491"/>
  <c r="CF64" i="491"/>
  <c r="CE64" i="491"/>
  <c r="CD64" i="491"/>
  <c r="CC64" i="491"/>
  <c r="CB64" i="491"/>
  <c r="CA64" i="491"/>
  <c r="BZ64" i="491"/>
  <c r="BY64" i="491"/>
  <c r="BX64" i="491"/>
  <c r="BW64" i="491"/>
  <c r="BV64" i="491"/>
  <c r="BU64" i="491"/>
  <c r="BT64" i="491"/>
  <c r="BS64" i="491"/>
  <c r="BR64" i="491"/>
  <c r="BQ64" i="491"/>
  <c r="BP64" i="491"/>
  <c r="BO64" i="491"/>
  <c r="BN64" i="491"/>
  <c r="BM64" i="491"/>
  <c r="BL64" i="491"/>
  <c r="BK64" i="491"/>
  <c r="BJ64" i="491"/>
  <c r="BI64" i="491"/>
  <c r="BH64" i="491"/>
  <c r="BG64" i="491"/>
  <c r="BF64" i="491"/>
  <c r="BE64" i="491"/>
  <c r="BD64" i="491"/>
  <c r="BC64" i="491"/>
  <c r="BB64" i="491"/>
  <c r="BA64" i="491"/>
  <c r="AZ64" i="491"/>
  <c r="AY64" i="491"/>
  <c r="AX64" i="491"/>
  <c r="AW64" i="491"/>
  <c r="AV64" i="491"/>
  <c r="AU64" i="491"/>
  <c r="AT64" i="491"/>
  <c r="AS64" i="491"/>
  <c r="AR64" i="491"/>
  <c r="AQ64" i="491"/>
  <c r="AP64" i="491"/>
  <c r="AO64" i="491"/>
  <c r="AN64" i="491"/>
  <c r="AM64" i="491"/>
  <c r="AL64" i="491"/>
  <c r="AK64" i="491"/>
  <c r="AJ64" i="491"/>
  <c r="AI64" i="491"/>
  <c r="AH64" i="491"/>
  <c r="AG64" i="491"/>
  <c r="AF64" i="491"/>
  <c r="AE64" i="491"/>
  <c r="AD64" i="491"/>
  <c r="AC64" i="491"/>
  <c r="AB64" i="491"/>
  <c r="AA64" i="491"/>
  <c r="Z64" i="491"/>
  <c r="Y64" i="491"/>
  <c r="T64" i="491"/>
  <c r="U64" i="491" s="1"/>
  <c r="R64" i="491"/>
  <c r="Q64" i="491"/>
  <c r="O64" i="491"/>
  <c r="N64" i="491"/>
  <c r="M64" i="491"/>
  <c r="G64" i="491"/>
  <c r="C64" i="491"/>
  <c r="HR60" i="491"/>
  <c r="HQ60" i="491"/>
  <c r="HP60" i="491"/>
  <c r="HO60" i="491"/>
  <c r="HN60" i="491"/>
  <c r="HM60" i="491"/>
  <c r="HL60" i="491"/>
  <c r="HK60" i="491"/>
  <c r="HJ60" i="491"/>
  <c r="HI60" i="491"/>
  <c r="HH60" i="491"/>
  <c r="HG60" i="491"/>
  <c r="HF60" i="491"/>
  <c r="HE60" i="491"/>
  <c r="HD60" i="491"/>
  <c r="HC60" i="491"/>
  <c r="HB60" i="491"/>
  <c r="HA60" i="491"/>
  <c r="GZ60" i="491"/>
  <c r="GY60" i="491"/>
  <c r="GX60" i="491"/>
  <c r="GW60" i="491"/>
  <c r="GV60" i="491"/>
  <c r="GU60" i="491"/>
  <c r="GT60" i="491"/>
  <c r="GS60" i="491"/>
  <c r="GR60" i="491"/>
  <c r="GQ60" i="491"/>
  <c r="GP60" i="491"/>
  <c r="GO60" i="491"/>
  <c r="GN60" i="491"/>
  <c r="GM60" i="491"/>
  <c r="GL60" i="491"/>
  <c r="GK60" i="491"/>
  <c r="GJ60" i="491"/>
  <c r="GI60" i="491"/>
  <c r="GH60" i="491"/>
  <c r="GG60" i="491"/>
  <c r="GF60" i="491"/>
  <c r="GE60" i="491"/>
  <c r="GD60" i="491"/>
  <c r="GC60" i="491"/>
  <c r="GB60" i="491"/>
  <c r="GA60" i="491"/>
  <c r="FZ60" i="491"/>
  <c r="FY60" i="491"/>
  <c r="FX60" i="491"/>
  <c r="FW60" i="491"/>
  <c r="FV60" i="491"/>
  <c r="FU60" i="491"/>
  <c r="FT60" i="491"/>
  <c r="FS60" i="491"/>
  <c r="FR60" i="491"/>
  <c r="FQ60" i="491"/>
  <c r="FP60" i="491"/>
  <c r="FO60" i="491"/>
  <c r="FN60" i="491"/>
  <c r="FM60" i="491"/>
  <c r="FL60" i="491"/>
  <c r="FK60" i="491"/>
  <c r="FJ60" i="491"/>
  <c r="FI60" i="491"/>
  <c r="FH60" i="491"/>
  <c r="FG60" i="491"/>
  <c r="FF60" i="491"/>
  <c r="FE60" i="491"/>
  <c r="FD60" i="491"/>
  <c r="FC60" i="491"/>
  <c r="FB60" i="491"/>
  <c r="FA60" i="491"/>
  <c r="EZ60" i="491"/>
  <c r="EY60" i="491"/>
  <c r="EX60" i="491"/>
  <c r="EW60" i="491"/>
  <c r="EV60" i="491"/>
  <c r="EU60" i="491"/>
  <c r="ET60" i="491"/>
  <c r="ES60" i="491"/>
  <c r="ER60" i="491"/>
  <c r="EQ60" i="491"/>
  <c r="EP60" i="491"/>
  <c r="EO60" i="491"/>
  <c r="EN60" i="491"/>
  <c r="EM60" i="491"/>
  <c r="EL60" i="491"/>
  <c r="EK60" i="491"/>
  <c r="EJ60" i="491"/>
  <c r="EI60" i="491"/>
  <c r="EH60" i="491"/>
  <c r="EG60" i="491"/>
  <c r="EF60" i="491"/>
  <c r="EE60" i="491"/>
  <c r="ED60" i="491"/>
  <c r="EC60" i="491"/>
  <c r="EB60" i="491"/>
  <c r="EA60" i="491"/>
  <c r="DZ60" i="491"/>
  <c r="DY60" i="491"/>
  <c r="DX60" i="491"/>
  <c r="DT60" i="491"/>
  <c r="DS60" i="491"/>
  <c r="DR60" i="491"/>
  <c r="DQ60" i="491"/>
  <c r="DP60" i="491"/>
  <c r="DO60" i="491"/>
  <c r="DN60" i="491"/>
  <c r="DM60" i="491"/>
  <c r="DL60" i="491"/>
  <c r="DK60" i="491"/>
  <c r="DJ60" i="491"/>
  <c r="DI60" i="491"/>
  <c r="DH60" i="491"/>
  <c r="DG60" i="491"/>
  <c r="DF60" i="491"/>
  <c r="DE60" i="491"/>
  <c r="DD60" i="491"/>
  <c r="DC60" i="491"/>
  <c r="DB60" i="491"/>
  <c r="DA60" i="491"/>
  <c r="CZ60" i="491"/>
  <c r="CY60" i="491"/>
  <c r="CX60" i="491"/>
  <c r="CW60" i="491"/>
  <c r="CV60" i="491"/>
  <c r="CU60" i="491"/>
  <c r="CT60" i="491"/>
  <c r="CS60" i="491"/>
  <c r="CR60" i="491"/>
  <c r="CQ60" i="491"/>
  <c r="CP60" i="491"/>
  <c r="CO60" i="491"/>
  <c r="CN60" i="491"/>
  <c r="CM60" i="491"/>
  <c r="CL60" i="491"/>
  <c r="CK60" i="491"/>
  <c r="CJ60" i="491"/>
  <c r="CI60" i="491"/>
  <c r="CH60" i="491"/>
  <c r="CG60" i="491"/>
  <c r="CF60" i="491"/>
  <c r="CE60" i="491"/>
  <c r="CD60" i="491"/>
  <c r="CC60" i="491"/>
  <c r="CB60" i="491"/>
  <c r="CA60" i="491"/>
  <c r="BZ60" i="491"/>
  <c r="BY60" i="491"/>
  <c r="BX60" i="491"/>
  <c r="BW60" i="491"/>
  <c r="BV60" i="491"/>
  <c r="BU60" i="491"/>
  <c r="BT60" i="491"/>
  <c r="BS60" i="491"/>
  <c r="BR60" i="491"/>
  <c r="BQ60" i="491"/>
  <c r="BP60" i="491"/>
  <c r="BO60" i="491"/>
  <c r="BN60" i="491"/>
  <c r="BM60" i="491"/>
  <c r="BL60" i="491"/>
  <c r="BK60" i="491"/>
  <c r="BJ60" i="491"/>
  <c r="BI60" i="491"/>
  <c r="BH60" i="491"/>
  <c r="BG60" i="491"/>
  <c r="BF60" i="491"/>
  <c r="BE60" i="491"/>
  <c r="BD60" i="491"/>
  <c r="BC60" i="491"/>
  <c r="BB60" i="491"/>
  <c r="BA60" i="491"/>
  <c r="AZ60" i="491"/>
  <c r="AY60" i="491"/>
  <c r="AX60" i="491"/>
  <c r="AW60" i="491"/>
  <c r="AV60" i="491"/>
  <c r="AU60" i="491"/>
  <c r="AT60" i="491"/>
  <c r="AS60" i="491"/>
  <c r="AR60" i="491"/>
  <c r="AQ60" i="491"/>
  <c r="AP60" i="491"/>
  <c r="AO60" i="491"/>
  <c r="AN60" i="491"/>
  <c r="AM60" i="491"/>
  <c r="AL60" i="491"/>
  <c r="AK60" i="491"/>
  <c r="AJ60" i="491"/>
  <c r="AI60" i="491"/>
  <c r="AH60" i="491"/>
  <c r="AG60" i="491"/>
  <c r="AF60" i="491"/>
  <c r="AE60" i="491"/>
  <c r="AD60" i="491"/>
  <c r="AC60" i="491"/>
  <c r="AB60" i="491"/>
  <c r="AA60" i="491"/>
  <c r="Z60" i="491"/>
  <c r="Y60" i="491"/>
  <c r="T60" i="491"/>
  <c r="U60" i="491" s="1"/>
  <c r="R60" i="491"/>
  <c r="Q60" i="491"/>
  <c r="O60" i="491"/>
  <c r="DW60" i="491" s="1"/>
  <c r="N60" i="491"/>
  <c r="M60" i="491"/>
  <c r="G60" i="491"/>
  <c r="C60" i="491"/>
  <c r="HR59" i="491"/>
  <c r="HQ59" i="491"/>
  <c r="HP59" i="491"/>
  <c r="HO59" i="491"/>
  <c r="HN59" i="491"/>
  <c r="HM59" i="491"/>
  <c r="HL59" i="491"/>
  <c r="HK59" i="491"/>
  <c r="HJ59" i="491"/>
  <c r="HI59" i="491"/>
  <c r="HH59" i="491"/>
  <c r="HG59" i="491"/>
  <c r="HF59" i="491"/>
  <c r="HE59" i="491"/>
  <c r="HD59" i="491"/>
  <c r="HC59" i="491"/>
  <c r="HB59" i="491"/>
  <c r="HA59" i="491"/>
  <c r="GZ59" i="491"/>
  <c r="GY59" i="491"/>
  <c r="GX59" i="491"/>
  <c r="GW59" i="491"/>
  <c r="GV59" i="491"/>
  <c r="GU59" i="491"/>
  <c r="GT59" i="491"/>
  <c r="GS59" i="491"/>
  <c r="GR59" i="491"/>
  <c r="GQ59" i="491"/>
  <c r="GP59" i="491"/>
  <c r="GO59" i="491"/>
  <c r="GN59" i="491"/>
  <c r="GM59" i="491"/>
  <c r="GL59" i="491"/>
  <c r="GK59" i="491"/>
  <c r="GJ59" i="491"/>
  <c r="GI59" i="491"/>
  <c r="GH59" i="491"/>
  <c r="GG59" i="491"/>
  <c r="GF59" i="491"/>
  <c r="GE59" i="491"/>
  <c r="GD59" i="491"/>
  <c r="GC59" i="491"/>
  <c r="GB59" i="491"/>
  <c r="GA59" i="491"/>
  <c r="FZ59" i="491"/>
  <c r="FY59" i="491"/>
  <c r="FX59" i="491"/>
  <c r="FW59" i="491"/>
  <c r="FV59" i="491"/>
  <c r="FU59" i="491"/>
  <c r="FT59" i="491"/>
  <c r="FS59" i="491"/>
  <c r="FR59" i="491"/>
  <c r="FQ59" i="491"/>
  <c r="FP59" i="491"/>
  <c r="FO59" i="491"/>
  <c r="FN59" i="491"/>
  <c r="FM59" i="491"/>
  <c r="FL59" i="491"/>
  <c r="FK59" i="491"/>
  <c r="FJ59" i="491"/>
  <c r="FI59" i="491"/>
  <c r="FH59" i="491"/>
  <c r="FG59" i="491"/>
  <c r="FF59" i="491"/>
  <c r="FE59" i="491"/>
  <c r="FD59" i="491"/>
  <c r="FC59" i="491"/>
  <c r="FB59" i="491"/>
  <c r="FA59" i="491"/>
  <c r="EZ59" i="491"/>
  <c r="EY59" i="491"/>
  <c r="EX59" i="491"/>
  <c r="EW59" i="491"/>
  <c r="EV59" i="491"/>
  <c r="EU59" i="491"/>
  <c r="ET59" i="491"/>
  <c r="ES59" i="491"/>
  <c r="ER59" i="491"/>
  <c r="EQ59" i="491"/>
  <c r="EP59" i="491"/>
  <c r="EO59" i="491"/>
  <c r="EN59" i="491"/>
  <c r="EM59" i="491"/>
  <c r="EL59" i="491"/>
  <c r="EK59" i="491"/>
  <c r="EJ59" i="491"/>
  <c r="EI59" i="491"/>
  <c r="EH59" i="491"/>
  <c r="EG59" i="491"/>
  <c r="EF59" i="491"/>
  <c r="EE59" i="491"/>
  <c r="ED59" i="491"/>
  <c r="EC59" i="491"/>
  <c r="EB59" i="491"/>
  <c r="EA59" i="491"/>
  <c r="DZ59" i="491"/>
  <c r="DY59" i="491"/>
  <c r="DX59" i="491"/>
  <c r="DT59" i="491"/>
  <c r="DS59" i="491"/>
  <c r="DR59" i="491"/>
  <c r="DQ59" i="491"/>
  <c r="DP59" i="491"/>
  <c r="DO59" i="491"/>
  <c r="DN59" i="491"/>
  <c r="DM59" i="491"/>
  <c r="DL59" i="491"/>
  <c r="DK59" i="491"/>
  <c r="DJ59" i="491"/>
  <c r="DI59" i="491"/>
  <c r="DH59" i="491"/>
  <c r="DG59" i="491"/>
  <c r="DF59" i="491"/>
  <c r="DE59" i="491"/>
  <c r="DD59" i="491"/>
  <c r="DC59" i="491"/>
  <c r="DB59" i="491"/>
  <c r="DA59" i="491"/>
  <c r="CZ59" i="491"/>
  <c r="CY59" i="491"/>
  <c r="CX59" i="491"/>
  <c r="CW59" i="491"/>
  <c r="CV59" i="491"/>
  <c r="CU59" i="491"/>
  <c r="CT59" i="491"/>
  <c r="CS59" i="491"/>
  <c r="CR59" i="491"/>
  <c r="CQ59" i="491"/>
  <c r="CP59" i="491"/>
  <c r="CO59" i="491"/>
  <c r="CN59" i="491"/>
  <c r="CM59" i="491"/>
  <c r="CL59" i="491"/>
  <c r="CK59" i="491"/>
  <c r="CJ59" i="491"/>
  <c r="CI59" i="491"/>
  <c r="CH59" i="491"/>
  <c r="CG59" i="491"/>
  <c r="CF59" i="491"/>
  <c r="CE59" i="491"/>
  <c r="CD59" i="491"/>
  <c r="CC59" i="491"/>
  <c r="CB59" i="491"/>
  <c r="CA59" i="491"/>
  <c r="BZ59" i="491"/>
  <c r="BY59" i="491"/>
  <c r="BX59" i="491"/>
  <c r="BW59" i="491"/>
  <c r="BV59" i="491"/>
  <c r="BU59" i="491"/>
  <c r="BT59" i="491"/>
  <c r="BS59" i="491"/>
  <c r="BR59" i="491"/>
  <c r="BQ59" i="491"/>
  <c r="BP59" i="491"/>
  <c r="BO59" i="491"/>
  <c r="BN59" i="491"/>
  <c r="BM59" i="491"/>
  <c r="BL59" i="491"/>
  <c r="BK59" i="491"/>
  <c r="BJ59" i="491"/>
  <c r="BI59" i="491"/>
  <c r="BH59" i="491"/>
  <c r="BG59" i="491"/>
  <c r="BF59" i="491"/>
  <c r="BE59" i="491"/>
  <c r="BD59" i="491"/>
  <c r="BC59" i="491"/>
  <c r="BB59" i="491"/>
  <c r="BA59" i="491"/>
  <c r="AZ59" i="491"/>
  <c r="AY59" i="491"/>
  <c r="AX59" i="491"/>
  <c r="AW59" i="491"/>
  <c r="AV59" i="491"/>
  <c r="AU59" i="491"/>
  <c r="AT59" i="491"/>
  <c r="AS59" i="491"/>
  <c r="AR59" i="491"/>
  <c r="AQ59" i="491"/>
  <c r="AP59" i="491"/>
  <c r="AO59" i="491"/>
  <c r="AN59" i="491"/>
  <c r="AM59" i="491"/>
  <c r="AL59" i="491"/>
  <c r="AK59" i="491"/>
  <c r="AJ59" i="491"/>
  <c r="AI59" i="491"/>
  <c r="AH59" i="491"/>
  <c r="AG59" i="491"/>
  <c r="AF59" i="491"/>
  <c r="AE59" i="491"/>
  <c r="AD59" i="491"/>
  <c r="AC59" i="491"/>
  <c r="AB59" i="491"/>
  <c r="AA59" i="491"/>
  <c r="Z59" i="491"/>
  <c r="T59" i="491"/>
  <c r="U59" i="491" s="1"/>
  <c r="Y59" i="491" s="1"/>
  <c r="R59" i="491"/>
  <c r="Q59" i="491"/>
  <c r="O59" i="491"/>
  <c r="DW59" i="491" s="1"/>
  <c r="N59" i="491"/>
  <c r="M59" i="491"/>
  <c r="G59" i="491"/>
  <c r="C59" i="491"/>
  <c r="HR58" i="491"/>
  <c r="HQ58" i="491"/>
  <c r="HP58" i="491"/>
  <c r="HO58" i="491"/>
  <c r="HN58" i="491"/>
  <c r="HM58" i="491"/>
  <c r="HL58" i="491"/>
  <c r="HK58" i="491"/>
  <c r="HJ58" i="491"/>
  <c r="HI58" i="491"/>
  <c r="HH58" i="491"/>
  <c r="HG58" i="491"/>
  <c r="HF58" i="491"/>
  <c r="HE58" i="491"/>
  <c r="HD58" i="491"/>
  <c r="HC58" i="491"/>
  <c r="HB58" i="491"/>
  <c r="HA58" i="491"/>
  <c r="GZ58" i="491"/>
  <c r="GY58" i="491"/>
  <c r="GX58" i="491"/>
  <c r="GW58" i="491"/>
  <c r="GV58" i="491"/>
  <c r="GU58" i="491"/>
  <c r="GT58" i="491"/>
  <c r="GS58" i="491"/>
  <c r="GR58" i="491"/>
  <c r="GQ58" i="491"/>
  <c r="GP58" i="491"/>
  <c r="GO58" i="491"/>
  <c r="GN58" i="491"/>
  <c r="GM58" i="491"/>
  <c r="GL58" i="491"/>
  <c r="GK58" i="491"/>
  <c r="GJ58" i="491"/>
  <c r="GI58" i="491"/>
  <c r="GH58" i="491"/>
  <c r="GG58" i="491"/>
  <c r="GF58" i="491"/>
  <c r="GD58" i="491"/>
  <c r="GC58" i="491"/>
  <c r="GB58" i="491"/>
  <c r="GA58" i="491"/>
  <c r="FZ58" i="491"/>
  <c r="FY58" i="491"/>
  <c r="FX58" i="491"/>
  <c r="FW58" i="491"/>
  <c r="FV58" i="491"/>
  <c r="FU58" i="491"/>
  <c r="FT58" i="491"/>
  <c r="FS58" i="491"/>
  <c r="FR58" i="491"/>
  <c r="FQ58" i="491"/>
  <c r="FP58" i="491"/>
  <c r="FO58" i="491"/>
  <c r="FN58" i="491"/>
  <c r="FM58" i="491"/>
  <c r="FL58" i="491"/>
  <c r="FK58" i="491"/>
  <c r="FJ58" i="491"/>
  <c r="FI58" i="491"/>
  <c r="FH58" i="491"/>
  <c r="FG58" i="491"/>
  <c r="FF58" i="491"/>
  <c r="FE58" i="491"/>
  <c r="FD58" i="491"/>
  <c r="FC58" i="491"/>
  <c r="FB58" i="491"/>
  <c r="FA58" i="491"/>
  <c r="EZ58" i="491"/>
  <c r="EY58" i="491"/>
  <c r="EX58" i="491"/>
  <c r="EW58" i="491"/>
  <c r="EV58" i="491"/>
  <c r="EU58" i="491"/>
  <c r="ET58" i="491"/>
  <c r="ES58" i="491"/>
  <c r="ER58" i="491"/>
  <c r="EQ58" i="491"/>
  <c r="EP58" i="491"/>
  <c r="EO58" i="491"/>
  <c r="EN58" i="491"/>
  <c r="EM58" i="491"/>
  <c r="EL58" i="491"/>
  <c r="EK58" i="491"/>
  <c r="EJ58" i="491"/>
  <c r="EI58" i="491"/>
  <c r="EH58" i="491"/>
  <c r="EG58" i="491"/>
  <c r="EF58" i="491"/>
  <c r="EE58" i="491"/>
  <c r="ED58" i="491"/>
  <c r="EC58" i="491"/>
  <c r="EB58" i="491"/>
  <c r="EA58" i="491"/>
  <c r="DZ58" i="491"/>
  <c r="DY58" i="491"/>
  <c r="DX58" i="491"/>
  <c r="DT58" i="491"/>
  <c r="DS58" i="491"/>
  <c r="DR58" i="491"/>
  <c r="DQ58" i="491"/>
  <c r="DP58" i="491"/>
  <c r="DO58" i="491"/>
  <c r="DN58" i="491"/>
  <c r="DM58" i="491"/>
  <c r="DL58" i="491"/>
  <c r="DK58" i="491"/>
  <c r="DJ58" i="491"/>
  <c r="DI58" i="491"/>
  <c r="DH58" i="491"/>
  <c r="DG58" i="491"/>
  <c r="DF58" i="491"/>
  <c r="DE58" i="491"/>
  <c r="DD58" i="491"/>
  <c r="DC58" i="491"/>
  <c r="DB58" i="491"/>
  <c r="DA58" i="491"/>
  <c r="CZ58" i="491"/>
  <c r="CY58" i="491"/>
  <c r="CX58" i="491"/>
  <c r="CW58" i="491"/>
  <c r="CV58" i="491"/>
  <c r="CU58" i="491"/>
  <c r="CT58" i="491"/>
  <c r="CS58" i="491"/>
  <c r="CR58" i="491"/>
  <c r="CQ58" i="491"/>
  <c r="CP58" i="491"/>
  <c r="CO58" i="491"/>
  <c r="CN58" i="491"/>
  <c r="CM58" i="491"/>
  <c r="CL58" i="491"/>
  <c r="CK58" i="491"/>
  <c r="CJ58" i="491"/>
  <c r="CI58" i="491"/>
  <c r="CH58" i="491"/>
  <c r="CF58" i="491"/>
  <c r="CE58" i="491"/>
  <c r="CD58" i="491"/>
  <c r="CC58" i="491"/>
  <c r="CB58" i="491"/>
  <c r="CA58" i="491"/>
  <c r="BZ58" i="491"/>
  <c r="BY58" i="491"/>
  <c r="BX58" i="491"/>
  <c r="BW58" i="491"/>
  <c r="BV58" i="491"/>
  <c r="BU58" i="491"/>
  <c r="BT58" i="491"/>
  <c r="BS58" i="491"/>
  <c r="BR58" i="491"/>
  <c r="BQ58" i="491"/>
  <c r="BP58" i="491"/>
  <c r="BO58" i="491"/>
  <c r="BN58" i="491"/>
  <c r="BM58" i="491"/>
  <c r="BL58" i="491"/>
  <c r="BK58" i="491"/>
  <c r="BJ58" i="491"/>
  <c r="BI58" i="491"/>
  <c r="BH58" i="491"/>
  <c r="BG58" i="491"/>
  <c r="BF58" i="491"/>
  <c r="BE58" i="491"/>
  <c r="BD58" i="491"/>
  <c r="BC58" i="491"/>
  <c r="BB58" i="491"/>
  <c r="BA58" i="491"/>
  <c r="AZ58" i="491"/>
  <c r="AY58" i="491"/>
  <c r="AX58" i="491"/>
  <c r="AW58" i="491"/>
  <c r="AV58" i="491"/>
  <c r="AU58" i="491"/>
  <c r="AT58" i="491"/>
  <c r="AS58" i="491"/>
  <c r="AR58" i="491"/>
  <c r="AQ58" i="491"/>
  <c r="AP58" i="491"/>
  <c r="AO58" i="491"/>
  <c r="AN58" i="491"/>
  <c r="AM58" i="491"/>
  <c r="AL58" i="491"/>
  <c r="AK58" i="491"/>
  <c r="AJ58" i="491"/>
  <c r="AI58" i="491"/>
  <c r="AH58" i="491"/>
  <c r="AG58" i="491"/>
  <c r="AF58" i="491"/>
  <c r="AE58" i="491"/>
  <c r="AD58" i="491"/>
  <c r="AC58" i="491"/>
  <c r="AB58" i="491"/>
  <c r="AA58" i="491"/>
  <c r="Z58" i="491"/>
  <c r="T58" i="491"/>
  <c r="U58" i="491" s="1"/>
  <c r="CG58" i="491" s="1"/>
  <c r="N58" i="491"/>
  <c r="M58" i="491"/>
  <c r="G58" i="491"/>
  <c r="C58" i="491"/>
  <c r="HR57" i="491"/>
  <c r="HQ57" i="491"/>
  <c r="HP57" i="491"/>
  <c r="HO57" i="491"/>
  <c r="HN57" i="491"/>
  <c r="HM57" i="491"/>
  <c r="HL57" i="491"/>
  <c r="HK57" i="491"/>
  <c r="HJ57" i="491"/>
  <c r="HI57" i="491"/>
  <c r="HH57" i="491"/>
  <c r="HG57" i="491"/>
  <c r="HF57" i="491"/>
  <c r="HE57" i="491"/>
  <c r="HD57" i="491"/>
  <c r="HC57" i="491"/>
  <c r="HB57" i="491"/>
  <c r="HA57" i="491"/>
  <c r="GZ57" i="491"/>
  <c r="GY57" i="491"/>
  <c r="GX57" i="491"/>
  <c r="GW57" i="491"/>
  <c r="GV57" i="491"/>
  <c r="GU57" i="491"/>
  <c r="GT57" i="491"/>
  <c r="GS57" i="491"/>
  <c r="GR57" i="491"/>
  <c r="GQ57" i="491"/>
  <c r="GP57" i="491"/>
  <c r="GO57" i="491"/>
  <c r="GN57" i="491"/>
  <c r="GM57" i="491"/>
  <c r="GL57" i="491"/>
  <c r="GK57" i="491"/>
  <c r="GJ57" i="491"/>
  <c r="GI57" i="491"/>
  <c r="GH57" i="491"/>
  <c r="GG57" i="491"/>
  <c r="GF57" i="491"/>
  <c r="GE57" i="491"/>
  <c r="GD57" i="491"/>
  <c r="GC57" i="491"/>
  <c r="GB57" i="491"/>
  <c r="GA57" i="491"/>
  <c r="FZ57" i="491"/>
  <c r="FY57" i="491"/>
  <c r="FX57" i="491"/>
  <c r="FW57" i="491"/>
  <c r="FV57" i="491"/>
  <c r="FU57" i="491"/>
  <c r="FT57" i="491"/>
  <c r="FS57" i="491"/>
  <c r="FR57" i="491"/>
  <c r="FQ57" i="491"/>
  <c r="FP57" i="491"/>
  <c r="FO57" i="491"/>
  <c r="FN57" i="491"/>
  <c r="FM57" i="491"/>
  <c r="FL57" i="491"/>
  <c r="FK57" i="491"/>
  <c r="FJ57" i="491"/>
  <c r="FI57" i="491"/>
  <c r="FH57" i="491"/>
  <c r="FG57" i="491"/>
  <c r="FF57" i="491"/>
  <c r="FE57" i="491"/>
  <c r="FD57" i="491"/>
  <c r="FC57" i="491"/>
  <c r="FB57" i="491"/>
  <c r="FA57" i="491"/>
  <c r="EZ57" i="491"/>
  <c r="EY57" i="491"/>
  <c r="EX57" i="491"/>
  <c r="EW57" i="491"/>
  <c r="EV57" i="491"/>
  <c r="EU57" i="491"/>
  <c r="ET57" i="491"/>
  <c r="ES57" i="491"/>
  <c r="ER57" i="491"/>
  <c r="EQ57" i="491"/>
  <c r="EP57" i="491"/>
  <c r="EO57" i="491"/>
  <c r="EN57" i="491"/>
  <c r="EM57" i="491"/>
  <c r="EL57" i="491"/>
  <c r="EK57" i="491"/>
  <c r="EJ57" i="491"/>
  <c r="EI57" i="491"/>
  <c r="EH57" i="491"/>
  <c r="EG57" i="491"/>
  <c r="EF57" i="491"/>
  <c r="EE57" i="491"/>
  <c r="ED57" i="491"/>
  <c r="EC57" i="491"/>
  <c r="EB57" i="491"/>
  <c r="EA57" i="491"/>
  <c r="DZ57" i="491"/>
  <c r="DY57" i="491"/>
  <c r="DX57" i="491"/>
  <c r="DW57" i="491"/>
  <c r="DT57" i="491"/>
  <c r="DS57" i="491"/>
  <c r="DR57" i="491"/>
  <c r="DQ57" i="491"/>
  <c r="DP57" i="491"/>
  <c r="DO57" i="491"/>
  <c r="DN57" i="491"/>
  <c r="DM57" i="491"/>
  <c r="DL57" i="491"/>
  <c r="DK57" i="491"/>
  <c r="DJ57" i="491"/>
  <c r="DI57" i="491"/>
  <c r="DH57" i="491"/>
  <c r="DG57" i="491"/>
  <c r="DF57" i="491"/>
  <c r="DE57" i="491"/>
  <c r="DD57" i="491"/>
  <c r="DC57" i="491"/>
  <c r="DB57" i="491"/>
  <c r="DA57" i="491"/>
  <c r="CZ57" i="491"/>
  <c r="CY57" i="491"/>
  <c r="CX57" i="491"/>
  <c r="CW57" i="491"/>
  <c r="CV57" i="491"/>
  <c r="CU57" i="491"/>
  <c r="CT57" i="491"/>
  <c r="CS57" i="491"/>
  <c r="CR57" i="491"/>
  <c r="CQ57" i="491"/>
  <c r="CP57" i="491"/>
  <c r="CO57" i="491"/>
  <c r="CN57" i="491"/>
  <c r="CM57" i="491"/>
  <c r="CL57" i="491"/>
  <c r="CK57" i="491"/>
  <c r="CJ57" i="491"/>
  <c r="CI57" i="491"/>
  <c r="CH57" i="491"/>
  <c r="CG57" i="491"/>
  <c r="CF57" i="491"/>
  <c r="CE57" i="491"/>
  <c r="CD57" i="491"/>
  <c r="CC57" i="491"/>
  <c r="CB57" i="491"/>
  <c r="CA57" i="491"/>
  <c r="BZ57" i="491"/>
  <c r="BY57" i="491"/>
  <c r="BX57" i="491"/>
  <c r="BW57" i="491"/>
  <c r="BV57" i="491"/>
  <c r="BU57" i="491"/>
  <c r="BT57" i="491"/>
  <c r="BS57" i="491"/>
  <c r="BR57" i="491"/>
  <c r="BQ57" i="491"/>
  <c r="BP57" i="491"/>
  <c r="BO57" i="491"/>
  <c r="BN57" i="491"/>
  <c r="BM57" i="491"/>
  <c r="BL57" i="491"/>
  <c r="BK57" i="491"/>
  <c r="BJ57" i="491"/>
  <c r="BI57" i="491"/>
  <c r="BH57" i="491"/>
  <c r="BG57" i="491"/>
  <c r="BF57" i="491"/>
  <c r="BE57" i="491"/>
  <c r="BD57" i="491"/>
  <c r="BC57" i="491"/>
  <c r="BB57" i="491"/>
  <c r="BA57" i="491"/>
  <c r="AZ57" i="491"/>
  <c r="AY57" i="491"/>
  <c r="AX57" i="491"/>
  <c r="AW57" i="491"/>
  <c r="AV57" i="491"/>
  <c r="AU57" i="491"/>
  <c r="AT57" i="491"/>
  <c r="AS57" i="491"/>
  <c r="AR57" i="491"/>
  <c r="AQ57" i="491"/>
  <c r="AP57" i="491"/>
  <c r="AO57" i="491"/>
  <c r="AN57" i="491"/>
  <c r="AM57" i="491"/>
  <c r="AL57" i="491"/>
  <c r="AK57" i="491"/>
  <c r="AJ57" i="491"/>
  <c r="AI57" i="491"/>
  <c r="AH57" i="491"/>
  <c r="AG57" i="491"/>
  <c r="AF57" i="491"/>
  <c r="AE57" i="491"/>
  <c r="AD57" i="491"/>
  <c r="AC57" i="491"/>
  <c r="AB57" i="491"/>
  <c r="AA57" i="491"/>
  <c r="Z57" i="491"/>
  <c r="Y57" i="491"/>
  <c r="T57" i="491"/>
  <c r="U57" i="491" s="1"/>
  <c r="R57" i="491"/>
  <c r="Q57" i="491"/>
  <c r="O57" i="491"/>
  <c r="N57" i="491"/>
  <c r="M57" i="491"/>
  <c r="G57" i="491"/>
  <c r="C57" i="491"/>
  <c r="HR56" i="491"/>
  <c r="HQ56" i="491"/>
  <c r="HP56" i="491"/>
  <c r="HO56" i="491"/>
  <c r="HN56" i="491"/>
  <c r="HM56" i="491"/>
  <c r="HL56" i="491"/>
  <c r="HK56" i="491"/>
  <c r="HJ56" i="491"/>
  <c r="HI56" i="491"/>
  <c r="HH56" i="491"/>
  <c r="HG56" i="491"/>
  <c r="HF56" i="491"/>
  <c r="HE56" i="491"/>
  <c r="HD56" i="491"/>
  <c r="HC56" i="491"/>
  <c r="HB56" i="491"/>
  <c r="HA56" i="491"/>
  <c r="GZ56" i="491"/>
  <c r="GY56" i="491"/>
  <c r="GX56" i="491"/>
  <c r="GW56" i="491"/>
  <c r="GV56" i="491"/>
  <c r="GU56" i="491"/>
  <c r="GT56" i="491"/>
  <c r="GS56" i="491"/>
  <c r="GR56" i="491"/>
  <c r="GQ56" i="491"/>
  <c r="GP56" i="491"/>
  <c r="GO56" i="491"/>
  <c r="GN56" i="491"/>
  <c r="GM56" i="491"/>
  <c r="GL56" i="491"/>
  <c r="GK56" i="491"/>
  <c r="GJ56" i="491"/>
  <c r="GI56" i="491"/>
  <c r="GH56" i="491"/>
  <c r="GG56" i="491"/>
  <c r="GF56" i="491"/>
  <c r="GE56" i="491"/>
  <c r="GC56" i="491"/>
  <c r="GB56" i="491"/>
  <c r="GA56" i="491"/>
  <c r="FZ56" i="491"/>
  <c r="FY56" i="491"/>
  <c r="FX56" i="491"/>
  <c r="FW56" i="491"/>
  <c r="FV56" i="491"/>
  <c r="FU56" i="491"/>
  <c r="FT56" i="491"/>
  <c r="FS56" i="491"/>
  <c r="FR56" i="491"/>
  <c r="FQ56" i="491"/>
  <c r="FP56" i="491"/>
  <c r="FO56" i="491"/>
  <c r="FN56" i="491"/>
  <c r="FM56" i="491"/>
  <c r="FL56" i="491"/>
  <c r="FK56" i="491"/>
  <c r="FJ56" i="491"/>
  <c r="FI56" i="491"/>
  <c r="FH56" i="491"/>
  <c r="FG56" i="491"/>
  <c r="FF56" i="491"/>
  <c r="FE56" i="491"/>
  <c r="FD56" i="491"/>
  <c r="FC56" i="491"/>
  <c r="FB56" i="491"/>
  <c r="FA56" i="491"/>
  <c r="EZ56" i="491"/>
  <c r="EY56" i="491"/>
  <c r="EX56" i="491"/>
  <c r="EW56" i="491"/>
  <c r="EV56" i="491"/>
  <c r="EU56" i="491"/>
  <c r="ET56" i="491"/>
  <c r="ES56" i="491"/>
  <c r="ER56" i="491"/>
  <c r="EQ56" i="491"/>
  <c r="EP56" i="491"/>
  <c r="EO56" i="491"/>
  <c r="EN56" i="491"/>
  <c r="EM56" i="491"/>
  <c r="EL56" i="491"/>
  <c r="EK56" i="491"/>
  <c r="EJ56" i="491"/>
  <c r="EI56" i="491"/>
  <c r="EH56" i="491"/>
  <c r="EG56" i="491"/>
  <c r="EF56" i="491"/>
  <c r="EE56" i="491"/>
  <c r="ED56" i="491"/>
  <c r="EC56" i="491"/>
  <c r="EB56" i="491"/>
  <c r="EA56" i="491"/>
  <c r="DZ56" i="491"/>
  <c r="DY56" i="491"/>
  <c r="DX56" i="491"/>
  <c r="DW56" i="491"/>
  <c r="DT56" i="491"/>
  <c r="DS56" i="491"/>
  <c r="DR56" i="491"/>
  <c r="DQ56" i="491"/>
  <c r="DP56" i="491"/>
  <c r="DO56" i="491"/>
  <c r="DN56" i="491"/>
  <c r="DM56" i="491"/>
  <c r="DL56" i="491"/>
  <c r="DK56" i="491"/>
  <c r="DJ56" i="491"/>
  <c r="DI56" i="491"/>
  <c r="DH56" i="491"/>
  <c r="DG56" i="491"/>
  <c r="DF56" i="491"/>
  <c r="DE56" i="491"/>
  <c r="DD56" i="491"/>
  <c r="DC56" i="491"/>
  <c r="DB56" i="491"/>
  <c r="DA56" i="491"/>
  <c r="CZ56" i="491"/>
  <c r="CY56" i="491"/>
  <c r="CX56" i="491"/>
  <c r="CW56" i="491"/>
  <c r="CV56" i="491"/>
  <c r="CU56" i="491"/>
  <c r="CT56" i="491"/>
  <c r="CS56" i="491"/>
  <c r="CR56" i="491"/>
  <c r="CQ56" i="491"/>
  <c r="CP56" i="491"/>
  <c r="CO56" i="491"/>
  <c r="CN56" i="491"/>
  <c r="CM56" i="491"/>
  <c r="CL56" i="491"/>
  <c r="CK56" i="491"/>
  <c r="CJ56" i="491"/>
  <c r="CI56" i="491"/>
  <c r="CH56" i="491"/>
  <c r="CG56" i="491"/>
  <c r="CE56" i="491"/>
  <c r="CD56" i="491"/>
  <c r="CC56" i="491"/>
  <c r="CB56" i="491"/>
  <c r="CA56" i="491"/>
  <c r="BZ56" i="491"/>
  <c r="BY56" i="491"/>
  <c r="BX56" i="491"/>
  <c r="BW56" i="491"/>
  <c r="BV56" i="491"/>
  <c r="BU56" i="491"/>
  <c r="BT56" i="491"/>
  <c r="BS56" i="491"/>
  <c r="BR56" i="491"/>
  <c r="BQ56" i="491"/>
  <c r="BP56" i="491"/>
  <c r="BO56" i="491"/>
  <c r="BN56" i="491"/>
  <c r="BM56" i="491"/>
  <c r="BL56" i="491"/>
  <c r="BK56" i="491"/>
  <c r="BJ56" i="491"/>
  <c r="BI56" i="491"/>
  <c r="BH56" i="491"/>
  <c r="BG56" i="491"/>
  <c r="BF56" i="491"/>
  <c r="BE56" i="491"/>
  <c r="BD56" i="491"/>
  <c r="BC56" i="491"/>
  <c r="BB56" i="491"/>
  <c r="BA56" i="491"/>
  <c r="AZ56" i="491"/>
  <c r="AY56" i="491"/>
  <c r="AX56" i="491"/>
  <c r="AW56" i="491"/>
  <c r="AV56" i="491"/>
  <c r="AU56" i="491"/>
  <c r="AT56" i="491"/>
  <c r="AS56" i="491"/>
  <c r="AR56" i="491"/>
  <c r="AQ56" i="491"/>
  <c r="AP56" i="491"/>
  <c r="AO56" i="491"/>
  <c r="AN56" i="491"/>
  <c r="AM56" i="491"/>
  <c r="AL56" i="491"/>
  <c r="AK56" i="491"/>
  <c r="AJ56" i="491"/>
  <c r="AI56" i="491"/>
  <c r="AH56" i="491"/>
  <c r="AG56" i="491"/>
  <c r="AF56" i="491"/>
  <c r="AE56" i="491"/>
  <c r="AD56" i="491"/>
  <c r="AC56" i="491"/>
  <c r="AB56" i="491"/>
  <c r="AA56" i="491"/>
  <c r="Z56" i="491"/>
  <c r="Y56" i="491"/>
  <c r="T56" i="491"/>
  <c r="U56" i="491" s="1"/>
  <c r="CF56" i="491" s="1"/>
  <c r="R56" i="491"/>
  <c r="N56" i="491"/>
  <c r="G56" i="491"/>
  <c r="C56" i="491"/>
  <c r="HR55" i="491"/>
  <c r="HQ55" i="491"/>
  <c r="HP55" i="491"/>
  <c r="HO55" i="491"/>
  <c r="HN55" i="491"/>
  <c r="HM55" i="491"/>
  <c r="HL55" i="491"/>
  <c r="HK55" i="491"/>
  <c r="HJ55" i="491"/>
  <c r="HI55" i="491"/>
  <c r="HH55" i="491"/>
  <c r="HG55" i="491"/>
  <c r="HF55" i="491"/>
  <c r="HE55" i="491"/>
  <c r="HD55" i="491"/>
  <c r="HC55" i="491"/>
  <c r="HB55" i="491"/>
  <c r="HA55" i="491"/>
  <c r="GZ55" i="491"/>
  <c r="GY55" i="491"/>
  <c r="GX55" i="491"/>
  <c r="GW55" i="491"/>
  <c r="GV55" i="491"/>
  <c r="GU55" i="491"/>
  <c r="GT55" i="491"/>
  <c r="GS55" i="491"/>
  <c r="GR55" i="491"/>
  <c r="GQ55" i="491"/>
  <c r="GP55" i="491"/>
  <c r="GO55" i="491"/>
  <c r="GN55" i="491"/>
  <c r="GM55" i="491"/>
  <c r="GL55" i="491"/>
  <c r="GK55" i="491"/>
  <c r="GJ55" i="491"/>
  <c r="GI55" i="491"/>
  <c r="GH55" i="491"/>
  <c r="GG55" i="491"/>
  <c r="GF55" i="491"/>
  <c r="GE55" i="491"/>
  <c r="GC55" i="491"/>
  <c r="GB55" i="491"/>
  <c r="GA55" i="491"/>
  <c r="FZ55" i="491"/>
  <c r="FY55" i="491"/>
  <c r="FX55" i="491"/>
  <c r="FW55" i="491"/>
  <c r="FV55" i="491"/>
  <c r="FU55" i="491"/>
  <c r="FT55" i="491"/>
  <c r="FS55" i="491"/>
  <c r="FR55" i="491"/>
  <c r="FQ55" i="491"/>
  <c r="FP55" i="491"/>
  <c r="FO55" i="491"/>
  <c r="FN55" i="491"/>
  <c r="FM55" i="491"/>
  <c r="FL55" i="491"/>
  <c r="FK55" i="491"/>
  <c r="FJ55" i="491"/>
  <c r="FI55" i="491"/>
  <c r="FH55" i="491"/>
  <c r="FG55" i="491"/>
  <c r="FF55" i="491"/>
  <c r="FE55" i="491"/>
  <c r="FD55" i="491"/>
  <c r="FC55" i="491"/>
  <c r="FB55" i="491"/>
  <c r="FA55" i="491"/>
  <c r="EZ55" i="491"/>
  <c r="EY55" i="491"/>
  <c r="EX55" i="491"/>
  <c r="EW55" i="491"/>
  <c r="EV55" i="491"/>
  <c r="EU55" i="491"/>
  <c r="ET55" i="491"/>
  <c r="ES55" i="491"/>
  <c r="ER55" i="491"/>
  <c r="EQ55" i="491"/>
  <c r="EP55" i="491"/>
  <c r="EO55" i="491"/>
  <c r="EN55" i="491"/>
  <c r="EM55" i="491"/>
  <c r="EL55" i="491"/>
  <c r="EK55" i="491"/>
  <c r="EJ55" i="491"/>
  <c r="EI55" i="491"/>
  <c r="EH55" i="491"/>
  <c r="EG55" i="491"/>
  <c r="EF55" i="491"/>
  <c r="EE55" i="491"/>
  <c r="ED55" i="491"/>
  <c r="EC55" i="491"/>
  <c r="EB55" i="491"/>
  <c r="EA55" i="491"/>
  <c r="DZ55" i="491"/>
  <c r="DY55" i="491"/>
  <c r="DX55" i="491"/>
  <c r="DW55" i="491"/>
  <c r="DT55" i="491"/>
  <c r="DS55" i="491"/>
  <c r="DR55" i="491"/>
  <c r="DQ55" i="491"/>
  <c r="DP55" i="491"/>
  <c r="DO55" i="491"/>
  <c r="DN55" i="491"/>
  <c r="DM55" i="491"/>
  <c r="DL55" i="491"/>
  <c r="DK55" i="491"/>
  <c r="DJ55" i="491"/>
  <c r="DI55" i="491"/>
  <c r="DH55" i="491"/>
  <c r="DG55" i="491"/>
  <c r="DF55" i="491"/>
  <c r="DE55" i="491"/>
  <c r="DD55" i="491"/>
  <c r="DC55" i="491"/>
  <c r="DB55" i="491"/>
  <c r="DA55" i="491"/>
  <c r="CZ55" i="491"/>
  <c r="CY55" i="491"/>
  <c r="CX55" i="491"/>
  <c r="CW55" i="491"/>
  <c r="CV55" i="491"/>
  <c r="CU55" i="491"/>
  <c r="CT55" i="491"/>
  <c r="CS55" i="491"/>
  <c r="CR55" i="491"/>
  <c r="CQ55" i="491"/>
  <c r="CP55" i="491"/>
  <c r="CO55" i="491"/>
  <c r="CN55" i="491"/>
  <c r="CM55" i="491"/>
  <c r="CL55" i="491"/>
  <c r="CK55" i="491"/>
  <c r="CJ55" i="491"/>
  <c r="CI55" i="491"/>
  <c r="CH55" i="491"/>
  <c r="CG55" i="491"/>
  <c r="CE55" i="491"/>
  <c r="CD55" i="491"/>
  <c r="CC55" i="491"/>
  <c r="CB55" i="491"/>
  <c r="CA55" i="491"/>
  <c r="BZ55" i="491"/>
  <c r="BY55" i="491"/>
  <c r="BX55" i="491"/>
  <c r="BW55" i="491"/>
  <c r="BV55" i="491"/>
  <c r="BU55" i="491"/>
  <c r="BT55" i="491"/>
  <c r="BS55" i="491"/>
  <c r="BR55" i="491"/>
  <c r="BQ55" i="491"/>
  <c r="BP55" i="491"/>
  <c r="BO55" i="491"/>
  <c r="BN55" i="491"/>
  <c r="BM55" i="491"/>
  <c r="BL55" i="491"/>
  <c r="BK55" i="491"/>
  <c r="BJ55" i="491"/>
  <c r="BI55" i="491"/>
  <c r="BH55" i="491"/>
  <c r="BG55" i="491"/>
  <c r="BF55" i="491"/>
  <c r="BE55" i="491"/>
  <c r="BD55" i="491"/>
  <c r="BC55" i="491"/>
  <c r="BB55" i="491"/>
  <c r="BA55" i="491"/>
  <c r="AZ55" i="491"/>
  <c r="AY55" i="491"/>
  <c r="AX55" i="491"/>
  <c r="AW55" i="491"/>
  <c r="AV55" i="491"/>
  <c r="AU55" i="491"/>
  <c r="AT55" i="491"/>
  <c r="AS55" i="491"/>
  <c r="AR55" i="491"/>
  <c r="AQ55" i="491"/>
  <c r="AP55" i="491"/>
  <c r="AO55" i="491"/>
  <c r="AN55" i="491"/>
  <c r="AM55" i="491"/>
  <c r="AL55" i="491"/>
  <c r="AK55" i="491"/>
  <c r="AJ55" i="491"/>
  <c r="AI55" i="491"/>
  <c r="AH55" i="491"/>
  <c r="AG55" i="491"/>
  <c r="AF55" i="491"/>
  <c r="AE55" i="491"/>
  <c r="AD55" i="491"/>
  <c r="AC55" i="491"/>
  <c r="AB55" i="491"/>
  <c r="AA55" i="491"/>
  <c r="Z55" i="491"/>
  <c r="Y55" i="491"/>
  <c r="T55" i="491"/>
  <c r="U55" i="491" s="1"/>
  <c r="CF55" i="491" s="1"/>
  <c r="Q55" i="491"/>
  <c r="O55" i="491"/>
  <c r="GD55" i="491" s="1"/>
  <c r="N55" i="491"/>
  <c r="M55" i="491"/>
  <c r="G55" i="491"/>
  <c r="C55" i="491"/>
  <c r="HR54" i="491"/>
  <c r="HQ54" i="491"/>
  <c r="HP54" i="491"/>
  <c r="HO54" i="491"/>
  <c r="HN54" i="491"/>
  <c r="HM54" i="491"/>
  <c r="HL54" i="491"/>
  <c r="HK54" i="491"/>
  <c r="HJ54" i="491"/>
  <c r="HI54" i="491"/>
  <c r="HH54" i="491"/>
  <c r="HG54" i="491"/>
  <c r="HF54" i="491"/>
  <c r="HE54" i="491"/>
  <c r="HD54" i="491"/>
  <c r="HC54" i="491"/>
  <c r="HB54" i="491"/>
  <c r="HA54" i="491"/>
  <c r="GZ54" i="491"/>
  <c r="GY54" i="491"/>
  <c r="GX54" i="491"/>
  <c r="GW54" i="491"/>
  <c r="GV54" i="491"/>
  <c r="GU54" i="491"/>
  <c r="GT54" i="491"/>
  <c r="GS54" i="491"/>
  <c r="GR54" i="491"/>
  <c r="GQ54" i="491"/>
  <c r="GP54" i="491"/>
  <c r="GO54" i="491"/>
  <c r="GN54" i="491"/>
  <c r="GM54" i="491"/>
  <c r="GL54" i="491"/>
  <c r="GK54" i="491"/>
  <c r="GJ54" i="491"/>
  <c r="GI54" i="491"/>
  <c r="GH54" i="491"/>
  <c r="GG54" i="491"/>
  <c r="GF54" i="491"/>
  <c r="GE54" i="491"/>
  <c r="GD54" i="491"/>
  <c r="GC54" i="491"/>
  <c r="GB54" i="491"/>
  <c r="GA54" i="491"/>
  <c r="FZ54" i="491"/>
  <c r="FY54" i="491"/>
  <c r="FX54" i="491"/>
  <c r="FW54" i="491"/>
  <c r="FV54" i="491"/>
  <c r="FU54" i="491"/>
  <c r="FT54" i="491"/>
  <c r="FS54" i="491"/>
  <c r="FR54" i="491"/>
  <c r="FQ54" i="491"/>
  <c r="FP54" i="491"/>
  <c r="FO54" i="491"/>
  <c r="FN54" i="491"/>
  <c r="FM54" i="491"/>
  <c r="FL54" i="491"/>
  <c r="FK54" i="491"/>
  <c r="FJ54" i="491"/>
  <c r="FI54" i="491"/>
  <c r="FH54" i="491"/>
  <c r="FG54" i="491"/>
  <c r="FF54" i="491"/>
  <c r="FE54" i="491"/>
  <c r="FD54" i="491"/>
  <c r="FC54" i="491"/>
  <c r="FB54" i="491"/>
  <c r="FA54" i="491"/>
  <c r="EZ54" i="491"/>
  <c r="EY54" i="491"/>
  <c r="EX54" i="491"/>
  <c r="EW54" i="491"/>
  <c r="EV54" i="491"/>
  <c r="EU54" i="491"/>
  <c r="ET54" i="491"/>
  <c r="ES54" i="491"/>
  <c r="ER54" i="491"/>
  <c r="EQ54" i="491"/>
  <c r="EP54" i="491"/>
  <c r="EO54" i="491"/>
  <c r="EN54" i="491"/>
  <c r="EM54" i="491"/>
  <c r="EL54" i="491"/>
  <c r="EK54" i="491"/>
  <c r="EJ54" i="491"/>
  <c r="EI54" i="491"/>
  <c r="EH54" i="491"/>
  <c r="EG54" i="491"/>
  <c r="EF54" i="491"/>
  <c r="EE54" i="491"/>
  <c r="ED54" i="491"/>
  <c r="EC54" i="491"/>
  <c r="EB54" i="491"/>
  <c r="EA54" i="491"/>
  <c r="DZ54" i="491"/>
  <c r="DY54" i="491"/>
  <c r="DX54" i="491"/>
  <c r="DW54" i="491"/>
  <c r="DT54" i="491"/>
  <c r="DS54" i="491"/>
  <c r="DR54" i="491"/>
  <c r="DQ54" i="491"/>
  <c r="DP54" i="491"/>
  <c r="DO54" i="491"/>
  <c r="DN54" i="491"/>
  <c r="DM54" i="491"/>
  <c r="DL54" i="491"/>
  <c r="DK54" i="491"/>
  <c r="DJ54" i="491"/>
  <c r="DI54" i="491"/>
  <c r="DH54" i="491"/>
  <c r="DG54" i="491"/>
  <c r="DF54" i="491"/>
  <c r="DE54" i="491"/>
  <c r="DD54" i="491"/>
  <c r="DC54" i="491"/>
  <c r="DB54" i="491"/>
  <c r="DA54" i="491"/>
  <c r="CZ54" i="491"/>
  <c r="CY54" i="491"/>
  <c r="CX54" i="491"/>
  <c r="CW54" i="491"/>
  <c r="CV54" i="491"/>
  <c r="CU54" i="491"/>
  <c r="CT54" i="491"/>
  <c r="CS54" i="491"/>
  <c r="CR54" i="491"/>
  <c r="CQ54" i="491"/>
  <c r="CP54" i="491"/>
  <c r="CO54" i="491"/>
  <c r="CN54" i="491"/>
  <c r="CM54" i="491"/>
  <c r="CL54" i="491"/>
  <c r="CK54" i="491"/>
  <c r="CJ54" i="491"/>
  <c r="CI54" i="491"/>
  <c r="CH54" i="491"/>
  <c r="CG54" i="491"/>
  <c r="CF54" i="491"/>
  <c r="CE54" i="491"/>
  <c r="CD54" i="491"/>
  <c r="CC54" i="491"/>
  <c r="CB54" i="491"/>
  <c r="CA54" i="491"/>
  <c r="BZ54" i="491"/>
  <c r="BY54" i="491"/>
  <c r="BX54" i="491"/>
  <c r="BW54" i="491"/>
  <c r="BV54" i="491"/>
  <c r="BU54" i="491"/>
  <c r="BT54" i="491"/>
  <c r="BS54" i="491"/>
  <c r="BR54" i="491"/>
  <c r="BQ54" i="491"/>
  <c r="BP54" i="491"/>
  <c r="BO54" i="491"/>
  <c r="BN54" i="491"/>
  <c r="BM54" i="491"/>
  <c r="BL54" i="491"/>
  <c r="BK54" i="491"/>
  <c r="BJ54" i="491"/>
  <c r="BI54" i="491"/>
  <c r="BH54" i="491"/>
  <c r="BG54" i="491"/>
  <c r="BF54" i="491"/>
  <c r="BE54" i="491"/>
  <c r="BD54" i="491"/>
  <c r="BC54" i="491"/>
  <c r="BB54" i="491"/>
  <c r="BA54" i="491"/>
  <c r="AZ54" i="491"/>
  <c r="AY54" i="491"/>
  <c r="AX54" i="491"/>
  <c r="AW54" i="491"/>
  <c r="AV54" i="491"/>
  <c r="AU54" i="491"/>
  <c r="AT54" i="491"/>
  <c r="AS54" i="491"/>
  <c r="AR54" i="491"/>
  <c r="AQ54" i="491"/>
  <c r="AP54" i="491"/>
  <c r="AO54" i="491"/>
  <c r="AN54" i="491"/>
  <c r="AM54" i="491"/>
  <c r="AL54" i="491"/>
  <c r="AK54" i="491"/>
  <c r="AJ54" i="491"/>
  <c r="AI54" i="491"/>
  <c r="AH54" i="491"/>
  <c r="AG54" i="491"/>
  <c r="AF54" i="491"/>
  <c r="AE54" i="491"/>
  <c r="AD54" i="491"/>
  <c r="AC54" i="491"/>
  <c r="AB54" i="491"/>
  <c r="AA54" i="491"/>
  <c r="Z54" i="491"/>
  <c r="Y54" i="491"/>
  <c r="T54" i="491"/>
  <c r="U54" i="491" s="1"/>
  <c r="R54" i="491"/>
  <c r="Q54" i="491"/>
  <c r="O54" i="491"/>
  <c r="N54" i="491"/>
  <c r="M54" i="491"/>
  <c r="G54" i="491"/>
  <c r="C54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R48" i="491"/>
  <c r="Q48" i="491"/>
  <c r="O48" i="491"/>
  <c r="N48" i="491"/>
  <c r="M48" i="491"/>
  <c r="G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R47" i="491"/>
  <c r="Q47" i="491"/>
  <c r="O47" i="491"/>
  <c r="N47" i="491"/>
  <c r="M47" i="491"/>
  <c r="G47" i="491"/>
  <c r="C47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T43" i="491"/>
  <c r="U43" i="491" s="1"/>
  <c r="Y43" i="491" s="1"/>
  <c r="R43" i="491"/>
  <c r="Q43" i="491"/>
  <c r="N43" i="491"/>
  <c r="O43" i="491" s="1"/>
  <c r="DW43" i="491" s="1"/>
  <c r="M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T42" i="491"/>
  <c r="U42" i="491" s="1"/>
  <c r="Y42" i="491" s="1"/>
  <c r="R42" i="491"/>
  <c r="Q42" i="491"/>
  <c r="O42" i="491"/>
  <c r="DW42" i="491" s="1"/>
  <c r="N42" i="491"/>
  <c r="M42" i="491"/>
  <c r="G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R41" i="491"/>
  <c r="Q41" i="491"/>
  <c r="N41" i="491"/>
  <c r="M41" i="491"/>
  <c r="O41" i="491" s="1"/>
  <c r="DW41" i="491" s="1"/>
  <c r="G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T39" i="491"/>
  <c r="U39" i="491" s="1"/>
  <c r="Y39" i="491" s="1"/>
  <c r="R39" i="491"/>
  <c r="Q39" i="491"/>
  <c r="N39" i="491"/>
  <c r="M39" i="491"/>
  <c r="O39" i="491" s="1"/>
  <c r="DW39" i="491" s="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T38" i="491"/>
  <c r="U38" i="491" s="1"/>
  <c r="Y38" i="491" s="1"/>
  <c r="R38" i="491"/>
  <c r="Q38" i="491"/>
  <c r="O38" i="491"/>
  <c r="DW38" i="491" s="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T37" i="491"/>
  <c r="U37" i="491" s="1"/>
  <c r="Y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Y36" i="491"/>
  <c r="DX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A36" i="491"/>
  <c r="Z36" i="491"/>
  <c r="T36" i="491"/>
  <c r="U36" i="491" s="1"/>
  <c r="Y36" i="491" s="1"/>
  <c r="R36" i="491"/>
  <c r="N36" i="491"/>
  <c r="M36" i="49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Y35" i="491"/>
  <c r="DX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A35" i="491"/>
  <c r="Z35" i="491"/>
  <c r="T35" i="491"/>
  <c r="U35" i="491" s="1"/>
  <c r="Y35" i="491" s="1"/>
  <c r="Q35" i="491"/>
  <c r="N35" i="49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R34" i="491"/>
  <c r="Q34" i="491"/>
  <c r="O34" i="491"/>
  <c r="DW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T33" i="491"/>
  <c r="U33" i="491" s="1"/>
  <c r="Y33" i="491" s="1"/>
  <c r="R33" i="491"/>
  <c r="Q33" i="491"/>
  <c r="N33" i="491"/>
  <c r="M33" i="491"/>
  <c r="O33" i="491" s="1"/>
  <c r="DW33" i="491" s="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T32" i="491"/>
  <c r="U32" i="491" s="1"/>
  <c r="Y32" i="491" s="1"/>
  <c r="R32" i="491"/>
  <c r="Q32" i="491"/>
  <c r="N32" i="491"/>
  <c r="M32" i="491"/>
  <c r="O32" i="491" s="1"/>
  <c r="DW32" i="491" s="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T31" i="491"/>
  <c r="U31" i="491" s="1"/>
  <c r="Y31" i="491" s="1"/>
  <c r="R31" i="491"/>
  <c r="Q31" i="491"/>
  <c r="N31" i="491"/>
  <c r="O31" i="491" s="1"/>
  <c r="DW31" i="491" s="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T30" i="491"/>
  <c r="R30" i="491"/>
  <c r="Q30" i="491"/>
  <c r="O30" i="491"/>
  <c r="DW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T29" i="491"/>
  <c r="R29" i="491"/>
  <c r="Q29" i="491"/>
  <c r="N29" i="491"/>
  <c r="O29" i="491" s="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T28" i="491"/>
  <c r="U28" i="491" s="1"/>
  <c r="Y28" i="491" s="1"/>
  <c r="R28" i="491"/>
  <c r="Q28" i="491"/>
  <c r="N28" i="491"/>
  <c r="M28" i="491"/>
  <c r="O28" i="491" s="1"/>
  <c r="DW28" i="491" s="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X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Z26" i="491"/>
  <c r="T26" i="491"/>
  <c r="U26" i="491" s="1"/>
  <c r="Y26" i="491" s="1"/>
  <c r="R26" i="491"/>
  <c r="N26" i="49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Z25" i="491"/>
  <c r="T25" i="491"/>
  <c r="U25" i="491" s="1"/>
  <c r="Y25" i="491" s="1"/>
  <c r="Q25" i="49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N24" i="491"/>
  <c r="M24" i="491"/>
  <c r="O24" i="491" s="1"/>
  <c r="DW24" i="491" s="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T23" i="491"/>
  <c r="U23" i="491" s="1"/>
  <c r="Y23" i="491" s="1"/>
  <c r="R23" i="491"/>
  <c r="Q23" i="491"/>
  <c r="N23" i="491"/>
  <c r="O23" i="491" s="1"/>
  <c r="DW23" i="491" s="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T21" i="491"/>
  <c r="U21" i="491" s="1"/>
  <c r="Y21" i="491" s="1"/>
  <c r="N21" i="491"/>
  <c r="M21" i="49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O20" i="491" s="1"/>
  <c r="DW20" i="491" s="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N19" i="491"/>
  <c r="M19" i="491"/>
  <c r="O19" i="491" s="1"/>
  <c r="DW19" i="491" s="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15" i="491" l="1"/>
  <c r="DW15" i="491" s="1"/>
  <c r="O25" i="491"/>
  <c r="DY25" i="491" s="1"/>
  <c r="O58" i="491"/>
  <c r="GE58" i="491" s="1"/>
  <c r="AB36" i="491"/>
  <c r="O36" i="491"/>
  <c r="DW36" i="491" s="1"/>
  <c r="O35" i="491"/>
  <c r="DW35" i="491" s="1"/>
  <c r="AB35" i="491"/>
  <c r="O26" i="491"/>
  <c r="DW26" i="491" s="1"/>
  <c r="AA26" i="491"/>
  <c r="AA25" i="491"/>
  <c r="O21" i="491"/>
  <c r="DW21" i="491" s="1"/>
  <c r="Z21" i="491"/>
  <c r="O16" i="491"/>
  <c r="DW16" i="491" s="1"/>
  <c r="Y58" i="491"/>
  <c r="DW58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U34" i="491"/>
  <c r="Y34" i="491" s="1"/>
  <c r="AF13" i="491"/>
  <c r="EM13" i="491"/>
  <c r="HG13" i="491"/>
  <c r="FI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HE13" i="491"/>
  <c r="FJ13" i="491"/>
  <c r="HF13" i="491"/>
  <c r="U30" i="491"/>
  <c r="Y30" i="491" s="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U29" i="491"/>
  <c r="Y29" i="491" s="1"/>
  <c r="DW29" i="491"/>
  <c r="GE13" i="491"/>
  <c r="Q58" i="491" s="1"/>
  <c r="R58" i="491" s="1"/>
  <c r="AA13" i="491" l="1"/>
  <c r="DZ36" i="491"/>
  <c r="DZ35" i="491"/>
  <c r="DY26" i="491"/>
  <c r="DY13" i="491" s="1"/>
  <c r="Q26" i="491" s="1"/>
  <c r="DX21" i="491"/>
  <c r="DX13" i="491" s="1"/>
  <c r="Y13" i="491"/>
  <c r="DW13" i="491" s="1"/>
  <c r="Z13" i="491"/>
  <c r="DZ13" i="491" l="1"/>
  <c r="Q36" i="491" s="1"/>
  <c r="R35" i="491" s="1"/>
  <c r="Q21" i="491"/>
  <c r="R16" i="491"/>
  <c r="Q16" i="491"/>
  <c r="R15" i="491"/>
  <c r="R17" i="491"/>
  <c r="R21" i="491" l="1"/>
  <c r="R25" i="491"/>
  <c r="Q50" i="491"/>
  <c r="M72" i="491" s="1"/>
  <c r="O72" i="491" s="1"/>
  <c r="GS72" i="491" s="1"/>
  <c r="GS13" i="491" s="1"/>
  <c r="Q72" i="491" s="1"/>
  <c r="Q79" i="491" s="1"/>
  <c r="M56" i="491" l="1"/>
  <c r="O56" i="491" s="1"/>
  <c r="GD56" i="491" s="1"/>
  <c r="GD13" i="491" s="1"/>
  <c r="Q56" i="491" s="1"/>
  <c r="Q67" i="491" s="1"/>
  <c r="Q81" i="491" s="1"/>
  <c r="F72" i="491"/>
  <c r="R50" i="491"/>
  <c r="R55" i="491" l="1"/>
  <c r="R67" i="491" s="1"/>
</calcChain>
</file>

<file path=xl/sharedStrings.xml><?xml version="1.0" encoding="utf-8"?>
<sst xmlns="http://schemas.openxmlformats.org/spreadsheetml/2006/main" count="65" uniqueCount="48">
  <si>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</si>
  <si>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</si>
  <si>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</si>
  <si>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</si>
  <si>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</si>
  <si>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</si>
  <si>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</si>
  <si>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</si>
  <si>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</si>
  <si>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</si>
  <si>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</si>
  <si>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</si>
  <si>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</si>
  <si>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</si>
  <si>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</si>
  <si>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</si>
  <si>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</si>
  <si>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</si>
  <si>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</si>
  <si>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</si>
  <si>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</si>
  <si>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</si>
  <si>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</si>
  <si>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</si>
  <si>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</si>
  <si>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</si>
  <si>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ID-1196</t>
  </si>
  <si>
    <t>TLAJOMULCO</t>
  </si>
  <si>
    <t>22/06/26</t>
  </si>
  <si>
    <t>28/06/26</t>
  </si>
  <si>
    <t>lote</t>
  </si>
  <si>
    <t>Lunes de 6:00 a 8:00 pm</t>
  </si>
  <si>
    <t>PERSONAL POR EL DIA</t>
  </si>
  <si>
    <t>Bodeguero, entrega y recepcion de</t>
  </si>
  <si>
    <t>materiales</t>
  </si>
  <si>
    <t>VELADOR</t>
  </si>
  <si>
    <t>Vigilancia y aseo de obra</t>
  </si>
  <si>
    <t>Domingo 21 de Junio trabajado</t>
  </si>
  <si>
    <t>PASTA Y PINTURA</t>
  </si>
  <si>
    <t>Aplicacion de pasta y pintura en muros</t>
  </si>
  <si>
    <t>de tablaroca de area sanitarias, acarreo</t>
  </si>
  <si>
    <t>de materiales y cubetas</t>
  </si>
  <si>
    <t>TRABAJOS DE DOMINGO</t>
  </si>
  <si>
    <t>Levantamiento de muro de soga, cimbrar y</t>
  </si>
  <si>
    <t>colar castillos, retirar escombro.</t>
  </si>
  <si>
    <t>destaj</t>
  </si>
  <si>
    <t>RESID</t>
  </si>
  <si>
    <t>Coordinador de obra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</si>
</sst>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9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2" fillId="0" borderId="31" xfId="0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2" fillId="0" borderId="64" xfId="0" applyFont="1" applyBorder="1" applyProtection="1"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614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6" bestFit="1" customWidth="1"/>
    <col min="2" max="2" width="3.5546875" style="146" bestFit="1" customWidth="1"/>
    <col min="3" max="3" width="0.44140625" customWidth="1"/>
    <col min="4" max="4" width="2.44140625" style="146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0" width="6.33203125" bestFit="1" customWidth="1"/>
    <col min="131" max="135" width="1.5546875" bestFit="1" customWidth="1"/>
    <col min="136" max="185" width="2.33203125" bestFit="1" customWidth="1"/>
    <col min="186" max="186" width="5.109375" bestFit="1" customWidth="1"/>
    <col min="187" max="187" width="7.109375" bestFit="1" customWidth="1"/>
    <col min="188" max="200" width="2.33203125" bestFit="1" customWidth="1"/>
    <col min="201" max="201" width="6.3320312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1" t="s">
        <v>0</v>
      </c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3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4"/>
      <c r="B2" s="155"/>
      <c r="C2" s="156"/>
      <c r="D2" s="4"/>
      <c r="E2" s="157" t="s">
        <v>21</v>
      </c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9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7" t="s">
        <v>22</v>
      </c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115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1196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60" t="s">
        <v>2</v>
      </c>
      <c r="B6" s="161"/>
      <c r="C6" s="162"/>
      <c r="D6" s="169" t="s">
        <v>26</v>
      </c>
      <c r="E6" s="169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1" t="s">
        <v>25</v>
      </c>
      <c r="Q6" s="172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3"/>
      <c r="B7" s="164"/>
      <c r="C7" s="165"/>
      <c r="D7" s="173" t="str">
        <f>VLOOKUP($D$6,[1]OB!$A$2:$I$5052,4,FALSE)</f>
        <v>ESTACIONAMIENTO TECNAAL</v>
      </c>
      <c r="E7" s="174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6" t="s">
        <v>24</v>
      </c>
      <c r="Q7" s="177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6"/>
      <c r="B8" s="167"/>
      <c r="C8" s="168"/>
      <c r="D8" s="150" t="s">
        <v>27</v>
      </c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SUM(Y14:Y77)</f>
        <v>0</v>
      </c>
      <c r="Z13" s="57">
        <f>SUM(Z14:Z77)</f>
        <v>0</v>
      </c>
      <c r="AA13" s="57">
        <f>SUM(AA14:AA77)</f>
        <v>0</v>
      </c>
      <c r="AB13" s="57">
        <f>SUM(AB14:AB77)</f>
        <v>0</v>
      </c>
      <c r="AC13" s="57">
        <f>SUM(AC14:AC77)</f>
        <v>0</v>
      </c>
      <c r="AD13" s="57">
        <f>SUM(AD14:AD77)</f>
        <v>0</v>
      </c>
      <c r="AE13" s="57">
        <f>SUM(AE14:AE77)</f>
        <v>0</v>
      </c>
      <c r="AF13" s="57">
        <f>SUM(AF14:AF77)</f>
        <v>0</v>
      </c>
      <c r="AG13" s="57">
        <f>SUM(AG14:AG77)</f>
        <v>0</v>
      </c>
      <c r="AH13" s="57">
        <f>SUM(AH14:AH77)</f>
        <v>0</v>
      </c>
      <c r="AI13" s="57">
        <f>SUM(AI14:AI77)</f>
        <v>0</v>
      </c>
      <c r="AJ13" s="57">
        <f>SUM(AJ14:AJ77)</f>
        <v>0</v>
      </c>
      <c r="AK13" s="57">
        <f>SUM(AK14:AK77)</f>
        <v>0</v>
      </c>
      <c r="AL13" s="57">
        <f>SUM(AL14:AL77)</f>
        <v>0</v>
      </c>
      <c r="AM13" s="57">
        <f>SUM(AM14:AM77)</f>
        <v>0</v>
      </c>
      <c r="AN13" s="57">
        <f>SUM(AN14:AN77)</f>
        <v>0</v>
      </c>
      <c r="AO13" s="57">
        <f>SUM(AO14:AO77)</f>
        <v>0</v>
      </c>
      <c r="AP13" s="57">
        <f>SUM(AP14:AP77)</f>
        <v>0</v>
      </c>
      <c r="AQ13" s="57">
        <f>SUM(AQ14:AQ77)</f>
        <v>0</v>
      </c>
      <c r="AR13" s="57">
        <f>SUM(AR14:AR77)</f>
        <v>0</v>
      </c>
      <c r="AS13" s="57">
        <f>SUM(AS14:AS77)</f>
        <v>0</v>
      </c>
      <c r="AT13" s="57">
        <f>SUM(AT14:AT77)</f>
        <v>0</v>
      </c>
      <c r="AU13" s="57">
        <f>SUM(AU14:AU77)</f>
        <v>0</v>
      </c>
      <c r="AV13" s="57">
        <f>SUM(AV14:AV77)</f>
        <v>0</v>
      </c>
      <c r="AW13" s="57">
        <f>SUM(AW14:AW77)</f>
        <v>0</v>
      </c>
      <c r="AX13" s="57">
        <f>SUM(AX14:AX77)</f>
        <v>0</v>
      </c>
      <c r="AY13" s="57">
        <f>SUM(AY14:AY77)</f>
        <v>0</v>
      </c>
      <c r="AZ13" s="57">
        <f>SUM(AZ14:AZ77)</f>
        <v>0</v>
      </c>
      <c r="BA13" s="57">
        <f>SUM(BA14:BA77)</f>
        <v>0</v>
      </c>
      <c r="BB13" s="57">
        <f>SUM(BB14:BB77)</f>
        <v>0</v>
      </c>
      <c r="BC13" s="57">
        <f>SUM(BC14:BC77)</f>
        <v>0</v>
      </c>
      <c r="BD13" s="57">
        <f>SUM(BD14:BD77)</f>
        <v>0</v>
      </c>
      <c r="BE13" s="57">
        <f>SUM(BE14:BE77)</f>
        <v>0</v>
      </c>
      <c r="BF13" s="57">
        <f>SUM(BF14:BF77)</f>
        <v>0</v>
      </c>
      <c r="BG13" s="57">
        <f>SUM(BG14:BG77)</f>
        <v>0</v>
      </c>
      <c r="BH13" s="57">
        <f>SUM(BH14:BH77)</f>
        <v>0</v>
      </c>
      <c r="BI13" s="57">
        <f>SUM(BI14:BI77)</f>
        <v>0</v>
      </c>
      <c r="BJ13" s="57">
        <f>SUM(BJ14:BJ77)</f>
        <v>0</v>
      </c>
      <c r="BK13" s="57">
        <f>SUM(BK14:BK77)</f>
        <v>0</v>
      </c>
      <c r="BL13" s="57">
        <f>SUM(BL14:BL77)</f>
        <v>0</v>
      </c>
      <c r="BM13" s="57">
        <f>SUM(BM14:BM77)</f>
        <v>0</v>
      </c>
      <c r="BN13" s="57">
        <f>SUM(BN14:BN77)</f>
        <v>0</v>
      </c>
      <c r="BO13" s="57">
        <f>SUM(BO14:BO77)</f>
        <v>0</v>
      </c>
      <c r="BP13" s="57">
        <f>SUM(BP14:BP77)</f>
        <v>0</v>
      </c>
      <c r="BQ13" s="57">
        <f>SUM(BQ14:BQ77)</f>
        <v>0</v>
      </c>
      <c r="BR13" s="57">
        <f>SUM(BR14:BR77)</f>
        <v>0</v>
      </c>
      <c r="BS13" s="57">
        <f>SUM(BS14:BS77)</f>
        <v>0</v>
      </c>
      <c r="BT13" s="57">
        <f>SUM(BT14:BT77)</f>
        <v>0</v>
      </c>
      <c r="BU13" s="57">
        <f>SUM(BU14:BU77)</f>
        <v>0</v>
      </c>
      <c r="BV13" s="57">
        <f>SUM(BV14:BV77)</f>
        <v>0</v>
      </c>
      <c r="BW13" s="57">
        <f>SUM(BW14:BW77)</f>
        <v>0</v>
      </c>
      <c r="BX13" s="57">
        <f>SUM(BX14:BX77)</f>
        <v>0</v>
      </c>
      <c r="BY13" s="57">
        <f>SUM(BY14:BY77)</f>
        <v>0</v>
      </c>
      <c r="BZ13" s="57">
        <f>SUM(BZ14:BZ77)</f>
        <v>0</v>
      </c>
      <c r="CA13" s="57">
        <f>SUM(CA14:CA77)</f>
        <v>0</v>
      </c>
      <c r="CB13" s="57">
        <f>SUM(CB14:CB77)</f>
        <v>0</v>
      </c>
      <c r="CC13" s="57">
        <f>SUM(CC14:CC77)</f>
        <v>0</v>
      </c>
      <c r="CD13" s="57">
        <f>SUM(CD14:CD77)</f>
        <v>0</v>
      </c>
      <c r="CE13" s="57">
        <f>SUM(CE14:CE77)</f>
        <v>0</v>
      </c>
      <c r="CF13" s="57">
        <f>SUM(CF14:CF77)</f>
        <v>0</v>
      </c>
      <c r="CG13" s="57">
        <f>SUM(CG14:CG77)</f>
        <v>0</v>
      </c>
      <c r="CH13" s="57">
        <f>SUM(CH14:CH77)</f>
        <v>0</v>
      </c>
      <c r="CI13" s="57">
        <f>SUM(CI14:CI77)</f>
        <v>0</v>
      </c>
      <c r="CJ13" s="57">
        <f>SUM(CJ14:CJ77)</f>
        <v>0</v>
      </c>
      <c r="CK13" s="57">
        <f>SUM(CK14:CK77)</f>
        <v>0</v>
      </c>
      <c r="CL13" s="57">
        <f>SUM(CL14:CL77)</f>
        <v>0</v>
      </c>
      <c r="CM13" s="57">
        <f>SUM(CM14:CM77)</f>
        <v>0</v>
      </c>
      <c r="CN13" s="57">
        <f>SUM(CN14:CN77)</f>
        <v>0</v>
      </c>
      <c r="CO13" s="57">
        <f>SUM(CO14:CO77)</f>
        <v>0</v>
      </c>
      <c r="CP13" s="57">
        <f>SUM(CP14:CP77)</f>
        <v>0</v>
      </c>
      <c r="CQ13" s="57">
        <f>SUM(CQ14:CQ77)</f>
        <v>0</v>
      </c>
      <c r="CR13" s="57">
        <f>SUM(CR14:CR77)</f>
        <v>0</v>
      </c>
      <c r="CS13" s="57">
        <f>SUM(CS14:CS77)</f>
        <v>0</v>
      </c>
      <c r="CT13" s="57">
        <f>SUM(CT14:CT77)</f>
        <v>0</v>
      </c>
      <c r="CU13" s="57">
        <f>SUM(CU14:CU77)</f>
        <v>0</v>
      </c>
      <c r="CV13" s="57">
        <f>SUM(CV14:CV77)</f>
        <v>0</v>
      </c>
      <c r="CW13" s="57">
        <f>SUM(CW14:CW77)</f>
        <v>0</v>
      </c>
      <c r="CX13" s="57">
        <f>SUM(CX14:CX77)</f>
        <v>0</v>
      </c>
      <c r="CY13" s="57">
        <f>SUM(CY14:CY77)</f>
        <v>0</v>
      </c>
      <c r="CZ13" s="57">
        <f>SUM(CZ14:CZ77)</f>
        <v>0</v>
      </c>
      <c r="DA13" s="57">
        <f>SUM(DA14:DA77)</f>
        <v>0</v>
      </c>
      <c r="DB13" s="57">
        <f>SUM(DB14:DB77)</f>
        <v>0</v>
      </c>
      <c r="DC13" s="57">
        <f>SUM(DC14:DC77)</f>
        <v>0</v>
      </c>
      <c r="DD13" s="57">
        <f>SUM(DD14:DD77)</f>
        <v>0</v>
      </c>
      <c r="DE13" s="57">
        <f>SUM(DE14:DE77)</f>
        <v>0</v>
      </c>
      <c r="DF13" s="57">
        <f>SUM(DF14:DF77)</f>
        <v>0</v>
      </c>
      <c r="DG13" s="57">
        <f>SUM(DG14:DG77)</f>
        <v>0</v>
      </c>
      <c r="DH13" s="57">
        <f>SUM(DH14:DH77)</f>
        <v>0</v>
      </c>
      <c r="DI13" s="57">
        <f>SUM(DI14:DI77)</f>
        <v>0</v>
      </c>
      <c r="DJ13" s="57">
        <f>SUM(DJ14:DJ77)</f>
        <v>0</v>
      </c>
      <c r="DK13" s="57">
        <f>SUM(DK14:DK77)</f>
        <v>0</v>
      </c>
      <c r="DL13" s="57">
        <f>SUM(DL14:DL77)</f>
        <v>0</v>
      </c>
      <c r="DM13" s="57">
        <f>SUM(DM14:DM77)</f>
        <v>0</v>
      </c>
      <c r="DN13" s="57">
        <f>SUM(DN14:DN77)</f>
        <v>0</v>
      </c>
      <c r="DO13" s="57">
        <f>SUM(DO14:DO77)</f>
        <v>0</v>
      </c>
      <c r="DP13" s="57">
        <f>SUM(DP14:DP77)</f>
        <v>0</v>
      </c>
      <c r="DQ13" s="57">
        <f>SUM(DQ14:DQ77)</f>
        <v>0</v>
      </c>
      <c r="DR13" s="57">
        <f>SUM(DR14:DR77)</f>
        <v>0</v>
      </c>
      <c r="DS13" s="57">
        <f>SUM(DS14:DS77)</f>
        <v>0</v>
      </c>
      <c r="DT13" s="109">
        <f>SUM(DT14:DT77)</f>
        <v>0</v>
      </c>
      <c r="DU13" s="54"/>
      <c r="DV13" s="58" t="s">
        <v>16</v>
      </c>
      <c r="DW13" s="56">
        <f>SUM(DW14:DW77)</f>
        <v>3817.875</v>
      </c>
      <c r="DX13" s="57">
        <f>SUM(DX14:DX77)</f>
        <v>2839.06</v>
      </c>
      <c r="DY13" s="57">
        <f>SUM(DY14:DY77)</f>
        <v>5749.1999999999989</v>
      </c>
      <c r="DZ13" s="57">
        <f>SUM(DZ14:DZ77)</f>
        <v>5749.1999999999989</v>
      </c>
      <c r="EA13" s="57">
        <f>SUM(EA14:EA77)</f>
        <v>0</v>
      </c>
      <c r="EB13" s="57">
        <f>SUM(EB14:EB77)</f>
        <v>0</v>
      </c>
      <c r="EC13" s="57">
        <f>SUM(EC14:EC77)</f>
        <v>0</v>
      </c>
      <c r="ED13" s="57">
        <f>SUM(ED14:ED77)</f>
        <v>0</v>
      </c>
      <c r="EE13" s="57">
        <f>SUM(EE14:EE77)</f>
        <v>0</v>
      </c>
      <c r="EF13" s="57">
        <f>SUM(EF14:EF77)</f>
        <v>0</v>
      </c>
      <c r="EG13" s="57">
        <f>SUM(EG14:EG77)</f>
        <v>0</v>
      </c>
      <c r="EH13" s="57">
        <f>SUM(EH14:EH77)</f>
        <v>0</v>
      </c>
      <c r="EI13" s="57">
        <f>SUM(EI14:EI77)</f>
        <v>0</v>
      </c>
      <c r="EJ13" s="57">
        <f>SUM(EJ14:EJ77)</f>
        <v>0</v>
      </c>
      <c r="EK13" s="57">
        <f>SUM(EK14:EK77)</f>
        <v>0</v>
      </c>
      <c r="EL13" s="57">
        <f>SUM(EL14:EL77)</f>
        <v>0</v>
      </c>
      <c r="EM13" s="57">
        <f>SUM(EM14:EM77)</f>
        <v>0</v>
      </c>
      <c r="EN13" s="57">
        <f>SUM(EN14:EN77)</f>
        <v>0</v>
      </c>
      <c r="EO13" s="57">
        <f>SUM(EO14:EO77)</f>
        <v>0</v>
      </c>
      <c r="EP13" s="57">
        <f>SUM(EP14:EP77)</f>
        <v>0</v>
      </c>
      <c r="EQ13" s="57">
        <f>SUM(EQ14:EQ77)</f>
        <v>0</v>
      </c>
      <c r="ER13" s="57">
        <f>SUM(ER14:ER77)</f>
        <v>0</v>
      </c>
      <c r="ES13" s="57">
        <f>SUM(ES14:ES77)</f>
        <v>0</v>
      </c>
      <c r="ET13" s="57">
        <f>SUM(ET14:ET77)</f>
        <v>0</v>
      </c>
      <c r="EU13" s="57">
        <f>SUM(EU14:EU77)</f>
        <v>0</v>
      </c>
      <c r="EV13" s="57">
        <f>SUM(EV14:EV77)</f>
        <v>0</v>
      </c>
      <c r="EW13" s="57">
        <f>SUM(EW14:EW77)</f>
        <v>0</v>
      </c>
      <c r="EX13" s="57">
        <f>SUM(EX14:EX77)</f>
        <v>0</v>
      </c>
      <c r="EY13" s="57">
        <f>SUM(EY14:EY77)</f>
        <v>0</v>
      </c>
      <c r="EZ13" s="57">
        <f>SUM(EZ14:EZ77)</f>
        <v>0</v>
      </c>
      <c r="FA13" s="57">
        <f>SUM(FA14:FA77)</f>
        <v>0</v>
      </c>
      <c r="FB13" s="57">
        <f>SUM(FB14:FB77)</f>
        <v>0</v>
      </c>
      <c r="FC13" s="57">
        <f>SUM(FC14:FC77)</f>
        <v>0</v>
      </c>
      <c r="FD13" s="57">
        <f>SUM(FD14:FD77)</f>
        <v>0</v>
      </c>
      <c r="FE13" s="57">
        <f>SUM(FE14:FE77)</f>
        <v>0</v>
      </c>
      <c r="FF13" s="57">
        <f>SUM(FF14:FF77)</f>
        <v>0</v>
      </c>
      <c r="FG13" s="57">
        <f>SUM(FG14:FG77)</f>
        <v>0</v>
      </c>
      <c r="FH13" s="57">
        <f>SUM(FH14:FH77)</f>
        <v>0</v>
      </c>
      <c r="FI13" s="57">
        <f>SUM(FI14:FI77)</f>
        <v>0</v>
      </c>
      <c r="FJ13" s="57">
        <f>SUM(FJ14:FJ77)</f>
        <v>0</v>
      </c>
      <c r="FK13" s="57">
        <f>SUM(FK14:FK77)</f>
        <v>0</v>
      </c>
      <c r="FL13" s="57">
        <f>SUM(FL14:FL77)</f>
        <v>0</v>
      </c>
      <c r="FM13" s="57">
        <f>SUM(FM14:FM77)</f>
        <v>0</v>
      </c>
      <c r="FN13" s="57">
        <f>SUM(FN14:FN77)</f>
        <v>0</v>
      </c>
      <c r="FO13" s="57">
        <f>SUM(FO14:FO77)</f>
        <v>0</v>
      </c>
      <c r="FP13" s="57">
        <f>SUM(FP14:FP77)</f>
        <v>0</v>
      </c>
      <c r="FQ13" s="57">
        <f>SUM(FQ14:FQ77)</f>
        <v>0</v>
      </c>
      <c r="FR13" s="57">
        <f>SUM(FR14:FR77)</f>
        <v>0</v>
      </c>
      <c r="FS13" s="57">
        <f>SUM(FS14:FS77)</f>
        <v>0</v>
      </c>
      <c r="FT13" s="57">
        <f>SUM(FT14:FT77)</f>
        <v>0</v>
      </c>
      <c r="FU13" s="57">
        <f>SUM(FU14:FU77)</f>
        <v>0</v>
      </c>
      <c r="FV13" s="57">
        <f>SUM(FV14:FV77)</f>
        <v>0</v>
      </c>
      <c r="FW13" s="57">
        <f>SUM(FW14:FW77)</f>
        <v>0</v>
      </c>
      <c r="FX13" s="57">
        <f>SUM(FX14:FX77)</f>
        <v>0</v>
      </c>
      <c r="FY13" s="57">
        <f>SUM(FY14:FY77)</f>
        <v>0</v>
      </c>
      <c r="FZ13" s="57">
        <f>SUM(FZ14:FZ77)</f>
        <v>0</v>
      </c>
      <c r="GA13" s="57">
        <f>SUM(GA14:GA77)</f>
        <v>0</v>
      </c>
      <c r="GB13" s="57">
        <f>SUM(GB14:GB77)</f>
        <v>0</v>
      </c>
      <c r="GC13" s="57">
        <f>SUM(GC14:GC77)</f>
        <v>0</v>
      </c>
      <c r="GD13" s="57">
        <f>SUM(GD14:GD77)</f>
        <v>726.21339999999998</v>
      </c>
      <c r="GE13" s="57">
        <f>SUM(GE14:GE77)</f>
        <v>20940.43</v>
      </c>
      <c r="GF13" s="57">
        <f>SUM(GF14:GF77)</f>
        <v>0</v>
      </c>
      <c r="GG13" s="57">
        <f>SUM(GG14:GG77)</f>
        <v>0</v>
      </c>
      <c r="GH13" s="57">
        <f>SUM(GH14:GH77)</f>
        <v>0</v>
      </c>
      <c r="GI13" s="57">
        <f>SUM(GI14:GI77)</f>
        <v>0</v>
      </c>
      <c r="GJ13" s="57">
        <f>SUM(GJ14:GJ77)</f>
        <v>0</v>
      </c>
      <c r="GK13" s="57">
        <f>SUM(GK14:GK77)</f>
        <v>0</v>
      </c>
      <c r="GL13" s="57">
        <f>SUM(GL14:GL77)</f>
        <v>0</v>
      </c>
      <c r="GM13" s="57">
        <f>SUM(GM14:GM77)</f>
        <v>0</v>
      </c>
      <c r="GN13" s="57">
        <f>SUM(GN14:GN77)</f>
        <v>0</v>
      </c>
      <c r="GO13" s="57">
        <f>SUM(GO14:GO77)</f>
        <v>0</v>
      </c>
      <c r="GP13" s="57">
        <f>SUM(GP14:GP77)</f>
        <v>0</v>
      </c>
      <c r="GQ13" s="57">
        <f>SUM(GQ14:GQ77)</f>
        <v>0</v>
      </c>
      <c r="GR13" s="57">
        <f>SUM(GR14:GR77)</f>
        <v>0</v>
      </c>
      <c r="GS13" s="57">
        <f>SUM(GS14:GS77)</f>
        <v>2178.6401999999998</v>
      </c>
      <c r="GT13" s="57">
        <f>SUM(GT14:GT77)</f>
        <v>0</v>
      </c>
      <c r="GU13" s="57">
        <f>SUM(GU14:GU77)</f>
        <v>0</v>
      </c>
      <c r="GV13" s="57">
        <f>SUM(GV14:GV77)</f>
        <v>0</v>
      </c>
      <c r="GW13" s="57">
        <f>SUM(GW14:GW77)</f>
        <v>0</v>
      </c>
      <c r="GX13" s="57">
        <f>SUM(GX14:GX77)</f>
        <v>0</v>
      </c>
      <c r="GY13" s="57">
        <f>SUM(GY14:GY77)</f>
        <v>0</v>
      </c>
      <c r="GZ13" s="57">
        <f>SUM(GZ14:GZ77)</f>
        <v>0</v>
      </c>
      <c r="HA13" s="57">
        <f>SUM(HA14:HA77)</f>
        <v>0</v>
      </c>
      <c r="HB13" s="57">
        <f>SUM(HB14:HB77)</f>
        <v>0</v>
      </c>
      <c r="HC13" s="57">
        <f>SUM(HC14:HC77)</f>
        <v>0</v>
      </c>
      <c r="HD13" s="57">
        <f>SUM(HD14:HD77)</f>
        <v>0</v>
      </c>
      <c r="HE13" s="57">
        <f>SUM(HE14:HE77)</f>
        <v>0</v>
      </c>
      <c r="HF13" s="57">
        <f>SUM(HF14:HF77)</f>
        <v>0</v>
      </c>
      <c r="HG13" s="57">
        <f>SUM(HG14:HG77)</f>
        <v>0</v>
      </c>
      <c r="HH13" s="57">
        <f>SUM(HH14:HH77)</f>
        <v>0</v>
      </c>
      <c r="HI13" s="57">
        <f>SUM(HI14:HI77)</f>
        <v>0</v>
      </c>
      <c r="HJ13" s="57">
        <f>SUM(HJ14:HJ77)</f>
        <v>0</v>
      </c>
      <c r="HK13" s="57">
        <f>SUM(HK14:HK77)</f>
        <v>0</v>
      </c>
      <c r="HL13" s="57">
        <f>SUM(HL14:HL77)</f>
        <v>0</v>
      </c>
      <c r="HM13" s="57">
        <f>SUM(HM14:HM77)</f>
        <v>0</v>
      </c>
      <c r="HN13" s="57">
        <f>SUM(HN14:HN77)</f>
        <v>0</v>
      </c>
      <c r="HO13" s="57">
        <f>SUM(HO14:HO77)</f>
        <v>0</v>
      </c>
      <c r="HP13" s="57">
        <f>SUM(HP14:HP77)</f>
        <v>0</v>
      </c>
      <c r="HQ13" s="57">
        <f>SUM(HQ14:HQ77)</f>
        <v>0</v>
      </c>
      <c r="HR13" s="109">
        <f>SUM(HR14:HR77)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48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48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RESIDENTE"),VLOOKUP(B14,P$14:Q$77,2),"")*S14)</f>
        <v/>
      </c>
      <c r="T14" s="53" t="str">
        <f>IF(A14=0,"",VLOOKUP(A14,[2]CO!$A$3:$F$5318,5,0))</f>
        <v/>
      </c>
      <c r="U14" s="54">
        <f t="shared" ref="U14:U48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21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21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3608</v>
      </c>
      <c r="B15" s="145">
        <v>1</v>
      </c>
      <c r="C15" s="28" t="str">
        <f>IF(A15=0,"",VLOOKUP(A15,[2]CO!$A$3:$F$5327,2,0))</f>
        <v>LOZANO URISTA BRUNO</v>
      </c>
      <c r="D15" s="149"/>
      <c r="E15" s="29"/>
      <c r="F15" s="29"/>
      <c r="G15" s="30" t="str">
        <f>IF(A15=0,"",VLOOKUP(A15,[2]CO!$A$3:$F$5327,3,0))</f>
        <v>PEON</v>
      </c>
      <c r="H15" s="142"/>
      <c r="I15" s="143"/>
      <c r="J15" s="143"/>
      <c r="K15" s="143"/>
      <c r="L15" s="143">
        <v>7</v>
      </c>
      <c r="M15" s="32">
        <f t="shared" si="0"/>
        <v>7</v>
      </c>
      <c r="N15" s="32">
        <f>IF(B15=0,"",IF(H15="M",HLOOKUP(B15,$Y$12:$DT$13,2),IF(A15=0,"",VLOOKUP(A15,[2]CO!$A$3:$F$5327,4,0))))</f>
        <v>509.05</v>
      </c>
      <c r="O15" s="32">
        <f t="shared" ref="O15:O77" si="7">IF(L15=0,"",PRODUCT(M15:N15))</f>
        <v>3563.35</v>
      </c>
      <c r="P15" s="33"/>
      <c r="Q15" s="34" t="str">
        <f t="shared" si="1"/>
        <v/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RESIDENTE"),VLOOKUP(B15,P$14:Q$77,2),"")*S15)</f>
        <v>3817.875</v>
      </c>
      <c r="S15" s="127">
        <v>1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>
        <f t="shared" si="5"/>
        <v>3563.35</v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 t="s">
        <v>30</v>
      </c>
      <c r="B16" s="145">
        <v>1</v>
      </c>
      <c r="C16" s="28" t="str">
        <f>IF(A16=0,"",VLOOKUP(A16,[2]CO!$A$3:$F$5327,2,0))</f>
        <v>Lote</v>
      </c>
      <c r="D16" s="149" t="s">
        <v>31</v>
      </c>
      <c r="E16" s="29"/>
      <c r="F16" s="29"/>
      <c r="G16" s="30" t="str">
        <f>IF(A16=0,"",VLOOKUP(A16,[2]CO!$A$3:$F$5327,3,0))</f>
        <v>LOTE</v>
      </c>
      <c r="H16" s="142"/>
      <c r="I16" s="143">
        <v>1.2726250000000001</v>
      </c>
      <c r="J16" s="143"/>
      <c r="K16" s="143"/>
      <c r="L16" s="143">
        <v>2</v>
      </c>
      <c r="M16" s="32">
        <f t="shared" si="0"/>
        <v>2.5452500000000002</v>
      </c>
      <c r="N16" s="32">
        <f>IF(B16=0,"",IF(H16="M",HLOOKUP(B16,$Y$12:$DT$13,2),IF(A16=0,"",VLOOKUP(A16,[2]CO!$A$3:$F$5327,4,0))))</f>
        <v>100</v>
      </c>
      <c r="O16" s="32">
        <f t="shared" si="7"/>
        <v>254.52500000000003</v>
      </c>
      <c r="P16" s="33">
        <v>1</v>
      </c>
      <c r="Q16" s="34">
        <f t="shared" si="1"/>
        <v>3817.875</v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RESIDENTE"),VLOOKUP(B16,P$14:Q$77,2),"")*S16)</f>
        <v/>
      </c>
      <c r="S16" s="127"/>
      <c r="T16" s="53">
        <f>IF(A16=0,"",VLOOKUP(A16,[2]CO!$A$3:$F$5318,5,0))</f>
        <v>0</v>
      </c>
      <c r="U16" s="54">
        <f t="shared" si="2"/>
        <v>0</v>
      </c>
      <c r="V16" s="24"/>
      <c r="W16" s="25"/>
      <c r="X16" s="25"/>
      <c r="Y16" s="64">
        <f t="shared" si="3"/>
        <v>0</v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6" t="str">
        <f t="shared" si="4"/>
        <v/>
      </c>
      <c r="DU16" s="54"/>
      <c r="DV16" s="25"/>
      <c r="DW16" s="61">
        <f t="shared" si="5"/>
        <v>254.52500000000003</v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2" t="str">
        <f t="shared" si="6"/>
        <v/>
      </c>
    </row>
    <row r="17" spans="1:226" ht="11.1" customHeight="1" x14ac:dyDescent="0.25">
      <c r="A17" s="26"/>
      <c r="B17" s="145"/>
      <c r="C17" s="28" t="str">
        <f>IF(A17=0,"",VLOOKUP(A17,[2]CO!$A$3:$F$5327,2,0))</f>
        <v/>
      </c>
      <c r="D17" s="178" t="s">
        <v>32</v>
      </c>
      <c r="E17" s="29"/>
      <c r="F17" s="29"/>
      <c r="G17" s="30" t="str">
        <f>IF(A17=0,"",VLOOKUP(A17,[2]CO!$A$3:$F$5327,3,0))</f>
        <v/>
      </c>
      <c r="H17" s="142"/>
      <c r="I17" s="143"/>
      <c r="J17" s="143"/>
      <c r="K17" s="143"/>
      <c r="L17" s="143"/>
      <c r="M17" s="32" t="str">
        <f t="shared" si="0"/>
        <v/>
      </c>
      <c r="N17" s="32" t="str">
        <f>IF(B17=0,"",IF(H17="M",HLOOKUP(B17,$Y$12:$DT$13,2),IF(A17=0,"",VLOOKUP(A17,[2]CO!$A$3:$F$5327,4,0))))</f>
        <v/>
      </c>
      <c r="O17" s="32" t="str">
        <f t="shared" si="7"/>
        <v/>
      </c>
      <c r="P17" s="33"/>
      <c r="Q17" s="34" t="str">
        <f t="shared" si="1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RESIDENTE"),VLOOKUP(B17,P$14:Q$77,2),"")*S17)</f>
        <v/>
      </c>
      <c r="S17" s="127"/>
      <c r="T17" s="53" t="str">
        <f>IF(A17=0,"",VLOOKUP(A17,[2]CO!$A$3:$F$5318,5,0))</f>
        <v/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6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2" t="str">
        <f t="shared" si="6"/>
        <v/>
      </c>
    </row>
    <row r="18" spans="1:226" ht="11.1" customHeight="1" x14ac:dyDescent="0.25">
      <c r="A18" s="26"/>
      <c r="B18" s="145"/>
      <c r="C18" s="28" t="str">
        <f>IF(A18=0,"",VLOOKUP(A18,[2]CO!$A$3:$F$5327,2,0))</f>
        <v/>
      </c>
      <c r="D18" s="149" t="s">
        <v>33</v>
      </c>
      <c r="E18" s="29"/>
      <c r="F18" s="29"/>
      <c r="G18" s="30" t="str">
        <f>IF(A18=0,"",VLOOKUP(A18,[2]CO!$A$3:$F$5327,3,0))</f>
        <v/>
      </c>
      <c r="H18" s="142"/>
      <c r="I18" s="143"/>
      <c r="J18" s="143"/>
      <c r="K18" s="143"/>
      <c r="L18" s="143"/>
      <c r="M18" s="32" t="str">
        <f t="shared" si="0"/>
        <v/>
      </c>
      <c r="N18" s="32" t="str">
        <f>IF(B18=0,"",IF(H18="M",HLOOKUP(B18,$Y$12:$DT$13,2),IF(A18=0,"",VLOOKUP(A18,[2]CO!$A$3:$F$5327,4,0))))</f>
        <v/>
      </c>
      <c r="O18" s="32" t="str">
        <f t="shared" si="7"/>
        <v/>
      </c>
      <c r="P18" s="33"/>
      <c r="Q18" s="34" t="str">
        <f t="shared" si="1"/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RESIDENTE"),VLOOKUP(B18,P$14:Q$77,2),"")*S18)</f>
        <v/>
      </c>
      <c r="S18" s="127"/>
      <c r="T18" s="53" t="str">
        <f>IF(A18=0,"",VLOOKUP(A18,[2]CO!$A$3:$F$5318,5,0))</f>
        <v/>
      </c>
      <c r="U18" s="54">
        <f t="shared" si="2"/>
        <v>0</v>
      </c>
      <c r="V18" s="24"/>
      <c r="W18" s="25"/>
      <c r="X18" s="25"/>
      <c r="Y18" s="64" t="str">
        <f t="shared" ref="Y18:CJ21" si="10">IF($B18=Y$12,$U18,"")</f>
        <v/>
      </c>
      <c r="Z18" s="55" t="str">
        <f t="shared" si="10"/>
        <v/>
      </c>
      <c r="AA18" s="55" t="str">
        <f t="shared" si="10"/>
        <v/>
      </c>
      <c r="AB18" s="55" t="str">
        <f t="shared" si="10"/>
        <v/>
      </c>
      <c r="AC18" s="55" t="str">
        <f t="shared" si="10"/>
        <v/>
      </c>
      <c r="AD18" s="55" t="str">
        <f t="shared" si="10"/>
        <v/>
      </c>
      <c r="AE18" s="55" t="str">
        <f t="shared" si="10"/>
        <v/>
      </c>
      <c r="AF18" s="55" t="str">
        <f t="shared" si="10"/>
        <v/>
      </c>
      <c r="AG18" s="55" t="str">
        <f t="shared" si="10"/>
        <v/>
      </c>
      <c r="AH18" s="55" t="str">
        <f t="shared" si="10"/>
        <v/>
      </c>
      <c r="AI18" s="55" t="str">
        <f t="shared" si="10"/>
        <v/>
      </c>
      <c r="AJ18" s="55" t="str">
        <f t="shared" si="10"/>
        <v/>
      </c>
      <c r="AK18" s="55" t="str">
        <f t="shared" si="10"/>
        <v/>
      </c>
      <c r="AL18" s="55" t="str">
        <f t="shared" si="10"/>
        <v/>
      </c>
      <c r="AM18" s="55" t="str">
        <f t="shared" si="10"/>
        <v/>
      </c>
      <c r="AN18" s="55" t="str">
        <f t="shared" si="10"/>
        <v/>
      </c>
      <c r="AO18" s="55" t="str">
        <f t="shared" si="10"/>
        <v/>
      </c>
      <c r="AP18" s="55" t="str">
        <f t="shared" si="10"/>
        <v/>
      </c>
      <c r="AQ18" s="55" t="str">
        <f t="shared" si="10"/>
        <v/>
      </c>
      <c r="AR18" s="55" t="str">
        <f t="shared" si="10"/>
        <v/>
      </c>
      <c r="AS18" s="55" t="str">
        <f t="shared" si="10"/>
        <v/>
      </c>
      <c r="AT18" s="55" t="str">
        <f t="shared" si="10"/>
        <v/>
      </c>
      <c r="AU18" s="55" t="str">
        <f t="shared" si="10"/>
        <v/>
      </c>
      <c r="AV18" s="55" t="str">
        <f t="shared" si="10"/>
        <v/>
      </c>
      <c r="AW18" s="55" t="str">
        <f t="shared" si="10"/>
        <v/>
      </c>
      <c r="AX18" s="55" t="str">
        <f t="shared" si="10"/>
        <v/>
      </c>
      <c r="AY18" s="55" t="str">
        <f t="shared" si="10"/>
        <v/>
      </c>
      <c r="AZ18" s="55" t="str">
        <f t="shared" si="10"/>
        <v/>
      </c>
      <c r="BA18" s="55" t="str">
        <f t="shared" si="10"/>
        <v/>
      </c>
      <c r="BB18" s="55" t="str">
        <f t="shared" si="10"/>
        <v/>
      </c>
      <c r="BC18" s="55" t="str">
        <f t="shared" si="10"/>
        <v/>
      </c>
      <c r="BD18" s="55" t="str">
        <f t="shared" si="10"/>
        <v/>
      </c>
      <c r="BE18" s="55" t="str">
        <f t="shared" si="10"/>
        <v/>
      </c>
      <c r="BF18" s="55" t="str">
        <f t="shared" si="10"/>
        <v/>
      </c>
      <c r="BG18" s="55" t="str">
        <f t="shared" si="10"/>
        <v/>
      </c>
      <c r="BH18" s="55" t="str">
        <f t="shared" si="10"/>
        <v/>
      </c>
      <c r="BI18" s="55" t="str">
        <f t="shared" si="10"/>
        <v/>
      </c>
      <c r="BJ18" s="55" t="str">
        <f t="shared" si="10"/>
        <v/>
      </c>
      <c r="BK18" s="55" t="str">
        <f t="shared" si="10"/>
        <v/>
      </c>
      <c r="BL18" s="55" t="str">
        <f t="shared" si="10"/>
        <v/>
      </c>
      <c r="BM18" s="55" t="str">
        <f t="shared" si="10"/>
        <v/>
      </c>
      <c r="BN18" s="55" t="str">
        <f t="shared" si="10"/>
        <v/>
      </c>
      <c r="BO18" s="55" t="str">
        <f t="shared" si="10"/>
        <v/>
      </c>
      <c r="BP18" s="55" t="str">
        <f t="shared" si="10"/>
        <v/>
      </c>
      <c r="BQ18" s="55" t="str">
        <f t="shared" si="10"/>
        <v/>
      </c>
      <c r="BR18" s="55" t="str">
        <f t="shared" si="10"/>
        <v/>
      </c>
      <c r="BS18" s="55" t="str">
        <f t="shared" si="10"/>
        <v/>
      </c>
      <c r="BT18" s="55" t="str">
        <f t="shared" si="10"/>
        <v/>
      </c>
      <c r="BU18" s="55" t="str">
        <f t="shared" si="10"/>
        <v/>
      </c>
      <c r="BV18" s="55" t="str">
        <f t="shared" si="10"/>
        <v/>
      </c>
      <c r="BW18" s="55" t="str">
        <f t="shared" si="10"/>
        <v/>
      </c>
      <c r="BX18" s="55" t="str">
        <f t="shared" si="10"/>
        <v/>
      </c>
      <c r="BY18" s="55" t="str">
        <f t="shared" si="10"/>
        <v/>
      </c>
      <c r="BZ18" s="55" t="str">
        <f t="shared" si="10"/>
        <v/>
      </c>
      <c r="CA18" s="55" t="str">
        <f t="shared" si="10"/>
        <v/>
      </c>
      <c r="CB18" s="55" t="str">
        <f t="shared" si="10"/>
        <v/>
      </c>
      <c r="CC18" s="55" t="str">
        <f t="shared" si="10"/>
        <v/>
      </c>
      <c r="CD18" s="55" t="str">
        <f t="shared" si="10"/>
        <v/>
      </c>
      <c r="CE18" s="55" t="str">
        <f t="shared" si="10"/>
        <v/>
      </c>
      <c r="CF18" s="55" t="str">
        <f t="shared" si="10"/>
        <v/>
      </c>
      <c r="CG18" s="55" t="str">
        <f t="shared" si="10"/>
        <v/>
      </c>
      <c r="CH18" s="55" t="str">
        <f t="shared" si="10"/>
        <v/>
      </c>
      <c r="CI18" s="55" t="str">
        <f t="shared" si="10"/>
        <v/>
      </c>
      <c r="CJ18" s="55" t="str">
        <f t="shared" si="10"/>
        <v/>
      </c>
      <c r="CK18" s="55" t="str">
        <f t="shared" si="4"/>
        <v/>
      </c>
      <c r="CL18" s="55" t="str">
        <f t="shared" si="4"/>
        <v/>
      </c>
      <c r="CM18" s="55" t="str">
        <f t="shared" si="4"/>
        <v/>
      </c>
      <c r="CN18" s="55" t="str">
        <f t="shared" si="4"/>
        <v/>
      </c>
      <c r="CO18" s="55" t="str">
        <f t="shared" si="4"/>
        <v/>
      </c>
      <c r="CP18" s="55" t="str">
        <f t="shared" si="4"/>
        <v/>
      </c>
      <c r="CQ18" s="55" t="str">
        <f t="shared" si="4"/>
        <v/>
      </c>
      <c r="CR18" s="55" t="str">
        <f t="shared" si="4"/>
        <v/>
      </c>
      <c r="CS18" s="55" t="str">
        <f t="shared" si="4"/>
        <v/>
      </c>
      <c r="CT18" s="55" t="str">
        <f t="shared" si="4"/>
        <v/>
      </c>
      <c r="CU18" s="55" t="str">
        <f t="shared" si="4"/>
        <v/>
      </c>
      <c r="CV18" s="55" t="str">
        <f t="shared" si="4"/>
        <v/>
      </c>
      <c r="CW18" s="55" t="str">
        <f t="shared" si="4"/>
        <v/>
      </c>
      <c r="CX18" s="55" t="str">
        <f t="shared" si="4"/>
        <v/>
      </c>
      <c r="CY18" s="55" t="str">
        <f t="shared" si="4"/>
        <v/>
      </c>
      <c r="CZ18" s="55" t="str">
        <f t="shared" si="4"/>
        <v/>
      </c>
      <c r="DA18" s="55" t="str">
        <f t="shared" si="4"/>
        <v/>
      </c>
      <c r="DB18" s="55" t="str">
        <f t="shared" si="4"/>
        <v/>
      </c>
      <c r="DC18" s="55" t="str">
        <f t="shared" si="4"/>
        <v/>
      </c>
      <c r="DD18" s="55" t="str">
        <f t="shared" si="4"/>
        <v/>
      </c>
      <c r="DE18" s="55" t="str">
        <f t="shared" si="4"/>
        <v/>
      </c>
      <c r="DF18" s="55" t="str">
        <f t="shared" si="4"/>
        <v/>
      </c>
      <c r="DG18" s="55" t="str">
        <f t="shared" si="4"/>
        <v/>
      </c>
      <c r="DH18" s="55" t="str">
        <f t="shared" si="4"/>
        <v/>
      </c>
      <c r="DI18" s="55" t="str">
        <f t="shared" si="4"/>
        <v/>
      </c>
      <c r="DJ18" s="55" t="str">
        <f t="shared" si="4"/>
        <v/>
      </c>
      <c r="DK18" s="55" t="str">
        <f t="shared" si="4"/>
        <v/>
      </c>
      <c r="DL18" s="55" t="str">
        <f t="shared" si="4"/>
        <v/>
      </c>
      <c r="DM18" s="55" t="str">
        <f t="shared" si="4"/>
        <v/>
      </c>
      <c r="DN18" s="55" t="str">
        <f t="shared" si="4"/>
        <v/>
      </c>
      <c r="DO18" s="55" t="str">
        <f t="shared" si="4"/>
        <v/>
      </c>
      <c r="DP18" s="55" t="str">
        <f t="shared" si="4"/>
        <v/>
      </c>
      <c r="DQ18" s="55" t="str">
        <f t="shared" si="4"/>
        <v/>
      </c>
      <c r="DR18" s="55" t="str">
        <f t="shared" si="4"/>
        <v/>
      </c>
      <c r="DS18" s="55" t="str">
        <f t="shared" si="4"/>
        <v/>
      </c>
      <c r="DT18" s="106" t="str">
        <f t="shared" si="4"/>
        <v/>
      </c>
      <c r="DU18" s="54"/>
      <c r="DV18" s="25"/>
      <c r="DW18" s="61" t="str">
        <f t="shared" ref="DW18:GH21" si="11">IF($B18=DW$12,$O18,"")</f>
        <v/>
      </c>
      <c r="DX18" s="50" t="str">
        <f t="shared" si="11"/>
        <v/>
      </c>
      <c r="DY18" s="50" t="str">
        <f t="shared" si="11"/>
        <v/>
      </c>
      <c r="DZ18" s="50" t="str">
        <f t="shared" si="11"/>
        <v/>
      </c>
      <c r="EA18" s="50" t="str">
        <f t="shared" si="11"/>
        <v/>
      </c>
      <c r="EB18" s="50" t="str">
        <f t="shared" si="11"/>
        <v/>
      </c>
      <c r="EC18" s="50" t="str">
        <f t="shared" si="11"/>
        <v/>
      </c>
      <c r="ED18" s="50" t="str">
        <f t="shared" si="11"/>
        <v/>
      </c>
      <c r="EE18" s="50" t="str">
        <f t="shared" si="11"/>
        <v/>
      </c>
      <c r="EF18" s="50" t="str">
        <f t="shared" si="11"/>
        <v/>
      </c>
      <c r="EG18" s="50" t="str">
        <f t="shared" si="11"/>
        <v/>
      </c>
      <c r="EH18" s="50" t="str">
        <f t="shared" si="11"/>
        <v/>
      </c>
      <c r="EI18" s="50" t="str">
        <f t="shared" si="11"/>
        <v/>
      </c>
      <c r="EJ18" s="50" t="str">
        <f t="shared" si="11"/>
        <v/>
      </c>
      <c r="EK18" s="50" t="str">
        <f t="shared" si="11"/>
        <v/>
      </c>
      <c r="EL18" s="50" t="str">
        <f t="shared" si="11"/>
        <v/>
      </c>
      <c r="EM18" s="50" t="str">
        <f t="shared" si="11"/>
        <v/>
      </c>
      <c r="EN18" s="50" t="str">
        <f t="shared" si="11"/>
        <v/>
      </c>
      <c r="EO18" s="50" t="str">
        <f t="shared" si="11"/>
        <v/>
      </c>
      <c r="EP18" s="50" t="str">
        <f t="shared" si="11"/>
        <v/>
      </c>
      <c r="EQ18" s="50" t="str">
        <f t="shared" si="11"/>
        <v/>
      </c>
      <c r="ER18" s="50" t="str">
        <f t="shared" si="11"/>
        <v/>
      </c>
      <c r="ES18" s="50" t="str">
        <f t="shared" si="11"/>
        <v/>
      </c>
      <c r="ET18" s="50" t="str">
        <f t="shared" si="11"/>
        <v/>
      </c>
      <c r="EU18" s="50" t="str">
        <f t="shared" si="11"/>
        <v/>
      </c>
      <c r="EV18" s="50" t="str">
        <f t="shared" si="11"/>
        <v/>
      </c>
      <c r="EW18" s="50" t="str">
        <f t="shared" si="11"/>
        <v/>
      </c>
      <c r="EX18" s="50" t="str">
        <f t="shared" si="11"/>
        <v/>
      </c>
      <c r="EY18" s="50" t="str">
        <f t="shared" si="11"/>
        <v/>
      </c>
      <c r="EZ18" s="50" t="str">
        <f t="shared" si="11"/>
        <v/>
      </c>
      <c r="FA18" s="50" t="str">
        <f t="shared" si="11"/>
        <v/>
      </c>
      <c r="FB18" s="50" t="str">
        <f t="shared" si="11"/>
        <v/>
      </c>
      <c r="FC18" s="50" t="str">
        <f t="shared" si="11"/>
        <v/>
      </c>
      <c r="FD18" s="50" t="str">
        <f t="shared" si="11"/>
        <v/>
      </c>
      <c r="FE18" s="50" t="str">
        <f t="shared" si="11"/>
        <v/>
      </c>
      <c r="FF18" s="50" t="str">
        <f t="shared" si="11"/>
        <v/>
      </c>
      <c r="FG18" s="50" t="str">
        <f t="shared" si="11"/>
        <v/>
      </c>
      <c r="FH18" s="50" t="str">
        <f t="shared" si="11"/>
        <v/>
      </c>
      <c r="FI18" s="50" t="str">
        <f t="shared" si="11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si="11"/>
        <v/>
      </c>
      <c r="FV18" s="50" t="str">
        <f t="shared" si="11"/>
        <v/>
      </c>
      <c r="FW18" s="50" t="str">
        <f t="shared" si="11"/>
        <v/>
      </c>
      <c r="FX18" s="50" t="str">
        <f t="shared" si="11"/>
        <v/>
      </c>
      <c r="FY18" s="50" t="str">
        <f t="shared" si="11"/>
        <v/>
      </c>
      <c r="FZ18" s="50" t="str">
        <f t="shared" si="11"/>
        <v/>
      </c>
      <c r="GA18" s="50" t="str">
        <f t="shared" si="11"/>
        <v/>
      </c>
      <c r="GB18" s="50" t="str">
        <f t="shared" si="11"/>
        <v/>
      </c>
      <c r="GC18" s="50" t="str">
        <f t="shared" si="11"/>
        <v/>
      </c>
      <c r="GD18" s="50" t="str">
        <f t="shared" si="11"/>
        <v/>
      </c>
      <c r="GE18" s="50" t="str">
        <f t="shared" si="11"/>
        <v/>
      </c>
      <c r="GF18" s="50" t="str">
        <f t="shared" si="11"/>
        <v/>
      </c>
      <c r="GG18" s="50" t="str">
        <f t="shared" si="11"/>
        <v/>
      </c>
      <c r="GH18" s="50" t="str">
        <f t="shared" si="11"/>
        <v/>
      </c>
      <c r="GI18" s="50" t="str">
        <f t="shared" si="6"/>
        <v/>
      </c>
      <c r="GJ18" s="50" t="str">
        <f t="shared" si="6"/>
        <v/>
      </c>
      <c r="GK18" s="50" t="str">
        <f t="shared" si="6"/>
        <v/>
      </c>
      <c r="GL18" s="50" t="str">
        <f t="shared" si="6"/>
        <v/>
      </c>
      <c r="GM18" s="50" t="str">
        <f t="shared" si="6"/>
        <v/>
      </c>
      <c r="GN18" s="50" t="str">
        <f t="shared" si="6"/>
        <v/>
      </c>
      <c r="GO18" s="50" t="str">
        <f t="shared" si="6"/>
        <v/>
      </c>
      <c r="GP18" s="50" t="str">
        <f t="shared" si="6"/>
        <v/>
      </c>
      <c r="GQ18" s="50" t="str">
        <f t="shared" si="6"/>
        <v/>
      </c>
      <c r="GR18" s="50" t="str">
        <f t="shared" si="6"/>
        <v/>
      </c>
      <c r="GS18" s="50" t="str">
        <f t="shared" si="6"/>
        <v/>
      </c>
      <c r="GT18" s="50" t="str">
        <f t="shared" si="6"/>
        <v/>
      </c>
      <c r="GU18" s="50" t="str">
        <f t="shared" si="6"/>
        <v/>
      </c>
      <c r="GV18" s="50" t="str">
        <f t="shared" si="6"/>
        <v/>
      </c>
      <c r="GW18" s="50" t="str">
        <f t="shared" si="6"/>
        <v/>
      </c>
      <c r="GX18" s="50" t="str">
        <f t="shared" si="6"/>
        <v/>
      </c>
      <c r="GY18" s="50" t="str">
        <f t="shared" si="6"/>
        <v/>
      </c>
      <c r="GZ18" s="50" t="str">
        <f t="shared" si="6"/>
        <v/>
      </c>
      <c r="HA18" s="50" t="str">
        <f t="shared" si="6"/>
        <v/>
      </c>
      <c r="HB18" s="50" t="str">
        <f t="shared" si="6"/>
        <v/>
      </c>
      <c r="HC18" s="50" t="str">
        <f t="shared" si="6"/>
        <v/>
      </c>
      <c r="HD18" s="50" t="str">
        <f t="shared" si="6"/>
        <v/>
      </c>
      <c r="HE18" s="50" t="str">
        <f t="shared" si="6"/>
        <v/>
      </c>
      <c r="HF18" s="50" t="str">
        <f t="shared" si="6"/>
        <v/>
      </c>
      <c r="HG18" s="50" t="str">
        <f t="shared" si="6"/>
        <v/>
      </c>
      <c r="HH18" s="50" t="str">
        <f t="shared" si="6"/>
        <v/>
      </c>
      <c r="HI18" s="50" t="str">
        <f t="shared" si="6"/>
        <v/>
      </c>
      <c r="HJ18" s="50" t="str">
        <f t="shared" si="6"/>
        <v/>
      </c>
      <c r="HK18" s="50" t="str">
        <f t="shared" si="6"/>
        <v/>
      </c>
      <c r="HL18" s="50" t="str">
        <f t="shared" si="6"/>
        <v/>
      </c>
      <c r="HM18" s="50" t="str">
        <f t="shared" si="6"/>
        <v/>
      </c>
      <c r="HN18" s="50" t="str">
        <f t="shared" si="6"/>
        <v/>
      </c>
      <c r="HO18" s="50" t="str">
        <f t="shared" si="6"/>
        <v/>
      </c>
      <c r="HP18" s="50" t="str">
        <f t="shared" si="6"/>
        <v/>
      </c>
      <c r="HQ18" s="50" t="str">
        <f t="shared" si="6"/>
        <v/>
      </c>
      <c r="HR18" s="112" t="str">
        <f t="shared" si="6"/>
        <v/>
      </c>
    </row>
    <row r="19" spans="1:226" ht="11.1" customHeight="1" x14ac:dyDescent="0.25">
      <c r="A19" s="26"/>
      <c r="B19" s="145"/>
      <c r="C19" s="28" t="str">
        <f>IF(A19=0,"",VLOOKUP(A19,[2]CO!$A$3:$F$5327,2,0))</f>
        <v/>
      </c>
      <c r="D19" s="149" t="s">
        <v>34</v>
      </c>
      <c r="E19" s="29"/>
      <c r="F19" s="29"/>
      <c r="G19" s="30" t="str">
        <f>IF(A19=0,"",VLOOKUP(A19,[2]CO!$A$3:$F$5327,3,0))</f>
        <v/>
      </c>
      <c r="H19" s="142"/>
      <c r="I19" s="143"/>
      <c r="J19" s="143"/>
      <c r="K19" s="143"/>
      <c r="L19" s="143"/>
      <c r="M19" s="32" t="str">
        <f t="shared" si="0"/>
        <v/>
      </c>
      <c r="N19" s="32" t="str">
        <f>IF(B19=0,"",IF(H19="M",HLOOKUP(B19,$Y$12:$DT$13,2),IF(A19=0,"",VLOOKUP(A19,[2]CO!$A$3:$F$5327,4,0))))</f>
        <v/>
      </c>
      <c r="O19" s="32" t="str">
        <f t="shared" si="7"/>
        <v/>
      </c>
      <c r="P19" s="33"/>
      <c r="Q19" s="34" t="str">
        <f t="shared" si="1"/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RESIDENTE"),VLOOKUP(B19,P$14:Q$77,2),"")*S19)</f>
        <v/>
      </c>
      <c r="T19" s="53" t="str">
        <f>IF(A19=0,"",VLOOKUP(A19,[2]CO!$A$3:$F$5318,5,0))</f>
        <v/>
      </c>
      <c r="U19" s="54">
        <f t="shared" si="2"/>
        <v>0</v>
      </c>
      <c r="V19" s="24"/>
      <c r="W19" s="25"/>
      <c r="X19" s="25"/>
      <c r="Y19" s="64" t="str">
        <f t="shared" si="10"/>
        <v/>
      </c>
      <c r="Z19" s="55" t="str">
        <f t="shared" si="10"/>
        <v/>
      </c>
      <c r="AA19" s="55" t="str">
        <f t="shared" si="10"/>
        <v/>
      </c>
      <c r="AB19" s="55" t="str">
        <f t="shared" si="10"/>
        <v/>
      </c>
      <c r="AC19" s="55" t="str">
        <f t="shared" si="10"/>
        <v/>
      </c>
      <c r="AD19" s="55" t="str">
        <f t="shared" si="10"/>
        <v/>
      </c>
      <c r="AE19" s="55" t="str">
        <f t="shared" si="10"/>
        <v/>
      </c>
      <c r="AF19" s="55" t="str">
        <f t="shared" si="10"/>
        <v/>
      </c>
      <c r="AG19" s="55" t="str">
        <f t="shared" si="10"/>
        <v/>
      </c>
      <c r="AH19" s="55" t="str">
        <f t="shared" si="10"/>
        <v/>
      </c>
      <c r="AI19" s="55" t="str">
        <f t="shared" si="10"/>
        <v/>
      </c>
      <c r="AJ19" s="55" t="str">
        <f t="shared" si="10"/>
        <v/>
      </c>
      <c r="AK19" s="55" t="str">
        <f t="shared" si="10"/>
        <v/>
      </c>
      <c r="AL19" s="55" t="str">
        <f t="shared" si="10"/>
        <v/>
      </c>
      <c r="AM19" s="55" t="str">
        <f t="shared" si="10"/>
        <v/>
      </c>
      <c r="AN19" s="55" t="str">
        <f t="shared" si="10"/>
        <v/>
      </c>
      <c r="AO19" s="55" t="str">
        <f t="shared" si="10"/>
        <v/>
      </c>
      <c r="AP19" s="55" t="str">
        <f t="shared" si="10"/>
        <v/>
      </c>
      <c r="AQ19" s="55" t="str">
        <f t="shared" si="10"/>
        <v/>
      </c>
      <c r="AR19" s="55" t="str">
        <f t="shared" si="10"/>
        <v/>
      </c>
      <c r="AS19" s="55" t="str">
        <f t="shared" si="10"/>
        <v/>
      </c>
      <c r="AT19" s="55" t="str">
        <f t="shared" si="10"/>
        <v/>
      </c>
      <c r="AU19" s="55" t="str">
        <f t="shared" si="10"/>
        <v/>
      </c>
      <c r="AV19" s="55" t="str">
        <f t="shared" si="10"/>
        <v/>
      </c>
      <c r="AW19" s="55" t="str">
        <f t="shared" si="10"/>
        <v/>
      </c>
      <c r="AX19" s="55" t="str">
        <f t="shared" si="10"/>
        <v/>
      </c>
      <c r="AY19" s="55" t="str">
        <f t="shared" si="10"/>
        <v/>
      </c>
      <c r="AZ19" s="55" t="str">
        <f t="shared" si="10"/>
        <v/>
      </c>
      <c r="BA19" s="55" t="str">
        <f t="shared" si="10"/>
        <v/>
      </c>
      <c r="BB19" s="55" t="str">
        <f t="shared" si="10"/>
        <v/>
      </c>
      <c r="BC19" s="55" t="str">
        <f t="shared" si="10"/>
        <v/>
      </c>
      <c r="BD19" s="55" t="str">
        <f t="shared" si="10"/>
        <v/>
      </c>
      <c r="BE19" s="55" t="str">
        <f t="shared" si="10"/>
        <v/>
      </c>
      <c r="BF19" s="55" t="str">
        <f t="shared" si="10"/>
        <v/>
      </c>
      <c r="BG19" s="55" t="str">
        <f t="shared" si="10"/>
        <v/>
      </c>
      <c r="BH19" s="55" t="str">
        <f t="shared" si="10"/>
        <v/>
      </c>
      <c r="BI19" s="55" t="str">
        <f t="shared" si="10"/>
        <v/>
      </c>
      <c r="BJ19" s="55" t="str">
        <f t="shared" si="10"/>
        <v/>
      </c>
      <c r="BK19" s="55" t="str">
        <f t="shared" si="10"/>
        <v/>
      </c>
      <c r="BL19" s="55" t="str">
        <f t="shared" si="10"/>
        <v/>
      </c>
      <c r="BM19" s="55" t="str">
        <f t="shared" si="10"/>
        <v/>
      </c>
      <c r="BN19" s="55" t="str">
        <f t="shared" si="10"/>
        <v/>
      </c>
      <c r="BO19" s="55" t="str">
        <f t="shared" si="10"/>
        <v/>
      </c>
      <c r="BP19" s="55" t="str">
        <f t="shared" si="10"/>
        <v/>
      </c>
      <c r="BQ19" s="55" t="str">
        <f t="shared" si="10"/>
        <v/>
      </c>
      <c r="BR19" s="55" t="str">
        <f t="shared" si="10"/>
        <v/>
      </c>
      <c r="BS19" s="55" t="str">
        <f t="shared" si="10"/>
        <v/>
      </c>
      <c r="BT19" s="55" t="str">
        <f t="shared" si="10"/>
        <v/>
      </c>
      <c r="BU19" s="55" t="str">
        <f t="shared" si="10"/>
        <v/>
      </c>
      <c r="BV19" s="55" t="str">
        <f t="shared" si="10"/>
        <v/>
      </c>
      <c r="BW19" s="55" t="str">
        <f t="shared" si="10"/>
        <v/>
      </c>
      <c r="BX19" s="55" t="str">
        <f t="shared" si="10"/>
        <v/>
      </c>
      <c r="BY19" s="55" t="str">
        <f t="shared" si="10"/>
        <v/>
      </c>
      <c r="BZ19" s="55" t="str">
        <f t="shared" si="10"/>
        <v/>
      </c>
      <c r="CA19" s="55" t="str">
        <f t="shared" si="10"/>
        <v/>
      </c>
      <c r="CB19" s="55" t="str">
        <f t="shared" si="10"/>
        <v/>
      </c>
      <c r="CC19" s="55" t="str">
        <f t="shared" si="10"/>
        <v/>
      </c>
      <c r="CD19" s="55" t="str">
        <f t="shared" si="10"/>
        <v/>
      </c>
      <c r="CE19" s="55" t="str">
        <f t="shared" si="10"/>
        <v/>
      </c>
      <c r="CF19" s="55" t="str">
        <f t="shared" si="10"/>
        <v/>
      </c>
      <c r="CG19" s="55" t="str">
        <f t="shared" si="10"/>
        <v/>
      </c>
      <c r="CH19" s="55" t="str">
        <f t="shared" si="10"/>
        <v/>
      </c>
      <c r="CI19" s="55" t="str">
        <f t="shared" si="10"/>
        <v/>
      </c>
      <c r="CJ19" s="55" t="str">
        <f t="shared" si="10"/>
        <v/>
      </c>
      <c r="CK19" s="55" t="str">
        <f t="shared" si="4"/>
        <v/>
      </c>
      <c r="CL19" s="55" t="str">
        <f t="shared" si="4"/>
        <v/>
      </c>
      <c r="CM19" s="55" t="str">
        <f t="shared" si="4"/>
        <v/>
      </c>
      <c r="CN19" s="55" t="str">
        <f t="shared" si="4"/>
        <v/>
      </c>
      <c r="CO19" s="55" t="str">
        <f t="shared" si="4"/>
        <v/>
      </c>
      <c r="CP19" s="55" t="str">
        <f t="shared" si="4"/>
        <v/>
      </c>
      <c r="CQ19" s="55" t="str">
        <f t="shared" si="4"/>
        <v/>
      </c>
      <c r="CR19" s="55" t="str">
        <f t="shared" si="4"/>
        <v/>
      </c>
      <c r="CS19" s="55" t="str">
        <f t="shared" si="4"/>
        <v/>
      </c>
      <c r="CT19" s="55" t="str">
        <f t="shared" si="4"/>
        <v/>
      </c>
      <c r="CU19" s="55" t="str">
        <f t="shared" si="4"/>
        <v/>
      </c>
      <c r="CV19" s="55" t="str">
        <f t="shared" si="4"/>
        <v/>
      </c>
      <c r="CW19" s="55" t="str">
        <f t="shared" si="4"/>
        <v/>
      </c>
      <c r="CX19" s="55" t="str">
        <f t="shared" si="4"/>
        <v/>
      </c>
      <c r="CY19" s="55" t="str">
        <f t="shared" si="4"/>
        <v/>
      </c>
      <c r="CZ19" s="55" t="str">
        <f t="shared" si="4"/>
        <v/>
      </c>
      <c r="DA19" s="55" t="str">
        <f t="shared" si="4"/>
        <v/>
      </c>
      <c r="DB19" s="55" t="str">
        <f t="shared" si="4"/>
        <v/>
      </c>
      <c r="DC19" s="55" t="str">
        <f t="shared" si="4"/>
        <v/>
      </c>
      <c r="DD19" s="55" t="str">
        <f t="shared" si="4"/>
        <v/>
      </c>
      <c r="DE19" s="55" t="str">
        <f t="shared" si="4"/>
        <v/>
      </c>
      <c r="DF19" s="55" t="str">
        <f t="shared" si="4"/>
        <v/>
      </c>
      <c r="DG19" s="55" t="str">
        <f t="shared" si="4"/>
        <v/>
      </c>
      <c r="DH19" s="55" t="str">
        <f t="shared" si="4"/>
        <v/>
      </c>
      <c r="DI19" s="55" t="str">
        <f t="shared" si="4"/>
        <v/>
      </c>
      <c r="DJ19" s="55" t="str">
        <f t="shared" si="4"/>
        <v/>
      </c>
      <c r="DK19" s="55" t="str">
        <f t="shared" si="4"/>
        <v/>
      </c>
      <c r="DL19" s="55" t="str">
        <f t="shared" si="4"/>
        <v/>
      </c>
      <c r="DM19" s="55" t="str">
        <f t="shared" si="4"/>
        <v/>
      </c>
      <c r="DN19" s="55" t="str">
        <f t="shared" si="4"/>
        <v/>
      </c>
      <c r="DO19" s="55" t="str">
        <f t="shared" si="4"/>
        <v/>
      </c>
      <c r="DP19" s="55" t="str">
        <f t="shared" si="4"/>
        <v/>
      </c>
      <c r="DQ19" s="55" t="str">
        <f t="shared" si="4"/>
        <v/>
      </c>
      <c r="DR19" s="55" t="str">
        <f t="shared" si="4"/>
        <v/>
      </c>
      <c r="DS19" s="55" t="str">
        <f t="shared" si="4"/>
        <v/>
      </c>
      <c r="DT19" s="106" t="str">
        <f t="shared" si="4"/>
        <v/>
      </c>
      <c r="DU19" s="54"/>
      <c r="DV19" s="25"/>
      <c r="DW19" s="61" t="str">
        <f t="shared" si="11"/>
        <v/>
      </c>
      <c r="DX19" s="50" t="str">
        <f t="shared" si="11"/>
        <v/>
      </c>
      <c r="DY19" s="50" t="str">
        <f t="shared" si="11"/>
        <v/>
      </c>
      <c r="DZ19" s="50" t="str">
        <f t="shared" si="11"/>
        <v/>
      </c>
      <c r="EA19" s="50" t="str">
        <f t="shared" si="11"/>
        <v/>
      </c>
      <c r="EB19" s="50" t="str">
        <f t="shared" si="11"/>
        <v/>
      </c>
      <c r="EC19" s="50" t="str">
        <f t="shared" si="11"/>
        <v/>
      </c>
      <c r="ED19" s="50" t="str">
        <f t="shared" si="11"/>
        <v/>
      </c>
      <c r="EE19" s="50" t="str">
        <f t="shared" si="11"/>
        <v/>
      </c>
      <c r="EF19" s="50" t="str">
        <f t="shared" si="11"/>
        <v/>
      </c>
      <c r="EG19" s="50" t="str">
        <f t="shared" si="11"/>
        <v/>
      </c>
      <c r="EH19" s="50" t="str">
        <f t="shared" si="11"/>
        <v/>
      </c>
      <c r="EI19" s="50" t="str">
        <f t="shared" si="11"/>
        <v/>
      </c>
      <c r="EJ19" s="50" t="str">
        <f t="shared" si="11"/>
        <v/>
      </c>
      <c r="EK19" s="50" t="str">
        <f t="shared" si="11"/>
        <v/>
      </c>
      <c r="EL19" s="50" t="str">
        <f t="shared" si="11"/>
        <v/>
      </c>
      <c r="EM19" s="50" t="str">
        <f t="shared" si="11"/>
        <v/>
      </c>
      <c r="EN19" s="50" t="str">
        <f t="shared" si="11"/>
        <v/>
      </c>
      <c r="EO19" s="50" t="str">
        <f t="shared" si="11"/>
        <v/>
      </c>
      <c r="EP19" s="50" t="str">
        <f t="shared" si="11"/>
        <v/>
      </c>
      <c r="EQ19" s="50" t="str">
        <f t="shared" si="11"/>
        <v/>
      </c>
      <c r="ER19" s="50" t="str">
        <f t="shared" si="11"/>
        <v/>
      </c>
      <c r="ES19" s="50" t="str">
        <f t="shared" si="11"/>
        <v/>
      </c>
      <c r="ET19" s="50" t="str">
        <f t="shared" si="11"/>
        <v/>
      </c>
      <c r="EU19" s="50" t="str">
        <f t="shared" si="11"/>
        <v/>
      </c>
      <c r="EV19" s="50" t="str">
        <f t="shared" si="11"/>
        <v/>
      </c>
      <c r="EW19" s="50" t="str">
        <f t="shared" si="11"/>
        <v/>
      </c>
      <c r="EX19" s="50" t="str">
        <f t="shared" si="11"/>
        <v/>
      </c>
      <c r="EY19" s="50" t="str">
        <f t="shared" si="11"/>
        <v/>
      </c>
      <c r="EZ19" s="50" t="str">
        <f t="shared" si="11"/>
        <v/>
      </c>
      <c r="FA19" s="50" t="str">
        <f t="shared" si="11"/>
        <v/>
      </c>
      <c r="FB19" s="50" t="str">
        <f t="shared" si="11"/>
        <v/>
      </c>
      <c r="FC19" s="50" t="str">
        <f t="shared" si="11"/>
        <v/>
      </c>
      <c r="FD19" s="50" t="str">
        <f t="shared" si="11"/>
        <v/>
      </c>
      <c r="FE19" s="50" t="str">
        <f t="shared" si="11"/>
        <v/>
      </c>
      <c r="FF19" s="50" t="str">
        <f t="shared" si="11"/>
        <v/>
      </c>
      <c r="FG19" s="50" t="str">
        <f t="shared" si="11"/>
        <v/>
      </c>
      <c r="FH19" s="50" t="str">
        <f t="shared" si="11"/>
        <v/>
      </c>
      <c r="FI19" s="50" t="str">
        <f t="shared" si="11"/>
        <v/>
      </c>
      <c r="FJ19" s="50" t="str">
        <f t="shared" si="11"/>
        <v/>
      </c>
      <c r="FK19" s="50" t="str">
        <f t="shared" si="11"/>
        <v/>
      </c>
      <c r="FL19" s="50" t="str">
        <f t="shared" si="11"/>
        <v/>
      </c>
      <c r="FM19" s="50" t="str">
        <f t="shared" si="11"/>
        <v/>
      </c>
      <c r="FN19" s="50" t="str">
        <f t="shared" si="11"/>
        <v/>
      </c>
      <c r="FO19" s="50" t="str">
        <f t="shared" si="11"/>
        <v/>
      </c>
      <c r="FP19" s="50" t="str">
        <f t="shared" si="11"/>
        <v/>
      </c>
      <c r="FQ19" s="50" t="str">
        <f t="shared" si="11"/>
        <v/>
      </c>
      <c r="FR19" s="50" t="str">
        <f t="shared" si="11"/>
        <v/>
      </c>
      <c r="FS19" s="50" t="str">
        <f t="shared" si="11"/>
        <v/>
      </c>
      <c r="FT19" s="50" t="str">
        <f t="shared" si="11"/>
        <v/>
      </c>
      <c r="FU19" s="50" t="str">
        <f t="shared" si="11"/>
        <v/>
      </c>
      <c r="FV19" s="50" t="str">
        <f t="shared" si="11"/>
        <v/>
      </c>
      <c r="FW19" s="50" t="str">
        <f t="shared" si="11"/>
        <v/>
      </c>
      <c r="FX19" s="50" t="str">
        <f t="shared" si="11"/>
        <v/>
      </c>
      <c r="FY19" s="50" t="str">
        <f t="shared" si="11"/>
        <v/>
      </c>
      <c r="FZ19" s="50" t="str">
        <f t="shared" si="11"/>
        <v/>
      </c>
      <c r="GA19" s="50" t="str">
        <f t="shared" si="11"/>
        <v/>
      </c>
      <c r="GB19" s="50" t="str">
        <f t="shared" si="11"/>
        <v/>
      </c>
      <c r="GC19" s="50" t="str">
        <f t="shared" si="11"/>
        <v/>
      </c>
      <c r="GD19" s="50" t="str">
        <f t="shared" si="11"/>
        <v/>
      </c>
      <c r="GE19" s="50" t="str">
        <f t="shared" si="11"/>
        <v/>
      </c>
      <c r="GF19" s="50" t="str">
        <f t="shared" si="11"/>
        <v/>
      </c>
      <c r="GG19" s="50" t="str">
        <f t="shared" si="11"/>
        <v/>
      </c>
      <c r="GH19" s="50" t="str">
        <f t="shared" si="11"/>
        <v/>
      </c>
      <c r="GI19" s="50" t="str">
        <f t="shared" si="6"/>
        <v/>
      </c>
      <c r="GJ19" s="50" t="str">
        <f t="shared" si="6"/>
        <v/>
      </c>
      <c r="GK19" s="50" t="str">
        <f t="shared" si="6"/>
        <v/>
      </c>
      <c r="GL19" s="50" t="str">
        <f t="shared" si="6"/>
        <v/>
      </c>
      <c r="GM19" s="50" t="str">
        <f t="shared" si="6"/>
        <v/>
      </c>
      <c r="GN19" s="50" t="str">
        <f t="shared" si="6"/>
        <v/>
      </c>
      <c r="GO19" s="50" t="str">
        <f t="shared" si="6"/>
        <v/>
      </c>
      <c r="GP19" s="50" t="str">
        <f t="shared" si="6"/>
        <v/>
      </c>
      <c r="GQ19" s="50" t="str">
        <f t="shared" si="6"/>
        <v/>
      </c>
      <c r="GR19" s="50" t="str">
        <f t="shared" si="6"/>
        <v/>
      </c>
      <c r="GS19" s="50" t="str">
        <f t="shared" si="6"/>
        <v/>
      </c>
      <c r="GT19" s="50" t="str">
        <f t="shared" si="6"/>
        <v/>
      </c>
      <c r="GU19" s="50" t="str">
        <f t="shared" si="6"/>
        <v/>
      </c>
      <c r="GV19" s="50" t="str">
        <f t="shared" si="6"/>
        <v/>
      </c>
      <c r="GW19" s="50" t="str">
        <f t="shared" si="6"/>
        <v/>
      </c>
      <c r="GX19" s="50" t="str">
        <f t="shared" si="6"/>
        <v/>
      </c>
      <c r="GY19" s="50" t="str">
        <f t="shared" si="6"/>
        <v/>
      </c>
      <c r="GZ19" s="50" t="str">
        <f t="shared" si="6"/>
        <v/>
      </c>
      <c r="HA19" s="50" t="str">
        <f t="shared" si="6"/>
        <v/>
      </c>
      <c r="HB19" s="50" t="str">
        <f t="shared" si="6"/>
        <v/>
      </c>
      <c r="HC19" s="50" t="str">
        <f t="shared" si="6"/>
        <v/>
      </c>
      <c r="HD19" s="50" t="str">
        <f t="shared" si="6"/>
        <v/>
      </c>
      <c r="HE19" s="50" t="str">
        <f t="shared" si="6"/>
        <v/>
      </c>
      <c r="HF19" s="50" t="str">
        <f t="shared" si="6"/>
        <v/>
      </c>
      <c r="HG19" s="50" t="str">
        <f t="shared" si="6"/>
        <v/>
      </c>
      <c r="HH19" s="50" t="str">
        <f t="shared" si="6"/>
        <v/>
      </c>
      <c r="HI19" s="50" t="str">
        <f t="shared" si="6"/>
        <v/>
      </c>
      <c r="HJ19" s="50" t="str">
        <f t="shared" si="6"/>
        <v/>
      </c>
      <c r="HK19" s="50" t="str">
        <f t="shared" si="6"/>
        <v/>
      </c>
      <c r="HL19" s="50" t="str">
        <f t="shared" si="6"/>
        <v/>
      </c>
      <c r="HM19" s="50" t="str">
        <f t="shared" si="6"/>
        <v/>
      </c>
      <c r="HN19" s="50" t="str">
        <f t="shared" si="6"/>
        <v/>
      </c>
      <c r="HO19" s="50" t="str">
        <f t="shared" si="6"/>
        <v/>
      </c>
      <c r="HP19" s="50" t="str">
        <f t="shared" si="6"/>
        <v/>
      </c>
      <c r="HQ19" s="50" t="str">
        <f t="shared" si="6"/>
        <v/>
      </c>
      <c r="HR19" s="112" t="str">
        <f t="shared" si="6"/>
        <v/>
      </c>
    </row>
    <row r="20" spans="1:226" ht="11.1" customHeight="1" x14ac:dyDescent="0.25">
      <c r="A20" s="26"/>
      <c r="B20" s="145"/>
      <c r="C20" s="28" t="str">
        <f>IF(A20=0,"",VLOOKUP(A20,[2]CO!$A$3:$F$5327,2,0))</f>
        <v/>
      </c>
      <c r="D20" s="149"/>
      <c r="E20" s="29"/>
      <c r="F20" s="29"/>
      <c r="G20" s="30" t="str">
        <f>IF(A20=0,"",VLOOKUP(A20,[2]CO!$A$3:$F$5327,3,0))</f>
        <v/>
      </c>
      <c r="H20" s="142"/>
      <c r="I20" s="143"/>
      <c r="J20" s="143"/>
      <c r="K20" s="143"/>
      <c r="L20" s="143"/>
      <c r="M20" s="32" t="str">
        <f t="shared" si="0"/>
        <v/>
      </c>
      <c r="N20" s="32" t="str">
        <f>IF(B20=0,"",IF(H20="M",HLOOKUP(B20,$Y$12:$DT$13,2),IF(A20=0,"",VLOOKUP(A20,[2]CO!$A$3:$F$5327,4,0))))</f>
        <v/>
      </c>
      <c r="O20" s="32" t="str">
        <f t="shared" si="7"/>
        <v/>
      </c>
      <c r="P20" s="33"/>
      <c r="Q20" s="34" t="str">
        <f t="shared" si="1"/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RESIDENTE"),VLOOKUP(B20,P$14:Q$77,2),"")*S20)</f>
        <v/>
      </c>
      <c r="T20" s="53" t="str">
        <f>IF(A20=0,"",VLOOKUP(A20,[2]CO!$A$3:$F$5318,5,0))</f>
        <v/>
      </c>
      <c r="U20" s="54">
        <f t="shared" si="2"/>
        <v>0</v>
      </c>
      <c r="V20" s="24"/>
      <c r="W20" s="25"/>
      <c r="X20" s="25"/>
      <c r="Y20" s="64" t="str">
        <f t="shared" si="10"/>
        <v/>
      </c>
      <c r="Z20" s="55" t="str">
        <f t="shared" si="10"/>
        <v/>
      </c>
      <c r="AA20" s="55" t="str">
        <f t="shared" si="10"/>
        <v/>
      </c>
      <c r="AB20" s="55" t="str">
        <f t="shared" si="10"/>
        <v/>
      </c>
      <c r="AC20" s="55" t="str">
        <f t="shared" si="10"/>
        <v/>
      </c>
      <c r="AD20" s="55" t="str">
        <f t="shared" si="10"/>
        <v/>
      </c>
      <c r="AE20" s="55" t="str">
        <f t="shared" si="10"/>
        <v/>
      </c>
      <c r="AF20" s="55" t="str">
        <f t="shared" si="10"/>
        <v/>
      </c>
      <c r="AG20" s="55" t="str">
        <f t="shared" si="10"/>
        <v/>
      </c>
      <c r="AH20" s="55" t="str">
        <f t="shared" si="10"/>
        <v/>
      </c>
      <c r="AI20" s="55" t="str">
        <f t="shared" si="10"/>
        <v/>
      </c>
      <c r="AJ20" s="55" t="str">
        <f t="shared" si="10"/>
        <v/>
      </c>
      <c r="AK20" s="55" t="str">
        <f t="shared" si="10"/>
        <v/>
      </c>
      <c r="AL20" s="55" t="str">
        <f t="shared" si="10"/>
        <v/>
      </c>
      <c r="AM20" s="55" t="str">
        <f t="shared" si="10"/>
        <v/>
      </c>
      <c r="AN20" s="55" t="str">
        <f t="shared" si="10"/>
        <v/>
      </c>
      <c r="AO20" s="55" t="str">
        <f t="shared" si="10"/>
        <v/>
      </c>
      <c r="AP20" s="55" t="str">
        <f t="shared" si="10"/>
        <v/>
      </c>
      <c r="AQ20" s="55" t="str">
        <f t="shared" si="10"/>
        <v/>
      </c>
      <c r="AR20" s="55" t="str">
        <f t="shared" si="10"/>
        <v/>
      </c>
      <c r="AS20" s="55" t="str">
        <f t="shared" si="10"/>
        <v/>
      </c>
      <c r="AT20" s="55" t="str">
        <f t="shared" si="10"/>
        <v/>
      </c>
      <c r="AU20" s="55" t="str">
        <f t="shared" si="10"/>
        <v/>
      </c>
      <c r="AV20" s="55" t="str">
        <f t="shared" si="10"/>
        <v/>
      </c>
      <c r="AW20" s="55" t="str">
        <f t="shared" si="10"/>
        <v/>
      </c>
      <c r="AX20" s="55" t="str">
        <f t="shared" si="10"/>
        <v/>
      </c>
      <c r="AY20" s="55" t="str">
        <f t="shared" si="10"/>
        <v/>
      </c>
      <c r="AZ20" s="55" t="str">
        <f t="shared" si="10"/>
        <v/>
      </c>
      <c r="BA20" s="55" t="str">
        <f t="shared" si="10"/>
        <v/>
      </c>
      <c r="BB20" s="55" t="str">
        <f t="shared" si="10"/>
        <v/>
      </c>
      <c r="BC20" s="55" t="str">
        <f t="shared" si="10"/>
        <v/>
      </c>
      <c r="BD20" s="55" t="str">
        <f t="shared" si="10"/>
        <v/>
      </c>
      <c r="BE20" s="55" t="str">
        <f t="shared" si="10"/>
        <v/>
      </c>
      <c r="BF20" s="55" t="str">
        <f t="shared" si="10"/>
        <v/>
      </c>
      <c r="BG20" s="55" t="str">
        <f t="shared" si="10"/>
        <v/>
      </c>
      <c r="BH20" s="55" t="str">
        <f t="shared" si="10"/>
        <v/>
      </c>
      <c r="BI20" s="55" t="str">
        <f t="shared" si="10"/>
        <v/>
      </c>
      <c r="BJ20" s="55" t="str">
        <f t="shared" si="10"/>
        <v/>
      </c>
      <c r="BK20" s="55" t="str">
        <f t="shared" si="10"/>
        <v/>
      </c>
      <c r="BL20" s="55" t="str">
        <f t="shared" si="10"/>
        <v/>
      </c>
      <c r="BM20" s="55" t="str">
        <f t="shared" si="10"/>
        <v/>
      </c>
      <c r="BN20" s="55" t="str">
        <f t="shared" si="10"/>
        <v/>
      </c>
      <c r="BO20" s="55" t="str">
        <f t="shared" si="10"/>
        <v/>
      </c>
      <c r="BP20" s="55" t="str">
        <f t="shared" si="10"/>
        <v/>
      </c>
      <c r="BQ20" s="55" t="str">
        <f t="shared" si="10"/>
        <v/>
      </c>
      <c r="BR20" s="55" t="str">
        <f t="shared" si="10"/>
        <v/>
      </c>
      <c r="BS20" s="55" t="str">
        <f t="shared" si="10"/>
        <v/>
      </c>
      <c r="BT20" s="55" t="str">
        <f t="shared" si="10"/>
        <v/>
      </c>
      <c r="BU20" s="55" t="str">
        <f t="shared" si="10"/>
        <v/>
      </c>
      <c r="BV20" s="55" t="str">
        <f t="shared" si="10"/>
        <v/>
      </c>
      <c r="BW20" s="55" t="str">
        <f t="shared" si="10"/>
        <v/>
      </c>
      <c r="BX20" s="55" t="str">
        <f t="shared" si="10"/>
        <v/>
      </c>
      <c r="BY20" s="55" t="str">
        <f t="shared" si="10"/>
        <v/>
      </c>
      <c r="BZ20" s="55" t="str">
        <f t="shared" si="10"/>
        <v/>
      </c>
      <c r="CA20" s="55" t="str">
        <f t="shared" si="10"/>
        <v/>
      </c>
      <c r="CB20" s="55" t="str">
        <f t="shared" si="10"/>
        <v/>
      </c>
      <c r="CC20" s="55" t="str">
        <f t="shared" si="10"/>
        <v/>
      </c>
      <c r="CD20" s="55" t="str">
        <f t="shared" si="10"/>
        <v/>
      </c>
      <c r="CE20" s="55" t="str">
        <f t="shared" si="10"/>
        <v/>
      </c>
      <c r="CF20" s="55" t="str">
        <f t="shared" si="10"/>
        <v/>
      </c>
      <c r="CG20" s="55" t="str">
        <f t="shared" si="10"/>
        <v/>
      </c>
      <c r="CH20" s="55" t="str">
        <f t="shared" si="10"/>
        <v/>
      </c>
      <c r="CI20" s="55" t="str">
        <f t="shared" si="10"/>
        <v/>
      </c>
      <c r="CJ20" s="55" t="str">
        <f t="shared" si="10"/>
        <v/>
      </c>
      <c r="CK20" s="55" t="str">
        <f t="shared" si="4"/>
        <v/>
      </c>
      <c r="CL20" s="55" t="str">
        <f t="shared" si="4"/>
        <v/>
      </c>
      <c r="CM20" s="55" t="str">
        <f t="shared" si="4"/>
        <v/>
      </c>
      <c r="CN20" s="55" t="str">
        <f t="shared" si="4"/>
        <v/>
      </c>
      <c r="CO20" s="55" t="str">
        <f t="shared" si="4"/>
        <v/>
      </c>
      <c r="CP20" s="55" t="str">
        <f t="shared" si="4"/>
        <v/>
      </c>
      <c r="CQ20" s="55" t="str">
        <f t="shared" si="4"/>
        <v/>
      </c>
      <c r="CR20" s="55" t="str">
        <f t="shared" si="4"/>
        <v/>
      </c>
      <c r="CS20" s="55" t="str">
        <f t="shared" si="4"/>
        <v/>
      </c>
      <c r="CT20" s="55" t="str">
        <f t="shared" si="4"/>
        <v/>
      </c>
      <c r="CU20" s="55" t="str">
        <f t="shared" si="4"/>
        <v/>
      </c>
      <c r="CV20" s="55" t="str">
        <f t="shared" si="4"/>
        <v/>
      </c>
      <c r="CW20" s="55" t="str">
        <f t="shared" si="4"/>
        <v/>
      </c>
      <c r="CX20" s="55" t="str">
        <f t="shared" si="4"/>
        <v/>
      </c>
      <c r="CY20" s="55" t="str">
        <f t="shared" si="4"/>
        <v/>
      </c>
      <c r="CZ20" s="55" t="str">
        <f t="shared" si="4"/>
        <v/>
      </c>
      <c r="DA20" s="55" t="str">
        <f t="shared" si="4"/>
        <v/>
      </c>
      <c r="DB20" s="55" t="str">
        <f t="shared" si="4"/>
        <v/>
      </c>
      <c r="DC20" s="55" t="str">
        <f t="shared" si="4"/>
        <v/>
      </c>
      <c r="DD20" s="55" t="str">
        <f t="shared" si="4"/>
        <v/>
      </c>
      <c r="DE20" s="55" t="str">
        <f t="shared" si="4"/>
        <v/>
      </c>
      <c r="DF20" s="55" t="str">
        <f t="shared" si="4"/>
        <v/>
      </c>
      <c r="DG20" s="55" t="str">
        <f t="shared" si="4"/>
        <v/>
      </c>
      <c r="DH20" s="55" t="str">
        <f t="shared" si="4"/>
        <v/>
      </c>
      <c r="DI20" s="55" t="str">
        <f t="shared" si="4"/>
        <v/>
      </c>
      <c r="DJ20" s="55" t="str">
        <f t="shared" si="4"/>
        <v/>
      </c>
      <c r="DK20" s="55" t="str">
        <f t="shared" si="4"/>
        <v/>
      </c>
      <c r="DL20" s="55" t="str">
        <f t="shared" si="4"/>
        <v/>
      </c>
      <c r="DM20" s="55" t="str">
        <f t="shared" si="4"/>
        <v/>
      </c>
      <c r="DN20" s="55" t="str">
        <f t="shared" si="4"/>
        <v/>
      </c>
      <c r="DO20" s="55" t="str">
        <f t="shared" si="4"/>
        <v/>
      </c>
      <c r="DP20" s="55" t="str">
        <f t="shared" si="4"/>
        <v/>
      </c>
      <c r="DQ20" s="55" t="str">
        <f t="shared" si="4"/>
        <v/>
      </c>
      <c r="DR20" s="55" t="str">
        <f t="shared" si="4"/>
        <v/>
      </c>
      <c r="DS20" s="55" t="str">
        <f t="shared" si="4"/>
        <v/>
      </c>
      <c r="DT20" s="106" t="str">
        <f t="shared" si="4"/>
        <v/>
      </c>
      <c r="DU20" s="54"/>
      <c r="DV20" s="25"/>
      <c r="DW20" s="61" t="str">
        <f t="shared" si="11"/>
        <v/>
      </c>
      <c r="DX20" s="50" t="str">
        <f t="shared" si="11"/>
        <v/>
      </c>
      <c r="DY20" s="50" t="str">
        <f t="shared" si="11"/>
        <v/>
      </c>
      <c r="DZ20" s="50" t="str">
        <f t="shared" si="11"/>
        <v/>
      </c>
      <c r="EA20" s="50" t="str">
        <f t="shared" si="11"/>
        <v/>
      </c>
      <c r="EB20" s="50" t="str">
        <f t="shared" si="11"/>
        <v/>
      </c>
      <c r="EC20" s="50" t="str">
        <f t="shared" si="11"/>
        <v/>
      </c>
      <c r="ED20" s="50" t="str">
        <f t="shared" si="11"/>
        <v/>
      </c>
      <c r="EE20" s="50" t="str">
        <f t="shared" si="11"/>
        <v/>
      </c>
      <c r="EF20" s="50" t="str">
        <f t="shared" si="11"/>
        <v/>
      </c>
      <c r="EG20" s="50" t="str">
        <f t="shared" si="11"/>
        <v/>
      </c>
      <c r="EH20" s="50" t="str">
        <f t="shared" si="11"/>
        <v/>
      </c>
      <c r="EI20" s="50" t="str">
        <f t="shared" si="11"/>
        <v/>
      </c>
      <c r="EJ20" s="50" t="str">
        <f t="shared" si="11"/>
        <v/>
      </c>
      <c r="EK20" s="50" t="str">
        <f t="shared" si="11"/>
        <v/>
      </c>
      <c r="EL20" s="50" t="str">
        <f t="shared" si="11"/>
        <v/>
      </c>
      <c r="EM20" s="50" t="str">
        <f t="shared" si="11"/>
        <v/>
      </c>
      <c r="EN20" s="50" t="str">
        <f t="shared" si="11"/>
        <v/>
      </c>
      <c r="EO20" s="50" t="str">
        <f t="shared" si="11"/>
        <v/>
      </c>
      <c r="EP20" s="50" t="str">
        <f t="shared" si="11"/>
        <v/>
      </c>
      <c r="EQ20" s="50" t="str">
        <f t="shared" si="11"/>
        <v/>
      </c>
      <c r="ER20" s="50" t="str">
        <f t="shared" si="11"/>
        <v/>
      </c>
      <c r="ES20" s="50" t="str">
        <f t="shared" si="11"/>
        <v/>
      </c>
      <c r="ET20" s="50" t="str">
        <f t="shared" si="11"/>
        <v/>
      </c>
      <c r="EU20" s="50" t="str">
        <f t="shared" si="11"/>
        <v/>
      </c>
      <c r="EV20" s="50" t="str">
        <f t="shared" si="11"/>
        <v/>
      </c>
      <c r="EW20" s="50" t="str">
        <f t="shared" si="11"/>
        <v/>
      </c>
      <c r="EX20" s="50" t="str">
        <f t="shared" si="11"/>
        <v/>
      </c>
      <c r="EY20" s="50" t="str">
        <f t="shared" si="11"/>
        <v/>
      </c>
      <c r="EZ20" s="50" t="str">
        <f t="shared" si="11"/>
        <v/>
      </c>
      <c r="FA20" s="50" t="str">
        <f t="shared" si="11"/>
        <v/>
      </c>
      <c r="FB20" s="50" t="str">
        <f t="shared" si="11"/>
        <v/>
      </c>
      <c r="FC20" s="50" t="str">
        <f t="shared" si="11"/>
        <v/>
      </c>
      <c r="FD20" s="50" t="str">
        <f t="shared" si="11"/>
        <v/>
      </c>
      <c r="FE20" s="50" t="str">
        <f t="shared" si="11"/>
        <v/>
      </c>
      <c r="FF20" s="50" t="str">
        <f t="shared" si="11"/>
        <v/>
      </c>
      <c r="FG20" s="50" t="str">
        <f t="shared" si="11"/>
        <v/>
      </c>
      <c r="FH20" s="50" t="str">
        <f t="shared" si="11"/>
        <v/>
      </c>
      <c r="FI20" s="50" t="str">
        <f t="shared" si="11"/>
        <v/>
      </c>
      <c r="FJ20" s="50" t="str">
        <f t="shared" si="11"/>
        <v/>
      </c>
      <c r="FK20" s="50" t="str">
        <f t="shared" si="11"/>
        <v/>
      </c>
      <c r="FL20" s="50" t="str">
        <f t="shared" si="11"/>
        <v/>
      </c>
      <c r="FM20" s="50" t="str">
        <f t="shared" si="11"/>
        <v/>
      </c>
      <c r="FN20" s="50" t="str">
        <f t="shared" si="11"/>
        <v/>
      </c>
      <c r="FO20" s="50" t="str">
        <f t="shared" si="11"/>
        <v/>
      </c>
      <c r="FP20" s="50" t="str">
        <f t="shared" si="11"/>
        <v/>
      </c>
      <c r="FQ20" s="50" t="str">
        <f t="shared" si="11"/>
        <v/>
      </c>
      <c r="FR20" s="50" t="str">
        <f t="shared" si="11"/>
        <v/>
      </c>
      <c r="FS20" s="50" t="str">
        <f t="shared" si="11"/>
        <v/>
      </c>
      <c r="FT20" s="50" t="str">
        <f t="shared" si="11"/>
        <v/>
      </c>
      <c r="FU20" s="50" t="str">
        <f t="shared" si="11"/>
        <v/>
      </c>
      <c r="FV20" s="50" t="str">
        <f t="shared" si="11"/>
        <v/>
      </c>
      <c r="FW20" s="50" t="str">
        <f t="shared" si="11"/>
        <v/>
      </c>
      <c r="FX20" s="50" t="str">
        <f t="shared" si="11"/>
        <v/>
      </c>
      <c r="FY20" s="50" t="str">
        <f t="shared" si="11"/>
        <v/>
      </c>
      <c r="FZ20" s="50" t="str">
        <f t="shared" si="11"/>
        <v/>
      </c>
      <c r="GA20" s="50" t="str">
        <f t="shared" si="11"/>
        <v/>
      </c>
      <c r="GB20" s="50" t="str">
        <f t="shared" si="11"/>
        <v/>
      </c>
      <c r="GC20" s="50" t="str">
        <f t="shared" si="11"/>
        <v/>
      </c>
      <c r="GD20" s="50" t="str">
        <f t="shared" si="11"/>
        <v/>
      </c>
      <c r="GE20" s="50" t="str">
        <f t="shared" si="11"/>
        <v/>
      </c>
      <c r="GF20" s="50" t="str">
        <f t="shared" si="11"/>
        <v/>
      </c>
      <c r="GG20" s="50" t="str">
        <f t="shared" si="11"/>
        <v/>
      </c>
      <c r="GH20" s="50" t="str">
        <f t="shared" si="11"/>
        <v/>
      </c>
      <c r="GI20" s="50" t="str">
        <f t="shared" si="6"/>
        <v/>
      </c>
      <c r="GJ20" s="50" t="str">
        <f t="shared" si="6"/>
        <v/>
      </c>
      <c r="GK20" s="50" t="str">
        <f t="shared" si="6"/>
        <v/>
      </c>
      <c r="GL20" s="50" t="str">
        <f t="shared" si="6"/>
        <v/>
      </c>
      <c r="GM20" s="50" t="str">
        <f t="shared" si="6"/>
        <v/>
      </c>
      <c r="GN20" s="50" t="str">
        <f t="shared" si="6"/>
        <v/>
      </c>
      <c r="GO20" s="50" t="str">
        <f t="shared" si="6"/>
        <v/>
      </c>
      <c r="GP20" s="50" t="str">
        <f t="shared" si="6"/>
        <v/>
      </c>
      <c r="GQ20" s="50" t="str">
        <f t="shared" si="6"/>
        <v/>
      </c>
      <c r="GR20" s="50" t="str">
        <f t="shared" si="6"/>
        <v/>
      </c>
      <c r="GS20" s="50" t="str">
        <f t="shared" si="6"/>
        <v/>
      </c>
      <c r="GT20" s="50" t="str">
        <f t="shared" si="6"/>
        <v/>
      </c>
      <c r="GU20" s="50" t="str">
        <f t="shared" si="6"/>
        <v/>
      </c>
      <c r="GV20" s="50" t="str">
        <f t="shared" si="6"/>
        <v/>
      </c>
      <c r="GW20" s="50" t="str">
        <f t="shared" si="6"/>
        <v/>
      </c>
      <c r="GX20" s="50" t="str">
        <f t="shared" si="6"/>
        <v/>
      </c>
      <c r="GY20" s="50" t="str">
        <f t="shared" si="6"/>
        <v/>
      </c>
      <c r="GZ20" s="50" t="str">
        <f t="shared" si="6"/>
        <v/>
      </c>
      <c r="HA20" s="50" t="str">
        <f t="shared" si="6"/>
        <v/>
      </c>
      <c r="HB20" s="50" t="str">
        <f t="shared" si="6"/>
        <v/>
      </c>
      <c r="HC20" s="50" t="str">
        <f t="shared" si="6"/>
        <v/>
      </c>
      <c r="HD20" s="50" t="str">
        <f t="shared" si="6"/>
        <v/>
      </c>
      <c r="HE20" s="50" t="str">
        <f t="shared" si="6"/>
        <v/>
      </c>
      <c r="HF20" s="50" t="str">
        <f t="shared" si="6"/>
        <v/>
      </c>
      <c r="HG20" s="50" t="str">
        <f t="shared" si="6"/>
        <v/>
      </c>
      <c r="HH20" s="50" t="str">
        <f t="shared" si="6"/>
        <v/>
      </c>
      <c r="HI20" s="50" t="str">
        <f t="shared" si="6"/>
        <v/>
      </c>
      <c r="HJ20" s="50" t="str">
        <f t="shared" si="6"/>
        <v/>
      </c>
      <c r="HK20" s="50" t="str">
        <f t="shared" si="6"/>
        <v/>
      </c>
      <c r="HL20" s="50" t="str">
        <f t="shared" si="6"/>
        <v/>
      </c>
      <c r="HM20" s="50" t="str">
        <f t="shared" si="6"/>
        <v/>
      </c>
      <c r="HN20" s="50" t="str">
        <f t="shared" si="6"/>
        <v/>
      </c>
      <c r="HO20" s="50" t="str">
        <f t="shared" si="6"/>
        <v/>
      </c>
      <c r="HP20" s="50" t="str">
        <f t="shared" si="6"/>
        <v/>
      </c>
      <c r="HQ20" s="50" t="str">
        <f t="shared" si="6"/>
        <v/>
      </c>
      <c r="HR20" s="112" t="str">
        <f t="shared" si="6"/>
        <v/>
      </c>
    </row>
    <row r="21" spans="1:226" ht="11.1" customHeight="1" x14ac:dyDescent="0.25">
      <c r="A21" s="26">
        <v>4044</v>
      </c>
      <c r="B21" s="145">
        <v>2</v>
      </c>
      <c r="C21" s="28" t="str">
        <f>IF(A21=0,"",VLOOKUP(A21,[2]CO!$A$3:$F$5327,2,0))</f>
        <v>FLORES RODRIGUEZ JESUS</v>
      </c>
      <c r="D21" s="149"/>
      <c r="E21" s="29"/>
      <c r="F21" s="29"/>
      <c r="G21" s="30" t="str">
        <f>IF(A21=0,"",VLOOKUP(A21,[2]CO!$A$3:$F$5327,3,0))</f>
        <v>VELADOR</v>
      </c>
      <c r="H21" s="142"/>
      <c r="I21" s="143"/>
      <c r="J21" s="143"/>
      <c r="K21" s="143"/>
      <c r="L21" s="143">
        <v>7</v>
      </c>
      <c r="M21" s="32">
        <f t="shared" si="0"/>
        <v>7</v>
      </c>
      <c r="N21" s="32">
        <f>IF(B21=0,"",IF(H21="M",HLOOKUP(B21,$Y$12:$DT$13,2),IF(A21=0,"",VLOOKUP(A21,[2]CO!$A$3:$F$5327,4,0))))</f>
        <v>405.58</v>
      </c>
      <c r="O21" s="32">
        <f t="shared" si="7"/>
        <v>2839.06</v>
      </c>
      <c r="P21" s="33">
        <v>2</v>
      </c>
      <c r="Q21" s="34">
        <f t="shared" si="1"/>
        <v>2839.06</v>
      </c>
      <c r="R21" s="35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RESIDENTE"),VLOOKUP(B21,P$14:Q$77,2),"")*S21)</f>
        <v>2839.06</v>
      </c>
      <c r="S21" s="118">
        <v>1</v>
      </c>
      <c r="T21" s="53">
        <f>IF(A21=0,"",VLOOKUP(A21,[2]CO!$A$3:$F$5318,5,0))</f>
        <v>0</v>
      </c>
      <c r="U21" s="54">
        <f t="shared" si="2"/>
        <v>0</v>
      </c>
      <c r="V21" s="24"/>
      <c r="W21" s="25"/>
      <c r="X21" s="25"/>
      <c r="Y21" s="64" t="str">
        <f t="shared" si="10"/>
        <v/>
      </c>
      <c r="Z21" s="55">
        <f t="shared" si="10"/>
        <v>0</v>
      </c>
      <c r="AA21" s="55" t="str">
        <f t="shared" si="10"/>
        <v/>
      </c>
      <c r="AB21" s="55" t="str">
        <f t="shared" si="10"/>
        <v/>
      </c>
      <c r="AC21" s="55" t="str">
        <f t="shared" si="10"/>
        <v/>
      </c>
      <c r="AD21" s="55" t="str">
        <f t="shared" si="10"/>
        <v/>
      </c>
      <c r="AE21" s="55" t="str">
        <f t="shared" si="10"/>
        <v/>
      </c>
      <c r="AF21" s="55" t="str">
        <f t="shared" si="10"/>
        <v/>
      </c>
      <c r="AG21" s="55" t="str">
        <f t="shared" si="10"/>
        <v/>
      </c>
      <c r="AH21" s="55" t="str">
        <f t="shared" si="10"/>
        <v/>
      </c>
      <c r="AI21" s="55" t="str">
        <f t="shared" si="10"/>
        <v/>
      </c>
      <c r="AJ21" s="55" t="str">
        <f t="shared" si="10"/>
        <v/>
      </c>
      <c r="AK21" s="55" t="str">
        <f t="shared" si="10"/>
        <v/>
      </c>
      <c r="AL21" s="55" t="str">
        <f t="shared" si="10"/>
        <v/>
      </c>
      <c r="AM21" s="55" t="str">
        <f t="shared" si="10"/>
        <v/>
      </c>
      <c r="AN21" s="55" t="str">
        <f t="shared" si="10"/>
        <v/>
      </c>
      <c r="AO21" s="55" t="str">
        <f t="shared" si="10"/>
        <v/>
      </c>
      <c r="AP21" s="55" t="str">
        <f t="shared" si="10"/>
        <v/>
      </c>
      <c r="AQ21" s="55" t="str">
        <f t="shared" si="10"/>
        <v/>
      </c>
      <c r="AR21" s="55" t="str">
        <f t="shared" si="10"/>
        <v/>
      </c>
      <c r="AS21" s="55" t="str">
        <f t="shared" si="10"/>
        <v/>
      </c>
      <c r="AT21" s="55" t="str">
        <f t="shared" si="10"/>
        <v/>
      </c>
      <c r="AU21" s="55" t="str">
        <f t="shared" si="10"/>
        <v/>
      </c>
      <c r="AV21" s="55" t="str">
        <f t="shared" si="10"/>
        <v/>
      </c>
      <c r="AW21" s="55" t="str">
        <f t="shared" si="10"/>
        <v/>
      </c>
      <c r="AX21" s="55" t="str">
        <f t="shared" si="10"/>
        <v/>
      </c>
      <c r="AY21" s="55" t="str">
        <f t="shared" si="10"/>
        <v/>
      </c>
      <c r="AZ21" s="55" t="str">
        <f t="shared" si="10"/>
        <v/>
      </c>
      <c r="BA21" s="55" t="str">
        <f t="shared" si="10"/>
        <v/>
      </c>
      <c r="BB21" s="55" t="str">
        <f t="shared" si="10"/>
        <v/>
      </c>
      <c r="BC21" s="55" t="str">
        <f t="shared" si="10"/>
        <v/>
      </c>
      <c r="BD21" s="55" t="str">
        <f t="shared" si="10"/>
        <v/>
      </c>
      <c r="BE21" s="55" t="str">
        <f t="shared" si="10"/>
        <v/>
      </c>
      <c r="BF21" s="55" t="str">
        <f t="shared" si="10"/>
        <v/>
      </c>
      <c r="BG21" s="55" t="str">
        <f t="shared" si="10"/>
        <v/>
      </c>
      <c r="BH21" s="55" t="str">
        <f t="shared" si="10"/>
        <v/>
      </c>
      <c r="BI21" s="55" t="str">
        <f t="shared" si="10"/>
        <v/>
      </c>
      <c r="BJ21" s="55" t="str">
        <f t="shared" si="10"/>
        <v/>
      </c>
      <c r="BK21" s="55" t="str">
        <f t="shared" si="10"/>
        <v/>
      </c>
      <c r="BL21" s="55" t="str">
        <f t="shared" si="10"/>
        <v/>
      </c>
      <c r="BM21" s="55" t="str">
        <f t="shared" si="10"/>
        <v/>
      </c>
      <c r="BN21" s="55" t="str">
        <f t="shared" si="10"/>
        <v/>
      </c>
      <c r="BO21" s="55" t="str">
        <f t="shared" si="10"/>
        <v/>
      </c>
      <c r="BP21" s="55" t="str">
        <f t="shared" si="10"/>
        <v/>
      </c>
      <c r="BQ21" s="55" t="str">
        <f t="shared" si="10"/>
        <v/>
      </c>
      <c r="BR21" s="55" t="str">
        <f t="shared" si="10"/>
        <v/>
      </c>
      <c r="BS21" s="55" t="str">
        <f t="shared" si="10"/>
        <v/>
      </c>
      <c r="BT21" s="55" t="str">
        <f t="shared" si="10"/>
        <v/>
      </c>
      <c r="BU21" s="55" t="str">
        <f t="shared" si="10"/>
        <v/>
      </c>
      <c r="BV21" s="55" t="str">
        <f t="shared" si="10"/>
        <v/>
      </c>
      <c r="BW21" s="55" t="str">
        <f t="shared" si="10"/>
        <v/>
      </c>
      <c r="BX21" s="55" t="str">
        <f t="shared" si="10"/>
        <v/>
      </c>
      <c r="BY21" s="55" t="str">
        <f t="shared" si="10"/>
        <v/>
      </c>
      <c r="BZ21" s="55" t="str">
        <f t="shared" si="10"/>
        <v/>
      </c>
      <c r="CA21" s="55" t="str">
        <f t="shared" si="10"/>
        <v/>
      </c>
      <c r="CB21" s="55" t="str">
        <f t="shared" si="10"/>
        <v/>
      </c>
      <c r="CC21" s="55" t="str">
        <f t="shared" si="10"/>
        <v/>
      </c>
      <c r="CD21" s="55" t="str">
        <f t="shared" si="10"/>
        <v/>
      </c>
      <c r="CE21" s="55" t="str">
        <f t="shared" si="10"/>
        <v/>
      </c>
      <c r="CF21" s="55" t="str">
        <f t="shared" si="10"/>
        <v/>
      </c>
      <c r="CG21" s="55" t="str">
        <f t="shared" si="10"/>
        <v/>
      </c>
      <c r="CH21" s="55" t="str">
        <f t="shared" si="10"/>
        <v/>
      </c>
      <c r="CI21" s="55" t="str">
        <f t="shared" si="10"/>
        <v/>
      </c>
      <c r="CJ21" s="55" t="str">
        <f t="shared" ref="CJ21:DR35" si="12">IF($B21=CJ$12,$U21,"")</f>
        <v/>
      </c>
      <c r="CK21" s="55" t="str">
        <f t="shared" si="4"/>
        <v/>
      </c>
      <c r="CL21" s="55" t="str">
        <f t="shared" si="4"/>
        <v/>
      </c>
      <c r="CM21" s="55" t="str">
        <f t="shared" si="4"/>
        <v/>
      </c>
      <c r="CN21" s="55" t="str">
        <f t="shared" ref="CN21:DT33" si="13">IF($B21=CN$12,$U21,"")</f>
        <v/>
      </c>
      <c r="CO21" s="55" t="str">
        <f t="shared" si="13"/>
        <v/>
      </c>
      <c r="CP21" s="55" t="str">
        <f t="shared" si="13"/>
        <v/>
      </c>
      <c r="CQ21" s="55" t="str">
        <f t="shared" si="13"/>
        <v/>
      </c>
      <c r="CR21" s="55" t="str">
        <f t="shared" si="13"/>
        <v/>
      </c>
      <c r="CS21" s="55" t="str">
        <f t="shared" si="13"/>
        <v/>
      </c>
      <c r="CT21" s="55" t="str">
        <f t="shared" si="13"/>
        <v/>
      </c>
      <c r="CU21" s="55" t="str">
        <f t="shared" si="13"/>
        <v/>
      </c>
      <c r="CV21" s="55" t="str">
        <f t="shared" si="13"/>
        <v/>
      </c>
      <c r="CW21" s="55" t="str">
        <f t="shared" si="13"/>
        <v/>
      </c>
      <c r="CX21" s="55" t="str">
        <f t="shared" si="13"/>
        <v/>
      </c>
      <c r="CY21" s="55" t="str">
        <f t="shared" si="13"/>
        <v/>
      </c>
      <c r="CZ21" s="55" t="str">
        <f t="shared" si="13"/>
        <v/>
      </c>
      <c r="DA21" s="55" t="str">
        <f t="shared" si="13"/>
        <v/>
      </c>
      <c r="DB21" s="55" t="str">
        <f t="shared" si="13"/>
        <v/>
      </c>
      <c r="DC21" s="55" t="str">
        <f t="shared" si="13"/>
        <v/>
      </c>
      <c r="DD21" s="55" t="str">
        <f t="shared" si="13"/>
        <v/>
      </c>
      <c r="DE21" s="55" t="str">
        <f t="shared" si="13"/>
        <v/>
      </c>
      <c r="DF21" s="55" t="str">
        <f t="shared" si="13"/>
        <v/>
      </c>
      <c r="DG21" s="55" t="str">
        <f t="shared" si="13"/>
        <v/>
      </c>
      <c r="DH21" s="55" t="str">
        <f t="shared" si="13"/>
        <v/>
      </c>
      <c r="DI21" s="55" t="str">
        <f t="shared" si="13"/>
        <v/>
      </c>
      <c r="DJ21" s="55" t="str">
        <f t="shared" si="13"/>
        <v/>
      </c>
      <c r="DK21" s="55" t="str">
        <f t="shared" si="13"/>
        <v/>
      </c>
      <c r="DL21" s="55" t="str">
        <f t="shared" si="13"/>
        <v/>
      </c>
      <c r="DM21" s="55" t="str">
        <f t="shared" si="13"/>
        <v/>
      </c>
      <c r="DN21" s="55" t="str">
        <f t="shared" si="13"/>
        <v/>
      </c>
      <c r="DO21" s="55" t="str">
        <f t="shared" si="13"/>
        <v/>
      </c>
      <c r="DP21" s="55" t="str">
        <f t="shared" si="13"/>
        <v/>
      </c>
      <c r="DQ21" s="55" t="str">
        <f t="shared" si="13"/>
        <v/>
      </c>
      <c r="DR21" s="55" t="str">
        <f t="shared" si="13"/>
        <v/>
      </c>
      <c r="DS21" s="55" t="str">
        <f t="shared" si="13"/>
        <v/>
      </c>
      <c r="DT21" s="106" t="str">
        <f t="shared" si="13"/>
        <v/>
      </c>
      <c r="DU21" s="54"/>
      <c r="DV21" s="25"/>
      <c r="DW21" s="61" t="str">
        <f t="shared" si="11"/>
        <v/>
      </c>
      <c r="DX21" s="50">
        <f t="shared" si="11"/>
        <v>2839.06</v>
      </c>
      <c r="DY21" s="50" t="str">
        <f t="shared" si="11"/>
        <v/>
      </c>
      <c r="DZ21" s="50" t="str">
        <f t="shared" si="11"/>
        <v/>
      </c>
      <c r="EA21" s="50" t="str">
        <f t="shared" si="11"/>
        <v/>
      </c>
      <c r="EB21" s="50" t="str">
        <f t="shared" si="11"/>
        <v/>
      </c>
      <c r="EC21" s="50" t="str">
        <f t="shared" si="11"/>
        <v/>
      </c>
      <c r="ED21" s="50" t="str">
        <f t="shared" si="11"/>
        <v/>
      </c>
      <c r="EE21" s="50" t="str">
        <f t="shared" si="11"/>
        <v/>
      </c>
      <c r="EF21" s="50" t="str">
        <f t="shared" si="11"/>
        <v/>
      </c>
      <c r="EG21" s="50" t="str">
        <f t="shared" si="11"/>
        <v/>
      </c>
      <c r="EH21" s="50" t="str">
        <f t="shared" si="11"/>
        <v/>
      </c>
      <c r="EI21" s="50" t="str">
        <f t="shared" si="11"/>
        <v/>
      </c>
      <c r="EJ21" s="50" t="str">
        <f t="shared" si="11"/>
        <v/>
      </c>
      <c r="EK21" s="50" t="str">
        <f t="shared" si="11"/>
        <v/>
      </c>
      <c r="EL21" s="50" t="str">
        <f t="shared" si="11"/>
        <v/>
      </c>
      <c r="EM21" s="50" t="str">
        <f t="shared" si="11"/>
        <v/>
      </c>
      <c r="EN21" s="50" t="str">
        <f t="shared" si="11"/>
        <v/>
      </c>
      <c r="EO21" s="50" t="str">
        <f t="shared" si="11"/>
        <v/>
      </c>
      <c r="EP21" s="50" t="str">
        <f t="shared" si="11"/>
        <v/>
      </c>
      <c r="EQ21" s="50" t="str">
        <f t="shared" si="11"/>
        <v/>
      </c>
      <c r="ER21" s="50" t="str">
        <f t="shared" si="11"/>
        <v/>
      </c>
      <c r="ES21" s="50" t="str">
        <f t="shared" si="11"/>
        <v/>
      </c>
      <c r="ET21" s="50" t="str">
        <f t="shared" si="11"/>
        <v/>
      </c>
      <c r="EU21" s="50" t="str">
        <f t="shared" si="11"/>
        <v/>
      </c>
      <c r="EV21" s="50" t="str">
        <f t="shared" si="11"/>
        <v/>
      </c>
      <c r="EW21" s="50" t="str">
        <f t="shared" si="11"/>
        <v/>
      </c>
      <c r="EX21" s="50" t="str">
        <f t="shared" si="11"/>
        <v/>
      </c>
      <c r="EY21" s="50" t="str">
        <f t="shared" si="11"/>
        <v/>
      </c>
      <c r="EZ21" s="50" t="str">
        <f t="shared" si="11"/>
        <v/>
      </c>
      <c r="FA21" s="50" t="str">
        <f t="shared" si="11"/>
        <v/>
      </c>
      <c r="FB21" s="50" t="str">
        <f t="shared" si="11"/>
        <v/>
      </c>
      <c r="FC21" s="50" t="str">
        <f t="shared" si="11"/>
        <v/>
      </c>
      <c r="FD21" s="50" t="str">
        <f t="shared" si="11"/>
        <v/>
      </c>
      <c r="FE21" s="50" t="str">
        <f t="shared" si="11"/>
        <v/>
      </c>
      <c r="FF21" s="50" t="str">
        <f t="shared" si="11"/>
        <v/>
      </c>
      <c r="FG21" s="50" t="str">
        <f t="shared" si="11"/>
        <v/>
      </c>
      <c r="FH21" s="50" t="str">
        <f t="shared" si="11"/>
        <v/>
      </c>
      <c r="FI21" s="50" t="str">
        <f t="shared" si="11"/>
        <v/>
      </c>
      <c r="FJ21" s="50" t="str">
        <f t="shared" si="11"/>
        <v/>
      </c>
      <c r="FK21" s="50" t="str">
        <f t="shared" si="11"/>
        <v/>
      </c>
      <c r="FL21" s="50" t="str">
        <f t="shared" si="11"/>
        <v/>
      </c>
      <c r="FM21" s="50" t="str">
        <f t="shared" si="11"/>
        <v/>
      </c>
      <c r="FN21" s="50" t="str">
        <f t="shared" si="11"/>
        <v/>
      </c>
      <c r="FO21" s="50" t="str">
        <f t="shared" si="11"/>
        <v/>
      </c>
      <c r="FP21" s="50" t="str">
        <f t="shared" si="11"/>
        <v/>
      </c>
      <c r="FQ21" s="50" t="str">
        <f t="shared" si="11"/>
        <v/>
      </c>
      <c r="FR21" s="50" t="str">
        <f t="shared" si="11"/>
        <v/>
      </c>
      <c r="FS21" s="50" t="str">
        <f t="shared" si="11"/>
        <v/>
      </c>
      <c r="FT21" s="50" t="str">
        <f t="shared" si="11"/>
        <v/>
      </c>
      <c r="FU21" s="50" t="str">
        <f t="shared" si="11"/>
        <v/>
      </c>
      <c r="FV21" s="50" t="str">
        <f t="shared" si="11"/>
        <v/>
      </c>
      <c r="FW21" s="50" t="str">
        <f t="shared" si="11"/>
        <v/>
      </c>
      <c r="FX21" s="50" t="str">
        <f t="shared" si="11"/>
        <v/>
      </c>
      <c r="FY21" s="50" t="str">
        <f t="shared" si="11"/>
        <v/>
      </c>
      <c r="FZ21" s="50" t="str">
        <f t="shared" si="11"/>
        <v/>
      </c>
      <c r="GA21" s="50" t="str">
        <f t="shared" si="11"/>
        <v/>
      </c>
      <c r="GB21" s="50" t="str">
        <f t="shared" si="11"/>
        <v/>
      </c>
      <c r="GC21" s="50" t="str">
        <f t="shared" si="11"/>
        <v/>
      </c>
      <c r="GD21" s="50" t="str">
        <f t="shared" si="11"/>
        <v/>
      </c>
      <c r="GE21" s="50" t="str">
        <f t="shared" si="11"/>
        <v/>
      </c>
      <c r="GF21" s="50" t="str">
        <f t="shared" si="11"/>
        <v/>
      </c>
      <c r="GG21" s="50" t="str">
        <f t="shared" si="11"/>
        <v/>
      </c>
      <c r="GH21" s="50" t="str">
        <f t="shared" ref="GH21:HP35" si="14">IF($B21=GH$12,$O21,"")</f>
        <v/>
      </c>
      <c r="GI21" s="50" t="str">
        <f t="shared" si="6"/>
        <v/>
      </c>
      <c r="GJ21" s="50" t="str">
        <f t="shared" si="6"/>
        <v/>
      </c>
      <c r="GK21" s="50" t="str">
        <f t="shared" si="6"/>
        <v/>
      </c>
      <c r="GL21" s="50" t="str">
        <f t="shared" ref="GL21:HR33" si="15">IF($B21=GL$12,$O21,"")</f>
        <v/>
      </c>
      <c r="GM21" s="50" t="str">
        <f t="shared" si="15"/>
        <v/>
      </c>
      <c r="GN21" s="50" t="str">
        <f t="shared" si="15"/>
        <v/>
      </c>
      <c r="GO21" s="50" t="str">
        <f t="shared" si="15"/>
        <v/>
      </c>
      <c r="GP21" s="50" t="str">
        <f t="shared" si="15"/>
        <v/>
      </c>
      <c r="GQ21" s="50" t="str">
        <f t="shared" si="15"/>
        <v/>
      </c>
      <c r="GR21" s="50" t="str">
        <f t="shared" si="15"/>
        <v/>
      </c>
      <c r="GS21" s="50" t="str">
        <f t="shared" si="15"/>
        <v/>
      </c>
      <c r="GT21" s="50" t="str">
        <f t="shared" si="15"/>
        <v/>
      </c>
      <c r="GU21" s="50" t="str">
        <f t="shared" si="15"/>
        <v/>
      </c>
      <c r="GV21" s="50" t="str">
        <f t="shared" si="15"/>
        <v/>
      </c>
      <c r="GW21" s="50" t="str">
        <f t="shared" si="15"/>
        <v/>
      </c>
      <c r="GX21" s="50" t="str">
        <f t="shared" si="15"/>
        <v/>
      </c>
      <c r="GY21" s="50" t="str">
        <f t="shared" si="15"/>
        <v/>
      </c>
      <c r="GZ21" s="50" t="str">
        <f t="shared" si="15"/>
        <v/>
      </c>
      <c r="HA21" s="50" t="str">
        <f t="shared" si="15"/>
        <v/>
      </c>
      <c r="HB21" s="50" t="str">
        <f t="shared" si="15"/>
        <v/>
      </c>
      <c r="HC21" s="50" t="str">
        <f t="shared" si="15"/>
        <v/>
      </c>
      <c r="HD21" s="50" t="str">
        <f t="shared" si="15"/>
        <v/>
      </c>
      <c r="HE21" s="50" t="str">
        <f t="shared" si="15"/>
        <v/>
      </c>
      <c r="HF21" s="50" t="str">
        <f t="shared" si="15"/>
        <v/>
      </c>
      <c r="HG21" s="50" t="str">
        <f t="shared" si="15"/>
        <v/>
      </c>
      <c r="HH21" s="50" t="str">
        <f t="shared" si="15"/>
        <v/>
      </c>
      <c r="HI21" s="50" t="str">
        <f t="shared" si="15"/>
        <v/>
      </c>
      <c r="HJ21" s="50" t="str">
        <f t="shared" si="15"/>
        <v/>
      </c>
      <c r="HK21" s="50" t="str">
        <f t="shared" si="15"/>
        <v/>
      </c>
      <c r="HL21" s="50" t="str">
        <f t="shared" si="15"/>
        <v/>
      </c>
      <c r="HM21" s="50" t="str">
        <f t="shared" si="15"/>
        <v/>
      </c>
      <c r="HN21" s="50" t="str">
        <f t="shared" si="15"/>
        <v/>
      </c>
      <c r="HO21" s="50" t="str">
        <f t="shared" si="15"/>
        <v/>
      </c>
      <c r="HP21" s="50" t="str">
        <f t="shared" si="15"/>
        <v/>
      </c>
      <c r="HQ21" s="50" t="str">
        <f t="shared" si="15"/>
        <v/>
      </c>
      <c r="HR21" s="112" t="str">
        <f t="shared" si="15"/>
        <v/>
      </c>
    </row>
    <row r="22" spans="1:226" ht="11.1" customHeight="1" x14ac:dyDescent="0.25">
      <c r="A22" s="26"/>
      <c r="B22" s="145"/>
      <c r="C22" s="28" t="str">
        <f>IF(A22=0,"",VLOOKUP(A22,[2]CO!$A$3:$F$5327,2,0))</f>
        <v/>
      </c>
      <c r="D22" s="178" t="s">
        <v>35</v>
      </c>
      <c r="F22" s="29"/>
      <c r="G22" s="30" t="str">
        <f>IF(A22=0,"",VLOOKUP(A22,[2]CO!$A$3:$F$5327,3,0))</f>
        <v/>
      </c>
      <c r="H22" s="142"/>
      <c r="I22" s="143"/>
      <c r="J22" s="143"/>
      <c r="K22" s="143"/>
      <c r="L22" s="143"/>
      <c r="M22" s="32" t="str">
        <f t="shared" si="0"/>
        <v/>
      </c>
      <c r="N22" s="32" t="str">
        <f>IF(B22=0,"",IF(H22="M",HLOOKUP(B22,$Y$12:$DT$13,2),IF(A22=0,"",VLOOKUP(A22,[2]CO!$A$3:$F$5327,4,0))))</f>
        <v/>
      </c>
      <c r="O22" s="32" t="str">
        <f t="shared" si="7"/>
        <v/>
      </c>
      <c r="P22" s="33"/>
      <c r="Q22" s="34" t="str">
        <f t="shared" si="1"/>
        <v/>
      </c>
      <c r="R22" s="3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RESIDENTE"),VLOOKUP(B22,P$14:Q$77,2),"")*S22)</f>
        <v/>
      </c>
      <c r="T22" s="53" t="str">
        <f>IF(A22=0,"",VLOOKUP(A22,[2]CO!$A$3:$F$5318,5,0))</f>
        <v/>
      </c>
      <c r="U22" s="54">
        <f t="shared" si="2"/>
        <v>0</v>
      </c>
      <c r="V22" s="24"/>
      <c r="W22" s="25"/>
      <c r="X22" s="25"/>
      <c r="Y22" s="64" t="str">
        <f t="shared" ref="Y22:CI26" si="16">IF($B22=Y$12,$U22,"")</f>
        <v/>
      </c>
      <c r="Z22" s="55" t="str">
        <f t="shared" si="16"/>
        <v/>
      </c>
      <c r="AA22" s="55" t="str">
        <f t="shared" si="16"/>
        <v/>
      </c>
      <c r="AB22" s="55" t="str">
        <f t="shared" si="16"/>
        <v/>
      </c>
      <c r="AC22" s="55" t="str">
        <f t="shared" si="16"/>
        <v/>
      </c>
      <c r="AD22" s="55" t="str">
        <f t="shared" si="16"/>
        <v/>
      </c>
      <c r="AE22" s="55" t="str">
        <f t="shared" si="16"/>
        <v/>
      </c>
      <c r="AF22" s="55" t="str">
        <f t="shared" si="16"/>
        <v/>
      </c>
      <c r="AG22" s="55" t="str">
        <f t="shared" si="16"/>
        <v/>
      </c>
      <c r="AH22" s="55" t="str">
        <f t="shared" si="16"/>
        <v/>
      </c>
      <c r="AI22" s="55" t="str">
        <f t="shared" si="16"/>
        <v/>
      </c>
      <c r="AJ22" s="55" t="str">
        <f t="shared" si="16"/>
        <v/>
      </c>
      <c r="AK22" s="55" t="str">
        <f t="shared" si="16"/>
        <v/>
      </c>
      <c r="AL22" s="55" t="str">
        <f t="shared" si="16"/>
        <v/>
      </c>
      <c r="AM22" s="55" t="str">
        <f t="shared" si="16"/>
        <v/>
      </c>
      <c r="AN22" s="55" t="str">
        <f t="shared" si="16"/>
        <v/>
      </c>
      <c r="AO22" s="55" t="str">
        <f t="shared" si="16"/>
        <v/>
      </c>
      <c r="AP22" s="55" t="str">
        <f t="shared" si="16"/>
        <v/>
      </c>
      <c r="AQ22" s="55" t="str">
        <f t="shared" si="16"/>
        <v/>
      </c>
      <c r="AR22" s="55" t="str">
        <f t="shared" si="16"/>
        <v/>
      </c>
      <c r="AS22" s="55" t="str">
        <f t="shared" si="16"/>
        <v/>
      </c>
      <c r="AT22" s="55" t="str">
        <f t="shared" si="16"/>
        <v/>
      </c>
      <c r="AU22" s="55" t="str">
        <f t="shared" si="16"/>
        <v/>
      </c>
      <c r="AV22" s="55" t="str">
        <f t="shared" si="16"/>
        <v/>
      </c>
      <c r="AW22" s="55" t="str">
        <f t="shared" si="16"/>
        <v/>
      </c>
      <c r="AX22" s="55" t="str">
        <f t="shared" si="16"/>
        <v/>
      </c>
      <c r="AY22" s="55" t="str">
        <f t="shared" si="16"/>
        <v/>
      </c>
      <c r="AZ22" s="55" t="str">
        <f t="shared" si="16"/>
        <v/>
      </c>
      <c r="BA22" s="55" t="str">
        <f t="shared" si="16"/>
        <v/>
      </c>
      <c r="BB22" s="55" t="str">
        <f t="shared" si="16"/>
        <v/>
      </c>
      <c r="BC22" s="55" t="str">
        <f t="shared" si="16"/>
        <v/>
      </c>
      <c r="BD22" s="55" t="str">
        <f t="shared" si="16"/>
        <v/>
      </c>
      <c r="BE22" s="55" t="str">
        <f t="shared" si="16"/>
        <v/>
      </c>
      <c r="BF22" s="55" t="str">
        <f t="shared" si="16"/>
        <v/>
      </c>
      <c r="BG22" s="55" t="str">
        <f t="shared" si="16"/>
        <v/>
      </c>
      <c r="BH22" s="55" t="str">
        <f t="shared" si="16"/>
        <v/>
      </c>
      <c r="BI22" s="55" t="str">
        <f t="shared" si="16"/>
        <v/>
      </c>
      <c r="BJ22" s="55" t="str">
        <f t="shared" si="16"/>
        <v/>
      </c>
      <c r="BK22" s="55" t="str">
        <f t="shared" si="16"/>
        <v/>
      </c>
      <c r="BL22" s="55" t="str">
        <f t="shared" si="16"/>
        <v/>
      </c>
      <c r="BM22" s="55" t="str">
        <f t="shared" si="16"/>
        <v/>
      </c>
      <c r="BN22" s="55" t="str">
        <f t="shared" si="16"/>
        <v/>
      </c>
      <c r="BO22" s="55" t="str">
        <f t="shared" si="16"/>
        <v/>
      </c>
      <c r="BP22" s="55" t="str">
        <f t="shared" si="16"/>
        <v/>
      </c>
      <c r="BQ22" s="55" t="str">
        <f t="shared" si="16"/>
        <v/>
      </c>
      <c r="BR22" s="55" t="str">
        <f t="shared" si="16"/>
        <v/>
      </c>
      <c r="BS22" s="55" t="str">
        <f t="shared" si="16"/>
        <v/>
      </c>
      <c r="BT22" s="55" t="str">
        <f t="shared" si="16"/>
        <v/>
      </c>
      <c r="BU22" s="55" t="str">
        <f t="shared" si="16"/>
        <v/>
      </c>
      <c r="BV22" s="55" t="str">
        <f t="shared" si="16"/>
        <v/>
      </c>
      <c r="BW22" s="55" t="str">
        <f t="shared" si="16"/>
        <v/>
      </c>
      <c r="BX22" s="55" t="str">
        <f t="shared" si="16"/>
        <v/>
      </c>
      <c r="BY22" s="55" t="str">
        <f t="shared" si="16"/>
        <v/>
      </c>
      <c r="BZ22" s="55" t="str">
        <f t="shared" si="16"/>
        <v/>
      </c>
      <c r="CA22" s="55" t="str">
        <f t="shared" si="16"/>
        <v/>
      </c>
      <c r="CB22" s="55" t="str">
        <f t="shared" si="16"/>
        <v/>
      </c>
      <c r="CC22" s="55" t="str">
        <f t="shared" si="16"/>
        <v/>
      </c>
      <c r="CD22" s="55" t="str">
        <f t="shared" si="16"/>
        <v/>
      </c>
      <c r="CE22" s="55" t="str">
        <f t="shared" si="16"/>
        <v/>
      </c>
      <c r="CF22" s="55" t="str">
        <f t="shared" si="16"/>
        <v/>
      </c>
      <c r="CG22" s="55" t="str">
        <f t="shared" si="16"/>
        <v/>
      </c>
      <c r="CH22" s="55" t="str">
        <f t="shared" si="16"/>
        <v/>
      </c>
      <c r="CI22" s="55" t="str">
        <f t="shared" si="16"/>
        <v/>
      </c>
      <c r="CJ22" s="55" t="str">
        <f t="shared" si="12"/>
        <v/>
      </c>
      <c r="CK22" s="55" t="str">
        <f t="shared" si="12"/>
        <v/>
      </c>
      <c r="CL22" s="55" t="str">
        <f t="shared" si="12"/>
        <v/>
      </c>
      <c r="CM22" s="55" t="str">
        <f t="shared" si="12"/>
        <v/>
      </c>
      <c r="CN22" s="55" t="str">
        <f t="shared" si="13"/>
        <v/>
      </c>
      <c r="CO22" s="55" t="str">
        <f t="shared" si="13"/>
        <v/>
      </c>
      <c r="CP22" s="55" t="str">
        <f t="shared" si="13"/>
        <v/>
      </c>
      <c r="CQ22" s="55" t="str">
        <f t="shared" si="13"/>
        <v/>
      </c>
      <c r="CR22" s="55" t="str">
        <f t="shared" si="13"/>
        <v/>
      </c>
      <c r="CS22" s="55" t="str">
        <f t="shared" si="13"/>
        <v/>
      </c>
      <c r="CT22" s="55" t="str">
        <f t="shared" si="13"/>
        <v/>
      </c>
      <c r="CU22" s="55" t="str">
        <f t="shared" si="13"/>
        <v/>
      </c>
      <c r="CV22" s="55" t="str">
        <f t="shared" si="13"/>
        <v/>
      </c>
      <c r="CW22" s="55" t="str">
        <f t="shared" si="13"/>
        <v/>
      </c>
      <c r="CX22" s="55" t="str">
        <f t="shared" si="13"/>
        <v/>
      </c>
      <c r="CY22" s="55" t="str">
        <f t="shared" si="13"/>
        <v/>
      </c>
      <c r="CZ22" s="55" t="str">
        <f t="shared" si="13"/>
        <v/>
      </c>
      <c r="DA22" s="55" t="str">
        <f t="shared" si="13"/>
        <v/>
      </c>
      <c r="DB22" s="55" t="str">
        <f t="shared" si="13"/>
        <v/>
      </c>
      <c r="DC22" s="55" t="str">
        <f t="shared" si="13"/>
        <v/>
      </c>
      <c r="DD22" s="55" t="str">
        <f t="shared" si="13"/>
        <v/>
      </c>
      <c r="DE22" s="55" t="str">
        <f t="shared" si="13"/>
        <v/>
      </c>
      <c r="DF22" s="55" t="str">
        <f t="shared" si="13"/>
        <v/>
      </c>
      <c r="DG22" s="55" t="str">
        <f t="shared" si="13"/>
        <v/>
      </c>
      <c r="DH22" s="55" t="str">
        <f t="shared" si="13"/>
        <v/>
      </c>
      <c r="DI22" s="55" t="str">
        <f t="shared" si="13"/>
        <v/>
      </c>
      <c r="DJ22" s="55" t="str">
        <f t="shared" si="13"/>
        <v/>
      </c>
      <c r="DK22" s="55" t="str">
        <f t="shared" si="13"/>
        <v/>
      </c>
      <c r="DL22" s="55" t="str">
        <f t="shared" si="13"/>
        <v/>
      </c>
      <c r="DM22" s="55" t="str">
        <f t="shared" si="13"/>
        <v/>
      </c>
      <c r="DN22" s="55" t="str">
        <f t="shared" si="13"/>
        <v/>
      </c>
      <c r="DO22" s="55" t="str">
        <f t="shared" si="13"/>
        <v/>
      </c>
      <c r="DP22" s="55" t="str">
        <f t="shared" si="13"/>
        <v/>
      </c>
      <c r="DQ22" s="55" t="str">
        <f t="shared" si="13"/>
        <v/>
      </c>
      <c r="DR22" s="55" t="str">
        <f t="shared" si="13"/>
        <v/>
      </c>
      <c r="DS22" s="55" t="str">
        <f t="shared" si="13"/>
        <v/>
      </c>
      <c r="DT22" s="106" t="str">
        <f t="shared" si="13"/>
        <v/>
      </c>
      <c r="DU22" s="54"/>
      <c r="DV22" s="25"/>
      <c r="DW22" s="61" t="str">
        <f t="shared" ref="DW22:GG26" si="17">IF($B22=DW$12,$O22,"")</f>
        <v/>
      </c>
      <c r="DX22" s="50" t="str">
        <f t="shared" si="17"/>
        <v/>
      </c>
      <c r="DY22" s="50" t="str">
        <f t="shared" si="17"/>
        <v/>
      </c>
      <c r="DZ22" s="50" t="str">
        <f t="shared" si="17"/>
        <v/>
      </c>
      <c r="EA22" s="50" t="str">
        <f t="shared" si="17"/>
        <v/>
      </c>
      <c r="EB22" s="50" t="str">
        <f t="shared" si="17"/>
        <v/>
      </c>
      <c r="EC22" s="50" t="str">
        <f t="shared" si="17"/>
        <v/>
      </c>
      <c r="ED22" s="50" t="str">
        <f t="shared" si="17"/>
        <v/>
      </c>
      <c r="EE22" s="50" t="str">
        <f t="shared" si="17"/>
        <v/>
      </c>
      <c r="EF22" s="50" t="str">
        <f t="shared" si="17"/>
        <v/>
      </c>
      <c r="EG22" s="50" t="str">
        <f t="shared" si="17"/>
        <v/>
      </c>
      <c r="EH22" s="50" t="str">
        <f t="shared" si="17"/>
        <v/>
      </c>
      <c r="EI22" s="50" t="str">
        <f t="shared" si="17"/>
        <v/>
      </c>
      <c r="EJ22" s="50" t="str">
        <f t="shared" si="17"/>
        <v/>
      </c>
      <c r="EK22" s="50" t="str">
        <f t="shared" si="17"/>
        <v/>
      </c>
      <c r="EL22" s="50" t="str">
        <f t="shared" si="17"/>
        <v/>
      </c>
      <c r="EM22" s="50" t="str">
        <f t="shared" si="17"/>
        <v/>
      </c>
      <c r="EN22" s="50" t="str">
        <f t="shared" si="17"/>
        <v/>
      </c>
      <c r="EO22" s="50" t="str">
        <f t="shared" si="17"/>
        <v/>
      </c>
      <c r="EP22" s="50" t="str">
        <f t="shared" si="17"/>
        <v/>
      </c>
      <c r="EQ22" s="50" t="str">
        <f t="shared" si="17"/>
        <v/>
      </c>
      <c r="ER22" s="50" t="str">
        <f t="shared" si="17"/>
        <v/>
      </c>
      <c r="ES22" s="50" t="str">
        <f t="shared" si="17"/>
        <v/>
      </c>
      <c r="ET22" s="50" t="str">
        <f t="shared" si="17"/>
        <v/>
      </c>
      <c r="EU22" s="50" t="str">
        <f t="shared" si="17"/>
        <v/>
      </c>
      <c r="EV22" s="50" t="str">
        <f t="shared" si="17"/>
        <v/>
      </c>
      <c r="EW22" s="50" t="str">
        <f t="shared" si="17"/>
        <v/>
      </c>
      <c r="EX22" s="50" t="str">
        <f t="shared" si="17"/>
        <v/>
      </c>
      <c r="EY22" s="50" t="str">
        <f t="shared" si="17"/>
        <v/>
      </c>
      <c r="EZ22" s="50" t="str">
        <f t="shared" si="17"/>
        <v/>
      </c>
      <c r="FA22" s="50" t="str">
        <f t="shared" si="17"/>
        <v/>
      </c>
      <c r="FB22" s="50" t="str">
        <f t="shared" si="17"/>
        <v/>
      </c>
      <c r="FC22" s="50" t="str">
        <f t="shared" si="17"/>
        <v/>
      </c>
      <c r="FD22" s="50" t="str">
        <f t="shared" si="17"/>
        <v/>
      </c>
      <c r="FE22" s="50" t="str">
        <f t="shared" si="17"/>
        <v/>
      </c>
      <c r="FF22" s="50" t="str">
        <f t="shared" si="17"/>
        <v/>
      </c>
      <c r="FG22" s="50" t="str">
        <f t="shared" si="17"/>
        <v/>
      </c>
      <c r="FH22" s="50" t="str">
        <f t="shared" si="17"/>
        <v/>
      </c>
      <c r="FI22" s="50" t="str">
        <f t="shared" si="17"/>
        <v/>
      </c>
      <c r="FJ22" s="50" t="str">
        <f t="shared" si="17"/>
        <v/>
      </c>
      <c r="FK22" s="50" t="str">
        <f t="shared" si="17"/>
        <v/>
      </c>
      <c r="FL22" s="50" t="str">
        <f t="shared" si="17"/>
        <v/>
      </c>
      <c r="FM22" s="50" t="str">
        <f t="shared" si="17"/>
        <v/>
      </c>
      <c r="FN22" s="50" t="str">
        <f t="shared" si="17"/>
        <v/>
      </c>
      <c r="FO22" s="50" t="str">
        <f t="shared" si="17"/>
        <v/>
      </c>
      <c r="FP22" s="50" t="str">
        <f t="shared" si="17"/>
        <v/>
      </c>
      <c r="FQ22" s="50" t="str">
        <f t="shared" si="17"/>
        <v/>
      </c>
      <c r="FR22" s="50" t="str">
        <f t="shared" si="17"/>
        <v/>
      </c>
      <c r="FS22" s="50" t="str">
        <f t="shared" si="17"/>
        <v/>
      </c>
      <c r="FT22" s="50" t="str">
        <f t="shared" si="17"/>
        <v/>
      </c>
      <c r="FU22" s="50" t="str">
        <f t="shared" si="17"/>
        <v/>
      </c>
      <c r="FV22" s="50" t="str">
        <f t="shared" si="17"/>
        <v/>
      </c>
      <c r="FW22" s="50" t="str">
        <f t="shared" si="17"/>
        <v/>
      </c>
      <c r="FX22" s="50" t="str">
        <f t="shared" si="17"/>
        <v/>
      </c>
      <c r="FY22" s="50" t="str">
        <f t="shared" si="17"/>
        <v/>
      </c>
      <c r="FZ22" s="50" t="str">
        <f t="shared" si="17"/>
        <v/>
      </c>
      <c r="GA22" s="50" t="str">
        <f t="shared" si="17"/>
        <v/>
      </c>
      <c r="GB22" s="50" t="str">
        <f t="shared" si="17"/>
        <v/>
      </c>
      <c r="GC22" s="50" t="str">
        <f t="shared" si="17"/>
        <v/>
      </c>
      <c r="GD22" s="50" t="str">
        <f t="shared" si="17"/>
        <v/>
      </c>
      <c r="GE22" s="50" t="str">
        <f t="shared" si="17"/>
        <v/>
      </c>
      <c r="GF22" s="50" t="str">
        <f t="shared" si="17"/>
        <v/>
      </c>
      <c r="GG22" s="50" t="str">
        <f t="shared" si="17"/>
        <v/>
      </c>
      <c r="GH22" s="50" t="str">
        <f t="shared" si="14"/>
        <v/>
      </c>
      <c r="GI22" s="50" t="str">
        <f t="shared" si="14"/>
        <v/>
      </c>
      <c r="GJ22" s="50" t="str">
        <f t="shared" si="14"/>
        <v/>
      </c>
      <c r="GK22" s="50" t="str">
        <f t="shared" si="14"/>
        <v/>
      </c>
      <c r="GL22" s="50" t="str">
        <f t="shared" si="15"/>
        <v/>
      </c>
      <c r="GM22" s="50" t="str">
        <f t="shared" si="15"/>
        <v/>
      </c>
      <c r="GN22" s="50" t="str">
        <f t="shared" si="15"/>
        <v/>
      </c>
      <c r="GO22" s="50" t="str">
        <f t="shared" si="15"/>
        <v/>
      </c>
      <c r="GP22" s="50" t="str">
        <f t="shared" si="15"/>
        <v/>
      </c>
      <c r="GQ22" s="50" t="str">
        <f t="shared" si="15"/>
        <v/>
      </c>
      <c r="GR22" s="50" t="str">
        <f t="shared" si="15"/>
        <v/>
      </c>
      <c r="GS22" s="50" t="str">
        <f t="shared" si="15"/>
        <v/>
      </c>
      <c r="GT22" s="50" t="str">
        <f t="shared" si="15"/>
        <v/>
      </c>
      <c r="GU22" s="50" t="str">
        <f t="shared" si="15"/>
        <v/>
      </c>
      <c r="GV22" s="50" t="str">
        <f t="shared" si="15"/>
        <v/>
      </c>
      <c r="GW22" s="50" t="str">
        <f t="shared" si="15"/>
        <v/>
      </c>
      <c r="GX22" s="50" t="str">
        <f t="shared" si="15"/>
        <v/>
      </c>
      <c r="GY22" s="50" t="str">
        <f t="shared" si="15"/>
        <v/>
      </c>
      <c r="GZ22" s="50" t="str">
        <f t="shared" si="15"/>
        <v/>
      </c>
      <c r="HA22" s="50" t="str">
        <f t="shared" si="15"/>
        <v/>
      </c>
      <c r="HB22" s="50" t="str">
        <f t="shared" si="15"/>
        <v/>
      </c>
      <c r="HC22" s="50" t="str">
        <f t="shared" si="15"/>
        <v/>
      </c>
      <c r="HD22" s="50" t="str">
        <f t="shared" si="15"/>
        <v/>
      </c>
      <c r="HE22" s="50" t="str">
        <f t="shared" si="15"/>
        <v/>
      </c>
      <c r="HF22" s="50" t="str">
        <f t="shared" si="15"/>
        <v/>
      </c>
      <c r="HG22" s="50" t="str">
        <f t="shared" si="15"/>
        <v/>
      </c>
      <c r="HH22" s="50" t="str">
        <f t="shared" si="15"/>
        <v/>
      </c>
      <c r="HI22" s="50" t="str">
        <f t="shared" si="15"/>
        <v/>
      </c>
      <c r="HJ22" s="50" t="str">
        <f t="shared" si="15"/>
        <v/>
      </c>
      <c r="HK22" s="50" t="str">
        <f t="shared" si="15"/>
        <v/>
      </c>
      <c r="HL22" s="50" t="str">
        <f t="shared" si="15"/>
        <v/>
      </c>
      <c r="HM22" s="50" t="str">
        <f t="shared" si="15"/>
        <v/>
      </c>
      <c r="HN22" s="50" t="str">
        <f t="shared" si="15"/>
        <v/>
      </c>
      <c r="HO22" s="50" t="str">
        <f t="shared" si="15"/>
        <v/>
      </c>
      <c r="HP22" s="50" t="str">
        <f t="shared" si="15"/>
        <v/>
      </c>
      <c r="HQ22" s="50" t="str">
        <f t="shared" si="15"/>
        <v/>
      </c>
      <c r="HR22" s="112" t="str">
        <f t="shared" si="15"/>
        <v/>
      </c>
    </row>
    <row r="23" spans="1:226" ht="11.1" customHeight="1" x14ac:dyDescent="0.25">
      <c r="A23" s="26"/>
      <c r="B23" s="145"/>
      <c r="C23" s="28" t="str">
        <f>IF(A23=0,"",VLOOKUP(A23,[2]CO!$A$3:$F$5327,2,0))</f>
        <v/>
      </c>
      <c r="D23" s="149" t="s">
        <v>36</v>
      </c>
      <c r="E23" s="29"/>
      <c r="F23" s="29"/>
      <c r="G23" s="30" t="str">
        <f>IF(A23=0,"",VLOOKUP(A23,[2]CO!$A$3:$F$5327,3,0))</f>
        <v/>
      </c>
      <c r="H23" s="142"/>
      <c r="I23" s="143"/>
      <c r="J23" s="143"/>
      <c r="K23" s="143"/>
      <c r="L23" s="143"/>
      <c r="M23" s="32" t="str">
        <f t="shared" si="0"/>
        <v/>
      </c>
      <c r="N23" s="32" t="str">
        <f>IF(B23=0,"",IF(H23="M",HLOOKUP(B23,$Y$12:$DT$13,2),IF(A23=0,"",VLOOKUP(A23,[2]CO!$A$3:$F$5327,4,0))))</f>
        <v/>
      </c>
      <c r="O23" s="32" t="str">
        <f t="shared" si="7"/>
        <v/>
      </c>
      <c r="P23" s="33"/>
      <c r="Q23" s="34" t="str">
        <f t="shared" si="1"/>
        <v/>
      </c>
      <c r="R23" s="35" t="str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RESIDENTE"),VLOOKUP(B23,P$14:Q$77,2),"")*S23)</f>
        <v/>
      </c>
      <c r="T23" s="53" t="str">
        <f>IF(A23=0,"",VLOOKUP(A23,[2]CO!$A$3:$F$5318,5,0))</f>
        <v/>
      </c>
      <c r="U23" s="54">
        <f t="shared" si="2"/>
        <v>0</v>
      </c>
      <c r="V23" s="24"/>
      <c r="W23" s="25"/>
      <c r="X23" s="25"/>
      <c r="Y23" s="64" t="str">
        <f t="shared" si="16"/>
        <v/>
      </c>
      <c r="Z23" s="55" t="str">
        <f t="shared" si="16"/>
        <v/>
      </c>
      <c r="AA23" s="55" t="str">
        <f t="shared" si="16"/>
        <v/>
      </c>
      <c r="AB23" s="55" t="str">
        <f t="shared" si="16"/>
        <v/>
      </c>
      <c r="AC23" s="55" t="str">
        <f t="shared" si="16"/>
        <v/>
      </c>
      <c r="AD23" s="55" t="str">
        <f t="shared" si="16"/>
        <v/>
      </c>
      <c r="AE23" s="55" t="str">
        <f t="shared" si="16"/>
        <v/>
      </c>
      <c r="AF23" s="55" t="str">
        <f t="shared" si="16"/>
        <v/>
      </c>
      <c r="AG23" s="55" t="str">
        <f t="shared" si="16"/>
        <v/>
      </c>
      <c r="AH23" s="55" t="str">
        <f t="shared" si="16"/>
        <v/>
      </c>
      <c r="AI23" s="55" t="str">
        <f t="shared" si="16"/>
        <v/>
      </c>
      <c r="AJ23" s="55" t="str">
        <f t="shared" si="16"/>
        <v/>
      </c>
      <c r="AK23" s="55" t="str">
        <f t="shared" si="16"/>
        <v/>
      </c>
      <c r="AL23" s="55" t="str">
        <f t="shared" si="16"/>
        <v/>
      </c>
      <c r="AM23" s="55" t="str">
        <f t="shared" si="16"/>
        <v/>
      </c>
      <c r="AN23" s="55" t="str">
        <f t="shared" si="16"/>
        <v/>
      </c>
      <c r="AO23" s="55" t="str">
        <f t="shared" si="16"/>
        <v/>
      </c>
      <c r="AP23" s="55" t="str">
        <f t="shared" si="16"/>
        <v/>
      </c>
      <c r="AQ23" s="55" t="str">
        <f t="shared" si="16"/>
        <v/>
      </c>
      <c r="AR23" s="55" t="str">
        <f t="shared" si="16"/>
        <v/>
      </c>
      <c r="AS23" s="55" t="str">
        <f t="shared" si="16"/>
        <v/>
      </c>
      <c r="AT23" s="55" t="str">
        <f t="shared" si="16"/>
        <v/>
      </c>
      <c r="AU23" s="55" t="str">
        <f t="shared" si="16"/>
        <v/>
      </c>
      <c r="AV23" s="55" t="str">
        <f t="shared" si="16"/>
        <v/>
      </c>
      <c r="AW23" s="55" t="str">
        <f t="shared" si="16"/>
        <v/>
      </c>
      <c r="AX23" s="55" t="str">
        <f t="shared" si="16"/>
        <v/>
      </c>
      <c r="AY23" s="55" t="str">
        <f t="shared" si="16"/>
        <v/>
      </c>
      <c r="AZ23" s="55" t="str">
        <f t="shared" si="16"/>
        <v/>
      </c>
      <c r="BA23" s="55" t="str">
        <f t="shared" si="16"/>
        <v/>
      </c>
      <c r="BB23" s="55" t="str">
        <f t="shared" si="16"/>
        <v/>
      </c>
      <c r="BC23" s="55" t="str">
        <f t="shared" si="16"/>
        <v/>
      </c>
      <c r="BD23" s="55" t="str">
        <f t="shared" si="16"/>
        <v/>
      </c>
      <c r="BE23" s="55" t="str">
        <f t="shared" si="16"/>
        <v/>
      </c>
      <c r="BF23" s="55" t="str">
        <f t="shared" si="16"/>
        <v/>
      </c>
      <c r="BG23" s="55" t="str">
        <f t="shared" si="16"/>
        <v/>
      </c>
      <c r="BH23" s="55" t="str">
        <f t="shared" si="16"/>
        <v/>
      </c>
      <c r="BI23" s="55" t="str">
        <f t="shared" si="16"/>
        <v/>
      </c>
      <c r="BJ23" s="55" t="str">
        <f t="shared" si="16"/>
        <v/>
      </c>
      <c r="BK23" s="55" t="str">
        <f t="shared" si="16"/>
        <v/>
      </c>
      <c r="BL23" s="55" t="str">
        <f t="shared" si="16"/>
        <v/>
      </c>
      <c r="BM23" s="55" t="str">
        <f t="shared" si="16"/>
        <v/>
      </c>
      <c r="BN23" s="55" t="str">
        <f t="shared" si="16"/>
        <v/>
      </c>
      <c r="BO23" s="55" t="str">
        <f t="shared" si="16"/>
        <v/>
      </c>
      <c r="BP23" s="55" t="str">
        <f t="shared" si="16"/>
        <v/>
      </c>
      <c r="BQ23" s="55" t="str">
        <f t="shared" si="16"/>
        <v/>
      </c>
      <c r="BR23" s="55" t="str">
        <f t="shared" si="16"/>
        <v/>
      </c>
      <c r="BS23" s="55" t="str">
        <f t="shared" si="16"/>
        <v/>
      </c>
      <c r="BT23" s="55" t="str">
        <f t="shared" si="16"/>
        <v/>
      </c>
      <c r="BU23" s="55" t="str">
        <f t="shared" si="16"/>
        <v/>
      </c>
      <c r="BV23" s="55" t="str">
        <f t="shared" si="16"/>
        <v/>
      </c>
      <c r="BW23" s="55" t="str">
        <f t="shared" si="16"/>
        <v/>
      </c>
      <c r="BX23" s="55" t="str">
        <f t="shared" si="16"/>
        <v/>
      </c>
      <c r="BY23" s="55" t="str">
        <f t="shared" si="16"/>
        <v/>
      </c>
      <c r="BZ23" s="55" t="str">
        <f t="shared" si="16"/>
        <v/>
      </c>
      <c r="CA23" s="55" t="str">
        <f t="shared" si="16"/>
        <v/>
      </c>
      <c r="CB23" s="55" t="str">
        <f t="shared" si="16"/>
        <v/>
      </c>
      <c r="CC23" s="55" t="str">
        <f t="shared" si="16"/>
        <v/>
      </c>
      <c r="CD23" s="55" t="str">
        <f t="shared" si="16"/>
        <v/>
      </c>
      <c r="CE23" s="55" t="str">
        <f t="shared" si="16"/>
        <v/>
      </c>
      <c r="CF23" s="55" t="str">
        <f t="shared" si="16"/>
        <v/>
      </c>
      <c r="CG23" s="55" t="str">
        <f t="shared" si="16"/>
        <v/>
      </c>
      <c r="CH23" s="55" t="str">
        <f t="shared" si="16"/>
        <v/>
      </c>
      <c r="CI23" s="55" t="str">
        <f t="shared" si="16"/>
        <v/>
      </c>
      <c r="CJ23" s="55" t="str">
        <f t="shared" si="12"/>
        <v/>
      </c>
      <c r="CK23" s="55" t="str">
        <f t="shared" si="12"/>
        <v/>
      </c>
      <c r="CL23" s="55" t="str">
        <f t="shared" si="12"/>
        <v/>
      </c>
      <c r="CM23" s="55" t="str">
        <f t="shared" si="12"/>
        <v/>
      </c>
      <c r="CN23" s="55" t="str">
        <f t="shared" si="13"/>
        <v/>
      </c>
      <c r="CO23" s="55" t="str">
        <f t="shared" si="13"/>
        <v/>
      </c>
      <c r="CP23" s="55" t="str">
        <f t="shared" si="13"/>
        <v/>
      </c>
      <c r="CQ23" s="55" t="str">
        <f t="shared" si="13"/>
        <v/>
      </c>
      <c r="CR23" s="55" t="str">
        <f t="shared" si="13"/>
        <v/>
      </c>
      <c r="CS23" s="55" t="str">
        <f t="shared" si="13"/>
        <v/>
      </c>
      <c r="CT23" s="55" t="str">
        <f t="shared" si="13"/>
        <v/>
      </c>
      <c r="CU23" s="55" t="str">
        <f t="shared" si="13"/>
        <v/>
      </c>
      <c r="CV23" s="55" t="str">
        <f t="shared" si="13"/>
        <v/>
      </c>
      <c r="CW23" s="55" t="str">
        <f t="shared" si="13"/>
        <v/>
      </c>
      <c r="CX23" s="55" t="str">
        <f t="shared" si="13"/>
        <v/>
      </c>
      <c r="CY23" s="55" t="str">
        <f t="shared" si="13"/>
        <v/>
      </c>
      <c r="CZ23" s="55" t="str">
        <f t="shared" si="13"/>
        <v/>
      </c>
      <c r="DA23" s="55" t="str">
        <f t="shared" si="13"/>
        <v/>
      </c>
      <c r="DB23" s="55" t="str">
        <f t="shared" si="13"/>
        <v/>
      </c>
      <c r="DC23" s="55" t="str">
        <f t="shared" si="13"/>
        <v/>
      </c>
      <c r="DD23" s="55" t="str">
        <f t="shared" si="13"/>
        <v/>
      </c>
      <c r="DE23" s="55" t="str">
        <f t="shared" si="13"/>
        <v/>
      </c>
      <c r="DF23" s="55" t="str">
        <f t="shared" si="13"/>
        <v/>
      </c>
      <c r="DG23" s="55" t="str">
        <f t="shared" si="13"/>
        <v/>
      </c>
      <c r="DH23" s="55" t="str">
        <f t="shared" si="13"/>
        <v/>
      </c>
      <c r="DI23" s="55" t="str">
        <f t="shared" si="13"/>
        <v/>
      </c>
      <c r="DJ23" s="55" t="str">
        <f t="shared" si="13"/>
        <v/>
      </c>
      <c r="DK23" s="55" t="str">
        <f t="shared" si="13"/>
        <v/>
      </c>
      <c r="DL23" s="55" t="str">
        <f t="shared" si="13"/>
        <v/>
      </c>
      <c r="DM23" s="55" t="str">
        <f t="shared" si="13"/>
        <v/>
      </c>
      <c r="DN23" s="55" t="str">
        <f t="shared" si="13"/>
        <v/>
      </c>
      <c r="DO23" s="55" t="str">
        <f t="shared" si="13"/>
        <v/>
      </c>
      <c r="DP23" s="55" t="str">
        <f t="shared" si="13"/>
        <v/>
      </c>
      <c r="DQ23" s="55" t="str">
        <f t="shared" si="13"/>
        <v/>
      </c>
      <c r="DR23" s="55" t="str">
        <f t="shared" si="13"/>
        <v/>
      </c>
      <c r="DS23" s="55" t="str">
        <f t="shared" si="13"/>
        <v/>
      </c>
      <c r="DT23" s="106" t="str">
        <f t="shared" si="13"/>
        <v/>
      </c>
      <c r="DU23" s="54"/>
      <c r="DV23" s="25"/>
      <c r="DW23" s="61" t="str">
        <f t="shared" si="17"/>
        <v/>
      </c>
      <c r="DX23" s="50" t="str">
        <f t="shared" si="17"/>
        <v/>
      </c>
      <c r="DY23" s="50" t="str">
        <f t="shared" si="17"/>
        <v/>
      </c>
      <c r="DZ23" s="50" t="str">
        <f t="shared" si="17"/>
        <v/>
      </c>
      <c r="EA23" s="50" t="str">
        <f t="shared" si="17"/>
        <v/>
      </c>
      <c r="EB23" s="50" t="str">
        <f t="shared" si="17"/>
        <v/>
      </c>
      <c r="EC23" s="50" t="str">
        <f t="shared" si="17"/>
        <v/>
      </c>
      <c r="ED23" s="50" t="str">
        <f t="shared" si="17"/>
        <v/>
      </c>
      <c r="EE23" s="50" t="str">
        <f t="shared" si="17"/>
        <v/>
      </c>
      <c r="EF23" s="50" t="str">
        <f t="shared" si="17"/>
        <v/>
      </c>
      <c r="EG23" s="50" t="str">
        <f t="shared" si="17"/>
        <v/>
      </c>
      <c r="EH23" s="50" t="str">
        <f t="shared" si="17"/>
        <v/>
      </c>
      <c r="EI23" s="50" t="str">
        <f t="shared" si="17"/>
        <v/>
      </c>
      <c r="EJ23" s="50" t="str">
        <f t="shared" si="17"/>
        <v/>
      </c>
      <c r="EK23" s="50" t="str">
        <f t="shared" si="17"/>
        <v/>
      </c>
      <c r="EL23" s="50" t="str">
        <f t="shared" si="17"/>
        <v/>
      </c>
      <c r="EM23" s="50" t="str">
        <f t="shared" si="17"/>
        <v/>
      </c>
      <c r="EN23" s="50" t="str">
        <f t="shared" si="17"/>
        <v/>
      </c>
      <c r="EO23" s="50" t="str">
        <f t="shared" si="17"/>
        <v/>
      </c>
      <c r="EP23" s="50" t="str">
        <f t="shared" si="17"/>
        <v/>
      </c>
      <c r="EQ23" s="50" t="str">
        <f t="shared" si="17"/>
        <v/>
      </c>
      <c r="ER23" s="50" t="str">
        <f t="shared" si="17"/>
        <v/>
      </c>
      <c r="ES23" s="50" t="str">
        <f t="shared" si="17"/>
        <v/>
      </c>
      <c r="ET23" s="50" t="str">
        <f t="shared" si="17"/>
        <v/>
      </c>
      <c r="EU23" s="50" t="str">
        <f t="shared" si="17"/>
        <v/>
      </c>
      <c r="EV23" s="50" t="str">
        <f t="shared" si="17"/>
        <v/>
      </c>
      <c r="EW23" s="50" t="str">
        <f t="shared" si="17"/>
        <v/>
      </c>
      <c r="EX23" s="50" t="str">
        <f t="shared" si="17"/>
        <v/>
      </c>
      <c r="EY23" s="50" t="str">
        <f t="shared" si="17"/>
        <v/>
      </c>
      <c r="EZ23" s="50" t="str">
        <f t="shared" si="17"/>
        <v/>
      </c>
      <c r="FA23" s="50" t="str">
        <f t="shared" si="17"/>
        <v/>
      </c>
      <c r="FB23" s="50" t="str">
        <f t="shared" si="17"/>
        <v/>
      </c>
      <c r="FC23" s="50" t="str">
        <f t="shared" si="17"/>
        <v/>
      </c>
      <c r="FD23" s="50" t="str">
        <f t="shared" si="17"/>
        <v/>
      </c>
      <c r="FE23" s="50" t="str">
        <f t="shared" si="17"/>
        <v/>
      </c>
      <c r="FF23" s="50" t="str">
        <f t="shared" si="17"/>
        <v/>
      </c>
      <c r="FG23" s="50" t="str">
        <f t="shared" si="17"/>
        <v/>
      </c>
      <c r="FH23" s="50" t="str">
        <f t="shared" si="17"/>
        <v/>
      </c>
      <c r="FI23" s="50" t="str">
        <f t="shared" si="17"/>
        <v/>
      </c>
      <c r="FJ23" s="50" t="str">
        <f t="shared" si="17"/>
        <v/>
      </c>
      <c r="FK23" s="50" t="str">
        <f t="shared" si="17"/>
        <v/>
      </c>
      <c r="FL23" s="50" t="str">
        <f t="shared" si="17"/>
        <v/>
      </c>
      <c r="FM23" s="50" t="str">
        <f t="shared" si="17"/>
        <v/>
      </c>
      <c r="FN23" s="50" t="str">
        <f t="shared" si="17"/>
        <v/>
      </c>
      <c r="FO23" s="50" t="str">
        <f t="shared" si="17"/>
        <v/>
      </c>
      <c r="FP23" s="50" t="str">
        <f t="shared" si="17"/>
        <v/>
      </c>
      <c r="FQ23" s="50" t="str">
        <f t="shared" si="17"/>
        <v/>
      </c>
      <c r="FR23" s="50" t="str">
        <f t="shared" si="17"/>
        <v/>
      </c>
      <c r="FS23" s="50" t="str">
        <f t="shared" si="17"/>
        <v/>
      </c>
      <c r="FT23" s="50" t="str">
        <f t="shared" si="17"/>
        <v/>
      </c>
      <c r="FU23" s="50" t="str">
        <f t="shared" si="17"/>
        <v/>
      </c>
      <c r="FV23" s="50" t="str">
        <f t="shared" si="17"/>
        <v/>
      </c>
      <c r="FW23" s="50" t="str">
        <f t="shared" si="17"/>
        <v/>
      </c>
      <c r="FX23" s="50" t="str">
        <f t="shared" si="17"/>
        <v/>
      </c>
      <c r="FY23" s="50" t="str">
        <f t="shared" si="17"/>
        <v/>
      </c>
      <c r="FZ23" s="50" t="str">
        <f t="shared" si="17"/>
        <v/>
      </c>
      <c r="GA23" s="50" t="str">
        <f t="shared" si="17"/>
        <v/>
      </c>
      <c r="GB23" s="50" t="str">
        <f t="shared" si="17"/>
        <v/>
      </c>
      <c r="GC23" s="50" t="str">
        <f t="shared" si="17"/>
        <v/>
      </c>
      <c r="GD23" s="50" t="str">
        <f t="shared" si="17"/>
        <v/>
      </c>
      <c r="GE23" s="50" t="str">
        <f t="shared" si="17"/>
        <v/>
      </c>
      <c r="GF23" s="50" t="str">
        <f t="shared" si="17"/>
        <v/>
      </c>
      <c r="GG23" s="50" t="str">
        <f t="shared" si="17"/>
        <v/>
      </c>
      <c r="GH23" s="50" t="str">
        <f t="shared" si="14"/>
        <v/>
      </c>
      <c r="GI23" s="50" t="str">
        <f t="shared" si="14"/>
        <v/>
      </c>
      <c r="GJ23" s="50" t="str">
        <f t="shared" si="14"/>
        <v/>
      </c>
      <c r="GK23" s="50" t="str">
        <f t="shared" si="14"/>
        <v/>
      </c>
      <c r="GL23" s="50" t="str">
        <f t="shared" si="15"/>
        <v/>
      </c>
      <c r="GM23" s="50" t="str">
        <f t="shared" si="15"/>
        <v/>
      </c>
      <c r="GN23" s="50" t="str">
        <f t="shared" si="15"/>
        <v/>
      </c>
      <c r="GO23" s="50" t="str">
        <f t="shared" si="15"/>
        <v/>
      </c>
      <c r="GP23" s="50" t="str">
        <f t="shared" si="15"/>
        <v/>
      </c>
      <c r="GQ23" s="50" t="str">
        <f t="shared" si="15"/>
        <v/>
      </c>
      <c r="GR23" s="50" t="str">
        <f t="shared" si="15"/>
        <v/>
      </c>
      <c r="GS23" s="50" t="str">
        <f t="shared" si="15"/>
        <v/>
      </c>
      <c r="GT23" s="50" t="str">
        <f t="shared" si="15"/>
        <v/>
      </c>
      <c r="GU23" s="50" t="str">
        <f t="shared" si="15"/>
        <v/>
      </c>
      <c r="GV23" s="50" t="str">
        <f t="shared" si="15"/>
        <v/>
      </c>
      <c r="GW23" s="50" t="str">
        <f t="shared" si="15"/>
        <v/>
      </c>
      <c r="GX23" s="50" t="str">
        <f t="shared" si="15"/>
        <v/>
      </c>
      <c r="GY23" s="50" t="str">
        <f t="shared" si="15"/>
        <v/>
      </c>
      <c r="GZ23" s="50" t="str">
        <f t="shared" si="15"/>
        <v/>
      </c>
      <c r="HA23" s="50" t="str">
        <f t="shared" si="15"/>
        <v/>
      </c>
      <c r="HB23" s="50" t="str">
        <f t="shared" si="15"/>
        <v/>
      </c>
      <c r="HC23" s="50" t="str">
        <f t="shared" si="15"/>
        <v/>
      </c>
      <c r="HD23" s="50" t="str">
        <f t="shared" si="15"/>
        <v/>
      </c>
      <c r="HE23" s="50" t="str">
        <f t="shared" si="15"/>
        <v/>
      </c>
      <c r="HF23" s="50" t="str">
        <f t="shared" si="15"/>
        <v/>
      </c>
      <c r="HG23" s="50" t="str">
        <f t="shared" si="15"/>
        <v/>
      </c>
      <c r="HH23" s="50" t="str">
        <f t="shared" si="15"/>
        <v/>
      </c>
      <c r="HI23" s="50" t="str">
        <f t="shared" si="15"/>
        <v/>
      </c>
      <c r="HJ23" s="50" t="str">
        <f t="shared" si="15"/>
        <v/>
      </c>
      <c r="HK23" s="50" t="str">
        <f t="shared" si="15"/>
        <v/>
      </c>
      <c r="HL23" s="50" t="str">
        <f t="shared" si="15"/>
        <v/>
      </c>
      <c r="HM23" s="50" t="str">
        <f t="shared" si="15"/>
        <v/>
      </c>
      <c r="HN23" s="50" t="str">
        <f t="shared" si="15"/>
        <v/>
      </c>
      <c r="HO23" s="50" t="str">
        <f t="shared" si="15"/>
        <v/>
      </c>
      <c r="HP23" s="50" t="str">
        <f t="shared" si="15"/>
        <v/>
      </c>
      <c r="HQ23" s="50" t="str">
        <f t="shared" si="15"/>
        <v/>
      </c>
      <c r="HR23" s="112" t="str">
        <f t="shared" si="15"/>
        <v/>
      </c>
    </row>
    <row r="24" spans="1:226" ht="11.1" customHeight="1" x14ac:dyDescent="0.25">
      <c r="A24" s="26"/>
      <c r="B24" s="145"/>
      <c r="C24" s="28" t="str">
        <f>IF(A24=0,"",VLOOKUP(A24,[2]CO!$A$3:$F$5327,2,0))</f>
        <v/>
      </c>
      <c r="D24" s="149"/>
      <c r="E24" s="29"/>
      <c r="F24" s="29"/>
      <c r="G24" s="30" t="str">
        <f>IF(A24=0,"",VLOOKUP(A24,[2]CO!$A$3:$F$5327,3,0))</f>
        <v/>
      </c>
      <c r="H24" s="142"/>
      <c r="I24" s="143"/>
      <c r="J24" s="143"/>
      <c r="K24" s="143"/>
      <c r="L24" s="143"/>
      <c r="M24" s="32" t="str">
        <f t="shared" si="0"/>
        <v/>
      </c>
      <c r="N24" s="32" t="str">
        <f>IF(B24=0,"",IF(H24="M",HLOOKUP(B24,$Y$12:$DT$13,2),IF(A24=0,"",VLOOKUP(A24,[2]CO!$A$3:$F$5327,4,0))))</f>
        <v/>
      </c>
      <c r="O24" s="32" t="str">
        <f t="shared" si="7"/>
        <v/>
      </c>
      <c r="P24" s="33"/>
      <c r="Q24" s="34" t="str">
        <f t="shared" si="1"/>
        <v/>
      </c>
      <c r="R24" s="35" t="str">
        <f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RESIDENTE"),VLOOKUP(B24,P$14:Q$77,2),"")*S24)</f>
        <v/>
      </c>
      <c r="T24" s="53" t="str">
        <f>IF(A24=0,"",VLOOKUP(A24,[2]CO!$A$3:$F$5318,5,0))</f>
        <v/>
      </c>
      <c r="U24" s="54">
        <f t="shared" si="2"/>
        <v>0</v>
      </c>
      <c r="V24" s="24"/>
      <c r="W24" s="25"/>
      <c r="X24" s="25"/>
      <c r="Y24" s="64" t="str">
        <f t="shared" si="16"/>
        <v/>
      </c>
      <c r="Z24" s="55" t="str">
        <f t="shared" si="16"/>
        <v/>
      </c>
      <c r="AA24" s="55" t="str">
        <f t="shared" si="16"/>
        <v/>
      </c>
      <c r="AB24" s="55" t="str">
        <f t="shared" si="16"/>
        <v/>
      </c>
      <c r="AC24" s="55" t="str">
        <f t="shared" si="16"/>
        <v/>
      </c>
      <c r="AD24" s="55" t="str">
        <f t="shared" si="16"/>
        <v/>
      </c>
      <c r="AE24" s="55" t="str">
        <f t="shared" si="16"/>
        <v/>
      </c>
      <c r="AF24" s="55" t="str">
        <f t="shared" si="16"/>
        <v/>
      </c>
      <c r="AG24" s="55" t="str">
        <f t="shared" si="16"/>
        <v/>
      </c>
      <c r="AH24" s="55" t="str">
        <f t="shared" si="16"/>
        <v/>
      </c>
      <c r="AI24" s="55" t="str">
        <f t="shared" si="16"/>
        <v/>
      </c>
      <c r="AJ24" s="55" t="str">
        <f t="shared" si="16"/>
        <v/>
      </c>
      <c r="AK24" s="55" t="str">
        <f t="shared" si="16"/>
        <v/>
      </c>
      <c r="AL24" s="55" t="str">
        <f t="shared" si="16"/>
        <v/>
      </c>
      <c r="AM24" s="55" t="str">
        <f t="shared" si="16"/>
        <v/>
      </c>
      <c r="AN24" s="55" t="str">
        <f t="shared" si="16"/>
        <v/>
      </c>
      <c r="AO24" s="55" t="str">
        <f t="shared" si="16"/>
        <v/>
      </c>
      <c r="AP24" s="55" t="str">
        <f t="shared" si="16"/>
        <v/>
      </c>
      <c r="AQ24" s="55" t="str">
        <f t="shared" si="16"/>
        <v/>
      </c>
      <c r="AR24" s="55" t="str">
        <f t="shared" si="16"/>
        <v/>
      </c>
      <c r="AS24" s="55" t="str">
        <f t="shared" si="16"/>
        <v/>
      </c>
      <c r="AT24" s="55" t="str">
        <f t="shared" si="16"/>
        <v/>
      </c>
      <c r="AU24" s="55" t="str">
        <f t="shared" si="16"/>
        <v/>
      </c>
      <c r="AV24" s="55" t="str">
        <f t="shared" si="16"/>
        <v/>
      </c>
      <c r="AW24" s="55" t="str">
        <f t="shared" si="16"/>
        <v/>
      </c>
      <c r="AX24" s="55" t="str">
        <f t="shared" si="16"/>
        <v/>
      </c>
      <c r="AY24" s="55" t="str">
        <f t="shared" si="16"/>
        <v/>
      </c>
      <c r="AZ24" s="55" t="str">
        <f t="shared" si="16"/>
        <v/>
      </c>
      <c r="BA24" s="55" t="str">
        <f t="shared" si="16"/>
        <v/>
      </c>
      <c r="BB24" s="55" t="str">
        <f t="shared" si="16"/>
        <v/>
      </c>
      <c r="BC24" s="55" t="str">
        <f t="shared" si="16"/>
        <v/>
      </c>
      <c r="BD24" s="55" t="str">
        <f t="shared" si="16"/>
        <v/>
      </c>
      <c r="BE24" s="55" t="str">
        <f t="shared" si="16"/>
        <v/>
      </c>
      <c r="BF24" s="55" t="str">
        <f t="shared" si="16"/>
        <v/>
      </c>
      <c r="BG24" s="55" t="str">
        <f t="shared" si="16"/>
        <v/>
      </c>
      <c r="BH24" s="55" t="str">
        <f t="shared" si="16"/>
        <v/>
      </c>
      <c r="BI24" s="55" t="str">
        <f t="shared" si="16"/>
        <v/>
      </c>
      <c r="BJ24" s="55" t="str">
        <f t="shared" si="16"/>
        <v/>
      </c>
      <c r="BK24" s="55" t="str">
        <f t="shared" si="16"/>
        <v/>
      </c>
      <c r="BL24" s="55" t="str">
        <f t="shared" si="16"/>
        <v/>
      </c>
      <c r="BM24" s="55" t="str">
        <f t="shared" si="16"/>
        <v/>
      </c>
      <c r="BN24" s="55" t="str">
        <f t="shared" si="16"/>
        <v/>
      </c>
      <c r="BO24" s="55" t="str">
        <f t="shared" si="16"/>
        <v/>
      </c>
      <c r="BP24" s="55" t="str">
        <f t="shared" si="16"/>
        <v/>
      </c>
      <c r="BQ24" s="55" t="str">
        <f t="shared" si="16"/>
        <v/>
      </c>
      <c r="BR24" s="55" t="str">
        <f t="shared" si="16"/>
        <v/>
      </c>
      <c r="BS24" s="55" t="str">
        <f t="shared" si="16"/>
        <v/>
      </c>
      <c r="BT24" s="55" t="str">
        <f t="shared" si="16"/>
        <v/>
      </c>
      <c r="BU24" s="55" t="str">
        <f t="shared" si="16"/>
        <v/>
      </c>
      <c r="BV24" s="55" t="str">
        <f t="shared" si="16"/>
        <v/>
      </c>
      <c r="BW24" s="55" t="str">
        <f t="shared" si="16"/>
        <v/>
      </c>
      <c r="BX24" s="55" t="str">
        <f t="shared" si="16"/>
        <v/>
      </c>
      <c r="BY24" s="55" t="str">
        <f t="shared" si="16"/>
        <v/>
      </c>
      <c r="BZ24" s="55" t="str">
        <f t="shared" si="16"/>
        <v/>
      </c>
      <c r="CA24" s="55" t="str">
        <f t="shared" si="16"/>
        <v/>
      </c>
      <c r="CB24" s="55" t="str">
        <f t="shared" si="16"/>
        <v/>
      </c>
      <c r="CC24" s="55" t="str">
        <f t="shared" si="16"/>
        <v/>
      </c>
      <c r="CD24" s="55" t="str">
        <f t="shared" si="16"/>
        <v/>
      </c>
      <c r="CE24" s="55" t="str">
        <f t="shared" si="16"/>
        <v/>
      </c>
      <c r="CF24" s="55" t="str">
        <f t="shared" si="16"/>
        <v/>
      </c>
      <c r="CG24" s="55" t="str">
        <f t="shared" si="16"/>
        <v/>
      </c>
      <c r="CH24" s="55" t="str">
        <f t="shared" si="16"/>
        <v/>
      </c>
      <c r="CI24" s="55" t="str">
        <f t="shared" si="16"/>
        <v/>
      </c>
      <c r="CJ24" s="55" t="str">
        <f t="shared" si="12"/>
        <v/>
      </c>
      <c r="CK24" s="55" t="str">
        <f t="shared" si="12"/>
        <v/>
      </c>
      <c r="CL24" s="55" t="str">
        <f t="shared" si="12"/>
        <v/>
      </c>
      <c r="CM24" s="55" t="str">
        <f t="shared" si="12"/>
        <v/>
      </c>
      <c r="CN24" s="55" t="str">
        <f t="shared" si="12"/>
        <v/>
      </c>
      <c r="CO24" s="55" t="str">
        <f t="shared" si="12"/>
        <v/>
      </c>
      <c r="CP24" s="55" t="str">
        <f t="shared" si="12"/>
        <v/>
      </c>
      <c r="CQ24" s="55" t="str">
        <f t="shared" si="12"/>
        <v/>
      </c>
      <c r="CR24" s="55" t="str">
        <f t="shared" si="12"/>
        <v/>
      </c>
      <c r="CS24" s="55" t="str">
        <f t="shared" si="12"/>
        <v/>
      </c>
      <c r="CT24" s="55" t="str">
        <f t="shared" si="12"/>
        <v/>
      </c>
      <c r="CU24" s="55" t="str">
        <f t="shared" si="12"/>
        <v/>
      </c>
      <c r="CV24" s="55" t="str">
        <f t="shared" si="12"/>
        <v/>
      </c>
      <c r="CW24" s="55" t="str">
        <f t="shared" si="12"/>
        <v/>
      </c>
      <c r="CX24" s="55" t="str">
        <f t="shared" si="12"/>
        <v/>
      </c>
      <c r="CY24" s="55" t="str">
        <f t="shared" si="12"/>
        <v/>
      </c>
      <c r="CZ24" s="55" t="str">
        <f t="shared" si="13"/>
        <v/>
      </c>
      <c r="DA24" s="55" t="str">
        <f t="shared" si="13"/>
        <v/>
      </c>
      <c r="DB24" s="55" t="str">
        <f t="shared" si="13"/>
        <v/>
      </c>
      <c r="DC24" s="55" t="str">
        <f t="shared" si="13"/>
        <v/>
      </c>
      <c r="DD24" s="55" t="str">
        <f t="shared" si="13"/>
        <v/>
      </c>
      <c r="DE24" s="55" t="str">
        <f t="shared" si="13"/>
        <v/>
      </c>
      <c r="DF24" s="55" t="str">
        <f t="shared" si="13"/>
        <v/>
      </c>
      <c r="DG24" s="55" t="str">
        <f t="shared" si="13"/>
        <v/>
      </c>
      <c r="DH24" s="55" t="str">
        <f t="shared" si="13"/>
        <v/>
      </c>
      <c r="DI24" s="55" t="str">
        <f t="shared" si="13"/>
        <v/>
      </c>
      <c r="DJ24" s="55" t="str">
        <f t="shared" si="13"/>
        <v/>
      </c>
      <c r="DK24" s="55" t="str">
        <f t="shared" si="13"/>
        <v/>
      </c>
      <c r="DL24" s="55" t="str">
        <f t="shared" si="13"/>
        <v/>
      </c>
      <c r="DM24" s="55" t="str">
        <f t="shared" si="13"/>
        <v/>
      </c>
      <c r="DN24" s="55" t="str">
        <f t="shared" si="13"/>
        <v/>
      </c>
      <c r="DO24" s="55" t="str">
        <f t="shared" si="13"/>
        <v/>
      </c>
      <c r="DP24" s="55" t="str">
        <f t="shared" si="13"/>
        <v/>
      </c>
      <c r="DQ24" s="55" t="str">
        <f t="shared" si="13"/>
        <v/>
      </c>
      <c r="DR24" s="55" t="str">
        <f t="shared" si="13"/>
        <v/>
      </c>
      <c r="DS24" s="55" t="str">
        <f t="shared" si="13"/>
        <v/>
      </c>
      <c r="DT24" s="106" t="str">
        <f t="shared" si="13"/>
        <v/>
      </c>
      <c r="DU24" s="54"/>
      <c r="DV24" s="25"/>
      <c r="DW24" s="61" t="str">
        <f t="shared" si="17"/>
        <v/>
      </c>
      <c r="DX24" s="50" t="str">
        <f t="shared" si="17"/>
        <v/>
      </c>
      <c r="DY24" s="50" t="str">
        <f t="shared" si="17"/>
        <v/>
      </c>
      <c r="DZ24" s="50" t="str">
        <f t="shared" si="17"/>
        <v/>
      </c>
      <c r="EA24" s="50" t="str">
        <f t="shared" si="17"/>
        <v/>
      </c>
      <c r="EB24" s="50" t="str">
        <f t="shared" si="17"/>
        <v/>
      </c>
      <c r="EC24" s="50" t="str">
        <f t="shared" si="17"/>
        <v/>
      </c>
      <c r="ED24" s="50" t="str">
        <f t="shared" si="17"/>
        <v/>
      </c>
      <c r="EE24" s="50" t="str">
        <f t="shared" si="17"/>
        <v/>
      </c>
      <c r="EF24" s="50" t="str">
        <f t="shared" si="17"/>
        <v/>
      </c>
      <c r="EG24" s="50" t="str">
        <f t="shared" si="17"/>
        <v/>
      </c>
      <c r="EH24" s="50" t="str">
        <f t="shared" si="17"/>
        <v/>
      </c>
      <c r="EI24" s="50" t="str">
        <f t="shared" si="17"/>
        <v/>
      </c>
      <c r="EJ24" s="50" t="str">
        <f t="shared" si="17"/>
        <v/>
      </c>
      <c r="EK24" s="50" t="str">
        <f t="shared" si="17"/>
        <v/>
      </c>
      <c r="EL24" s="50" t="str">
        <f t="shared" si="17"/>
        <v/>
      </c>
      <c r="EM24" s="50" t="str">
        <f t="shared" si="17"/>
        <v/>
      </c>
      <c r="EN24" s="50" t="str">
        <f t="shared" si="17"/>
        <v/>
      </c>
      <c r="EO24" s="50" t="str">
        <f t="shared" si="17"/>
        <v/>
      </c>
      <c r="EP24" s="50" t="str">
        <f t="shared" si="17"/>
        <v/>
      </c>
      <c r="EQ24" s="50" t="str">
        <f t="shared" si="17"/>
        <v/>
      </c>
      <c r="ER24" s="50" t="str">
        <f t="shared" si="17"/>
        <v/>
      </c>
      <c r="ES24" s="50" t="str">
        <f t="shared" si="17"/>
        <v/>
      </c>
      <c r="ET24" s="50" t="str">
        <f t="shared" si="17"/>
        <v/>
      </c>
      <c r="EU24" s="50" t="str">
        <f t="shared" si="17"/>
        <v/>
      </c>
      <c r="EV24" s="50" t="str">
        <f t="shared" si="17"/>
        <v/>
      </c>
      <c r="EW24" s="50" t="str">
        <f t="shared" si="17"/>
        <v/>
      </c>
      <c r="EX24" s="50" t="str">
        <f t="shared" si="17"/>
        <v/>
      </c>
      <c r="EY24" s="50" t="str">
        <f t="shared" si="17"/>
        <v/>
      </c>
      <c r="EZ24" s="50" t="str">
        <f t="shared" si="17"/>
        <v/>
      </c>
      <c r="FA24" s="50" t="str">
        <f t="shared" si="17"/>
        <v/>
      </c>
      <c r="FB24" s="50" t="str">
        <f t="shared" si="17"/>
        <v/>
      </c>
      <c r="FC24" s="50" t="str">
        <f t="shared" si="17"/>
        <v/>
      </c>
      <c r="FD24" s="50" t="str">
        <f t="shared" si="17"/>
        <v/>
      </c>
      <c r="FE24" s="50" t="str">
        <f t="shared" si="17"/>
        <v/>
      </c>
      <c r="FF24" s="50" t="str">
        <f t="shared" si="17"/>
        <v/>
      </c>
      <c r="FG24" s="50" t="str">
        <f t="shared" si="17"/>
        <v/>
      </c>
      <c r="FH24" s="50" t="str">
        <f t="shared" si="17"/>
        <v/>
      </c>
      <c r="FI24" s="50" t="str">
        <f t="shared" si="17"/>
        <v/>
      </c>
      <c r="FJ24" s="50" t="str">
        <f t="shared" si="17"/>
        <v/>
      </c>
      <c r="FK24" s="50" t="str">
        <f t="shared" si="17"/>
        <v/>
      </c>
      <c r="FL24" s="50" t="str">
        <f t="shared" si="17"/>
        <v/>
      </c>
      <c r="FM24" s="50" t="str">
        <f t="shared" si="17"/>
        <v/>
      </c>
      <c r="FN24" s="50" t="str">
        <f t="shared" si="17"/>
        <v/>
      </c>
      <c r="FO24" s="50" t="str">
        <f t="shared" si="17"/>
        <v/>
      </c>
      <c r="FP24" s="50" t="str">
        <f t="shared" si="17"/>
        <v/>
      </c>
      <c r="FQ24" s="50" t="str">
        <f t="shared" si="17"/>
        <v/>
      </c>
      <c r="FR24" s="50" t="str">
        <f t="shared" si="17"/>
        <v/>
      </c>
      <c r="FS24" s="50" t="str">
        <f t="shared" si="17"/>
        <v/>
      </c>
      <c r="FT24" s="50" t="str">
        <f t="shared" si="17"/>
        <v/>
      </c>
      <c r="FU24" s="50" t="str">
        <f t="shared" si="17"/>
        <v/>
      </c>
      <c r="FV24" s="50" t="str">
        <f t="shared" si="17"/>
        <v/>
      </c>
      <c r="FW24" s="50" t="str">
        <f t="shared" si="17"/>
        <v/>
      </c>
      <c r="FX24" s="50" t="str">
        <f t="shared" si="17"/>
        <v/>
      </c>
      <c r="FY24" s="50" t="str">
        <f t="shared" si="17"/>
        <v/>
      </c>
      <c r="FZ24" s="50" t="str">
        <f t="shared" si="17"/>
        <v/>
      </c>
      <c r="GA24" s="50" t="str">
        <f t="shared" si="17"/>
        <v/>
      </c>
      <c r="GB24" s="50" t="str">
        <f t="shared" si="17"/>
        <v/>
      </c>
      <c r="GC24" s="50" t="str">
        <f t="shared" si="17"/>
        <v/>
      </c>
      <c r="GD24" s="50" t="str">
        <f t="shared" si="17"/>
        <v/>
      </c>
      <c r="GE24" s="50" t="str">
        <f t="shared" si="17"/>
        <v/>
      </c>
      <c r="GF24" s="50" t="str">
        <f t="shared" si="17"/>
        <v/>
      </c>
      <c r="GG24" s="50" t="str">
        <f t="shared" si="17"/>
        <v/>
      </c>
      <c r="GH24" s="50" t="str">
        <f t="shared" si="14"/>
        <v/>
      </c>
      <c r="GI24" s="50" t="str">
        <f t="shared" si="14"/>
        <v/>
      </c>
      <c r="GJ24" s="50" t="str">
        <f t="shared" si="14"/>
        <v/>
      </c>
      <c r="GK24" s="50" t="str">
        <f t="shared" si="14"/>
        <v/>
      </c>
      <c r="GL24" s="50" t="str">
        <f t="shared" si="14"/>
        <v/>
      </c>
      <c r="GM24" s="50" t="str">
        <f t="shared" si="14"/>
        <v/>
      </c>
      <c r="GN24" s="50" t="str">
        <f t="shared" si="14"/>
        <v/>
      </c>
      <c r="GO24" s="50" t="str">
        <f t="shared" si="14"/>
        <v/>
      </c>
      <c r="GP24" s="50" t="str">
        <f t="shared" si="14"/>
        <v/>
      </c>
      <c r="GQ24" s="50" t="str">
        <f t="shared" si="14"/>
        <v/>
      </c>
      <c r="GR24" s="50" t="str">
        <f t="shared" si="14"/>
        <v/>
      </c>
      <c r="GS24" s="50" t="str">
        <f t="shared" si="14"/>
        <v/>
      </c>
      <c r="GT24" s="50" t="str">
        <f t="shared" si="14"/>
        <v/>
      </c>
      <c r="GU24" s="50" t="str">
        <f t="shared" si="14"/>
        <v/>
      </c>
      <c r="GV24" s="50" t="str">
        <f t="shared" si="14"/>
        <v/>
      </c>
      <c r="GW24" s="50" t="str">
        <f t="shared" si="14"/>
        <v/>
      </c>
      <c r="GX24" s="50" t="str">
        <f t="shared" si="15"/>
        <v/>
      </c>
      <c r="GY24" s="50" t="str">
        <f t="shared" si="15"/>
        <v/>
      </c>
      <c r="GZ24" s="50" t="str">
        <f t="shared" si="15"/>
        <v/>
      </c>
      <c r="HA24" s="50" t="str">
        <f t="shared" si="15"/>
        <v/>
      </c>
      <c r="HB24" s="50" t="str">
        <f t="shared" si="15"/>
        <v/>
      </c>
      <c r="HC24" s="50" t="str">
        <f t="shared" si="15"/>
        <v/>
      </c>
      <c r="HD24" s="50" t="str">
        <f t="shared" si="15"/>
        <v/>
      </c>
      <c r="HE24" s="50" t="str">
        <f t="shared" si="15"/>
        <v/>
      </c>
      <c r="HF24" s="50" t="str">
        <f t="shared" si="15"/>
        <v/>
      </c>
      <c r="HG24" s="50" t="str">
        <f t="shared" si="15"/>
        <v/>
      </c>
      <c r="HH24" s="50" t="str">
        <f t="shared" si="15"/>
        <v/>
      </c>
      <c r="HI24" s="50" t="str">
        <f t="shared" si="15"/>
        <v/>
      </c>
      <c r="HJ24" s="50" t="str">
        <f t="shared" si="15"/>
        <v/>
      </c>
      <c r="HK24" s="50" t="str">
        <f t="shared" si="15"/>
        <v/>
      </c>
      <c r="HL24" s="50" t="str">
        <f t="shared" si="15"/>
        <v/>
      </c>
      <c r="HM24" s="50" t="str">
        <f t="shared" si="15"/>
        <v/>
      </c>
      <c r="HN24" s="50" t="str">
        <f t="shared" si="15"/>
        <v/>
      </c>
      <c r="HO24" s="50" t="str">
        <f t="shared" si="15"/>
        <v/>
      </c>
      <c r="HP24" s="50" t="str">
        <f t="shared" si="15"/>
        <v/>
      </c>
      <c r="HQ24" s="50" t="str">
        <f t="shared" si="15"/>
        <v/>
      </c>
      <c r="HR24" s="112" t="str">
        <f t="shared" si="15"/>
        <v/>
      </c>
    </row>
    <row r="25" spans="1:226" ht="11.1" customHeight="1" x14ac:dyDescent="0.25">
      <c r="A25" s="26">
        <v>2774</v>
      </c>
      <c r="B25" s="145">
        <v>3</v>
      </c>
      <c r="C25" s="28" t="str">
        <f>IF(A25=0,"",VLOOKUP(A25,[2]CO!$A$3:$F$5327,2,0))</f>
        <v>MACÍAS TOVAR NOÉ</v>
      </c>
      <c r="D25" s="149"/>
      <c r="E25" s="29"/>
      <c r="F25" s="29"/>
      <c r="G25" s="30" t="str">
        <f>IF(A25=0,"",VLOOKUP(A25,[2]CO!$A$3:$F$5327,3,0))</f>
        <v>OF</v>
      </c>
      <c r="H25" s="142"/>
      <c r="I25" s="143"/>
      <c r="J25" s="143"/>
      <c r="K25" s="143"/>
      <c r="L25" s="143">
        <v>7</v>
      </c>
      <c r="M25" s="32">
        <f t="shared" si="0"/>
        <v>7</v>
      </c>
      <c r="N25" s="32">
        <f>IF(B25=0,"",IF(H25="M",HLOOKUP(B25,$Y$12:$DT$13,2),IF(A25=0,"",VLOOKUP(A25,[2]CO!$A$3:$F$5327,4,0))))</f>
        <v>638.79999999999995</v>
      </c>
      <c r="O25" s="32">
        <f t="shared" si="7"/>
        <v>4471.5999999999995</v>
      </c>
      <c r="P25" s="33"/>
      <c r="Q25" s="34" t="str">
        <f t="shared" si="1"/>
        <v/>
      </c>
      <c r="R25" s="35">
        <f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RESIDENTE"),VLOOKUP(B25,P$14:Q$77,2),"")*S25)</f>
        <v>5749.1999999999989</v>
      </c>
      <c r="S25" s="118">
        <v>1</v>
      </c>
      <c r="T25" s="53">
        <f>IF(A25=0,"",VLOOKUP(A25,[2]CO!$A$3:$F$5318,5,0))</f>
        <v>0</v>
      </c>
      <c r="U25" s="54">
        <f t="shared" si="2"/>
        <v>0</v>
      </c>
      <c r="V25" s="24"/>
      <c r="W25" s="25"/>
      <c r="X25" s="25"/>
      <c r="Y25" s="64" t="str">
        <f t="shared" si="16"/>
        <v/>
      </c>
      <c r="Z25" s="55" t="str">
        <f t="shared" si="16"/>
        <v/>
      </c>
      <c r="AA25" s="55">
        <f t="shared" si="16"/>
        <v>0</v>
      </c>
      <c r="AB25" s="55" t="str">
        <f t="shared" si="16"/>
        <v/>
      </c>
      <c r="AC25" s="55" t="str">
        <f t="shared" si="16"/>
        <v/>
      </c>
      <c r="AD25" s="55" t="str">
        <f t="shared" si="16"/>
        <v/>
      </c>
      <c r="AE25" s="55" t="str">
        <f t="shared" si="16"/>
        <v/>
      </c>
      <c r="AF25" s="55" t="str">
        <f t="shared" si="16"/>
        <v/>
      </c>
      <c r="AG25" s="55" t="str">
        <f t="shared" si="16"/>
        <v/>
      </c>
      <c r="AH25" s="55" t="str">
        <f t="shared" si="16"/>
        <v/>
      </c>
      <c r="AI25" s="55" t="str">
        <f t="shared" si="16"/>
        <v/>
      </c>
      <c r="AJ25" s="55" t="str">
        <f t="shared" si="16"/>
        <v/>
      </c>
      <c r="AK25" s="55" t="str">
        <f t="shared" si="16"/>
        <v/>
      </c>
      <c r="AL25" s="55" t="str">
        <f t="shared" si="16"/>
        <v/>
      </c>
      <c r="AM25" s="55" t="str">
        <f t="shared" si="16"/>
        <v/>
      </c>
      <c r="AN25" s="55" t="str">
        <f t="shared" si="16"/>
        <v/>
      </c>
      <c r="AO25" s="55" t="str">
        <f t="shared" si="16"/>
        <v/>
      </c>
      <c r="AP25" s="55" t="str">
        <f t="shared" si="16"/>
        <v/>
      </c>
      <c r="AQ25" s="55" t="str">
        <f t="shared" si="16"/>
        <v/>
      </c>
      <c r="AR25" s="55" t="str">
        <f t="shared" si="16"/>
        <v/>
      </c>
      <c r="AS25" s="55" t="str">
        <f t="shared" si="16"/>
        <v/>
      </c>
      <c r="AT25" s="55" t="str">
        <f t="shared" si="16"/>
        <v/>
      </c>
      <c r="AU25" s="55" t="str">
        <f t="shared" si="16"/>
        <v/>
      </c>
      <c r="AV25" s="55" t="str">
        <f t="shared" si="16"/>
        <v/>
      </c>
      <c r="AW25" s="55" t="str">
        <f t="shared" si="16"/>
        <v/>
      </c>
      <c r="AX25" s="55" t="str">
        <f t="shared" si="16"/>
        <v/>
      </c>
      <c r="AY25" s="55" t="str">
        <f t="shared" si="16"/>
        <v/>
      </c>
      <c r="AZ25" s="55" t="str">
        <f t="shared" si="16"/>
        <v/>
      </c>
      <c r="BA25" s="55" t="str">
        <f t="shared" si="16"/>
        <v/>
      </c>
      <c r="BB25" s="55" t="str">
        <f t="shared" si="16"/>
        <v/>
      </c>
      <c r="BC25" s="55" t="str">
        <f t="shared" si="16"/>
        <v/>
      </c>
      <c r="BD25" s="55" t="str">
        <f t="shared" si="16"/>
        <v/>
      </c>
      <c r="BE25" s="55" t="str">
        <f t="shared" si="16"/>
        <v/>
      </c>
      <c r="BF25" s="55" t="str">
        <f t="shared" si="16"/>
        <v/>
      </c>
      <c r="BG25" s="55" t="str">
        <f t="shared" si="16"/>
        <v/>
      </c>
      <c r="BH25" s="55" t="str">
        <f t="shared" si="16"/>
        <v/>
      </c>
      <c r="BI25" s="55" t="str">
        <f t="shared" si="16"/>
        <v/>
      </c>
      <c r="BJ25" s="55" t="str">
        <f t="shared" si="16"/>
        <v/>
      </c>
      <c r="BK25" s="55" t="str">
        <f t="shared" si="16"/>
        <v/>
      </c>
      <c r="BL25" s="55" t="str">
        <f t="shared" si="16"/>
        <v/>
      </c>
      <c r="BM25" s="55" t="str">
        <f t="shared" si="16"/>
        <v/>
      </c>
      <c r="BN25" s="55" t="str">
        <f t="shared" si="16"/>
        <v/>
      </c>
      <c r="BO25" s="55" t="str">
        <f t="shared" si="16"/>
        <v/>
      </c>
      <c r="BP25" s="55" t="str">
        <f t="shared" si="16"/>
        <v/>
      </c>
      <c r="BQ25" s="55" t="str">
        <f t="shared" si="16"/>
        <v/>
      </c>
      <c r="BR25" s="55" t="str">
        <f t="shared" si="16"/>
        <v/>
      </c>
      <c r="BS25" s="55" t="str">
        <f t="shared" si="16"/>
        <v/>
      </c>
      <c r="BT25" s="55" t="str">
        <f t="shared" si="16"/>
        <v/>
      </c>
      <c r="BU25" s="55" t="str">
        <f t="shared" si="16"/>
        <v/>
      </c>
      <c r="BV25" s="55" t="str">
        <f t="shared" si="16"/>
        <v/>
      </c>
      <c r="BW25" s="55" t="str">
        <f t="shared" si="16"/>
        <v/>
      </c>
      <c r="BX25" s="55" t="str">
        <f t="shared" si="16"/>
        <v/>
      </c>
      <c r="BY25" s="55" t="str">
        <f t="shared" si="16"/>
        <v/>
      </c>
      <c r="BZ25" s="55" t="str">
        <f t="shared" si="16"/>
        <v/>
      </c>
      <c r="CA25" s="55" t="str">
        <f t="shared" si="16"/>
        <v/>
      </c>
      <c r="CB25" s="55" t="str">
        <f t="shared" si="16"/>
        <v/>
      </c>
      <c r="CC25" s="55" t="str">
        <f t="shared" si="16"/>
        <v/>
      </c>
      <c r="CD25" s="55" t="str">
        <f t="shared" si="16"/>
        <v/>
      </c>
      <c r="CE25" s="55" t="str">
        <f t="shared" si="16"/>
        <v/>
      </c>
      <c r="CF25" s="55" t="str">
        <f t="shared" si="16"/>
        <v/>
      </c>
      <c r="CG25" s="55" t="str">
        <f t="shared" si="16"/>
        <v/>
      </c>
      <c r="CH25" s="55" t="str">
        <f t="shared" si="16"/>
        <v/>
      </c>
      <c r="CI25" s="55" t="str">
        <f t="shared" si="16"/>
        <v/>
      </c>
      <c r="CJ25" s="55" t="str">
        <f t="shared" si="12"/>
        <v/>
      </c>
      <c r="CK25" s="55" t="str">
        <f t="shared" si="12"/>
        <v/>
      </c>
      <c r="CL25" s="55" t="str">
        <f t="shared" si="12"/>
        <v/>
      </c>
      <c r="CM25" s="55" t="str">
        <f t="shared" si="12"/>
        <v/>
      </c>
      <c r="CN25" s="55" t="str">
        <f t="shared" si="12"/>
        <v/>
      </c>
      <c r="CO25" s="55" t="str">
        <f t="shared" si="12"/>
        <v/>
      </c>
      <c r="CP25" s="55" t="str">
        <f t="shared" si="12"/>
        <v/>
      </c>
      <c r="CQ25" s="55" t="str">
        <f t="shared" si="12"/>
        <v/>
      </c>
      <c r="CR25" s="55" t="str">
        <f t="shared" si="12"/>
        <v/>
      </c>
      <c r="CS25" s="55" t="str">
        <f t="shared" si="12"/>
        <v/>
      </c>
      <c r="CT25" s="55" t="str">
        <f t="shared" si="12"/>
        <v/>
      </c>
      <c r="CU25" s="55" t="str">
        <f t="shared" si="12"/>
        <v/>
      </c>
      <c r="CV25" s="55" t="str">
        <f t="shared" si="12"/>
        <v/>
      </c>
      <c r="CW25" s="55" t="str">
        <f t="shared" si="12"/>
        <v/>
      </c>
      <c r="CX25" s="55" t="str">
        <f t="shared" si="12"/>
        <v/>
      </c>
      <c r="CY25" s="55" t="str">
        <f t="shared" si="12"/>
        <v/>
      </c>
      <c r="CZ25" s="55" t="str">
        <f t="shared" si="13"/>
        <v/>
      </c>
      <c r="DA25" s="55" t="str">
        <f t="shared" si="13"/>
        <v/>
      </c>
      <c r="DB25" s="55" t="str">
        <f t="shared" si="13"/>
        <v/>
      </c>
      <c r="DC25" s="55" t="str">
        <f t="shared" si="13"/>
        <v/>
      </c>
      <c r="DD25" s="55" t="str">
        <f t="shared" si="13"/>
        <v/>
      </c>
      <c r="DE25" s="55" t="str">
        <f t="shared" si="13"/>
        <v/>
      </c>
      <c r="DF25" s="55" t="str">
        <f t="shared" si="13"/>
        <v/>
      </c>
      <c r="DG25" s="55" t="str">
        <f t="shared" si="13"/>
        <v/>
      </c>
      <c r="DH25" s="55" t="str">
        <f t="shared" si="13"/>
        <v/>
      </c>
      <c r="DI25" s="55" t="str">
        <f t="shared" si="13"/>
        <v/>
      </c>
      <c r="DJ25" s="55" t="str">
        <f t="shared" si="13"/>
        <v/>
      </c>
      <c r="DK25" s="55" t="str">
        <f t="shared" si="13"/>
        <v/>
      </c>
      <c r="DL25" s="55" t="str">
        <f t="shared" si="13"/>
        <v/>
      </c>
      <c r="DM25" s="55" t="str">
        <f t="shared" si="13"/>
        <v/>
      </c>
      <c r="DN25" s="55" t="str">
        <f t="shared" si="13"/>
        <v/>
      </c>
      <c r="DO25" s="55" t="str">
        <f t="shared" si="13"/>
        <v/>
      </c>
      <c r="DP25" s="55" t="str">
        <f t="shared" si="13"/>
        <v/>
      </c>
      <c r="DQ25" s="55" t="str">
        <f t="shared" si="13"/>
        <v/>
      </c>
      <c r="DR25" s="55" t="str">
        <f t="shared" si="13"/>
        <v/>
      </c>
      <c r="DS25" s="55" t="str">
        <f t="shared" si="13"/>
        <v/>
      </c>
      <c r="DT25" s="106" t="str">
        <f t="shared" si="13"/>
        <v/>
      </c>
      <c r="DU25" s="54"/>
      <c r="DV25" s="25"/>
      <c r="DW25" s="61" t="str">
        <f t="shared" si="17"/>
        <v/>
      </c>
      <c r="DX25" s="50" t="str">
        <f t="shared" si="17"/>
        <v/>
      </c>
      <c r="DY25" s="50">
        <f t="shared" si="17"/>
        <v>4471.5999999999995</v>
      </c>
      <c r="DZ25" s="50" t="str">
        <f t="shared" si="17"/>
        <v/>
      </c>
      <c r="EA25" s="50" t="str">
        <f t="shared" si="17"/>
        <v/>
      </c>
      <c r="EB25" s="50" t="str">
        <f t="shared" si="17"/>
        <v/>
      </c>
      <c r="EC25" s="50" t="str">
        <f t="shared" si="17"/>
        <v/>
      </c>
      <c r="ED25" s="50" t="str">
        <f t="shared" si="17"/>
        <v/>
      </c>
      <c r="EE25" s="50" t="str">
        <f t="shared" si="17"/>
        <v/>
      </c>
      <c r="EF25" s="50" t="str">
        <f t="shared" si="17"/>
        <v/>
      </c>
      <c r="EG25" s="50" t="str">
        <f t="shared" si="17"/>
        <v/>
      </c>
      <c r="EH25" s="50" t="str">
        <f t="shared" si="17"/>
        <v/>
      </c>
      <c r="EI25" s="50" t="str">
        <f t="shared" si="17"/>
        <v/>
      </c>
      <c r="EJ25" s="50" t="str">
        <f t="shared" si="17"/>
        <v/>
      </c>
      <c r="EK25" s="50" t="str">
        <f t="shared" si="17"/>
        <v/>
      </c>
      <c r="EL25" s="50" t="str">
        <f t="shared" si="17"/>
        <v/>
      </c>
      <c r="EM25" s="50" t="str">
        <f t="shared" si="17"/>
        <v/>
      </c>
      <c r="EN25" s="50" t="str">
        <f t="shared" si="17"/>
        <v/>
      </c>
      <c r="EO25" s="50" t="str">
        <f t="shared" si="17"/>
        <v/>
      </c>
      <c r="EP25" s="50" t="str">
        <f t="shared" si="17"/>
        <v/>
      </c>
      <c r="EQ25" s="50" t="str">
        <f t="shared" si="17"/>
        <v/>
      </c>
      <c r="ER25" s="50" t="str">
        <f t="shared" si="17"/>
        <v/>
      </c>
      <c r="ES25" s="50" t="str">
        <f t="shared" si="17"/>
        <v/>
      </c>
      <c r="ET25" s="50" t="str">
        <f t="shared" si="17"/>
        <v/>
      </c>
      <c r="EU25" s="50" t="str">
        <f t="shared" si="17"/>
        <v/>
      </c>
      <c r="EV25" s="50" t="str">
        <f t="shared" si="17"/>
        <v/>
      </c>
      <c r="EW25" s="50" t="str">
        <f t="shared" si="17"/>
        <v/>
      </c>
      <c r="EX25" s="50" t="str">
        <f t="shared" si="17"/>
        <v/>
      </c>
      <c r="EY25" s="50" t="str">
        <f t="shared" si="17"/>
        <v/>
      </c>
      <c r="EZ25" s="50" t="str">
        <f t="shared" si="17"/>
        <v/>
      </c>
      <c r="FA25" s="50" t="str">
        <f t="shared" si="17"/>
        <v/>
      </c>
      <c r="FB25" s="50" t="str">
        <f t="shared" si="17"/>
        <v/>
      </c>
      <c r="FC25" s="50" t="str">
        <f t="shared" si="17"/>
        <v/>
      </c>
      <c r="FD25" s="50" t="str">
        <f t="shared" si="17"/>
        <v/>
      </c>
      <c r="FE25" s="50" t="str">
        <f t="shared" si="17"/>
        <v/>
      </c>
      <c r="FF25" s="50" t="str">
        <f t="shared" si="17"/>
        <v/>
      </c>
      <c r="FG25" s="50" t="str">
        <f t="shared" si="17"/>
        <v/>
      </c>
      <c r="FH25" s="50" t="str">
        <f t="shared" si="17"/>
        <v/>
      </c>
      <c r="FI25" s="50" t="str">
        <f t="shared" si="17"/>
        <v/>
      </c>
      <c r="FJ25" s="50" t="str">
        <f t="shared" si="17"/>
        <v/>
      </c>
      <c r="FK25" s="50" t="str">
        <f t="shared" si="17"/>
        <v/>
      </c>
      <c r="FL25" s="50" t="str">
        <f t="shared" si="17"/>
        <v/>
      </c>
      <c r="FM25" s="50" t="str">
        <f t="shared" si="17"/>
        <v/>
      </c>
      <c r="FN25" s="50" t="str">
        <f t="shared" si="17"/>
        <v/>
      </c>
      <c r="FO25" s="50" t="str">
        <f t="shared" si="17"/>
        <v/>
      </c>
      <c r="FP25" s="50" t="str">
        <f t="shared" si="17"/>
        <v/>
      </c>
      <c r="FQ25" s="50" t="str">
        <f t="shared" si="17"/>
        <v/>
      </c>
      <c r="FR25" s="50" t="str">
        <f t="shared" si="17"/>
        <v/>
      </c>
      <c r="FS25" s="50" t="str">
        <f t="shared" si="17"/>
        <v/>
      </c>
      <c r="FT25" s="50" t="str">
        <f t="shared" si="17"/>
        <v/>
      </c>
      <c r="FU25" s="50" t="str">
        <f t="shared" si="17"/>
        <v/>
      </c>
      <c r="FV25" s="50" t="str">
        <f t="shared" si="17"/>
        <v/>
      </c>
      <c r="FW25" s="50" t="str">
        <f t="shared" si="17"/>
        <v/>
      </c>
      <c r="FX25" s="50" t="str">
        <f t="shared" si="17"/>
        <v/>
      </c>
      <c r="FY25" s="50" t="str">
        <f t="shared" si="17"/>
        <v/>
      </c>
      <c r="FZ25" s="50" t="str">
        <f t="shared" si="17"/>
        <v/>
      </c>
      <c r="GA25" s="50" t="str">
        <f t="shared" si="17"/>
        <v/>
      </c>
      <c r="GB25" s="50" t="str">
        <f t="shared" si="17"/>
        <v/>
      </c>
      <c r="GC25" s="50" t="str">
        <f t="shared" si="17"/>
        <v/>
      </c>
      <c r="GD25" s="50" t="str">
        <f t="shared" si="17"/>
        <v/>
      </c>
      <c r="GE25" s="50" t="str">
        <f t="shared" si="17"/>
        <v/>
      </c>
      <c r="GF25" s="50" t="str">
        <f t="shared" si="17"/>
        <v/>
      </c>
      <c r="GG25" s="50" t="str">
        <f t="shared" si="17"/>
        <v/>
      </c>
      <c r="GH25" s="50" t="str">
        <f t="shared" si="14"/>
        <v/>
      </c>
      <c r="GI25" s="50" t="str">
        <f t="shared" si="14"/>
        <v/>
      </c>
      <c r="GJ25" s="50" t="str">
        <f t="shared" si="14"/>
        <v/>
      </c>
      <c r="GK25" s="50" t="str">
        <f t="shared" si="14"/>
        <v/>
      </c>
      <c r="GL25" s="50" t="str">
        <f t="shared" si="14"/>
        <v/>
      </c>
      <c r="GM25" s="50" t="str">
        <f t="shared" si="14"/>
        <v/>
      </c>
      <c r="GN25" s="50" t="str">
        <f t="shared" si="14"/>
        <v/>
      </c>
      <c r="GO25" s="50" t="str">
        <f t="shared" si="14"/>
        <v/>
      </c>
      <c r="GP25" s="50" t="str">
        <f t="shared" si="14"/>
        <v/>
      </c>
      <c r="GQ25" s="50" t="str">
        <f t="shared" si="14"/>
        <v/>
      </c>
      <c r="GR25" s="50" t="str">
        <f t="shared" si="14"/>
        <v/>
      </c>
      <c r="GS25" s="50" t="str">
        <f t="shared" si="14"/>
        <v/>
      </c>
      <c r="GT25" s="50" t="str">
        <f t="shared" si="14"/>
        <v/>
      </c>
      <c r="GU25" s="50" t="str">
        <f t="shared" si="14"/>
        <v/>
      </c>
      <c r="GV25" s="50" t="str">
        <f t="shared" si="14"/>
        <v/>
      </c>
      <c r="GW25" s="50" t="str">
        <f t="shared" si="14"/>
        <v/>
      </c>
      <c r="GX25" s="50" t="str">
        <f t="shared" si="15"/>
        <v/>
      </c>
      <c r="GY25" s="50" t="str">
        <f t="shared" si="15"/>
        <v/>
      </c>
      <c r="GZ25" s="50" t="str">
        <f t="shared" si="15"/>
        <v/>
      </c>
      <c r="HA25" s="50" t="str">
        <f t="shared" si="15"/>
        <v/>
      </c>
      <c r="HB25" s="50" t="str">
        <f t="shared" si="15"/>
        <v/>
      </c>
      <c r="HC25" s="50" t="str">
        <f t="shared" si="15"/>
        <v/>
      </c>
      <c r="HD25" s="50" t="str">
        <f t="shared" si="15"/>
        <v/>
      </c>
      <c r="HE25" s="50" t="str">
        <f t="shared" si="15"/>
        <v/>
      </c>
      <c r="HF25" s="50" t="str">
        <f t="shared" si="15"/>
        <v/>
      </c>
      <c r="HG25" s="50" t="str">
        <f t="shared" si="15"/>
        <v/>
      </c>
      <c r="HH25" s="50" t="str">
        <f t="shared" si="15"/>
        <v/>
      </c>
      <c r="HI25" s="50" t="str">
        <f t="shared" si="15"/>
        <v/>
      </c>
      <c r="HJ25" s="50" t="str">
        <f t="shared" si="15"/>
        <v/>
      </c>
      <c r="HK25" s="50" t="str">
        <f t="shared" si="15"/>
        <v/>
      </c>
      <c r="HL25" s="50" t="str">
        <f t="shared" si="15"/>
        <v/>
      </c>
      <c r="HM25" s="50" t="str">
        <f t="shared" si="15"/>
        <v/>
      </c>
      <c r="HN25" s="50" t="str">
        <f t="shared" si="15"/>
        <v/>
      </c>
      <c r="HO25" s="50" t="str">
        <f t="shared" si="15"/>
        <v/>
      </c>
      <c r="HP25" s="50" t="str">
        <f t="shared" si="15"/>
        <v/>
      </c>
      <c r="HQ25" s="50" t="str">
        <f t="shared" si="15"/>
        <v/>
      </c>
      <c r="HR25" s="112" t="str">
        <f t="shared" si="15"/>
        <v/>
      </c>
    </row>
    <row r="26" spans="1:226" ht="11.1" customHeight="1" x14ac:dyDescent="0.25">
      <c r="A26" s="26" t="s">
        <v>30</v>
      </c>
      <c r="B26" s="145">
        <v>3</v>
      </c>
      <c r="C26" s="28" t="str">
        <f>IF(A26=0,"",VLOOKUP(A26,[2]CO!$A$3:$F$5327,2,0))</f>
        <v>Lote</v>
      </c>
      <c r="D26" s="149" t="s">
        <v>37</v>
      </c>
      <c r="E26" s="29"/>
      <c r="F26" s="29"/>
      <c r="G26" s="30" t="str">
        <f>IF(A26=0,"",VLOOKUP(A26,[2]CO!$A$3:$F$5327,3,0))</f>
        <v>LOTE</v>
      </c>
      <c r="H26" s="142"/>
      <c r="I26" s="143">
        <v>1.597</v>
      </c>
      <c r="J26" s="143"/>
      <c r="K26" s="143"/>
      <c r="L26" s="143">
        <v>8</v>
      </c>
      <c r="M26" s="32">
        <f t="shared" si="0"/>
        <v>12.776</v>
      </c>
      <c r="N26" s="32">
        <f>IF(B26=0,"",IF(H26="M",HLOOKUP(B26,$Y$12:$DT$13,2),IF(A26=0,"",VLOOKUP(A26,[2]CO!$A$3:$F$5327,4,0))))</f>
        <v>100</v>
      </c>
      <c r="O26" s="32">
        <f t="shared" si="7"/>
        <v>1277.5999999999999</v>
      </c>
      <c r="P26" s="33">
        <v>3</v>
      </c>
      <c r="Q26" s="34">
        <f t="shared" si="1"/>
        <v>5749.1999999999989</v>
      </c>
      <c r="R26" s="35" t="str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RESIDENTE"),VLOOKUP(B26,P$14:Q$77,2),"")*S26)</f>
        <v/>
      </c>
      <c r="T26" s="53">
        <f>IF(A26=0,"",VLOOKUP(A26,[2]CO!$A$3:$F$5318,5,0))</f>
        <v>0</v>
      </c>
      <c r="U26" s="54">
        <f t="shared" si="2"/>
        <v>0</v>
      </c>
      <c r="V26" s="24"/>
      <c r="W26" s="25"/>
      <c r="X26" s="25"/>
      <c r="Y26" s="64" t="str">
        <f t="shared" si="16"/>
        <v/>
      </c>
      <c r="Z26" s="55" t="str">
        <f t="shared" si="16"/>
        <v/>
      </c>
      <c r="AA26" s="55">
        <f t="shared" si="16"/>
        <v>0</v>
      </c>
      <c r="AB26" s="55" t="str">
        <f t="shared" ref="AB26:CI31" si="18">IF($B26=AB$12,$U26,"")</f>
        <v/>
      </c>
      <c r="AC26" s="55" t="str">
        <f t="shared" si="18"/>
        <v/>
      </c>
      <c r="AD26" s="55" t="str">
        <f t="shared" si="18"/>
        <v/>
      </c>
      <c r="AE26" s="55" t="str">
        <f t="shared" si="18"/>
        <v/>
      </c>
      <c r="AF26" s="55" t="str">
        <f t="shared" si="18"/>
        <v/>
      </c>
      <c r="AG26" s="55" t="str">
        <f t="shared" si="18"/>
        <v/>
      </c>
      <c r="AH26" s="55" t="str">
        <f t="shared" si="18"/>
        <v/>
      </c>
      <c r="AI26" s="55" t="str">
        <f t="shared" si="18"/>
        <v/>
      </c>
      <c r="AJ26" s="55" t="str">
        <f t="shared" si="18"/>
        <v/>
      </c>
      <c r="AK26" s="55" t="str">
        <f t="shared" si="18"/>
        <v/>
      </c>
      <c r="AL26" s="55" t="str">
        <f t="shared" si="18"/>
        <v/>
      </c>
      <c r="AM26" s="55" t="str">
        <f t="shared" si="18"/>
        <v/>
      </c>
      <c r="AN26" s="55" t="str">
        <f t="shared" si="18"/>
        <v/>
      </c>
      <c r="AO26" s="55" t="str">
        <f t="shared" si="18"/>
        <v/>
      </c>
      <c r="AP26" s="55" t="str">
        <f t="shared" si="18"/>
        <v/>
      </c>
      <c r="AQ26" s="55" t="str">
        <f t="shared" si="18"/>
        <v/>
      </c>
      <c r="AR26" s="55" t="str">
        <f t="shared" si="18"/>
        <v/>
      </c>
      <c r="AS26" s="55" t="str">
        <f t="shared" si="18"/>
        <v/>
      </c>
      <c r="AT26" s="55" t="str">
        <f t="shared" si="18"/>
        <v/>
      </c>
      <c r="AU26" s="55" t="str">
        <f t="shared" si="18"/>
        <v/>
      </c>
      <c r="AV26" s="55" t="str">
        <f t="shared" si="18"/>
        <v/>
      </c>
      <c r="AW26" s="55" t="str">
        <f t="shared" si="18"/>
        <v/>
      </c>
      <c r="AX26" s="55" t="str">
        <f t="shared" si="18"/>
        <v/>
      </c>
      <c r="AY26" s="55" t="str">
        <f t="shared" si="18"/>
        <v/>
      </c>
      <c r="AZ26" s="55" t="str">
        <f t="shared" si="18"/>
        <v/>
      </c>
      <c r="BA26" s="55" t="str">
        <f t="shared" si="18"/>
        <v/>
      </c>
      <c r="BB26" s="55" t="str">
        <f t="shared" si="18"/>
        <v/>
      </c>
      <c r="BC26" s="55" t="str">
        <f t="shared" si="18"/>
        <v/>
      </c>
      <c r="BD26" s="55" t="str">
        <f t="shared" si="18"/>
        <v/>
      </c>
      <c r="BE26" s="55" t="str">
        <f t="shared" si="18"/>
        <v/>
      </c>
      <c r="BF26" s="55" t="str">
        <f t="shared" si="18"/>
        <v/>
      </c>
      <c r="BG26" s="55" t="str">
        <f t="shared" si="18"/>
        <v/>
      </c>
      <c r="BH26" s="55" t="str">
        <f t="shared" si="18"/>
        <v/>
      </c>
      <c r="BI26" s="55" t="str">
        <f t="shared" si="18"/>
        <v/>
      </c>
      <c r="BJ26" s="55" t="str">
        <f t="shared" si="18"/>
        <v/>
      </c>
      <c r="BK26" s="55" t="str">
        <f t="shared" si="18"/>
        <v/>
      </c>
      <c r="BL26" s="55" t="str">
        <f t="shared" si="18"/>
        <v/>
      </c>
      <c r="BM26" s="55" t="str">
        <f t="shared" si="18"/>
        <v/>
      </c>
      <c r="BN26" s="55" t="str">
        <f t="shared" si="18"/>
        <v/>
      </c>
      <c r="BO26" s="55" t="str">
        <f t="shared" si="18"/>
        <v/>
      </c>
      <c r="BP26" s="55" t="str">
        <f t="shared" si="18"/>
        <v/>
      </c>
      <c r="BQ26" s="55" t="str">
        <f t="shared" si="18"/>
        <v/>
      </c>
      <c r="BR26" s="55" t="str">
        <f t="shared" si="18"/>
        <v/>
      </c>
      <c r="BS26" s="55" t="str">
        <f t="shared" si="18"/>
        <v/>
      </c>
      <c r="BT26" s="55" t="str">
        <f t="shared" si="18"/>
        <v/>
      </c>
      <c r="BU26" s="55" t="str">
        <f t="shared" si="18"/>
        <v/>
      </c>
      <c r="BV26" s="55" t="str">
        <f t="shared" si="18"/>
        <v/>
      </c>
      <c r="BW26" s="55" t="str">
        <f t="shared" si="18"/>
        <v/>
      </c>
      <c r="BX26" s="55" t="str">
        <f t="shared" si="18"/>
        <v/>
      </c>
      <c r="BY26" s="55" t="str">
        <f t="shared" si="18"/>
        <v/>
      </c>
      <c r="BZ26" s="55" t="str">
        <f t="shared" si="18"/>
        <v/>
      </c>
      <c r="CA26" s="55" t="str">
        <f t="shared" si="18"/>
        <v/>
      </c>
      <c r="CB26" s="55" t="str">
        <f t="shared" si="18"/>
        <v/>
      </c>
      <c r="CC26" s="55" t="str">
        <f t="shared" si="18"/>
        <v/>
      </c>
      <c r="CD26" s="55" t="str">
        <f t="shared" si="18"/>
        <v/>
      </c>
      <c r="CE26" s="55" t="str">
        <f t="shared" si="18"/>
        <v/>
      </c>
      <c r="CF26" s="55" t="str">
        <f t="shared" si="18"/>
        <v/>
      </c>
      <c r="CG26" s="55" t="str">
        <f t="shared" si="18"/>
        <v/>
      </c>
      <c r="CH26" s="55" t="str">
        <f t="shared" si="18"/>
        <v/>
      </c>
      <c r="CI26" s="55" t="str">
        <f t="shared" si="18"/>
        <v/>
      </c>
      <c r="CJ26" s="55" t="str">
        <f t="shared" si="12"/>
        <v/>
      </c>
      <c r="CK26" s="55" t="str">
        <f t="shared" si="12"/>
        <v/>
      </c>
      <c r="CL26" s="55" t="str">
        <f t="shared" si="12"/>
        <v/>
      </c>
      <c r="CM26" s="55" t="str">
        <f t="shared" si="12"/>
        <v/>
      </c>
      <c r="CN26" s="55" t="str">
        <f t="shared" si="12"/>
        <v/>
      </c>
      <c r="CO26" s="55" t="str">
        <f t="shared" si="12"/>
        <v/>
      </c>
      <c r="CP26" s="55" t="str">
        <f t="shared" si="12"/>
        <v/>
      </c>
      <c r="CQ26" s="55" t="str">
        <f t="shared" si="12"/>
        <v/>
      </c>
      <c r="CR26" s="55" t="str">
        <f t="shared" si="12"/>
        <v/>
      </c>
      <c r="CS26" s="55" t="str">
        <f t="shared" si="12"/>
        <v/>
      </c>
      <c r="CT26" s="55" t="str">
        <f t="shared" si="12"/>
        <v/>
      </c>
      <c r="CU26" s="55" t="str">
        <f t="shared" si="12"/>
        <v/>
      </c>
      <c r="CV26" s="55" t="str">
        <f t="shared" si="12"/>
        <v/>
      </c>
      <c r="CW26" s="55" t="str">
        <f t="shared" si="12"/>
        <v/>
      </c>
      <c r="CX26" s="55" t="str">
        <f t="shared" si="12"/>
        <v/>
      </c>
      <c r="CY26" s="55" t="str">
        <f t="shared" si="12"/>
        <v/>
      </c>
      <c r="CZ26" s="55" t="str">
        <f t="shared" si="12"/>
        <v/>
      </c>
      <c r="DA26" s="55" t="str">
        <f t="shared" si="12"/>
        <v/>
      </c>
      <c r="DB26" s="55" t="str">
        <f t="shared" si="12"/>
        <v/>
      </c>
      <c r="DC26" s="55" t="str">
        <f t="shared" si="12"/>
        <v/>
      </c>
      <c r="DD26" s="55" t="str">
        <f t="shared" si="12"/>
        <v/>
      </c>
      <c r="DE26" s="55" t="str">
        <f t="shared" si="12"/>
        <v/>
      </c>
      <c r="DF26" s="55" t="str">
        <f t="shared" si="12"/>
        <v/>
      </c>
      <c r="DG26" s="55" t="str">
        <f t="shared" si="12"/>
        <v/>
      </c>
      <c r="DH26" s="55" t="str">
        <f t="shared" si="12"/>
        <v/>
      </c>
      <c r="DI26" s="55" t="str">
        <f t="shared" si="12"/>
        <v/>
      </c>
      <c r="DJ26" s="55" t="str">
        <f t="shared" si="12"/>
        <v/>
      </c>
      <c r="DK26" s="55" t="str">
        <f t="shared" si="12"/>
        <v/>
      </c>
      <c r="DL26" s="55" t="str">
        <f t="shared" si="12"/>
        <v/>
      </c>
      <c r="DM26" s="55" t="str">
        <f t="shared" si="12"/>
        <v/>
      </c>
      <c r="DN26" s="55" t="str">
        <f t="shared" si="12"/>
        <v/>
      </c>
      <c r="DO26" s="55" t="str">
        <f t="shared" si="12"/>
        <v/>
      </c>
      <c r="DP26" s="55" t="str">
        <f t="shared" si="12"/>
        <v/>
      </c>
      <c r="DQ26" s="55" t="str">
        <f t="shared" si="12"/>
        <v/>
      </c>
      <c r="DR26" s="55" t="str">
        <f t="shared" si="12"/>
        <v/>
      </c>
      <c r="DS26" s="55" t="str">
        <f t="shared" si="13"/>
        <v/>
      </c>
      <c r="DT26" s="106" t="str">
        <f t="shared" si="13"/>
        <v/>
      </c>
      <c r="DU26" s="54"/>
      <c r="DV26" s="25"/>
      <c r="DW26" s="61" t="str">
        <f t="shared" si="17"/>
        <v/>
      </c>
      <c r="DX26" s="50" t="str">
        <f t="shared" si="17"/>
        <v/>
      </c>
      <c r="DY26" s="50">
        <f t="shared" si="17"/>
        <v>1277.5999999999999</v>
      </c>
      <c r="DZ26" s="50" t="str">
        <f t="shared" ref="DZ26:GG31" si="19">IF($B26=DZ$12,$O26,"")</f>
        <v/>
      </c>
      <c r="EA26" s="50" t="str">
        <f t="shared" si="19"/>
        <v/>
      </c>
      <c r="EB26" s="50" t="str">
        <f t="shared" si="19"/>
        <v/>
      </c>
      <c r="EC26" s="50" t="str">
        <f t="shared" si="19"/>
        <v/>
      </c>
      <c r="ED26" s="50" t="str">
        <f t="shared" si="19"/>
        <v/>
      </c>
      <c r="EE26" s="50" t="str">
        <f t="shared" si="19"/>
        <v/>
      </c>
      <c r="EF26" s="50" t="str">
        <f t="shared" si="19"/>
        <v/>
      </c>
      <c r="EG26" s="50" t="str">
        <f t="shared" si="19"/>
        <v/>
      </c>
      <c r="EH26" s="50" t="str">
        <f t="shared" si="19"/>
        <v/>
      </c>
      <c r="EI26" s="50" t="str">
        <f t="shared" si="19"/>
        <v/>
      </c>
      <c r="EJ26" s="50" t="str">
        <f t="shared" si="19"/>
        <v/>
      </c>
      <c r="EK26" s="50" t="str">
        <f t="shared" si="19"/>
        <v/>
      </c>
      <c r="EL26" s="50" t="str">
        <f t="shared" si="19"/>
        <v/>
      </c>
      <c r="EM26" s="50" t="str">
        <f t="shared" si="19"/>
        <v/>
      </c>
      <c r="EN26" s="50" t="str">
        <f t="shared" si="19"/>
        <v/>
      </c>
      <c r="EO26" s="50" t="str">
        <f t="shared" si="19"/>
        <v/>
      </c>
      <c r="EP26" s="50" t="str">
        <f t="shared" si="19"/>
        <v/>
      </c>
      <c r="EQ26" s="50" t="str">
        <f t="shared" si="19"/>
        <v/>
      </c>
      <c r="ER26" s="50" t="str">
        <f t="shared" si="19"/>
        <v/>
      </c>
      <c r="ES26" s="50" t="str">
        <f t="shared" si="19"/>
        <v/>
      </c>
      <c r="ET26" s="50" t="str">
        <f t="shared" si="19"/>
        <v/>
      </c>
      <c r="EU26" s="50" t="str">
        <f t="shared" si="19"/>
        <v/>
      </c>
      <c r="EV26" s="50" t="str">
        <f t="shared" si="19"/>
        <v/>
      </c>
      <c r="EW26" s="50" t="str">
        <f t="shared" si="19"/>
        <v/>
      </c>
      <c r="EX26" s="50" t="str">
        <f t="shared" si="19"/>
        <v/>
      </c>
      <c r="EY26" s="50" t="str">
        <f t="shared" si="19"/>
        <v/>
      </c>
      <c r="EZ26" s="50" t="str">
        <f t="shared" si="19"/>
        <v/>
      </c>
      <c r="FA26" s="50" t="str">
        <f t="shared" si="19"/>
        <v/>
      </c>
      <c r="FB26" s="50" t="str">
        <f t="shared" si="19"/>
        <v/>
      </c>
      <c r="FC26" s="50" t="str">
        <f t="shared" si="19"/>
        <v/>
      </c>
      <c r="FD26" s="50" t="str">
        <f t="shared" si="19"/>
        <v/>
      </c>
      <c r="FE26" s="50" t="str">
        <f t="shared" si="19"/>
        <v/>
      </c>
      <c r="FF26" s="50" t="str">
        <f t="shared" si="19"/>
        <v/>
      </c>
      <c r="FG26" s="50" t="str">
        <f t="shared" si="19"/>
        <v/>
      </c>
      <c r="FH26" s="50" t="str">
        <f t="shared" si="19"/>
        <v/>
      </c>
      <c r="FI26" s="50" t="str">
        <f t="shared" si="19"/>
        <v/>
      </c>
      <c r="FJ26" s="50" t="str">
        <f t="shared" si="19"/>
        <v/>
      </c>
      <c r="FK26" s="50" t="str">
        <f t="shared" si="19"/>
        <v/>
      </c>
      <c r="FL26" s="50" t="str">
        <f t="shared" si="19"/>
        <v/>
      </c>
      <c r="FM26" s="50" t="str">
        <f t="shared" si="19"/>
        <v/>
      </c>
      <c r="FN26" s="50" t="str">
        <f t="shared" si="19"/>
        <v/>
      </c>
      <c r="FO26" s="50" t="str">
        <f t="shared" si="19"/>
        <v/>
      </c>
      <c r="FP26" s="50" t="str">
        <f t="shared" si="19"/>
        <v/>
      </c>
      <c r="FQ26" s="50" t="str">
        <f t="shared" si="19"/>
        <v/>
      </c>
      <c r="FR26" s="50" t="str">
        <f t="shared" si="19"/>
        <v/>
      </c>
      <c r="FS26" s="50" t="str">
        <f t="shared" si="19"/>
        <v/>
      </c>
      <c r="FT26" s="50" t="str">
        <f t="shared" si="19"/>
        <v/>
      </c>
      <c r="FU26" s="50" t="str">
        <f t="shared" si="19"/>
        <v/>
      </c>
      <c r="FV26" s="50" t="str">
        <f t="shared" si="19"/>
        <v/>
      </c>
      <c r="FW26" s="50" t="str">
        <f t="shared" si="19"/>
        <v/>
      </c>
      <c r="FX26" s="50" t="str">
        <f t="shared" si="19"/>
        <v/>
      </c>
      <c r="FY26" s="50" t="str">
        <f t="shared" si="19"/>
        <v/>
      </c>
      <c r="FZ26" s="50" t="str">
        <f t="shared" si="19"/>
        <v/>
      </c>
      <c r="GA26" s="50" t="str">
        <f t="shared" si="19"/>
        <v/>
      </c>
      <c r="GB26" s="50" t="str">
        <f t="shared" si="19"/>
        <v/>
      </c>
      <c r="GC26" s="50" t="str">
        <f t="shared" si="19"/>
        <v/>
      </c>
      <c r="GD26" s="50" t="str">
        <f t="shared" si="19"/>
        <v/>
      </c>
      <c r="GE26" s="50" t="str">
        <f t="shared" si="19"/>
        <v/>
      </c>
      <c r="GF26" s="50" t="str">
        <f t="shared" si="19"/>
        <v/>
      </c>
      <c r="GG26" s="50" t="str">
        <f t="shared" si="19"/>
        <v/>
      </c>
      <c r="GH26" s="50" t="str">
        <f t="shared" si="14"/>
        <v/>
      </c>
      <c r="GI26" s="50" t="str">
        <f t="shared" si="14"/>
        <v/>
      </c>
      <c r="GJ26" s="50" t="str">
        <f t="shared" si="14"/>
        <v/>
      </c>
      <c r="GK26" s="50" t="str">
        <f t="shared" si="14"/>
        <v/>
      </c>
      <c r="GL26" s="50" t="str">
        <f t="shared" si="14"/>
        <v/>
      </c>
      <c r="GM26" s="50" t="str">
        <f t="shared" si="14"/>
        <v/>
      </c>
      <c r="GN26" s="50" t="str">
        <f t="shared" si="14"/>
        <v/>
      </c>
      <c r="GO26" s="50" t="str">
        <f t="shared" si="14"/>
        <v/>
      </c>
      <c r="GP26" s="50" t="str">
        <f t="shared" si="14"/>
        <v/>
      </c>
      <c r="GQ26" s="50" t="str">
        <f t="shared" si="14"/>
        <v/>
      </c>
      <c r="GR26" s="50" t="str">
        <f t="shared" si="14"/>
        <v/>
      </c>
      <c r="GS26" s="50" t="str">
        <f t="shared" si="14"/>
        <v/>
      </c>
      <c r="GT26" s="50" t="str">
        <f t="shared" si="14"/>
        <v/>
      </c>
      <c r="GU26" s="50" t="str">
        <f t="shared" si="14"/>
        <v/>
      </c>
      <c r="GV26" s="50" t="str">
        <f t="shared" si="14"/>
        <v/>
      </c>
      <c r="GW26" s="50" t="str">
        <f t="shared" si="14"/>
        <v/>
      </c>
      <c r="GX26" s="50" t="str">
        <f t="shared" si="14"/>
        <v/>
      </c>
      <c r="GY26" s="50" t="str">
        <f t="shared" si="14"/>
        <v/>
      </c>
      <c r="GZ26" s="50" t="str">
        <f t="shared" si="14"/>
        <v/>
      </c>
      <c r="HA26" s="50" t="str">
        <f t="shared" si="14"/>
        <v/>
      </c>
      <c r="HB26" s="50" t="str">
        <f t="shared" si="14"/>
        <v/>
      </c>
      <c r="HC26" s="50" t="str">
        <f t="shared" si="14"/>
        <v/>
      </c>
      <c r="HD26" s="50" t="str">
        <f t="shared" si="14"/>
        <v/>
      </c>
      <c r="HE26" s="50" t="str">
        <f t="shared" si="14"/>
        <v/>
      </c>
      <c r="HF26" s="50" t="str">
        <f t="shared" si="14"/>
        <v/>
      </c>
      <c r="HG26" s="50" t="str">
        <f t="shared" si="14"/>
        <v/>
      </c>
      <c r="HH26" s="50" t="str">
        <f t="shared" si="14"/>
        <v/>
      </c>
      <c r="HI26" s="50" t="str">
        <f t="shared" si="14"/>
        <v/>
      </c>
      <c r="HJ26" s="50" t="str">
        <f t="shared" si="14"/>
        <v/>
      </c>
      <c r="HK26" s="50" t="str">
        <f t="shared" si="14"/>
        <v/>
      </c>
      <c r="HL26" s="50" t="str">
        <f t="shared" si="14"/>
        <v/>
      </c>
      <c r="HM26" s="50" t="str">
        <f t="shared" si="14"/>
        <v/>
      </c>
      <c r="HN26" s="50" t="str">
        <f t="shared" si="14"/>
        <v/>
      </c>
      <c r="HO26" s="50" t="str">
        <f t="shared" si="14"/>
        <v/>
      </c>
      <c r="HP26" s="50" t="str">
        <f t="shared" si="14"/>
        <v/>
      </c>
      <c r="HQ26" s="50" t="str">
        <f t="shared" si="15"/>
        <v/>
      </c>
      <c r="HR26" s="112" t="str">
        <f t="shared" si="15"/>
        <v/>
      </c>
    </row>
    <row r="27" spans="1:226" ht="11.1" customHeight="1" x14ac:dyDescent="0.25">
      <c r="A27" s="26"/>
      <c r="B27" s="145"/>
      <c r="C27" s="28" t="str">
        <f>IF(A27=0,"",VLOOKUP(A27,[2]CO!$A$3:$F$5327,2,0))</f>
        <v/>
      </c>
      <c r="D27" s="178" t="s">
        <v>38</v>
      </c>
      <c r="E27" s="144"/>
      <c r="F27" s="144"/>
      <c r="G27" s="30" t="str">
        <f>IF(A27=0,"",VLOOKUP(A27,[2]CO!$A$3:$F$5327,3,0))</f>
        <v/>
      </c>
      <c r="H27" s="142"/>
      <c r="I27" s="143"/>
      <c r="J27" s="143"/>
      <c r="K27" s="143"/>
      <c r="L27" s="143"/>
      <c r="M27" s="32" t="str">
        <f t="shared" si="0"/>
        <v/>
      </c>
      <c r="N27" s="32" t="str">
        <f>IF(B27=0,"",IF(H27="M",HLOOKUP(B27,$Y$12:$DT$13,2),IF(A27=0,"",VLOOKUP(A27,[2]CO!$A$3:$F$5327,4,0))))</f>
        <v/>
      </c>
      <c r="O27" s="32" t="str">
        <f t="shared" si="7"/>
        <v/>
      </c>
      <c r="P27" s="33"/>
      <c r="Q27" s="34" t="str">
        <f t="shared" si="1"/>
        <v/>
      </c>
      <c r="R27" s="35" t="str">
        <f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RESIDENTE"),VLOOKUP(B27,P$14:Q$77,2),"")*S27)</f>
        <v/>
      </c>
      <c r="T27" s="53" t="str">
        <f>IF(A27=0,"",VLOOKUP(A27,[2]CO!$A$3:$F$5318,5,0))</f>
        <v/>
      </c>
      <c r="U27" s="54">
        <f t="shared" si="2"/>
        <v>0</v>
      </c>
      <c r="V27" s="24"/>
      <c r="W27" s="25"/>
      <c r="X27" s="25"/>
      <c r="Y27" s="64" t="str">
        <f t="shared" ref="Y27:CI34" si="20">IF($B27=Y$12,$U27,"")</f>
        <v/>
      </c>
      <c r="Z27" s="55" t="str">
        <f t="shared" si="20"/>
        <v/>
      </c>
      <c r="AA27" s="55" t="str">
        <f t="shared" si="20"/>
        <v/>
      </c>
      <c r="AB27" s="55" t="str">
        <f t="shared" si="18"/>
        <v/>
      </c>
      <c r="AC27" s="55" t="str">
        <f t="shared" si="18"/>
        <v/>
      </c>
      <c r="AD27" s="55" t="str">
        <f t="shared" si="18"/>
        <v/>
      </c>
      <c r="AE27" s="55" t="str">
        <f t="shared" si="18"/>
        <v/>
      </c>
      <c r="AF27" s="55" t="str">
        <f t="shared" si="18"/>
        <v/>
      </c>
      <c r="AG27" s="55" t="str">
        <f t="shared" si="18"/>
        <v/>
      </c>
      <c r="AH27" s="55" t="str">
        <f t="shared" si="18"/>
        <v/>
      </c>
      <c r="AI27" s="55" t="str">
        <f t="shared" si="18"/>
        <v/>
      </c>
      <c r="AJ27" s="55" t="str">
        <f t="shared" si="18"/>
        <v/>
      </c>
      <c r="AK27" s="55" t="str">
        <f t="shared" si="18"/>
        <v/>
      </c>
      <c r="AL27" s="55" t="str">
        <f t="shared" si="18"/>
        <v/>
      </c>
      <c r="AM27" s="55" t="str">
        <f t="shared" si="18"/>
        <v/>
      </c>
      <c r="AN27" s="55" t="str">
        <f t="shared" si="18"/>
        <v/>
      </c>
      <c r="AO27" s="55" t="str">
        <f t="shared" si="18"/>
        <v/>
      </c>
      <c r="AP27" s="55" t="str">
        <f t="shared" si="18"/>
        <v/>
      </c>
      <c r="AQ27" s="55" t="str">
        <f t="shared" si="18"/>
        <v/>
      </c>
      <c r="AR27" s="55" t="str">
        <f t="shared" si="18"/>
        <v/>
      </c>
      <c r="AS27" s="55" t="str">
        <f t="shared" si="18"/>
        <v/>
      </c>
      <c r="AT27" s="55" t="str">
        <f t="shared" si="18"/>
        <v/>
      </c>
      <c r="AU27" s="55" t="str">
        <f t="shared" si="18"/>
        <v/>
      </c>
      <c r="AV27" s="55" t="str">
        <f t="shared" si="18"/>
        <v/>
      </c>
      <c r="AW27" s="55" t="str">
        <f t="shared" si="18"/>
        <v/>
      </c>
      <c r="AX27" s="55" t="str">
        <f t="shared" si="18"/>
        <v/>
      </c>
      <c r="AY27" s="55" t="str">
        <f t="shared" si="18"/>
        <v/>
      </c>
      <c r="AZ27" s="55" t="str">
        <f t="shared" si="18"/>
        <v/>
      </c>
      <c r="BA27" s="55" t="str">
        <f t="shared" si="18"/>
        <v/>
      </c>
      <c r="BB27" s="55" t="str">
        <f t="shared" si="18"/>
        <v/>
      </c>
      <c r="BC27" s="55" t="str">
        <f t="shared" si="18"/>
        <v/>
      </c>
      <c r="BD27" s="55" t="str">
        <f t="shared" si="18"/>
        <v/>
      </c>
      <c r="BE27" s="55" t="str">
        <f t="shared" si="18"/>
        <v/>
      </c>
      <c r="BF27" s="55" t="str">
        <f t="shared" si="18"/>
        <v/>
      </c>
      <c r="BG27" s="55" t="str">
        <f t="shared" si="18"/>
        <v/>
      </c>
      <c r="BH27" s="55" t="str">
        <f t="shared" si="18"/>
        <v/>
      </c>
      <c r="BI27" s="55" t="str">
        <f t="shared" si="18"/>
        <v/>
      </c>
      <c r="BJ27" s="55" t="str">
        <f t="shared" si="18"/>
        <v/>
      </c>
      <c r="BK27" s="55" t="str">
        <f t="shared" si="18"/>
        <v/>
      </c>
      <c r="BL27" s="55" t="str">
        <f t="shared" si="18"/>
        <v/>
      </c>
      <c r="BM27" s="55" t="str">
        <f t="shared" si="18"/>
        <v/>
      </c>
      <c r="BN27" s="55" t="str">
        <f t="shared" si="18"/>
        <v/>
      </c>
      <c r="BO27" s="55" t="str">
        <f t="shared" si="18"/>
        <v/>
      </c>
      <c r="BP27" s="55" t="str">
        <f t="shared" si="18"/>
        <v/>
      </c>
      <c r="BQ27" s="55" t="str">
        <f t="shared" si="18"/>
        <v/>
      </c>
      <c r="BR27" s="55" t="str">
        <f t="shared" si="18"/>
        <v/>
      </c>
      <c r="BS27" s="55" t="str">
        <f t="shared" si="18"/>
        <v/>
      </c>
      <c r="BT27" s="55" t="str">
        <f t="shared" si="18"/>
        <v/>
      </c>
      <c r="BU27" s="55" t="str">
        <f t="shared" si="18"/>
        <v/>
      </c>
      <c r="BV27" s="55" t="str">
        <f t="shared" si="18"/>
        <v/>
      </c>
      <c r="BW27" s="55" t="str">
        <f t="shared" si="18"/>
        <v/>
      </c>
      <c r="BX27" s="55" t="str">
        <f t="shared" si="18"/>
        <v/>
      </c>
      <c r="BY27" s="55" t="str">
        <f t="shared" si="18"/>
        <v/>
      </c>
      <c r="BZ27" s="55" t="str">
        <f t="shared" si="18"/>
        <v/>
      </c>
      <c r="CA27" s="55" t="str">
        <f t="shared" si="18"/>
        <v/>
      </c>
      <c r="CB27" s="55" t="str">
        <f t="shared" si="18"/>
        <v/>
      </c>
      <c r="CC27" s="55" t="str">
        <f t="shared" si="18"/>
        <v/>
      </c>
      <c r="CD27" s="55" t="str">
        <f t="shared" si="18"/>
        <v/>
      </c>
      <c r="CE27" s="55" t="str">
        <f t="shared" si="18"/>
        <v/>
      </c>
      <c r="CF27" s="55" t="str">
        <f t="shared" si="18"/>
        <v/>
      </c>
      <c r="CG27" s="55" t="str">
        <f t="shared" si="18"/>
        <v/>
      </c>
      <c r="CH27" s="55" t="str">
        <f t="shared" si="18"/>
        <v/>
      </c>
      <c r="CI27" s="55" t="str">
        <f t="shared" si="18"/>
        <v/>
      </c>
      <c r="CJ27" s="55" t="str">
        <f t="shared" si="12"/>
        <v/>
      </c>
      <c r="CK27" s="55" t="str">
        <f t="shared" si="12"/>
        <v/>
      </c>
      <c r="CL27" s="55" t="str">
        <f t="shared" si="12"/>
        <v/>
      </c>
      <c r="CM27" s="55" t="str">
        <f t="shared" si="12"/>
        <v/>
      </c>
      <c r="CN27" s="55" t="str">
        <f t="shared" si="12"/>
        <v/>
      </c>
      <c r="CO27" s="55" t="str">
        <f t="shared" si="12"/>
        <v/>
      </c>
      <c r="CP27" s="55" t="str">
        <f t="shared" si="12"/>
        <v/>
      </c>
      <c r="CQ27" s="55" t="str">
        <f t="shared" si="12"/>
        <v/>
      </c>
      <c r="CR27" s="55" t="str">
        <f t="shared" si="12"/>
        <v/>
      </c>
      <c r="CS27" s="55" t="str">
        <f t="shared" si="12"/>
        <v/>
      </c>
      <c r="CT27" s="55" t="str">
        <f t="shared" si="12"/>
        <v/>
      </c>
      <c r="CU27" s="55" t="str">
        <f t="shared" si="12"/>
        <v/>
      </c>
      <c r="CV27" s="55" t="str">
        <f t="shared" si="12"/>
        <v/>
      </c>
      <c r="CW27" s="55" t="str">
        <f t="shared" si="12"/>
        <v/>
      </c>
      <c r="CX27" s="55" t="str">
        <f t="shared" si="12"/>
        <v/>
      </c>
      <c r="CY27" s="55" t="str">
        <f t="shared" si="12"/>
        <v/>
      </c>
      <c r="CZ27" s="55" t="str">
        <f t="shared" si="13"/>
        <v/>
      </c>
      <c r="DA27" s="55" t="str">
        <f t="shared" si="13"/>
        <v/>
      </c>
      <c r="DB27" s="55" t="str">
        <f t="shared" si="13"/>
        <v/>
      </c>
      <c r="DC27" s="55" t="str">
        <f t="shared" si="13"/>
        <v/>
      </c>
      <c r="DD27" s="55" t="str">
        <f t="shared" si="13"/>
        <v/>
      </c>
      <c r="DE27" s="55" t="str">
        <f t="shared" si="13"/>
        <v/>
      </c>
      <c r="DF27" s="55" t="str">
        <f t="shared" si="13"/>
        <v/>
      </c>
      <c r="DG27" s="55" t="str">
        <f t="shared" si="13"/>
        <v/>
      </c>
      <c r="DH27" s="55" t="str">
        <f t="shared" si="13"/>
        <v/>
      </c>
      <c r="DI27" s="55" t="str">
        <f t="shared" si="13"/>
        <v/>
      </c>
      <c r="DJ27" s="55" t="str">
        <f t="shared" si="13"/>
        <v/>
      </c>
      <c r="DK27" s="55" t="str">
        <f t="shared" si="13"/>
        <v/>
      </c>
      <c r="DL27" s="55" t="str">
        <f t="shared" si="13"/>
        <v/>
      </c>
      <c r="DM27" s="55" t="str">
        <f t="shared" si="13"/>
        <v/>
      </c>
      <c r="DN27" s="55" t="str">
        <f t="shared" si="13"/>
        <v/>
      </c>
      <c r="DO27" s="55" t="str">
        <f t="shared" si="13"/>
        <v/>
      </c>
      <c r="DP27" s="55" t="str">
        <f t="shared" si="13"/>
        <v/>
      </c>
      <c r="DQ27" s="55" t="str">
        <f t="shared" si="13"/>
        <v/>
      </c>
      <c r="DR27" s="55" t="str">
        <f t="shared" si="13"/>
        <v/>
      </c>
      <c r="DS27" s="55" t="str">
        <f t="shared" si="13"/>
        <v/>
      </c>
      <c r="DT27" s="106" t="str">
        <f t="shared" si="13"/>
        <v/>
      </c>
      <c r="DU27" s="54"/>
      <c r="DV27" s="25"/>
      <c r="DW27" s="61" t="str">
        <f t="shared" ref="DW27:GG34" si="21">IF($B27=DW$12,$O27,"")</f>
        <v/>
      </c>
      <c r="DX27" s="50" t="str">
        <f t="shared" si="21"/>
        <v/>
      </c>
      <c r="DY27" s="50" t="str">
        <f t="shared" si="21"/>
        <v/>
      </c>
      <c r="DZ27" s="50" t="str">
        <f t="shared" si="19"/>
        <v/>
      </c>
      <c r="EA27" s="50" t="str">
        <f t="shared" si="19"/>
        <v/>
      </c>
      <c r="EB27" s="50" t="str">
        <f t="shared" si="19"/>
        <v/>
      </c>
      <c r="EC27" s="50" t="str">
        <f t="shared" si="19"/>
        <v/>
      </c>
      <c r="ED27" s="50" t="str">
        <f t="shared" si="19"/>
        <v/>
      </c>
      <c r="EE27" s="50" t="str">
        <f t="shared" si="19"/>
        <v/>
      </c>
      <c r="EF27" s="50" t="str">
        <f t="shared" si="19"/>
        <v/>
      </c>
      <c r="EG27" s="50" t="str">
        <f t="shared" si="19"/>
        <v/>
      </c>
      <c r="EH27" s="50" t="str">
        <f t="shared" si="19"/>
        <v/>
      </c>
      <c r="EI27" s="50" t="str">
        <f t="shared" si="19"/>
        <v/>
      </c>
      <c r="EJ27" s="50" t="str">
        <f t="shared" si="19"/>
        <v/>
      </c>
      <c r="EK27" s="50" t="str">
        <f t="shared" si="19"/>
        <v/>
      </c>
      <c r="EL27" s="50" t="str">
        <f t="shared" si="19"/>
        <v/>
      </c>
      <c r="EM27" s="50" t="str">
        <f t="shared" si="19"/>
        <v/>
      </c>
      <c r="EN27" s="50" t="str">
        <f t="shared" si="19"/>
        <v/>
      </c>
      <c r="EO27" s="50" t="str">
        <f t="shared" si="19"/>
        <v/>
      </c>
      <c r="EP27" s="50" t="str">
        <f t="shared" si="19"/>
        <v/>
      </c>
      <c r="EQ27" s="50" t="str">
        <f t="shared" si="19"/>
        <v/>
      </c>
      <c r="ER27" s="50" t="str">
        <f t="shared" si="19"/>
        <v/>
      </c>
      <c r="ES27" s="50" t="str">
        <f t="shared" si="19"/>
        <v/>
      </c>
      <c r="ET27" s="50" t="str">
        <f t="shared" si="19"/>
        <v/>
      </c>
      <c r="EU27" s="50" t="str">
        <f t="shared" si="19"/>
        <v/>
      </c>
      <c r="EV27" s="50" t="str">
        <f t="shared" si="19"/>
        <v/>
      </c>
      <c r="EW27" s="50" t="str">
        <f t="shared" si="19"/>
        <v/>
      </c>
      <c r="EX27" s="50" t="str">
        <f t="shared" si="19"/>
        <v/>
      </c>
      <c r="EY27" s="50" t="str">
        <f t="shared" si="19"/>
        <v/>
      </c>
      <c r="EZ27" s="50" t="str">
        <f t="shared" si="19"/>
        <v/>
      </c>
      <c r="FA27" s="50" t="str">
        <f t="shared" si="19"/>
        <v/>
      </c>
      <c r="FB27" s="50" t="str">
        <f t="shared" si="19"/>
        <v/>
      </c>
      <c r="FC27" s="50" t="str">
        <f t="shared" si="19"/>
        <v/>
      </c>
      <c r="FD27" s="50" t="str">
        <f t="shared" si="19"/>
        <v/>
      </c>
      <c r="FE27" s="50" t="str">
        <f t="shared" si="19"/>
        <v/>
      </c>
      <c r="FF27" s="50" t="str">
        <f t="shared" si="19"/>
        <v/>
      </c>
      <c r="FG27" s="50" t="str">
        <f t="shared" si="19"/>
        <v/>
      </c>
      <c r="FH27" s="50" t="str">
        <f t="shared" si="19"/>
        <v/>
      </c>
      <c r="FI27" s="50" t="str">
        <f t="shared" si="19"/>
        <v/>
      </c>
      <c r="FJ27" s="50" t="str">
        <f t="shared" si="19"/>
        <v/>
      </c>
      <c r="FK27" s="50" t="str">
        <f t="shared" si="19"/>
        <v/>
      </c>
      <c r="FL27" s="50" t="str">
        <f t="shared" si="19"/>
        <v/>
      </c>
      <c r="FM27" s="50" t="str">
        <f t="shared" si="19"/>
        <v/>
      </c>
      <c r="FN27" s="50" t="str">
        <f t="shared" si="19"/>
        <v/>
      </c>
      <c r="FO27" s="50" t="str">
        <f t="shared" si="19"/>
        <v/>
      </c>
      <c r="FP27" s="50" t="str">
        <f t="shared" si="19"/>
        <v/>
      </c>
      <c r="FQ27" s="50" t="str">
        <f t="shared" si="19"/>
        <v/>
      </c>
      <c r="FR27" s="50" t="str">
        <f t="shared" si="19"/>
        <v/>
      </c>
      <c r="FS27" s="50" t="str">
        <f t="shared" si="19"/>
        <v/>
      </c>
      <c r="FT27" s="50" t="str">
        <f t="shared" si="19"/>
        <v/>
      </c>
      <c r="FU27" s="50" t="str">
        <f t="shared" si="19"/>
        <v/>
      </c>
      <c r="FV27" s="50" t="str">
        <f t="shared" si="19"/>
        <v/>
      </c>
      <c r="FW27" s="50" t="str">
        <f t="shared" si="19"/>
        <v/>
      </c>
      <c r="FX27" s="50" t="str">
        <f t="shared" si="19"/>
        <v/>
      </c>
      <c r="FY27" s="50" t="str">
        <f t="shared" si="19"/>
        <v/>
      </c>
      <c r="FZ27" s="50" t="str">
        <f t="shared" si="19"/>
        <v/>
      </c>
      <c r="GA27" s="50" t="str">
        <f t="shared" si="19"/>
        <v/>
      </c>
      <c r="GB27" s="50" t="str">
        <f t="shared" si="19"/>
        <v/>
      </c>
      <c r="GC27" s="50" t="str">
        <f t="shared" si="19"/>
        <v/>
      </c>
      <c r="GD27" s="50" t="str">
        <f t="shared" si="19"/>
        <v/>
      </c>
      <c r="GE27" s="50" t="str">
        <f t="shared" si="19"/>
        <v/>
      </c>
      <c r="GF27" s="50" t="str">
        <f t="shared" si="19"/>
        <v/>
      </c>
      <c r="GG27" s="50" t="str">
        <f t="shared" si="19"/>
        <v/>
      </c>
      <c r="GH27" s="50" t="str">
        <f t="shared" si="14"/>
        <v/>
      </c>
      <c r="GI27" s="50" t="str">
        <f t="shared" si="14"/>
        <v/>
      </c>
      <c r="GJ27" s="50" t="str">
        <f t="shared" si="14"/>
        <v/>
      </c>
      <c r="GK27" s="50" t="str">
        <f t="shared" si="14"/>
        <v/>
      </c>
      <c r="GL27" s="50" t="str">
        <f t="shared" si="14"/>
        <v/>
      </c>
      <c r="GM27" s="50" t="str">
        <f t="shared" si="14"/>
        <v/>
      </c>
      <c r="GN27" s="50" t="str">
        <f t="shared" si="14"/>
        <v/>
      </c>
      <c r="GO27" s="50" t="str">
        <f t="shared" si="14"/>
        <v/>
      </c>
      <c r="GP27" s="50" t="str">
        <f t="shared" si="14"/>
        <v/>
      </c>
      <c r="GQ27" s="50" t="str">
        <f t="shared" si="14"/>
        <v/>
      </c>
      <c r="GR27" s="50" t="str">
        <f t="shared" si="14"/>
        <v/>
      </c>
      <c r="GS27" s="50" t="str">
        <f t="shared" si="14"/>
        <v/>
      </c>
      <c r="GT27" s="50" t="str">
        <f t="shared" si="14"/>
        <v/>
      </c>
      <c r="GU27" s="50" t="str">
        <f t="shared" si="14"/>
        <v/>
      </c>
      <c r="GV27" s="50" t="str">
        <f t="shared" si="14"/>
        <v/>
      </c>
      <c r="GW27" s="50" t="str">
        <f t="shared" si="14"/>
        <v/>
      </c>
      <c r="GX27" s="50" t="str">
        <f t="shared" si="15"/>
        <v/>
      </c>
      <c r="GY27" s="50" t="str">
        <f t="shared" si="15"/>
        <v/>
      </c>
      <c r="GZ27" s="50" t="str">
        <f t="shared" si="15"/>
        <v/>
      </c>
      <c r="HA27" s="50" t="str">
        <f t="shared" si="15"/>
        <v/>
      </c>
      <c r="HB27" s="50" t="str">
        <f t="shared" si="15"/>
        <v/>
      </c>
      <c r="HC27" s="50" t="str">
        <f t="shared" si="15"/>
        <v/>
      </c>
      <c r="HD27" s="50" t="str">
        <f t="shared" si="15"/>
        <v/>
      </c>
      <c r="HE27" s="50" t="str">
        <f t="shared" si="15"/>
        <v/>
      </c>
      <c r="HF27" s="50" t="str">
        <f t="shared" si="15"/>
        <v/>
      </c>
      <c r="HG27" s="50" t="str">
        <f t="shared" si="15"/>
        <v/>
      </c>
      <c r="HH27" s="50" t="str">
        <f t="shared" si="15"/>
        <v/>
      </c>
      <c r="HI27" s="50" t="str">
        <f t="shared" si="15"/>
        <v/>
      </c>
      <c r="HJ27" s="50" t="str">
        <f t="shared" si="15"/>
        <v/>
      </c>
      <c r="HK27" s="50" t="str">
        <f t="shared" si="15"/>
        <v/>
      </c>
      <c r="HL27" s="50" t="str">
        <f t="shared" si="15"/>
        <v/>
      </c>
      <c r="HM27" s="50" t="str">
        <f t="shared" si="15"/>
        <v/>
      </c>
      <c r="HN27" s="50" t="str">
        <f t="shared" si="15"/>
        <v/>
      </c>
      <c r="HO27" s="50" t="str">
        <f t="shared" si="15"/>
        <v/>
      </c>
      <c r="HP27" s="50" t="str">
        <f t="shared" si="15"/>
        <v/>
      </c>
      <c r="HQ27" s="50" t="str">
        <f t="shared" si="15"/>
        <v/>
      </c>
      <c r="HR27" s="112" t="str">
        <f t="shared" si="15"/>
        <v/>
      </c>
    </row>
    <row r="28" spans="1:226" ht="11.1" customHeight="1" x14ac:dyDescent="0.25">
      <c r="A28" s="26"/>
      <c r="B28" s="145"/>
      <c r="C28" s="28" t="str">
        <f>IF(A28=0,"",VLOOKUP(A28,[2]CO!$A$3:$F$5327,2,0))</f>
        <v/>
      </c>
      <c r="D28" s="149" t="s">
        <v>39</v>
      </c>
      <c r="E28" s="29"/>
      <c r="F28" s="29"/>
      <c r="G28" s="30" t="str">
        <f>IF(A28=0,"",VLOOKUP(A28,[2]CO!$A$3:$F$5327,3,0))</f>
        <v/>
      </c>
      <c r="H28" s="142"/>
      <c r="I28" s="143"/>
      <c r="J28" s="143"/>
      <c r="K28" s="143"/>
      <c r="L28" s="143"/>
      <c r="M28" s="32" t="str">
        <f t="shared" si="0"/>
        <v/>
      </c>
      <c r="N28" s="32" t="str">
        <f>IF(B28=0,"",IF(H28="M",HLOOKUP(B28,$Y$12:$DT$13,2),IF(A28=0,"",VLOOKUP(A28,[2]CO!$A$3:$F$5327,4,0))))</f>
        <v/>
      </c>
      <c r="O28" s="32" t="str">
        <f t="shared" si="7"/>
        <v/>
      </c>
      <c r="P28" s="33"/>
      <c r="Q28" s="34" t="str">
        <f t="shared" si="1"/>
        <v/>
      </c>
      <c r="R28" s="35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RESIDENTE"),VLOOKUP(B28,P$14:Q$77,2),"")*S28)</f>
        <v/>
      </c>
      <c r="T28" s="53" t="str">
        <f>IF(A28=0,"",VLOOKUP(A28,[2]CO!$A$3:$F$5318,5,0))</f>
        <v/>
      </c>
      <c r="U28" s="54">
        <f t="shared" si="2"/>
        <v>0</v>
      </c>
      <c r="V28" s="24"/>
      <c r="W28" s="25"/>
      <c r="X28" s="25"/>
      <c r="Y28" s="64" t="str">
        <f t="shared" si="20"/>
        <v/>
      </c>
      <c r="Z28" s="55" t="str">
        <f t="shared" si="20"/>
        <v/>
      </c>
      <c r="AA28" s="55" t="str">
        <f t="shared" si="20"/>
        <v/>
      </c>
      <c r="AB28" s="55" t="str">
        <f t="shared" si="18"/>
        <v/>
      </c>
      <c r="AC28" s="55" t="str">
        <f t="shared" si="18"/>
        <v/>
      </c>
      <c r="AD28" s="55" t="str">
        <f t="shared" si="18"/>
        <v/>
      </c>
      <c r="AE28" s="55" t="str">
        <f t="shared" si="18"/>
        <v/>
      </c>
      <c r="AF28" s="55" t="str">
        <f t="shared" si="18"/>
        <v/>
      </c>
      <c r="AG28" s="55" t="str">
        <f t="shared" si="18"/>
        <v/>
      </c>
      <c r="AH28" s="55" t="str">
        <f t="shared" si="18"/>
        <v/>
      </c>
      <c r="AI28" s="55" t="str">
        <f t="shared" si="18"/>
        <v/>
      </c>
      <c r="AJ28" s="55" t="str">
        <f t="shared" si="18"/>
        <v/>
      </c>
      <c r="AK28" s="55" t="str">
        <f t="shared" si="18"/>
        <v/>
      </c>
      <c r="AL28" s="55" t="str">
        <f t="shared" si="18"/>
        <v/>
      </c>
      <c r="AM28" s="55" t="str">
        <f t="shared" si="18"/>
        <v/>
      </c>
      <c r="AN28" s="55" t="str">
        <f t="shared" si="18"/>
        <v/>
      </c>
      <c r="AO28" s="55" t="str">
        <f t="shared" si="18"/>
        <v/>
      </c>
      <c r="AP28" s="55" t="str">
        <f t="shared" si="18"/>
        <v/>
      </c>
      <c r="AQ28" s="55" t="str">
        <f t="shared" si="18"/>
        <v/>
      </c>
      <c r="AR28" s="55" t="str">
        <f t="shared" si="18"/>
        <v/>
      </c>
      <c r="AS28" s="55" t="str">
        <f t="shared" si="18"/>
        <v/>
      </c>
      <c r="AT28" s="55" t="str">
        <f t="shared" si="18"/>
        <v/>
      </c>
      <c r="AU28" s="55" t="str">
        <f t="shared" si="18"/>
        <v/>
      </c>
      <c r="AV28" s="55" t="str">
        <f t="shared" si="18"/>
        <v/>
      </c>
      <c r="AW28" s="55" t="str">
        <f t="shared" si="18"/>
        <v/>
      </c>
      <c r="AX28" s="55" t="str">
        <f t="shared" si="18"/>
        <v/>
      </c>
      <c r="AY28" s="55" t="str">
        <f t="shared" si="18"/>
        <v/>
      </c>
      <c r="AZ28" s="55" t="str">
        <f t="shared" si="18"/>
        <v/>
      </c>
      <c r="BA28" s="55" t="str">
        <f t="shared" si="18"/>
        <v/>
      </c>
      <c r="BB28" s="55" t="str">
        <f t="shared" si="18"/>
        <v/>
      </c>
      <c r="BC28" s="55" t="str">
        <f t="shared" si="18"/>
        <v/>
      </c>
      <c r="BD28" s="55" t="str">
        <f t="shared" si="18"/>
        <v/>
      </c>
      <c r="BE28" s="55" t="str">
        <f t="shared" si="18"/>
        <v/>
      </c>
      <c r="BF28" s="55" t="str">
        <f t="shared" si="18"/>
        <v/>
      </c>
      <c r="BG28" s="55" t="str">
        <f t="shared" si="18"/>
        <v/>
      </c>
      <c r="BH28" s="55" t="str">
        <f t="shared" si="18"/>
        <v/>
      </c>
      <c r="BI28" s="55" t="str">
        <f t="shared" si="18"/>
        <v/>
      </c>
      <c r="BJ28" s="55" t="str">
        <f t="shared" si="18"/>
        <v/>
      </c>
      <c r="BK28" s="55" t="str">
        <f t="shared" si="18"/>
        <v/>
      </c>
      <c r="BL28" s="55" t="str">
        <f t="shared" si="18"/>
        <v/>
      </c>
      <c r="BM28" s="55" t="str">
        <f t="shared" si="18"/>
        <v/>
      </c>
      <c r="BN28" s="55" t="str">
        <f t="shared" si="18"/>
        <v/>
      </c>
      <c r="BO28" s="55" t="str">
        <f t="shared" si="18"/>
        <v/>
      </c>
      <c r="BP28" s="55" t="str">
        <f t="shared" si="18"/>
        <v/>
      </c>
      <c r="BQ28" s="55" t="str">
        <f t="shared" si="18"/>
        <v/>
      </c>
      <c r="BR28" s="55" t="str">
        <f t="shared" si="18"/>
        <v/>
      </c>
      <c r="BS28" s="55" t="str">
        <f t="shared" si="18"/>
        <v/>
      </c>
      <c r="BT28" s="55" t="str">
        <f t="shared" si="18"/>
        <v/>
      </c>
      <c r="BU28" s="55" t="str">
        <f t="shared" si="18"/>
        <v/>
      </c>
      <c r="BV28" s="55" t="str">
        <f t="shared" si="18"/>
        <v/>
      </c>
      <c r="BW28" s="55" t="str">
        <f t="shared" si="18"/>
        <v/>
      </c>
      <c r="BX28" s="55" t="str">
        <f t="shared" si="18"/>
        <v/>
      </c>
      <c r="BY28" s="55" t="str">
        <f t="shared" si="18"/>
        <v/>
      </c>
      <c r="BZ28" s="55" t="str">
        <f t="shared" si="18"/>
        <v/>
      </c>
      <c r="CA28" s="55" t="str">
        <f t="shared" si="18"/>
        <v/>
      </c>
      <c r="CB28" s="55" t="str">
        <f t="shared" si="18"/>
        <v/>
      </c>
      <c r="CC28" s="55" t="str">
        <f t="shared" si="18"/>
        <v/>
      </c>
      <c r="CD28" s="55" t="str">
        <f t="shared" si="18"/>
        <v/>
      </c>
      <c r="CE28" s="55" t="str">
        <f t="shared" si="18"/>
        <v/>
      </c>
      <c r="CF28" s="55" t="str">
        <f t="shared" si="18"/>
        <v/>
      </c>
      <c r="CG28" s="55" t="str">
        <f t="shared" si="18"/>
        <v/>
      </c>
      <c r="CH28" s="55" t="str">
        <f t="shared" si="18"/>
        <v/>
      </c>
      <c r="CI28" s="55" t="str">
        <f t="shared" si="18"/>
        <v/>
      </c>
      <c r="CJ28" s="55" t="str">
        <f t="shared" si="12"/>
        <v/>
      </c>
      <c r="CK28" s="55" t="str">
        <f t="shared" si="12"/>
        <v/>
      </c>
      <c r="CL28" s="55" t="str">
        <f t="shared" si="12"/>
        <v/>
      </c>
      <c r="CM28" s="55" t="str">
        <f t="shared" si="12"/>
        <v/>
      </c>
      <c r="CN28" s="55" t="str">
        <f t="shared" si="12"/>
        <v/>
      </c>
      <c r="CO28" s="55" t="str">
        <f t="shared" si="12"/>
        <v/>
      </c>
      <c r="CP28" s="55" t="str">
        <f t="shared" si="12"/>
        <v/>
      </c>
      <c r="CQ28" s="55" t="str">
        <f t="shared" si="12"/>
        <v/>
      </c>
      <c r="CR28" s="55" t="str">
        <f t="shared" si="12"/>
        <v/>
      </c>
      <c r="CS28" s="55" t="str">
        <f t="shared" si="12"/>
        <v/>
      </c>
      <c r="CT28" s="55" t="str">
        <f t="shared" si="12"/>
        <v/>
      </c>
      <c r="CU28" s="55" t="str">
        <f t="shared" si="12"/>
        <v/>
      </c>
      <c r="CV28" s="55" t="str">
        <f t="shared" si="12"/>
        <v/>
      </c>
      <c r="CW28" s="55" t="str">
        <f t="shared" si="12"/>
        <v/>
      </c>
      <c r="CX28" s="55" t="str">
        <f t="shared" si="12"/>
        <v/>
      </c>
      <c r="CY28" s="55" t="str">
        <f t="shared" si="12"/>
        <v/>
      </c>
      <c r="CZ28" s="55" t="str">
        <f t="shared" si="13"/>
        <v/>
      </c>
      <c r="DA28" s="55" t="str">
        <f t="shared" si="13"/>
        <v/>
      </c>
      <c r="DB28" s="55" t="str">
        <f t="shared" si="13"/>
        <v/>
      </c>
      <c r="DC28" s="55" t="str">
        <f t="shared" si="13"/>
        <v/>
      </c>
      <c r="DD28" s="55" t="str">
        <f t="shared" si="13"/>
        <v/>
      </c>
      <c r="DE28" s="55" t="str">
        <f t="shared" si="13"/>
        <v/>
      </c>
      <c r="DF28" s="55" t="str">
        <f t="shared" si="13"/>
        <v/>
      </c>
      <c r="DG28" s="55" t="str">
        <f t="shared" si="13"/>
        <v/>
      </c>
      <c r="DH28" s="55" t="str">
        <f t="shared" si="13"/>
        <v/>
      </c>
      <c r="DI28" s="55" t="str">
        <f t="shared" si="13"/>
        <v/>
      </c>
      <c r="DJ28" s="55" t="str">
        <f t="shared" si="13"/>
        <v/>
      </c>
      <c r="DK28" s="55" t="str">
        <f t="shared" si="13"/>
        <v/>
      </c>
      <c r="DL28" s="55" t="str">
        <f t="shared" si="13"/>
        <v/>
      </c>
      <c r="DM28" s="55" t="str">
        <f t="shared" si="13"/>
        <v/>
      </c>
      <c r="DN28" s="55" t="str">
        <f t="shared" si="13"/>
        <v/>
      </c>
      <c r="DO28" s="55" t="str">
        <f t="shared" si="13"/>
        <v/>
      </c>
      <c r="DP28" s="55" t="str">
        <f t="shared" si="13"/>
        <v/>
      </c>
      <c r="DQ28" s="55" t="str">
        <f t="shared" si="13"/>
        <v/>
      </c>
      <c r="DR28" s="55" t="str">
        <f t="shared" si="13"/>
        <v/>
      </c>
      <c r="DS28" s="55" t="str">
        <f t="shared" si="13"/>
        <v/>
      </c>
      <c r="DT28" s="106" t="str">
        <f t="shared" si="13"/>
        <v/>
      </c>
      <c r="DU28" s="54"/>
      <c r="DV28" s="25"/>
      <c r="DW28" s="61" t="str">
        <f t="shared" si="21"/>
        <v/>
      </c>
      <c r="DX28" s="50" t="str">
        <f t="shared" si="21"/>
        <v/>
      </c>
      <c r="DY28" s="50" t="str">
        <f t="shared" si="21"/>
        <v/>
      </c>
      <c r="DZ28" s="50" t="str">
        <f t="shared" si="19"/>
        <v/>
      </c>
      <c r="EA28" s="50" t="str">
        <f t="shared" si="19"/>
        <v/>
      </c>
      <c r="EB28" s="50" t="str">
        <f t="shared" si="19"/>
        <v/>
      </c>
      <c r="EC28" s="50" t="str">
        <f t="shared" si="19"/>
        <v/>
      </c>
      <c r="ED28" s="50" t="str">
        <f t="shared" si="19"/>
        <v/>
      </c>
      <c r="EE28" s="50" t="str">
        <f t="shared" si="19"/>
        <v/>
      </c>
      <c r="EF28" s="50" t="str">
        <f t="shared" si="19"/>
        <v/>
      </c>
      <c r="EG28" s="50" t="str">
        <f t="shared" si="19"/>
        <v/>
      </c>
      <c r="EH28" s="50" t="str">
        <f t="shared" si="19"/>
        <v/>
      </c>
      <c r="EI28" s="50" t="str">
        <f t="shared" si="19"/>
        <v/>
      </c>
      <c r="EJ28" s="50" t="str">
        <f t="shared" si="19"/>
        <v/>
      </c>
      <c r="EK28" s="50" t="str">
        <f t="shared" si="19"/>
        <v/>
      </c>
      <c r="EL28" s="50" t="str">
        <f t="shared" si="19"/>
        <v/>
      </c>
      <c r="EM28" s="50" t="str">
        <f t="shared" si="19"/>
        <v/>
      </c>
      <c r="EN28" s="50" t="str">
        <f t="shared" si="19"/>
        <v/>
      </c>
      <c r="EO28" s="50" t="str">
        <f t="shared" si="19"/>
        <v/>
      </c>
      <c r="EP28" s="50" t="str">
        <f t="shared" si="19"/>
        <v/>
      </c>
      <c r="EQ28" s="50" t="str">
        <f t="shared" si="19"/>
        <v/>
      </c>
      <c r="ER28" s="50" t="str">
        <f t="shared" si="19"/>
        <v/>
      </c>
      <c r="ES28" s="50" t="str">
        <f t="shared" si="19"/>
        <v/>
      </c>
      <c r="ET28" s="50" t="str">
        <f t="shared" si="19"/>
        <v/>
      </c>
      <c r="EU28" s="50" t="str">
        <f t="shared" si="19"/>
        <v/>
      </c>
      <c r="EV28" s="50" t="str">
        <f t="shared" si="19"/>
        <v/>
      </c>
      <c r="EW28" s="50" t="str">
        <f t="shared" si="19"/>
        <v/>
      </c>
      <c r="EX28" s="50" t="str">
        <f t="shared" si="19"/>
        <v/>
      </c>
      <c r="EY28" s="50" t="str">
        <f t="shared" si="19"/>
        <v/>
      </c>
      <c r="EZ28" s="50" t="str">
        <f t="shared" si="19"/>
        <v/>
      </c>
      <c r="FA28" s="50" t="str">
        <f t="shared" si="19"/>
        <v/>
      </c>
      <c r="FB28" s="50" t="str">
        <f t="shared" si="19"/>
        <v/>
      </c>
      <c r="FC28" s="50" t="str">
        <f t="shared" si="19"/>
        <v/>
      </c>
      <c r="FD28" s="50" t="str">
        <f t="shared" si="19"/>
        <v/>
      </c>
      <c r="FE28" s="50" t="str">
        <f t="shared" si="19"/>
        <v/>
      </c>
      <c r="FF28" s="50" t="str">
        <f t="shared" si="19"/>
        <v/>
      </c>
      <c r="FG28" s="50" t="str">
        <f t="shared" si="19"/>
        <v/>
      </c>
      <c r="FH28" s="50" t="str">
        <f t="shared" si="19"/>
        <v/>
      </c>
      <c r="FI28" s="50" t="str">
        <f t="shared" si="19"/>
        <v/>
      </c>
      <c r="FJ28" s="50" t="str">
        <f t="shared" si="19"/>
        <v/>
      </c>
      <c r="FK28" s="50" t="str">
        <f t="shared" si="19"/>
        <v/>
      </c>
      <c r="FL28" s="50" t="str">
        <f t="shared" si="19"/>
        <v/>
      </c>
      <c r="FM28" s="50" t="str">
        <f t="shared" si="19"/>
        <v/>
      </c>
      <c r="FN28" s="50" t="str">
        <f t="shared" si="19"/>
        <v/>
      </c>
      <c r="FO28" s="50" t="str">
        <f t="shared" si="19"/>
        <v/>
      </c>
      <c r="FP28" s="50" t="str">
        <f t="shared" si="19"/>
        <v/>
      </c>
      <c r="FQ28" s="50" t="str">
        <f t="shared" si="19"/>
        <v/>
      </c>
      <c r="FR28" s="50" t="str">
        <f t="shared" si="19"/>
        <v/>
      </c>
      <c r="FS28" s="50" t="str">
        <f t="shared" si="19"/>
        <v/>
      </c>
      <c r="FT28" s="50" t="str">
        <f t="shared" si="19"/>
        <v/>
      </c>
      <c r="FU28" s="50" t="str">
        <f t="shared" si="19"/>
        <v/>
      </c>
      <c r="FV28" s="50" t="str">
        <f t="shared" si="19"/>
        <v/>
      </c>
      <c r="FW28" s="50" t="str">
        <f t="shared" si="19"/>
        <v/>
      </c>
      <c r="FX28" s="50" t="str">
        <f t="shared" si="19"/>
        <v/>
      </c>
      <c r="FY28" s="50" t="str">
        <f t="shared" si="19"/>
        <v/>
      </c>
      <c r="FZ28" s="50" t="str">
        <f t="shared" si="19"/>
        <v/>
      </c>
      <c r="GA28" s="50" t="str">
        <f t="shared" si="19"/>
        <v/>
      </c>
      <c r="GB28" s="50" t="str">
        <f t="shared" si="19"/>
        <v/>
      </c>
      <c r="GC28" s="50" t="str">
        <f t="shared" si="19"/>
        <v/>
      </c>
      <c r="GD28" s="50" t="str">
        <f t="shared" si="19"/>
        <v/>
      </c>
      <c r="GE28" s="50" t="str">
        <f t="shared" si="19"/>
        <v/>
      </c>
      <c r="GF28" s="50" t="str">
        <f t="shared" si="19"/>
        <v/>
      </c>
      <c r="GG28" s="50" t="str">
        <f t="shared" si="19"/>
        <v/>
      </c>
      <c r="GH28" s="50" t="str">
        <f t="shared" si="14"/>
        <v/>
      </c>
      <c r="GI28" s="50" t="str">
        <f t="shared" si="14"/>
        <v/>
      </c>
      <c r="GJ28" s="50" t="str">
        <f t="shared" si="14"/>
        <v/>
      </c>
      <c r="GK28" s="50" t="str">
        <f t="shared" si="14"/>
        <v/>
      </c>
      <c r="GL28" s="50" t="str">
        <f t="shared" si="14"/>
        <v/>
      </c>
      <c r="GM28" s="50" t="str">
        <f t="shared" si="14"/>
        <v/>
      </c>
      <c r="GN28" s="50" t="str">
        <f t="shared" si="14"/>
        <v/>
      </c>
      <c r="GO28" s="50" t="str">
        <f t="shared" si="14"/>
        <v/>
      </c>
      <c r="GP28" s="50" t="str">
        <f t="shared" si="14"/>
        <v/>
      </c>
      <c r="GQ28" s="50" t="str">
        <f t="shared" si="14"/>
        <v/>
      </c>
      <c r="GR28" s="50" t="str">
        <f t="shared" si="14"/>
        <v/>
      </c>
      <c r="GS28" s="50" t="str">
        <f t="shared" si="14"/>
        <v/>
      </c>
      <c r="GT28" s="50" t="str">
        <f t="shared" si="14"/>
        <v/>
      </c>
      <c r="GU28" s="50" t="str">
        <f t="shared" si="14"/>
        <v/>
      </c>
      <c r="GV28" s="50" t="str">
        <f t="shared" si="14"/>
        <v/>
      </c>
      <c r="GW28" s="50" t="str">
        <f t="shared" si="14"/>
        <v/>
      </c>
      <c r="GX28" s="50" t="str">
        <f t="shared" si="15"/>
        <v/>
      </c>
      <c r="GY28" s="50" t="str">
        <f t="shared" si="15"/>
        <v/>
      </c>
      <c r="GZ28" s="50" t="str">
        <f t="shared" si="15"/>
        <v/>
      </c>
      <c r="HA28" s="50" t="str">
        <f t="shared" si="15"/>
        <v/>
      </c>
      <c r="HB28" s="50" t="str">
        <f t="shared" si="15"/>
        <v/>
      </c>
      <c r="HC28" s="50" t="str">
        <f t="shared" si="15"/>
        <v/>
      </c>
      <c r="HD28" s="50" t="str">
        <f t="shared" si="15"/>
        <v/>
      </c>
      <c r="HE28" s="50" t="str">
        <f t="shared" si="15"/>
        <v/>
      </c>
      <c r="HF28" s="50" t="str">
        <f t="shared" si="15"/>
        <v/>
      </c>
      <c r="HG28" s="50" t="str">
        <f t="shared" si="15"/>
        <v/>
      </c>
      <c r="HH28" s="50" t="str">
        <f t="shared" si="15"/>
        <v/>
      </c>
      <c r="HI28" s="50" t="str">
        <f t="shared" si="15"/>
        <v/>
      </c>
      <c r="HJ28" s="50" t="str">
        <f t="shared" si="15"/>
        <v/>
      </c>
      <c r="HK28" s="50" t="str">
        <f t="shared" si="15"/>
        <v/>
      </c>
      <c r="HL28" s="50" t="str">
        <f t="shared" si="15"/>
        <v/>
      </c>
      <c r="HM28" s="50" t="str">
        <f t="shared" si="15"/>
        <v/>
      </c>
      <c r="HN28" s="50" t="str">
        <f t="shared" si="15"/>
        <v/>
      </c>
      <c r="HO28" s="50" t="str">
        <f t="shared" si="15"/>
        <v/>
      </c>
      <c r="HP28" s="50" t="str">
        <f t="shared" si="15"/>
        <v/>
      </c>
      <c r="HQ28" s="50" t="str">
        <f t="shared" si="15"/>
        <v/>
      </c>
      <c r="HR28" s="112" t="str">
        <f t="shared" si="15"/>
        <v/>
      </c>
    </row>
    <row r="29" spans="1:226" ht="11.1" customHeight="1" x14ac:dyDescent="0.25">
      <c r="A29" s="26"/>
      <c r="B29" s="145"/>
      <c r="C29" s="28" t="str">
        <f>IF(A29=0,"",VLOOKUP(A29,[2]CO!$A$3:$F$5327,2,0))</f>
        <v/>
      </c>
      <c r="D29" s="149" t="s">
        <v>40</v>
      </c>
      <c r="E29" s="29"/>
      <c r="F29" s="29"/>
      <c r="G29" s="30" t="str">
        <f>IF(A29=0,"",VLOOKUP(A29,[2]CO!$A$3:$F$5327,3,0))</f>
        <v/>
      </c>
      <c r="H29" s="142"/>
      <c r="I29" s="143"/>
      <c r="J29" s="143"/>
      <c r="K29" s="143"/>
      <c r="L29" s="143"/>
      <c r="M29" s="32" t="str">
        <f t="shared" si="0"/>
        <v/>
      </c>
      <c r="N29" s="32" t="str">
        <f>IF(B29=0,"",IF(H29="M",HLOOKUP(B29,$Y$12:$DT$13,2),IF(A29=0,"",VLOOKUP(A29,[2]CO!$A$3:$F$5327,4,0))))</f>
        <v/>
      </c>
      <c r="O29" s="32" t="str">
        <f t="shared" si="7"/>
        <v/>
      </c>
      <c r="P29" s="33"/>
      <c r="Q29" s="34" t="str">
        <f t="shared" si="1"/>
        <v/>
      </c>
      <c r="R29" s="35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RESIDENTE"),VLOOKUP(B29,P$14:Q$77,2),"")*S29)</f>
        <v/>
      </c>
      <c r="T29" s="53" t="str">
        <f>IF(A29=0,"",VLOOKUP(A29,[2]CO!$A$3:$F$5318,5,0))</f>
        <v/>
      </c>
      <c r="U29" s="54">
        <f t="shared" si="2"/>
        <v>0</v>
      </c>
      <c r="V29" s="24"/>
      <c r="W29" s="25"/>
      <c r="X29" s="25"/>
      <c r="Y29" s="64" t="str">
        <f t="shared" si="20"/>
        <v/>
      </c>
      <c r="Z29" s="55" t="str">
        <f t="shared" si="20"/>
        <v/>
      </c>
      <c r="AA29" s="55" t="str">
        <f t="shared" si="20"/>
        <v/>
      </c>
      <c r="AB29" s="55" t="str">
        <f t="shared" si="20"/>
        <v/>
      </c>
      <c r="AC29" s="55" t="str">
        <f t="shared" si="20"/>
        <v/>
      </c>
      <c r="AD29" s="55" t="str">
        <f t="shared" si="20"/>
        <v/>
      </c>
      <c r="AE29" s="55" t="str">
        <f t="shared" si="20"/>
        <v/>
      </c>
      <c r="AF29" s="55" t="str">
        <f t="shared" si="20"/>
        <v/>
      </c>
      <c r="AG29" s="55" t="str">
        <f t="shared" si="20"/>
        <v/>
      </c>
      <c r="AH29" s="55" t="str">
        <f t="shared" si="20"/>
        <v/>
      </c>
      <c r="AI29" s="55" t="str">
        <f t="shared" si="20"/>
        <v/>
      </c>
      <c r="AJ29" s="55" t="str">
        <f t="shared" si="20"/>
        <v/>
      </c>
      <c r="AK29" s="55" t="str">
        <f t="shared" si="20"/>
        <v/>
      </c>
      <c r="AL29" s="55" t="str">
        <f t="shared" si="20"/>
        <v/>
      </c>
      <c r="AM29" s="55" t="str">
        <f t="shared" si="20"/>
        <v/>
      </c>
      <c r="AN29" s="55" t="str">
        <f t="shared" si="20"/>
        <v/>
      </c>
      <c r="AO29" s="55" t="str">
        <f t="shared" si="20"/>
        <v/>
      </c>
      <c r="AP29" s="55" t="str">
        <f t="shared" si="20"/>
        <v/>
      </c>
      <c r="AQ29" s="55" t="str">
        <f t="shared" si="20"/>
        <v/>
      </c>
      <c r="AR29" s="55" t="str">
        <f t="shared" si="20"/>
        <v/>
      </c>
      <c r="AS29" s="55" t="str">
        <f t="shared" si="20"/>
        <v/>
      </c>
      <c r="AT29" s="55" t="str">
        <f t="shared" si="20"/>
        <v/>
      </c>
      <c r="AU29" s="55" t="str">
        <f t="shared" si="20"/>
        <v/>
      </c>
      <c r="AV29" s="55" t="str">
        <f t="shared" si="20"/>
        <v/>
      </c>
      <c r="AW29" s="55" t="str">
        <f t="shared" si="20"/>
        <v/>
      </c>
      <c r="AX29" s="55" t="str">
        <f t="shared" si="20"/>
        <v/>
      </c>
      <c r="AY29" s="55" t="str">
        <f t="shared" si="20"/>
        <v/>
      </c>
      <c r="AZ29" s="55" t="str">
        <f t="shared" si="20"/>
        <v/>
      </c>
      <c r="BA29" s="55" t="str">
        <f t="shared" si="20"/>
        <v/>
      </c>
      <c r="BB29" s="55" t="str">
        <f t="shared" si="20"/>
        <v/>
      </c>
      <c r="BC29" s="55" t="str">
        <f t="shared" si="20"/>
        <v/>
      </c>
      <c r="BD29" s="55" t="str">
        <f t="shared" si="20"/>
        <v/>
      </c>
      <c r="BE29" s="55" t="str">
        <f t="shared" si="20"/>
        <v/>
      </c>
      <c r="BF29" s="55" t="str">
        <f t="shared" si="20"/>
        <v/>
      </c>
      <c r="BG29" s="55" t="str">
        <f t="shared" si="20"/>
        <v/>
      </c>
      <c r="BH29" s="55" t="str">
        <f t="shared" si="20"/>
        <v/>
      </c>
      <c r="BI29" s="55" t="str">
        <f t="shared" si="20"/>
        <v/>
      </c>
      <c r="BJ29" s="55" t="str">
        <f t="shared" si="20"/>
        <v/>
      </c>
      <c r="BK29" s="55" t="str">
        <f t="shared" si="20"/>
        <v/>
      </c>
      <c r="BL29" s="55" t="str">
        <f t="shared" si="20"/>
        <v/>
      </c>
      <c r="BM29" s="55" t="str">
        <f t="shared" si="20"/>
        <v/>
      </c>
      <c r="BN29" s="55" t="str">
        <f t="shared" si="20"/>
        <v/>
      </c>
      <c r="BO29" s="55" t="str">
        <f t="shared" si="20"/>
        <v/>
      </c>
      <c r="BP29" s="55" t="str">
        <f t="shared" si="20"/>
        <v/>
      </c>
      <c r="BQ29" s="55" t="str">
        <f t="shared" si="20"/>
        <v/>
      </c>
      <c r="BR29" s="55" t="str">
        <f t="shared" si="20"/>
        <v/>
      </c>
      <c r="BS29" s="55" t="str">
        <f t="shared" si="20"/>
        <v/>
      </c>
      <c r="BT29" s="55" t="str">
        <f t="shared" si="20"/>
        <v/>
      </c>
      <c r="BU29" s="55" t="str">
        <f t="shared" si="20"/>
        <v/>
      </c>
      <c r="BV29" s="55" t="str">
        <f t="shared" si="20"/>
        <v/>
      </c>
      <c r="BW29" s="55" t="str">
        <f t="shared" si="20"/>
        <v/>
      </c>
      <c r="BX29" s="55" t="str">
        <f t="shared" si="20"/>
        <v/>
      </c>
      <c r="BY29" s="55" t="str">
        <f t="shared" si="20"/>
        <v/>
      </c>
      <c r="BZ29" s="55" t="str">
        <f t="shared" si="20"/>
        <v/>
      </c>
      <c r="CA29" s="55" t="str">
        <f t="shared" si="20"/>
        <v/>
      </c>
      <c r="CB29" s="55" t="str">
        <f t="shared" si="20"/>
        <v/>
      </c>
      <c r="CC29" s="55" t="str">
        <f t="shared" si="20"/>
        <v/>
      </c>
      <c r="CD29" s="55" t="str">
        <f t="shared" si="20"/>
        <v/>
      </c>
      <c r="CE29" s="55" t="str">
        <f t="shared" si="20"/>
        <v/>
      </c>
      <c r="CF29" s="55" t="str">
        <f t="shared" si="20"/>
        <v/>
      </c>
      <c r="CG29" s="55" t="str">
        <f t="shared" si="20"/>
        <v/>
      </c>
      <c r="CH29" s="55" t="str">
        <f t="shared" si="20"/>
        <v/>
      </c>
      <c r="CI29" s="55" t="str">
        <f t="shared" si="20"/>
        <v/>
      </c>
      <c r="CJ29" s="55" t="str">
        <f t="shared" si="12"/>
        <v/>
      </c>
      <c r="CK29" s="55" t="str">
        <f t="shared" si="12"/>
        <v/>
      </c>
      <c r="CL29" s="55" t="str">
        <f t="shared" si="12"/>
        <v/>
      </c>
      <c r="CM29" s="55" t="str">
        <f t="shared" si="12"/>
        <v/>
      </c>
      <c r="CN29" s="55" t="str">
        <f t="shared" si="12"/>
        <v/>
      </c>
      <c r="CO29" s="55" t="str">
        <f t="shared" si="12"/>
        <v/>
      </c>
      <c r="CP29" s="55" t="str">
        <f t="shared" si="12"/>
        <v/>
      </c>
      <c r="CQ29" s="55" t="str">
        <f t="shared" si="12"/>
        <v/>
      </c>
      <c r="CR29" s="55" t="str">
        <f t="shared" si="12"/>
        <v/>
      </c>
      <c r="CS29" s="55" t="str">
        <f t="shared" si="12"/>
        <v/>
      </c>
      <c r="CT29" s="55" t="str">
        <f t="shared" si="12"/>
        <v/>
      </c>
      <c r="CU29" s="55" t="str">
        <f t="shared" si="12"/>
        <v/>
      </c>
      <c r="CV29" s="55" t="str">
        <f t="shared" si="12"/>
        <v/>
      </c>
      <c r="CW29" s="55" t="str">
        <f t="shared" si="12"/>
        <v/>
      </c>
      <c r="CX29" s="55" t="str">
        <f t="shared" si="12"/>
        <v/>
      </c>
      <c r="CY29" s="55" t="str">
        <f t="shared" si="12"/>
        <v/>
      </c>
      <c r="CZ29" s="55" t="str">
        <f t="shared" si="12"/>
        <v/>
      </c>
      <c r="DA29" s="55" t="str">
        <f t="shared" si="12"/>
        <v/>
      </c>
      <c r="DB29" s="55" t="str">
        <f t="shared" si="12"/>
        <v/>
      </c>
      <c r="DC29" s="55" t="str">
        <f t="shared" si="12"/>
        <v/>
      </c>
      <c r="DD29" s="55" t="str">
        <f t="shared" si="12"/>
        <v/>
      </c>
      <c r="DE29" s="55" t="str">
        <f t="shared" si="12"/>
        <v/>
      </c>
      <c r="DF29" s="55" t="str">
        <f t="shared" si="12"/>
        <v/>
      </c>
      <c r="DG29" s="55" t="str">
        <f t="shared" si="12"/>
        <v/>
      </c>
      <c r="DH29" s="55" t="str">
        <f t="shared" si="12"/>
        <v/>
      </c>
      <c r="DI29" s="55" t="str">
        <f t="shared" si="12"/>
        <v/>
      </c>
      <c r="DJ29" s="55" t="str">
        <f t="shared" si="12"/>
        <v/>
      </c>
      <c r="DK29" s="55" t="str">
        <f t="shared" si="12"/>
        <v/>
      </c>
      <c r="DL29" s="55" t="str">
        <f t="shared" si="12"/>
        <v/>
      </c>
      <c r="DM29" s="55" t="str">
        <f t="shared" si="12"/>
        <v/>
      </c>
      <c r="DN29" s="55" t="str">
        <f t="shared" si="12"/>
        <v/>
      </c>
      <c r="DO29" s="55" t="str">
        <f t="shared" si="12"/>
        <v/>
      </c>
      <c r="DP29" s="55" t="str">
        <f t="shared" si="12"/>
        <v/>
      </c>
      <c r="DQ29" s="55" t="str">
        <f t="shared" si="12"/>
        <v/>
      </c>
      <c r="DR29" s="55" t="str">
        <f t="shared" si="12"/>
        <v/>
      </c>
      <c r="DS29" s="55" t="str">
        <f t="shared" si="13"/>
        <v/>
      </c>
      <c r="DT29" s="106" t="str">
        <f t="shared" si="13"/>
        <v/>
      </c>
      <c r="DU29" s="54"/>
      <c r="DV29" s="25"/>
      <c r="DW29" s="61" t="str">
        <f t="shared" si="21"/>
        <v/>
      </c>
      <c r="DX29" s="50" t="str">
        <f t="shared" si="21"/>
        <v/>
      </c>
      <c r="DY29" s="50" t="str">
        <f t="shared" si="21"/>
        <v/>
      </c>
      <c r="DZ29" s="50" t="str">
        <f t="shared" si="21"/>
        <v/>
      </c>
      <c r="EA29" s="50" t="str">
        <f t="shared" si="21"/>
        <v/>
      </c>
      <c r="EB29" s="50" t="str">
        <f t="shared" si="21"/>
        <v/>
      </c>
      <c r="EC29" s="50" t="str">
        <f t="shared" si="21"/>
        <v/>
      </c>
      <c r="ED29" s="50" t="str">
        <f t="shared" si="21"/>
        <v/>
      </c>
      <c r="EE29" s="50" t="str">
        <f t="shared" si="21"/>
        <v/>
      </c>
      <c r="EF29" s="50" t="str">
        <f t="shared" si="21"/>
        <v/>
      </c>
      <c r="EG29" s="50" t="str">
        <f t="shared" si="21"/>
        <v/>
      </c>
      <c r="EH29" s="50" t="str">
        <f t="shared" si="21"/>
        <v/>
      </c>
      <c r="EI29" s="50" t="str">
        <f t="shared" si="21"/>
        <v/>
      </c>
      <c r="EJ29" s="50" t="str">
        <f t="shared" si="21"/>
        <v/>
      </c>
      <c r="EK29" s="50" t="str">
        <f t="shared" si="21"/>
        <v/>
      </c>
      <c r="EL29" s="50" t="str">
        <f t="shared" si="21"/>
        <v/>
      </c>
      <c r="EM29" s="50" t="str">
        <f t="shared" si="21"/>
        <v/>
      </c>
      <c r="EN29" s="50" t="str">
        <f t="shared" si="21"/>
        <v/>
      </c>
      <c r="EO29" s="50" t="str">
        <f t="shared" si="21"/>
        <v/>
      </c>
      <c r="EP29" s="50" t="str">
        <f t="shared" si="21"/>
        <v/>
      </c>
      <c r="EQ29" s="50" t="str">
        <f t="shared" si="21"/>
        <v/>
      </c>
      <c r="ER29" s="50" t="str">
        <f t="shared" si="21"/>
        <v/>
      </c>
      <c r="ES29" s="50" t="str">
        <f t="shared" si="21"/>
        <v/>
      </c>
      <c r="ET29" s="50" t="str">
        <f t="shared" si="21"/>
        <v/>
      </c>
      <c r="EU29" s="50" t="str">
        <f t="shared" si="21"/>
        <v/>
      </c>
      <c r="EV29" s="50" t="str">
        <f t="shared" si="21"/>
        <v/>
      </c>
      <c r="EW29" s="50" t="str">
        <f t="shared" si="21"/>
        <v/>
      </c>
      <c r="EX29" s="50" t="str">
        <f t="shared" si="21"/>
        <v/>
      </c>
      <c r="EY29" s="50" t="str">
        <f t="shared" si="21"/>
        <v/>
      </c>
      <c r="EZ29" s="50" t="str">
        <f t="shared" si="21"/>
        <v/>
      </c>
      <c r="FA29" s="50" t="str">
        <f t="shared" si="21"/>
        <v/>
      </c>
      <c r="FB29" s="50" t="str">
        <f t="shared" si="21"/>
        <v/>
      </c>
      <c r="FC29" s="50" t="str">
        <f t="shared" si="21"/>
        <v/>
      </c>
      <c r="FD29" s="50" t="str">
        <f t="shared" si="21"/>
        <v/>
      </c>
      <c r="FE29" s="50" t="str">
        <f t="shared" si="21"/>
        <v/>
      </c>
      <c r="FF29" s="50" t="str">
        <f t="shared" si="21"/>
        <v/>
      </c>
      <c r="FG29" s="50" t="str">
        <f t="shared" si="21"/>
        <v/>
      </c>
      <c r="FH29" s="50" t="str">
        <f t="shared" si="21"/>
        <v/>
      </c>
      <c r="FI29" s="50" t="str">
        <f t="shared" si="21"/>
        <v/>
      </c>
      <c r="FJ29" s="50" t="str">
        <f t="shared" si="21"/>
        <v/>
      </c>
      <c r="FK29" s="50" t="str">
        <f t="shared" si="21"/>
        <v/>
      </c>
      <c r="FL29" s="50" t="str">
        <f t="shared" si="21"/>
        <v/>
      </c>
      <c r="FM29" s="50" t="str">
        <f t="shared" si="21"/>
        <v/>
      </c>
      <c r="FN29" s="50" t="str">
        <f t="shared" si="21"/>
        <v/>
      </c>
      <c r="FO29" s="50" t="str">
        <f t="shared" si="21"/>
        <v/>
      </c>
      <c r="FP29" s="50" t="str">
        <f t="shared" si="21"/>
        <v/>
      </c>
      <c r="FQ29" s="50" t="str">
        <f t="shared" si="21"/>
        <v/>
      </c>
      <c r="FR29" s="50" t="str">
        <f t="shared" si="21"/>
        <v/>
      </c>
      <c r="FS29" s="50" t="str">
        <f t="shared" si="21"/>
        <v/>
      </c>
      <c r="FT29" s="50" t="str">
        <f t="shared" si="21"/>
        <v/>
      </c>
      <c r="FU29" s="50" t="str">
        <f t="shared" si="21"/>
        <v/>
      </c>
      <c r="FV29" s="50" t="str">
        <f t="shared" si="21"/>
        <v/>
      </c>
      <c r="FW29" s="50" t="str">
        <f t="shared" si="21"/>
        <v/>
      </c>
      <c r="FX29" s="50" t="str">
        <f t="shared" si="21"/>
        <v/>
      </c>
      <c r="FY29" s="50" t="str">
        <f t="shared" si="21"/>
        <v/>
      </c>
      <c r="FZ29" s="50" t="str">
        <f t="shared" si="21"/>
        <v/>
      </c>
      <c r="GA29" s="50" t="str">
        <f t="shared" si="21"/>
        <v/>
      </c>
      <c r="GB29" s="50" t="str">
        <f t="shared" si="21"/>
        <v/>
      </c>
      <c r="GC29" s="50" t="str">
        <f t="shared" si="21"/>
        <v/>
      </c>
      <c r="GD29" s="50" t="str">
        <f t="shared" si="21"/>
        <v/>
      </c>
      <c r="GE29" s="50" t="str">
        <f t="shared" si="21"/>
        <v/>
      </c>
      <c r="GF29" s="50" t="str">
        <f t="shared" si="21"/>
        <v/>
      </c>
      <c r="GG29" s="50" t="str">
        <f t="shared" si="21"/>
        <v/>
      </c>
      <c r="GH29" s="50" t="str">
        <f t="shared" si="14"/>
        <v/>
      </c>
      <c r="GI29" s="50" t="str">
        <f t="shared" si="14"/>
        <v/>
      </c>
      <c r="GJ29" s="50" t="str">
        <f t="shared" si="14"/>
        <v/>
      </c>
      <c r="GK29" s="50" t="str">
        <f t="shared" si="14"/>
        <v/>
      </c>
      <c r="GL29" s="50" t="str">
        <f t="shared" si="14"/>
        <v/>
      </c>
      <c r="GM29" s="50" t="str">
        <f t="shared" si="14"/>
        <v/>
      </c>
      <c r="GN29" s="50" t="str">
        <f t="shared" si="14"/>
        <v/>
      </c>
      <c r="GO29" s="50" t="str">
        <f t="shared" si="14"/>
        <v/>
      </c>
      <c r="GP29" s="50" t="str">
        <f t="shared" si="14"/>
        <v/>
      </c>
      <c r="GQ29" s="50" t="str">
        <f t="shared" si="14"/>
        <v/>
      </c>
      <c r="GR29" s="50" t="str">
        <f t="shared" si="14"/>
        <v/>
      </c>
      <c r="GS29" s="50" t="str">
        <f t="shared" si="14"/>
        <v/>
      </c>
      <c r="GT29" s="50" t="str">
        <f t="shared" si="14"/>
        <v/>
      </c>
      <c r="GU29" s="50" t="str">
        <f t="shared" si="14"/>
        <v/>
      </c>
      <c r="GV29" s="50" t="str">
        <f t="shared" si="14"/>
        <v/>
      </c>
      <c r="GW29" s="50" t="str">
        <f t="shared" si="14"/>
        <v/>
      </c>
      <c r="GX29" s="50" t="str">
        <f t="shared" si="14"/>
        <v/>
      </c>
      <c r="GY29" s="50" t="str">
        <f t="shared" si="14"/>
        <v/>
      </c>
      <c r="GZ29" s="50" t="str">
        <f t="shared" si="14"/>
        <v/>
      </c>
      <c r="HA29" s="50" t="str">
        <f t="shared" si="14"/>
        <v/>
      </c>
      <c r="HB29" s="50" t="str">
        <f t="shared" si="14"/>
        <v/>
      </c>
      <c r="HC29" s="50" t="str">
        <f t="shared" si="14"/>
        <v/>
      </c>
      <c r="HD29" s="50" t="str">
        <f t="shared" si="14"/>
        <v/>
      </c>
      <c r="HE29" s="50" t="str">
        <f t="shared" si="14"/>
        <v/>
      </c>
      <c r="HF29" s="50" t="str">
        <f t="shared" si="14"/>
        <v/>
      </c>
      <c r="HG29" s="50" t="str">
        <f t="shared" si="14"/>
        <v/>
      </c>
      <c r="HH29" s="50" t="str">
        <f t="shared" si="14"/>
        <v/>
      </c>
      <c r="HI29" s="50" t="str">
        <f t="shared" si="14"/>
        <v/>
      </c>
      <c r="HJ29" s="50" t="str">
        <f t="shared" si="14"/>
        <v/>
      </c>
      <c r="HK29" s="50" t="str">
        <f t="shared" si="14"/>
        <v/>
      </c>
      <c r="HL29" s="50" t="str">
        <f t="shared" si="14"/>
        <v/>
      </c>
      <c r="HM29" s="50" t="str">
        <f t="shared" si="14"/>
        <v/>
      </c>
      <c r="HN29" s="50" t="str">
        <f t="shared" si="14"/>
        <v/>
      </c>
      <c r="HO29" s="50" t="str">
        <f t="shared" si="14"/>
        <v/>
      </c>
      <c r="HP29" s="50" t="str">
        <f t="shared" si="14"/>
        <v/>
      </c>
      <c r="HQ29" s="50" t="str">
        <f t="shared" si="15"/>
        <v/>
      </c>
      <c r="HR29" s="112" t="str">
        <f t="shared" si="15"/>
        <v/>
      </c>
    </row>
    <row r="30" spans="1:226" ht="11.1" customHeight="1" x14ac:dyDescent="0.25">
      <c r="A30" s="26"/>
      <c r="B30" s="145"/>
      <c r="C30" s="28" t="str">
        <f>IF(A30=0,"",VLOOKUP(A30,[2]CO!$A$3:$F$5327,2,0))</f>
        <v/>
      </c>
      <c r="D30" s="149" t="s">
        <v>41</v>
      </c>
      <c r="E30" s="29"/>
      <c r="F30" s="29"/>
      <c r="G30" s="30" t="str">
        <f>IF(A30=0,"",VLOOKUP(A30,[2]CO!$A$3:$F$5327,3,0))</f>
        <v/>
      </c>
      <c r="H30" s="142"/>
      <c r="I30" s="143"/>
      <c r="J30" s="143"/>
      <c r="K30" s="143"/>
      <c r="L30" s="143"/>
      <c r="M30" s="32" t="str">
        <f t="shared" si="0"/>
        <v/>
      </c>
      <c r="N30" s="32" t="str">
        <f>IF(B30=0,"",IF(H30="M",HLOOKUP(B30,$Y$12:$DT$13,2),IF(A30=0,"",VLOOKUP(A30,[2]CO!$A$3:$F$5327,4,0))))</f>
        <v/>
      </c>
      <c r="O30" s="32" t="str">
        <f t="shared" si="7"/>
        <v/>
      </c>
      <c r="P30" s="33"/>
      <c r="Q30" s="34" t="str">
        <f t="shared" si="1"/>
        <v/>
      </c>
      <c r="R30" s="35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RESIDENTE"),VLOOKUP(B30,P$14:Q$77,2),"")*S30)</f>
        <v/>
      </c>
      <c r="T30" s="53" t="str">
        <f>IF(A30=0,"",VLOOKUP(A30,[2]CO!$A$3:$F$5318,5,0))</f>
        <v/>
      </c>
      <c r="U30" s="54">
        <f t="shared" si="2"/>
        <v>0</v>
      </c>
      <c r="V30" s="24"/>
      <c r="W30" s="25"/>
      <c r="X30" s="25"/>
      <c r="Y30" s="64" t="str">
        <f t="shared" si="20"/>
        <v/>
      </c>
      <c r="Z30" s="55" t="str">
        <f t="shared" si="20"/>
        <v/>
      </c>
      <c r="AA30" s="55" t="str">
        <f t="shared" si="20"/>
        <v/>
      </c>
      <c r="AB30" s="55" t="str">
        <f t="shared" si="18"/>
        <v/>
      </c>
      <c r="AC30" s="55" t="str">
        <f t="shared" si="18"/>
        <v/>
      </c>
      <c r="AD30" s="55" t="str">
        <f t="shared" si="18"/>
        <v/>
      </c>
      <c r="AE30" s="55" t="str">
        <f t="shared" si="18"/>
        <v/>
      </c>
      <c r="AF30" s="55" t="str">
        <f t="shared" si="18"/>
        <v/>
      </c>
      <c r="AG30" s="55" t="str">
        <f t="shared" si="18"/>
        <v/>
      </c>
      <c r="AH30" s="55" t="str">
        <f t="shared" si="18"/>
        <v/>
      </c>
      <c r="AI30" s="55" t="str">
        <f t="shared" si="18"/>
        <v/>
      </c>
      <c r="AJ30" s="55" t="str">
        <f t="shared" si="18"/>
        <v/>
      </c>
      <c r="AK30" s="55" t="str">
        <f t="shared" si="18"/>
        <v/>
      </c>
      <c r="AL30" s="55" t="str">
        <f t="shared" si="18"/>
        <v/>
      </c>
      <c r="AM30" s="55" t="str">
        <f t="shared" si="18"/>
        <v/>
      </c>
      <c r="AN30" s="55" t="str">
        <f t="shared" si="18"/>
        <v/>
      </c>
      <c r="AO30" s="55" t="str">
        <f t="shared" si="18"/>
        <v/>
      </c>
      <c r="AP30" s="55" t="str">
        <f t="shared" si="18"/>
        <v/>
      </c>
      <c r="AQ30" s="55" t="str">
        <f t="shared" si="18"/>
        <v/>
      </c>
      <c r="AR30" s="55" t="str">
        <f t="shared" si="18"/>
        <v/>
      </c>
      <c r="AS30" s="55" t="str">
        <f t="shared" si="18"/>
        <v/>
      </c>
      <c r="AT30" s="55" t="str">
        <f t="shared" si="18"/>
        <v/>
      </c>
      <c r="AU30" s="55" t="str">
        <f t="shared" si="18"/>
        <v/>
      </c>
      <c r="AV30" s="55" t="str">
        <f t="shared" si="18"/>
        <v/>
      </c>
      <c r="AW30" s="55" t="str">
        <f t="shared" si="18"/>
        <v/>
      </c>
      <c r="AX30" s="55" t="str">
        <f t="shared" si="18"/>
        <v/>
      </c>
      <c r="AY30" s="55" t="str">
        <f t="shared" si="18"/>
        <v/>
      </c>
      <c r="AZ30" s="55" t="str">
        <f t="shared" si="18"/>
        <v/>
      </c>
      <c r="BA30" s="55" t="str">
        <f t="shared" si="18"/>
        <v/>
      </c>
      <c r="BB30" s="55" t="str">
        <f t="shared" si="18"/>
        <v/>
      </c>
      <c r="BC30" s="55" t="str">
        <f t="shared" si="18"/>
        <v/>
      </c>
      <c r="BD30" s="55" t="str">
        <f t="shared" si="18"/>
        <v/>
      </c>
      <c r="BE30" s="55" t="str">
        <f t="shared" si="18"/>
        <v/>
      </c>
      <c r="BF30" s="55" t="str">
        <f t="shared" si="18"/>
        <v/>
      </c>
      <c r="BG30" s="55" t="str">
        <f t="shared" si="18"/>
        <v/>
      </c>
      <c r="BH30" s="55" t="str">
        <f t="shared" si="18"/>
        <v/>
      </c>
      <c r="BI30" s="55" t="str">
        <f t="shared" si="18"/>
        <v/>
      </c>
      <c r="BJ30" s="55" t="str">
        <f t="shared" si="18"/>
        <v/>
      </c>
      <c r="BK30" s="55" t="str">
        <f t="shared" si="18"/>
        <v/>
      </c>
      <c r="BL30" s="55" t="str">
        <f t="shared" si="18"/>
        <v/>
      </c>
      <c r="BM30" s="55" t="str">
        <f t="shared" si="18"/>
        <v/>
      </c>
      <c r="BN30" s="55" t="str">
        <f t="shared" si="18"/>
        <v/>
      </c>
      <c r="BO30" s="55" t="str">
        <f t="shared" si="18"/>
        <v/>
      </c>
      <c r="BP30" s="55" t="str">
        <f t="shared" si="18"/>
        <v/>
      </c>
      <c r="BQ30" s="55" t="str">
        <f t="shared" si="18"/>
        <v/>
      </c>
      <c r="BR30" s="55" t="str">
        <f t="shared" si="18"/>
        <v/>
      </c>
      <c r="BS30" s="55" t="str">
        <f t="shared" si="18"/>
        <v/>
      </c>
      <c r="BT30" s="55" t="str">
        <f t="shared" si="18"/>
        <v/>
      </c>
      <c r="BU30" s="55" t="str">
        <f t="shared" si="18"/>
        <v/>
      </c>
      <c r="BV30" s="55" t="str">
        <f t="shared" si="18"/>
        <v/>
      </c>
      <c r="BW30" s="55" t="str">
        <f t="shared" si="18"/>
        <v/>
      </c>
      <c r="BX30" s="55" t="str">
        <f t="shared" si="18"/>
        <v/>
      </c>
      <c r="BY30" s="55" t="str">
        <f t="shared" si="18"/>
        <v/>
      </c>
      <c r="BZ30" s="55" t="str">
        <f t="shared" si="18"/>
        <v/>
      </c>
      <c r="CA30" s="55" t="str">
        <f t="shared" si="18"/>
        <v/>
      </c>
      <c r="CB30" s="55" t="str">
        <f t="shared" si="18"/>
        <v/>
      </c>
      <c r="CC30" s="55" t="str">
        <f t="shared" si="18"/>
        <v/>
      </c>
      <c r="CD30" s="55" t="str">
        <f t="shared" si="18"/>
        <v/>
      </c>
      <c r="CE30" s="55" t="str">
        <f t="shared" si="18"/>
        <v/>
      </c>
      <c r="CF30" s="55" t="str">
        <f t="shared" si="18"/>
        <v/>
      </c>
      <c r="CG30" s="55" t="str">
        <f t="shared" si="18"/>
        <v/>
      </c>
      <c r="CH30" s="55" t="str">
        <f t="shared" si="18"/>
        <v/>
      </c>
      <c r="CI30" s="55" t="str">
        <f t="shared" si="18"/>
        <v/>
      </c>
      <c r="CJ30" s="55" t="str">
        <f t="shared" si="12"/>
        <v/>
      </c>
      <c r="CK30" s="55" t="str">
        <f t="shared" si="12"/>
        <v/>
      </c>
      <c r="CL30" s="55" t="str">
        <f t="shared" si="12"/>
        <v/>
      </c>
      <c r="CM30" s="55" t="str">
        <f t="shared" si="12"/>
        <v/>
      </c>
      <c r="CN30" s="55" t="str">
        <f t="shared" si="12"/>
        <v/>
      </c>
      <c r="CO30" s="55" t="str">
        <f t="shared" si="12"/>
        <v/>
      </c>
      <c r="CP30" s="55" t="str">
        <f t="shared" si="12"/>
        <v/>
      </c>
      <c r="CQ30" s="55" t="str">
        <f t="shared" si="12"/>
        <v/>
      </c>
      <c r="CR30" s="55" t="str">
        <f t="shared" si="12"/>
        <v/>
      </c>
      <c r="CS30" s="55" t="str">
        <f t="shared" si="12"/>
        <v/>
      </c>
      <c r="CT30" s="55" t="str">
        <f t="shared" si="12"/>
        <v/>
      </c>
      <c r="CU30" s="55" t="str">
        <f t="shared" si="12"/>
        <v/>
      </c>
      <c r="CV30" s="55" t="str">
        <f t="shared" si="12"/>
        <v/>
      </c>
      <c r="CW30" s="55" t="str">
        <f t="shared" si="12"/>
        <v/>
      </c>
      <c r="CX30" s="55" t="str">
        <f t="shared" si="12"/>
        <v/>
      </c>
      <c r="CY30" s="55" t="str">
        <f t="shared" si="12"/>
        <v/>
      </c>
      <c r="CZ30" s="55" t="str">
        <f t="shared" si="13"/>
        <v/>
      </c>
      <c r="DA30" s="55" t="str">
        <f t="shared" si="13"/>
        <v/>
      </c>
      <c r="DB30" s="55" t="str">
        <f t="shared" si="13"/>
        <v/>
      </c>
      <c r="DC30" s="55" t="str">
        <f t="shared" si="13"/>
        <v/>
      </c>
      <c r="DD30" s="55" t="str">
        <f t="shared" si="13"/>
        <v/>
      </c>
      <c r="DE30" s="55" t="str">
        <f t="shared" si="13"/>
        <v/>
      </c>
      <c r="DF30" s="55" t="str">
        <f t="shared" si="13"/>
        <v/>
      </c>
      <c r="DG30" s="55" t="str">
        <f t="shared" si="13"/>
        <v/>
      </c>
      <c r="DH30" s="55" t="str">
        <f t="shared" si="13"/>
        <v/>
      </c>
      <c r="DI30" s="55" t="str">
        <f t="shared" si="13"/>
        <v/>
      </c>
      <c r="DJ30" s="55" t="str">
        <f t="shared" si="13"/>
        <v/>
      </c>
      <c r="DK30" s="55" t="str">
        <f t="shared" si="13"/>
        <v/>
      </c>
      <c r="DL30" s="55" t="str">
        <f t="shared" si="13"/>
        <v/>
      </c>
      <c r="DM30" s="55" t="str">
        <f t="shared" si="13"/>
        <v/>
      </c>
      <c r="DN30" s="55" t="str">
        <f t="shared" si="13"/>
        <v/>
      </c>
      <c r="DO30" s="55" t="str">
        <f t="shared" si="13"/>
        <v/>
      </c>
      <c r="DP30" s="55" t="str">
        <f t="shared" si="13"/>
        <v/>
      </c>
      <c r="DQ30" s="55" t="str">
        <f t="shared" si="13"/>
        <v/>
      </c>
      <c r="DR30" s="55" t="str">
        <f t="shared" si="13"/>
        <v/>
      </c>
      <c r="DS30" s="55" t="str">
        <f t="shared" si="13"/>
        <v/>
      </c>
      <c r="DT30" s="106" t="str">
        <f t="shared" si="13"/>
        <v/>
      </c>
      <c r="DU30" s="54"/>
      <c r="DV30" s="25"/>
      <c r="DW30" s="61" t="str">
        <f t="shared" si="21"/>
        <v/>
      </c>
      <c r="DX30" s="50" t="str">
        <f t="shared" si="21"/>
        <v/>
      </c>
      <c r="DY30" s="50" t="str">
        <f t="shared" si="21"/>
        <v/>
      </c>
      <c r="DZ30" s="50" t="str">
        <f t="shared" si="19"/>
        <v/>
      </c>
      <c r="EA30" s="50" t="str">
        <f t="shared" si="19"/>
        <v/>
      </c>
      <c r="EB30" s="50" t="str">
        <f t="shared" si="19"/>
        <v/>
      </c>
      <c r="EC30" s="50" t="str">
        <f t="shared" si="19"/>
        <v/>
      </c>
      <c r="ED30" s="50" t="str">
        <f t="shared" si="19"/>
        <v/>
      </c>
      <c r="EE30" s="50" t="str">
        <f t="shared" si="19"/>
        <v/>
      </c>
      <c r="EF30" s="50" t="str">
        <f t="shared" si="19"/>
        <v/>
      </c>
      <c r="EG30" s="50" t="str">
        <f t="shared" si="19"/>
        <v/>
      </c>
      <c r="EH30" s="50" t="str">
        <f t="shared" si="19"/>
        <v/>
      </c>
      <c r="EI30" s="50" t="str">
        <f t="shared" si="19"/>
        <v/>
      </c>
      <c r="EJ30" s="50" t="str">
        <f t="shared" si="19"/>
        <v/>
      </c>
      <c r="EK30" s="50" t="str">
        <f t="shared" si="19"/>
        <v/>
      </c>
      <c r="EL30" s="50" t="str">
        <f t="shared" si="19"/>
        <v/>
      </c>
      <c r="EM30" s="50" t="str">
        <f t="shared" si="19"/>
        <v/>
      </c>
      <c r="EN30" s="50" t="str">
        <f t="shared" si="19"/>
        <v/>
      </c>
      <c r="EO30" s="50" t="str">
        <f t="shared" si="19"/>
        <v/>
      </c>
      <c r="EP30" s="50" t="str">
        <f t="shared" si="19"/>
        <v/>
      </c>
      <c r="EQ30" s="50" t="str">
        <f t="shared" si="19"/>
        <v/>
      </c>
      <c r="ER30" s="50" t="str">
        <f t="shared" si="19"/>
        <v/>
      </c>
      <c r="ES30" s="50" t="str">
        <f t="shared" si="19"/>
        <v/>
      </c>
      <c r="ET30" s="50" t="str">
        <f t="shared" si="19"/>
        <v/>
      </c>
      <c r="EU30" s="50" t="str">
        <f t="shared" si="19"/>
        <v/>
      </c>
      <c r="EV30" s="50" t="str">
        <f t="shared" si="19"/>
        <v/>
      </c>
      <c r="EW30" s="50" t="str">
        <f t="shared" si="19"/>
        <v/>
      </c>
      <c r="EX30" s="50" t="str">
        <f t="shared" si="19"/>
        <v/>
      </c>
      <c r="EY30" s="50" t="str">
        <f t="shared" si="19"/>
        <v/>
      </c>
      <c r="EZ30" s="50" t="str">
        <f t="shared" si="19"/>
        <v/>
      </c>
      <c r="FA30" s="50" t="str">
        <f t="shared" si="19"/>
        <v/>
      </c>
      <c r="FB30" s="50" t="str">
        <f t="shared" si="19"/>
        <v/>
      </c>
      <c r="FC30" s="50" t="str">
        <f t="shared" si="19"/>
        <v/>
      </c>
      <c r="FD30" s="50" t="str">
        <f t="shared" si="19"/>
        <v/>
      </c>
      <c r="FE30" s="50" t="str">
        <f t="shared" si="19"/>
        <v/>
      </c>
      <c r="FF30" s="50" t="str">
        <f t="shared" si="19"/>
        <v/>
      </c>
      <c r="FG30" s="50" t="str">
        <f t="shared" si="19"/>
        <v/>
      </c>
      <c r="FH30" s="50" t="str">
        <f t="shared" si="19"/>
        <v/>
      </c>
      <c r="FI30" s="50" t="str">
        <f t="shared" si="19"/>
        <v/>
      </c>
      <c r="FJ30" s="50" t="str">
        <f t="shared" si="19"/>
        <v/>
      </c>
      <c r="FK30" s="50" t="str">
        <f t="shared" si="19"/>
        <v/>
      </c>
      <c r="FL30" s="50" t="str">
        <f t="shared" si="19"/>
        <v/>
      </c>
      <c r="FM30" s="50" t="str">
        <f t="shared" si="19"/>
        <v/>
      </c>
      <c r="FN30" s="50" t="str">
        <f t="shared" si="19"/>
        <v/>
      </c>
      <c r="FO30" s="50" t="str">
        <f t="shared" si="19"/>
        <v/>
      </c>
      <c r="FP30" s="50" t="str">
        <f t="shared" si="19"/>
        <v/>
      </c>
      <c r="FQ30" s="50" t="str">
        <f t="shared" si="19"/>
        <v/>
      </c>
      <c r="FR30" s="50" t="str">
        <f t="shared" si="19"/>
        <v/>
      </c>
      <c r="FS30" s="50" t="str">
        <f t="shared" si="19"/>
        <v/>
      </c>
      <c r="FT30" s="50" t="str">
        <f t="shared" si="19"/>
        <v/>
      </c>
      <c r="FU30" s="50" t="str">
        <f t="shared" si="19"/>
        <v/>
      </c>
      <c r="FV30" s="50" t="str">
        <f t="shared" si="19"/>
        <v/>
      </c>
      <c r="FW30" s="50" t="str">
        <f t="shared" si="19"/>
        <v/>
      </c>
      <c r="FX30" s="50" t="str">
        <f t="shared" si="19"/>
        <v/>
      </c>
      <c r="FY30" s="50" t="str">
        <f t="shared" si="19"/>
        <v/>
      </c>
      <c r="FZ30" s="50" t="str">
        <f t="shared" si="19"/>
        <v/>
      </c>
      <c r="GA30" s="50" t="str">
        <f t="shared" si="19"/>
        <v/>
      </c>
      <c r="GB30" s="50" t="str">
        <f t="shared" si="19"/>
        <v/>
      </c>
      <c r="GC30" s="50" t="str">
        <f t="shared" si="19"/>
        <v/>
      </c>
      <c r="GD30" s="50" t="str">
        <f t="shared" si="19"/>
        <v/>
      </c>
      <c r="GE30" s="50" t="str">
        <f t="shared" si="19"/>
        <v/>
      </c>
      <c r="GF30" s="50" t="str">
        <f t="shared" si="19"/>
        <v/>
      </c>
      <c r="GG30" s="50" t="str">
        <f t="shared" si="19"/>
        <v/>
      </c>
      <c r="GH30" s="50" t="str">
        <f t="shared" si="14"/>
        <v/>
      </c>
      <c r="GI30" s="50" t="str">
        <f t="shared" si="14"/>
        <v/>
      </c>
      <c r="GJ30" s="50" t="str">
        <f t="shared" si="14"/>
        <v/>
      </c>
      <c r="GK30" s="50" t="str">
        <f t="shared" si="14"/>
        <v/>
      </c>
      <c r="GL30" s="50" t="str">
        <f t="shared" si="14"/>
        <v/>
      </c>
      <c r="GM30" s="50" t="str">
        <f t="shared" si="14"/>
        <v/>
      </c>
      <c r="GN30" s="50" t="str">
        <f t="shared" si="14"/>
        <v/>
      </c>
      <c r="GO30" s="50" t="str">
        <f t="shared" si="14"/>
        <v/>
      </c>
      <c r="GP30" s="50" t="str">
        <f t="shared" si="14"/>
        <v/>
      </c>
      <c r="GQ30" s="50" t="str">
        <f t="shared" si="14"/>
        <v/>
      </c>
      <c r="GR30" s="50" t="str">
        <f t="shared" si="14"/>
        <v/>
      </c>
      <c r="GS30" s="50" t="str">
        <f t="shared" si="14"/>
        <v/>
      </c>
      <c r="GT30" s="50" t="str">
        <f t="shared" si="14"/>
        <v/>
      </c>
      <c r="GU30" s="50" t="str">
        <f t="shared" si="14"/>
        <v/>
      </c>
      <c r="GV30" s="50" t="str">
        <f t="shared" si="14"/>
        <v/>
      </c>
      <c r="GW30" s="50" t="str">
        <f t="shared" si="14"/>
        <v/>
      </c>
      <c r="GX30" s="50" t="str">
        <f t="shared" si="15"/>
        <v/>
      </c>
      <c r="GY30" s="50" t="str">
        <f t="shared" si="15"/>
        <v/>
      </c>
      <c r="GZ30" s="50" t="str">
        <f t="shared" si="15"/>
        <v/>
      </c>
      <c r="HA30" s="50" t="str">
        <f t="shared" si="15"/>
        <v/>
      </c>
      <c r="HB30" s="50" t="str">
        <f t="shared" si="15"/>
        <v/>
      </c>
      <c r="HC30" s="50" t="str">
        <f t="shared" si="15"/>
        <v/>
      </c>
      <c r="HD30" s="50" t="str">
        <f t="shared" si="15"/>
        <v/>
      </c>
      <c r="HE30" s="50" t="str">
        <f t="shared" si="15"/>
        <v/>
      </c>
      <c r="HF30" s="50" t="str">
        <f t="shared" si="15"/>
        <v/>
      </c>
      <c r="HG30" s="50" t="str">
        <f t="shared" si="15"/>
        <v/>
      </c>
      <c r="HH30" s="50" t="str">
        <f t="shared" si="15"/>
        <v/>
      </c>
      <c r="HI30" s="50" t="str">
        <f t="shared" si="15"/>
        <v/>
      </c>
      <c r="HJ30" s="50" t="str">
        <f t="shared" si="15"/>
        <v/>
      </c>
      <c r="HK30" s="50" t="str">
        <f t="shared" si="15"/>
        <v/>
      </c>
      <c r="HL30" s="50" t="str">
        <f t="shared" si="15"/>
        <v/>
      </c>
      <c r="HM30" s="50" t="str">
        <f t="shared" si="15"/>
        <v/>
      </c>
      <c r="HN30" s="50" t="str">
        <f t="shared" si="15"/>
        <v/>
      </c>
      <c r="HO30" s="50" t="str">
        <f t="shared" si="15"/>
        <v/>
      </c>
      <c r="HP30" s="50" t="str">
        <f t="shared" si="15"/>
        <v/>
      </c>
      <c r="HQ30" s="50" t="str">
        <f t="shared" si="15"/>
        <v/>
      </c>
      <c r="HR30" s="112" t="str">
        <f t="shared" si="15"/>
        <v/>
      </c>
    </row>
    <row r="31" spans="1:226" ht="11.1" customHeight="1" x14ac:dyDescent="0.25">
      <c r="A31" s="26"/>
      <c r="B31" s="145"/>
      <c r="C31" s="28" t="str">
        <f>IF(A31=0,"",VLOOKUP(A31,[2]CO!$A$3:$F$5327,2,0))</f>
        <v/>
      </c>
      <c r="D31" s="178" t="s">
        <v>42</v>
      </c>
      <c r="E31" s="29"/>
      <c r="F31" s="29"/>
      <c r="G31" s="30" t="str">
        <f>IF(A31=0,"",VLOOKUP(A31,[2]CO!$A$3:$F$5327,3,0))</f>
        <v/>
      </c>
      <c r="H31" s="142"/>
      <c r="I31" s="143"/>
      <c r="J31" s="143"/>
      <c r="K31" s="143"/>
      <c r="L31" s="143"/>
      <c r="M31" s="32" t="str">
        <f t="shared" si="0"/>
        <v/>
      </c>
      <c r="N31" s="32" t="str">
        <f>IF(B31=0,"",IF(H31="M",HLOOKUP(B31,$Y$12:$DT$13,2),IF(A31=0,"",VLOOKUP(A31,[2]CO!$A$3:$F$5327,4,0))))</f>
        <v/>
      </c>
      <c r="O31" s="32" t="str">
        <f t="shared" si="7"/>
        <v/>
      </c>
      <c r="P31" s="33"/>
      <c r="Q31" s="34" t="str">
        <f t="shared" si="1"/>
        <v/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RESIDENTE"),VLOOKUP(B31,P$14:Q$77,2),"")*S31)</f>
        <v/>
      </c>
      <c r="T31" s="53" t="str">
        <f>IF(A31=0,"",VLOOKUP(A31,[2]CO!$A$3:$F$5318,5,0))</f>
        <v/>
      </c>
      <c r="U31" s="54">
        <f t="shared" si="2"/>
        <v>0</v>
      </c>
      <c r="V31" s="24"/>
      <c r="W31" s="25"/>
      <c r="X31" s="25"/>
      <c r="Y31" s="64" t="str">
        <f t="shared" si="20"/>
        <v/>
      </c>
      <c r="Z31" s="55" t="str">
        <f t="shared" si="20"/>
        <v/>
      </c>
      <c r="AA31" s="55" t="str">
        <f t="shared" si="20"/>
        <v/>
      </c>
      <c r="AB31" s="55" t="str">
        <f t="shared" si="20"/>
        <v/>
      </c>
      <c r="AC31" s="55" t="str">
        <f t="shared" si="20"/>
        <v/>
      </c>
      <c r="AD31" s="55" t="str">
        <f t="shared" si="20"/>
        <v/>
      </c>
      <c r="AE31" s="55" t="str">
        <f t="shared" si="20"/>
        <v/>
      </c>
      <c r="AF31" s="55" t="str">
        <f t="shared" si="20"/>
        <v/>
      </c>
      <c r="AG31" s="55" t="str">
        <f t="shared" si="20"/>
        <v/>
      </c>
      <c r="AH31" s="55" t="str">
        <f t="shared" si="20"/>
        <v/>
      </c>
      <c r="AI31" s="55" t="str">
        <f t="shared" si="20"/>
        <v/>
      </c>
      <c r="AJ31" s="55" t="str">
        <f t="shared" si="20"/>
        <v/>
      </c>
      <c r="AK31" s="55" t="str">
        <f t="shared" si="20"/>
        <v/>
      </c>
      <c r="AL31" s="55" t="str">
        <f t="shared" si="20"/>
        <v/>
      </c>
      <c r="AM31" s="55" t="str">
        <f t="shared" si="20"/>
        <v/>
      </c>
      <c r="AN31" s="55" t="str">
        <f t="shared" si="20"/>
        <v/>
      </c>
      <c r="AO31" s="55" t="str">
        <f t="shared" si="18"/>
        <v/>
      </c>
      <c r="AP31" s="55" t="str">
        <f t="shared" si="18"/>
        <v/>
      </c>
      <c r="AQ31" s="55" t="str">
        <f t="shared" si="18"/>
        <v/>
      </c>
      <c r="AR31" s="55" t="str">
        <f t="shared" si="18"/>
        <v/>
      </c>
      <c r="AS31" s="55" t="str">
        <f t="shared" si="18"/>
        <v/>
      </c>
      <c r="AT31" s="55" t="str">
        <f t="shared" si="18"/>
        <v/>
      </c>
      <c r="AU31" s="55" t="str">
        <f t="shared" si="18"/>
        <v/>
      </c>
      <c r="AV31" s="55" t="str">
        <f t="shared" si="18"/>
        <v/>
      </c>
      <c r="AW31" s="55" t="str">
        <f t="shared" si="18"/>
        <v/>
      </c>
      <c r="AX31" s="55" t="str">
        <f t="shared" si="18"/>
        <v/>
      </c>
      <c r="AY31" s="55" t="str">
        <f t="shared" si="18"/>
        <v/>
      </c>
      <c r="AZ31" s="55" t="str">
        <f t="shared" si="18"/>
        <v/>
      </c>
      <c r="BA31" s="55" t="str">
        <f t="shared" si="18"/>
        <v/>
      </c>
      <c r="BB31" s="55" t="str">
        <f t="shared" si="18"/>
        <v/>
      </c>
      <c r="BC31" s="55" t="str">
        <f t="shared" si="18"/>
        <v/>
      </c>
      <c r="BD31" s="55" t="str">
        <f t="shared" ref="BD31:CL32" si="22">IF($B31=BD$12,$U31,"")</f>
        <v/>
      </c>
      <c r="BE31" s="55" t="str">
        <f t="shared" si="22"/>
        <v/>
      </c>
      <c r="BF31" s="55" t="str">
        <f t="shared" si="22"/>
        <v/>
      </c>
      <c r="BG31" s="55" t="str">
        <f t="shared" si="22"/>
        <v/>
      </c>
      <c r="BH31" s="55" t="str">
        <f t="shared" si="22"/>
        <v/>
      </c>
      <c r="BI31" s="55" t="str">
        <f t="shared" si="22"/>
        <v/>
      </c>
      <c r="BJ31" s="55" t="str">
        <f t="shared" si="22"/>
        <v/>
      </c>
      <c r="BK31" s="55" t="str">
        <f t="shared" si="22"/>
        <v/>
      </c>
      <c r="BL31" s="55" t="str">
        <f t="shared" si="22"/>
        <v/>
      </c>
      <c r="BM31" s="55" t="str">
        <f t="shared" si="22"/>
        <v/>
      </c>
      <c r="BN31" s="55" t="str">
        <f t="shared" si="22"/>
        <v/>
      </c>
      <c r="BO31" s="55" t="str">
        <f t="shared" si="22"/>
        <v/>
      </c>
      <c r="BP31" s="55" t="str">
        <f t="shared" si="22"/>
        <v/>
      </c>
      <c r="BQ31" s="55" t="str">
        <f t="shared" si="22"/>
        <v/>
      </c>
      <c r="BR31" s="55" t="str">
        <f t="shared" si="22"/>
        <v/>
      </c>
      <c r="BS31" s="55" t="str">
        <f t="shared" si="22"/>
        <v/>
      </c>
      <c r="BT31" s="55" t="str">
        <f t="shared" si="22"/>
        <v/>
      </c>
      <c r="BU31" s="55" t="str">
        <f t="shared" si="22"/>
        <v/>
      </c>
      <c r="BV31" s="55" t="str">
        <f t="shared" si="22"/>
        <v/>
      </c>
      <c r="BW31" s="55" t="str">
        <f t="shared" si="22"/>
        <v/>
      </c>
      <c r="BX31" s="55" t="str">
        <f t="shared" si="22"/>
        <v/>
      </c>
      <c r="BY31" s="55" t="str">
        <f t="shared" si="22"/>
        <v/>
      </c>
      <c r="BZ31" s="55" t="str">
        <f t="shared" si="22"/>
        <v/>
      </c>
      <c r="CA31" s="55" t="str">
        <f t="shared" si="22"/>
        <v/>
      </c>
      <c r="CB31" s="55" t="str">
        <f t="shared" si="22"/>
        <v/>
      </c>
      <c r="CC31" s="55" t="str">
        <f t="shared" si="22"/>
        <v/>
      </c>
      <c r="CD31" s="55" t="str">
        <f t="shared" si="22"/>
        <v/>
      </c>
      <c r="CE31" s="55" t="str">
        <f t="shared" si="22"/>
        <v/>
      </c>
      <c r="CF31" s="55" t="str">
        <f t="shared" si="22"/>
        <v/>
      </c>
      <c r="CG31" s="55" t="str">
        <f t="shared" si="22"/>
        <v/>
      </c>
      <c r="CH31" s="55" t="str">
        <f t="shared" si="22"/>
        <v/>
      </c>
      <c r="CI31" s="55" t="str">
        <f t="shared" si="22"/>
        <v/>
      </c>
      <c r="CJ31" s="55" t="str">
        <f t="shared" si="22"/>
        <v/>
      </c>
      <c r="CK31" s="55" t="str">
        <f t="shared" si="22"/>
        <v/>
      </c>
      <c r="CL31" s="55" t="str">
        <f t="shared" si="22"/>
        <v/>
      </c>
      <c r="CM31" s="55" t="str">
        <f t="shared" si="12"/>
        <v/>
      </c>
      <c r="CN31" s="55" t="str">
        <f t="shared" si="12"/>
        <v/>
      </c>
      <c r="CO31" s="55" t="str">
        <f t="shared" si="12"/>
        <v/>
      </c>
      <c r="CP31" s="55" t="str">
        <f t="shared" si="12"/>
        <v/>
      </c>
      <c r="CQ31" s="55" t="str">
        <f t="shared" si="12"/>
        <v/>
      </c>
      <c r="CR31" s="55" t="str">
        <f t="shared" si="12"/>
        <v/>
      </c>
      <c r="CS31" s="55" t="str">
        <f t="shared" si="12"/>
        <v/>
      </c>
      <c r="CT31" s="55" t="str">
        <f t="shared" si="12"/>
        <v/>
      </c>
      <c r="CU31" s="55" t="str">
        <f t="shared" si="12"/>
        <v/>
      </c>
      <c r="CV31" s="55" t="str">
        <f t="shared" si="12"/>
        <v/>
      </c>
      <c r="CW31" s="55" t="str">
        <f t="shared" si="12"/>
        <v/>
      </c>
      <c r="CX31" s="55" t="str">
        <f t="shared" si="12"/>
        <v/>
      </c>
      <c r="CY31" s="55" t="str">
        <f t="shared" si="12"/>
        <v/>
      </c>
      <c r="CZ31" s="55" t="str">
        <f t="shared" si="12"/>
        <v/>
      </c>
      <c r="DA31" s="55" t="str">
        <f t="shared" si="13"/>
        <v/>
      </c>
      <c r="DB31" s="55" t="str">
        <f t="shared" si="13"/>
        <v/>
      </c>
      <c r="DC31" s="55" t="str">
        <f t="shared" si="13"/>
        <v/>
      </c>
      <c r="DD31" s="55" t="str">
        <f t="shared" si="13"/>
        <v/>
      </c>
      <c r="DE31" s="55" t="str">
        <f t="shared" si="13"/>
        <v/>
      </c>
      <c r="DF31" s="55" t="str">
        <f t="shared" si="13"/>
        <v/>
      </c>
      <c r="DG31" s="55" t="str">
        <f t="shared" si="13"/>
        <v/>
      </c>
      <c r="DH31" s="55" t="str">
        <f t="shared" si="13"/>
        <v/>
      </c>
      <c r="DI31" s="55" t="str">
        <f t="shared" si="13"/>
        <v/>
      </c>
      <c r="DJ31" s="55" t="str">
        <f t="shared" si="13"/>
        <v/>
      </c>
      <c r="DK31" s="55" t="str">
        <f t="shared" si="13"/>
        <v/>
      </c>
      <c r="DL31" s="55" t="str">
        <f t="shared" si="13"/>
        <v/>
      </c>
      <c r="DM31" s="55" t="str">
        <f t="shared" si="13"/>
        <v/>
      </c>
      <c r="DN31" s="55" t="str">
        <f t="shared" si="13"/>
        <v/>
      </c>
      <c r="DO31" s="55" t="str">
        <f t="shared" si="13"/>
        <v/>
      </c>
      <c r="DP31" s="55" t="str">
        <f t="shared" si="13"/>
        <v/>
      </c>
      <c r="DQ31" s="55" t="str">
        <f t="shared" si="13"/>
        <v/>
      </c>
      <c r="DR31" s="55" t="str">
        <f t="shared" si="13"/>
        <v/>
      </c>
      <c r="DS31" s="55" t="str">
        <f t="shared" si="13"/>
        <v/>
      </c>
      <c r="DT31" s="106" t="str">
        <f t="shared" si="13"/>
        <v/>
      </c>
      <c r="DU31" s="54"/>
      <c r="DV31" s="25"/>
      <c r="DW31" s="61" t="str">
        <f t="shared" si="21"/>
        <v/>
      </c>
      <c r="DX31" s="50" t="str">
        <f t="shared" si="21"/>
        <v/>
      </c>
      <c r="DY31" s="50" t="str">
        <f t="shared" si="21"/>
        <v/>
      </c>
      <c r="DZ31" s="50" t="str">
        <f t="shared" si="21"/>
        <v/>
      </c>
      <c r="EA31" s="50" t="str">
        <f t="shared" si="21"/>
        <v/>
      </c>
      <c r="EB31" s="50" t="str">
        <f t="shared" si="21"/>
        <v/>
      </c>
      <c r="EC31" s="50" t="str">
        <f t="shared" si="21"/>
        <v/>
      </c>
      <c r="ED31" s="50" t="str">
        <f t="shared" si="21"/>
        <v/>
      </c>
      <c r="EE31" s="50" t="str">
        <f t="shared" si="21"/>
        <v/>
      </c>
      <c r="EF31" s="50" t="str">
        <f t="shared" si="21"/>
        <v/>
      </c>
      <c r="EG31" s="50" t="str">
        <f t="shared" si="21"/>
        <v/>
      </c>
      <c r="EH31" s="50" t="str">
        <f t="shared" si="21"/>
        <v/>
      </c>
      <c r="EI31" s="50" t="str">
        <f t="shared" si="21"/>
        <v/>
      </c>
      <c r="EJ31" s="50" t="str">
        <f t="shared" si="21"/>
        <v/>
      </c>
      <c r="EK31" s="50" t="str">
        <f t="shared" si="21"/>
        <v/>
      </c>
      <c r="EL31" s="50" t="str">
        <f t="shared" si="21"/>
        <v/>
      </c>
      <c r="EM31" s="50" t="str">
        <f t="shared" si="19"/>
        <v/>
      </c>
      <c r="EN31" s="50" t="str">
        <f t="shared" si="19"/>
        <v/>
      </c>
      <c r="EO31" s="50" t="str">
        <f t="shared" si="19"/>
        <v/>
      </c>
      <c r="EP31" s="50" t="str">
        <f t="shared" si="19"/>
        <v/>
      </c>
      <c r="EQ31" s="50" t="str">
        <f t="shared" si="19"/>
        <v/>
      </c>
      <c r="ER31" s="50" t="str">
        <f t="shared" si="19"/>
        <v/>
      </c>
      <c r="ES31" s="50" t="str">
        <f t="shared" si="19"/>
        <v/>
      </c>
      <c r="ET31" s="50" t="str">
        <f t="shared" si="19"/>
        <v/>
      </c>
      <c r="EU31" s="50" t="str">
        <f t="shared" si="19"/>
        <v/>
      </c>
      <c r="EV31" s="50" t="str">
        <f t="shared" si="19"/>
        <v/>
      </c>
      <c r="EW31" s="50" t="str">
        <f t="shared" si="19"/>
        <v/>
      </c>
      <c r="EX31" s="50" t="str">
        <f t="shared" si="19"/>
        <v/>
      </c>
      <c r="EY31" s="50" t="str">
        <f t="shared" si="19"/>
        <v/>
      </c>
      <c r="EZ31" s="50" t="str">
        <f t="shared" si="19"/>
        <v/>
      </c>
      <c r="FA31" s="50" t="str">
        <f t="shared" si="19"/>
        <v/>
      </c>
      <c r="FB31" s="50" t="str">
        <f t="shared" ref="FB31:GJ32" si="23">IF($B31=FB$12,$O31,"")</f>
        <v/>
      </c>
      <c r="FC31" s="50" t="str">
        <f t="shared" si="23"/>
        <v/>
      </c>
      <c r="FD31" s="50" t="str">
        <f t="shared" si="23"/>
        <v/>
      </c>
      <c r="FE31" s="50" t="str">
        <f t="shared" si="23"/>
        <v/>
      </c>
      <c r="FF31" s="50" t="str">
        <f t="shared" si="23"/>
        <v/>
      </c>
      <c r="FG31" s="50" t="str">
        <f t="shared" si="23"/>
        <v/>
      </c>
      <c r="FH31" s="50" t="str">
        <f t="shared" si="23"/>
        <v/>
      </c>
      <c r="FI31" s="50" t="str">
        <f t="shared" si="23"/>
        <v/>
      </c>
      <c r="FJ31" s="50" t="str">
        <f t="shared" si="23"/>
        <v/>
      </c>
      <c r="FK31" s="50" t="str">
        <f t="shared" si="23"/>
        <v/>
      </c>
      <c r="FL31" s="50" t="str">
        <f t="shared" si="23"/>
        <v/>
      </c>
      <c r="FM31" s="50" t="str">
        <f t="shared" si="23"/>
        <v/>
      </c>
      <c r="FN31" s="50" t="str">
        <f t="shared" si="23"/>
        <v/>
      </c>
      <c r="FO31" s="50" t="str">
        <f t="shared" si="23"/>
        <v/>
      </c>
      <c r="FP31" s="50" t="str">
        <f t="shared" si="23"/>
        <v/>
      </c>
      <c r="FQ31" s="50" t="str">
        <f t="shared" si="23"/>
        <v/>
      </c>
      <c r="FR31" s="50" t="str">
        <f t="shared" si="23"/>
        <v/>
      </c>
      <c r="FS31" s="50" t="str">
        <f t="shared" si="23"/>
        <v/>
      </c>
      <c r="FT31" s="50" t="str">
        <f t="shared" si="23"/>
        <v/>
      </c>
      <c r="FU31" s="50" t="str">
        <f t="shared" si="23"/>
        <v/>
      </c>
      <c r="FV31" s="50" t="str">
        <f t="shared" si="23"/>
        <v/>
      </c>
      <c r="FW31" s="50" t="str">
        <f t="shared" si="23"/>
        <v/>
      </c>
      <c r="FX31" s="50" t="str">
        <f t="shared" si="23"/>
        <v/>
      </c>
      <c r="FY31" s="50" t="str">
        <f t="shared" si="23"/>
        <v/>
      </c>
      <c r="FZ31" s="50" t="str">
        <f t="shared" si="23"/>
        <v/>
      </c>
      <c r="GA31" s="50" t="str">
        <f t="shared" si="23"/>
        <v/>
      </c>
      <c r="GB31" s="50" t="str">
        <f t="shared" si="23"/>
        <v/>
      </c>
      <c r="GC31" s="50" t="str">
        <f t="shared" si="23"/>
        <v/>
      </c>
      <c r="GD31" s="50" t="str">
        <f t="shared" si="23"/>
        <v/>
      </c>
      <c r="GE31" s="50" t="str">
        <f t="shared" si="23"/>
        <v/>
      </c>
      <c r="GF31" s="50" t="str">
        <f t="shared" si="23"/>
        <v/>
      </c>
      <c r="GG31" s="50" t="str">
        <f t="shared" si="23"/>
        <v/>
      </c>
      <c r="GH31" s="50" t="str">
        <f t="shared" si="23"/>
        <v/>
      </c>
      <c r="GI31" s="50" t="str">
        <f t="shared" si="23"/>
        <v/>
      </c>
      <c r="GJ31" s="50" t="str">
        <f t="shared" si="23"/>
        <v/>
      </c>
      <c r="GK31" s="50" t="str">
        <f t="shared" si="14"/>
        <v/>
      </c>
      <c r="GL31" s="50" t="str">
        <f t="shared" si="14"/>
        <v/>
      </c>
      <c r="GM31" s="50" t="str">
        <f t="shared" si="14"/>
        <v/>
      </c>
      <c r="GN31" s="50" t="str">
        <f t="shared" si="14"/>
        <v/>
      </c>
      <c r="GO31" s="50" t="str">
        <f t="shared" si="14"/>
        <v/>
      </c>
      <c r="GP31" s="50" t="str">
        <f t="shared" si="14"/>
        <v/>
      </c>
      <c r="GQ31" s="50" t="str">
        <f t="shared" si="14"/>
        <v/>
      </c>
      <c r="GR31" s="50" t="str">
        <f t="shared" si="14"/>
        <v/>
      </c>
      <c r="GS31" s="50" t="str">
        <f t="shared" si="14"/>
        <v/>
      </c>
      <c r="GT31" s="50" t="str">
        <f t="shared" si="14"/>
        <v/>
      </c>
      <c r="GU31" s="50" t="str">
        <f t="shared" si="14"/>
        <v/>
      </c>
      <c r="GV31" s="50" t="str">
        <f t="shared" si="14"/>
        <v/>
      </c>
      <c r="GW31" s="50" t="str">
        <f t="shared" si="14"/>
        <v/>
      </c>
      <c r="GX31" s="50" t="str">
        <f t="shared" si="14"/>
        <v/>
      </c>
      <c r="GY31" s="50" t="str">
        <f t="shared" si="15"/>
        <v/>
      </c>
      <c r="GZ31" s="50" t="str">
        <f t="shared" si="15"/>
        <v/>
      </c>
      <c r="HA31" s="50" t="str">
        <f t="shared" si="15"/>
        <v/>
      </c>
      <c r="HB31" s="50" t="str">
        <f t="shared" si="15"/>
        <v/>
      </c>
      <c r="HC31" s="50" t="str">
        <f t="shared" si="15"/>
        <v/>
      </c>
      <c r="HD31" s="50" t="str">
        <f t="shared" si="15"/>
        <v/>
      </c>
      <c r="HE31" s="50" t="str">
        <f t="shared" si="15"/>
        <v/>
      </c>
      <c r="HF31" s="50" t="str">
        <f t="shared" si="15"/>
        <v/>
      </c>
      <c r="HG31" s="50" t="str">
        <f t="shared" si="15"/>
        <v/>
      </c>
      <c r="HH31" s="50" t="str">
        <f t="shared" si="15"/>
        <v/>
      </c>
      <c r="HI31" s="50" t="str">
        <f t="shared" si="15"/>
        <v/>
      </c>
      <c r="HJ31" s="50" t="str">
        <f t="shared" si="15"/>
        <v/>
      </c>
      <c r="HK31" s="50" t="str">
        <f t="shared" si="15"/>
        <v/>
      </c>
      <c r="HL31" s="50" t="str">
        <f t="shared" si="15"/>
        <v/>
      </c>
      <c r="HM31" s="50" t="str">
        <f t="shared" si="15"/>
        <v/>
      </c>
      <c r="HN31" s="50" t="str">
        <f t="shared" si="15"/>
        <v/>
      </c>
      <c r="HO31" s="50" t="str">
        <f t="shared" si="15"/>
        <v/>
      </c>
      <c r="HP31" s="50" t="str">
        <f t="shared" si="15"/>
        <v/>
      </c>
      <c r="HQ31" s="50" t="str">
        <f t="shared" si="15"/>
        <v/>
      </c>
      <c r="HR31" s="112" t="str">
        <f t="shared" si="15"/>
        <v/>
      </c>
    </row>
    <row r="32" spans="1:226" ht="11.1" customHeight="1" x14ac:dyDescent="0.25">
      <c r="A32" s="26"/>
      <c r="B32" s="145"/>
      <c r="C32" s="28" t="str">
        <f>IF(A32=0,"",VLOOKUP(A32,[2]CO!$A$3:$F$5327,2,0))</f>
        <v/>
      </c>
      <c r="D32" s="149" t="s">
        <v>43</v>
      </c>
      <c r="E32" s="29"/>
      <c r="F32" s="29"/>
      <c r="G32" s="30" t="str">
        <f>IF(A32=0,"",VLOOKUP(A32,[2]CO!$A$3:$F$5327,3,0))</f>
        <v/>
      </c>
      <c r="H32" s="142"/>
      <c r="I32" s="143"/>
      <c r="J32" s="143"/>
      <c r="K32" s="143"/>
      <c r="L32" s="143"/>
      <c r="M32" s="32" t="str">
        <f t="shared" si="0"/>
        <v/>
      </c>
      <c r="N32" s="32" t="str">
        <f>IF(B32=0,"",IF(H32="M",HLOOKUP(B32,$Y$12:$DT$13,2),IF(A32=0,"",VLOOKUP(A32,[2]CO!$A$3:$F$5327,4,0))))</f>
        <v/>
      </c>
      <c r="O32" s="32" t="str">
        <f t="shared" si="7"/>
        <v/>
      </c>
      <c r="P32" s="33"/>
      <c r="Q32" s="34" t="str">
        <f t="shared" si="1"/>
        <v/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RESIDENTE"),VLOOKUP(B32,P$14:Q$77,2),"")*S32)</f>
        <v/>
      </c>
      <c r="T32" s="53" t="str">
        <f>IF(A32=0,"",VLOOKUP(A32,[2]CO!$A$3:$F$5318,5,0))</f>
        <v/>
      </c>
      <c r="U32" s="54">
        <f t="shared" si="2"/>
        <v>0</v>
      </c>
      <c r="V32" s="24"/>
      <c r="W32" s="25"/>
      <c r="X32" s="25"/>
      <c r="Y32" s="64" t="str">
        <f t="shared" si="20"/>
        <v/>
      </c>
      <c r="Z32" s="55" t="str">
        <f t="shared" si="20"/>
        <v/>
      </c>
      <c r="AA32" s="55" t="str">
        <f t="shared" si="20"/>
        <v/>
      </c>
      <c r="AB32" s="55" t="str">
        <f t="shared" si="20"/>
        <v/>
      </c>
      <c r="AC32" s="55" t="str">
        <f t="shared" si="20"/>
        <v/>
      </c>
      <c r="AD32" s="55" t="str">
        <f t="shared" si="20"/>
        <v/>
      </c>
      <c r="AE32" s="55" t="str">
        <f t="shared" si="20"/>
        <v/>
      </c>
      <c r="AF32" s="55" t="str">
        <f t="shared" si="20"/>
        <v/>
      </c>
      <c r="AG32" s="55" t="str">
        <f t="shared" si="20"/>
        <v/>
      </c>
      <c r="AH32" s="55" t="str">
        <f t="shared" si="20"/>
        <v/>
      </c>
      <c r="AI32" s="55" t="str">
        <f t="shared" si="20"/>
        <v/>
      </c>
      <c r="AJ32" s="55" t="str">
        <f t="shared" si="20"/>
        <v/>
      </c>
      <c r="AK32" s="55" t="str">
        <f t="shared" si="20"/>
        <v/>
      </c>
      <c r="AL32" s="55" t="str">
        <f t="shared" si="20"/>
        <v/>
      </c>
      <c r="AM32" s="55" t="str">
        <f t="shared" si="20"/>
        <v/>
      </c>
      <c r="AN32" s="55" t="str">
        <f t="shared" si="20"/>
        <v/>
      </c>
      <c r="AO32" s="55" t="str">
        <f t="shared" si="20"/>
        <v/>
      </c>
      <c r="AP32" s="55" t="str">
        <f t="shared" si="20"/>
        <v/>
      </c>
      <c r="AQ32" s="55" t="str">
        <f t="shared" si="20"/>
        <v/>
      </c>
      <c r="AR32" s="55" t="str">
        <f t="shared" si="20"/>
        <v/>
      </c>
      <c r="AS32" s="55" t="str">
        <f t="shared" si="20"/>
        <v/>
      </c>
      <c r="AT32" s="55" t="str">
        <f t="shared" si="20"/>
        <v/>
      </c>
      <c r="AU32" s="55" t="str">
        <f t="shared" si="20"/>
        <v/>
      </c>
      <c r="AV32" s="55" t="str">
        <f t="shared" si="20"/>
        <v/>
      </c>
      <c r="AW32" s="55" t="str">
        <f t="shared" si="20"/>
        <v/>
      </c>
      <c r="AX32" s="55" t="str">
        <f t="shared" si="20"/>
        <v/>
      </c>
      <c r="AY32" s="55" t="str">
        <f t="shared" si="20"/>
        <v/>
      </c>
      <c r="AZ32" s="55" t="str">
        <f t="shared" si="20"/>
        <v/>
      </c>
      <c r="BA32" s="55" t="str">
        <f t="shared" si="20"/>
        <v/>
      </c>
      <c r="BB32" s="55" t="str">
        <f t="shared" si="20"/>
        <v/>
      </c>
      <c r="BC32" s="55" t="str">
        <f t="shared" si="20"/>
        <v/>
      </c>
      <c r="BD32" s="55" t="str">
        <f t="shared" si="20"/>
        <v/>
      </c>
      <c r="BE32" s="55" t="str">
        <f t="shared" si="20"/>
        <v/>
      </c>
      <c r="BF32" s="55" t="str">
        <f t="shared" si="20"/>
        <v/>
      </c>
      <c r="BG32" s="55" t="str">
        <f t="shared" si="20"/>
        <v/>
      </c>
      <c r="BH32" s="55" t="str">
        <f t="shared" si="20"/>
        <v/>
      </c>
      <c r="BI32" s="55" t="str">
        <f t="shared" si="20"/>
        <v/>
      </c>
      <c r="BJ32" s="55" t="str">
        <f t="shared" si="20"/>
        <v/>
      </c>
      <c r="BK32" s="55" t="str">
        <f t="shared" si="20"/>
        <v/>
      </c>
      <c r="BL32" s="55" t="str">
        <f t="shared" si="20"/>
        <v/>
      </c>
      <c r="BM32" s="55" t="str">
        <f t="shared" si="20"/>
        <v/>
      </c>
      <c r="BN32" s="55" t="str">
        <f t="shared" si="20"/>
        <v/>
      </c>
      <c r="BO32" s="55" t="str">
        <f t="shared" si="20"/>
        <v/>
      </c>
      <c r="BP32" s="55" t="str">
        <f t="shared" si="20"/>
        <v/>
      </c>
      <c r="BQ32" s="55" t="str">
        <f t="shared" si="20"/>
        <v/>
      </c>
      <c r="BR32" s="55" t="str">
        <f t="shared" si="20"/>
        <v/>
      </c>
      <c r="BS32" s="55" t="str">
        <f t="shared" si="20"/>
        <v/>
      </c>
      <c r="BT32" s="55" t="str">
        <f t="shared" si="20"/>
        <v/>
      </c>
      <c r="BU32" s="55" t="str">
        <f t="shared" si="20"/>
        <v/>
      </c>
      <c r="BV32" s="55" t="str">
        <f t="shared" si="20"/>
        <v/>
      </c>
      <c r="BW32" s="55" t="str">
        <f t="shared" si="20"/>
        <v/>
      </c>
      <c r="BX32" s="55" t="str">
        <f t="shared" si="20"/>
        <v/>
      </c>
      <c r="BY32" s="55" t="str">
        <f t="shared" si="20"/>
        <v/>
      </c>
      <c r="BZ32" s="55" t="str">
        <f t="shared" si="20"/>
        <v/>
      </c>
      <c r="CA32" s="55" t="str">
        <f t="shared" si="20"/>
        <v/>
      </c>
      <c r="CB32" s="55" t="str">
        <f t="shared" si="20"/>
        <v/>
      </c>
      <c r="CC32" s="55" t="str">
        <f t="shared" si="20"/>
        <v/>
      </c>
      <c r="CD32" s="55" t="str">
        <f t="shared" si="20"/>
        <v/>
      </c>
      <c r="CE32" s="55" t="str">
        <f t="shared" si="20"/>
        <v/>
      </c>
      <c r="CF32" s="55" t="str">
        <f t="shared" si="20"/>
        <v/>
      </c>
      <c r="CG32" s="55" t="str">
        <f t="shared" si="20"/>
        <v/>
      </c>
      <c r="CH32" s="55" t="str">
        <f t="shared" si="20"/>
        <v/>
      </c>
      <c r="CI32" s="55" t="str">
        <f t="shared" si="20"/>
        <v/>
      </c>
      <c r="CJ32" s="55" t="str">
        <f t="shared" si="22"/>
        <v/>
      </c>
      <c r="CK32" s="55" t="str">
        <f t="shared" si="22"/>
        <v/>
      </c>
      <c r="CL32" s="55" t="str">
        <f t="shared" si="22"/>
        <v/>
      </c>
      <c r="CM32" s="55" t="str">
        <f t="shared" si="12"/>
        <v/>
      </c>
      <c r="CN32" s="55" t="str">
        <f t="shared" si="12"/>
        <v/>
      </c>
      <c r="CO32" s="55" t="str">
        <f t="shared" si="12"/>
        <v/>
      </c>
      <c r="CP32" s="55" t="str">
        <f t="shared" si="12"/>
        <v/>
      </c>
      <c r="CQ32" s="55" t="str">
        <f t="shared" si="12"/>
        <v/>
      </c>
      <c r="CR32" s="55" t="str">
        <f t="shared" si="12"/>
        <v/>
      </c>
      <c r="CS32" s="55" t="str">
        <f t="shared" si="12"/>
        <v/>
      </c>
      <c r="CT32" s="55" t="str">
        <f t="shared" si="12"/>
        <v/>
      </c>
      <c r="CU32" s="55" t="str">
        <f t="shared" si="12"/>
        <v/>
      </c>
      <c r="CV32" s="55" t="str">
        <f t="shared" si="12"/>
        <v/>
      </c>
      <c r="CW32" s="55" t="str">
        <f t="shared" si="12"/>
        <v/>
      </c>
      <c r="CX32" s="55" t="str">
        <f t="shared" si="12"/>
        <v/>
      </c>
      <c r="CY32" s="55" t="str">
        <f t="shared" si="12"/>
        <v/>
      </c>
      <c r="CZ32" s="55" t="str">
        <f t="shared" si="13"/>
        <v/>
      </c>
      <c r="DA32" s="55" t="str">
        <f t="shared" si="13"/>
        <v/>
      </c>
      <c r="DB32" s="55" t="str">
        <f t="shared" si="13"/>
        <v/>
      </c>
      <c r="DC32" s="55" t="str">
        <f t="shared" si="13"/>
        <v/>
      </c>
      <c r="DD32" s="55" t="str">
        <f t="shared" si="13"/>
        <v/>
      </c>
      <c r="DE32" s="55" t="str">
        <f t="shared" si="13"/>
        <v/>
      </c>
      <c r="DF32" s="55" t="str">
        <f t="shared" si="13"/>
        <v/>
      </c>
      <c r="DG32" s="55" t="str">
        <f t="shared" si="13"/>
        <v/>
      </c>
      <c r="DH32" s="55" t="str">
        <f t="shared" si="13"/>
        <v/>
      </c>
      <c r="DI32" s="55" t="str">
        <f t="shared" si="13"/>
        <v/>
      </c>
      <c r="DJ32" s="55" t="str">
        <f t="shared" si="13"/>
        <v/>
      </c>
      <c r="DK32" s="55" t="str">
        <f t="shared" si="13"/>
        <v/>
      </c>
      <c r="DL32" s="55" t="str">
        <f t="shared" si="13"/>
        <v/>
      </c>
      <c r="DM32" s="55" t="str">
        <f t="shared" si="13"/>
        <v/>
      </c>
      <c r="DN32" s="55" t="str">
        <f t="shared" si="13"/>
        <v/>
      </c>
      <c r="DO32" s="55" t="str">
        <f t="shared" si="13"/>
        <v/>
      </c>
      <c r="DP32" s="55" t="str">
        <f t="shared" si="13"/>
        <v/>
      </c>
      <c r="DQ32" s="55" t="str">
        <f t="shared" si="13"/>
        <v/>
      </c>
      <c r="DR32" s="55" t="str">
        <f t="shared" si="13"/>
        <v/>
      </c>
      <c r="DS32" s="55" t="str">
        <f t="shared" si="13"/>
        <v/>
      </c>
      <c r="DT32" s="106" t="str">
        <f t="shared" si="13"/>
        <v/>
      </c>
      <c r="DU32" s="54"/>
      <c r="DV32" s="25"/>
      <c r="DW32" s="61" t="str">
        <f t="shared" si="21"/>
        <v/>
      </c>
      <c r="DX32" s="50" t="str">
        <f t="shared" si="21"/>
        <v/>
      </c>
      <c r="DY32" s="50" t="str">
        <f t="shared" si="21"/>
        <v/>
      </c>
      <c r="DZ32" s="50" t="str">
        <f t="shared" si="21"/>
        <v/>
      </c>
      <c r="EA32" s="50" t="str">
        <f t="shared" si="21"/>
        <v/>
      </c>
      <c r="EB32" s="50" t="str">
        <f t="shared" si="21"/>
        <v/>
      </c>
      <c r="EC32" s="50" t="str">
        <f t="shared" si="21"/>
        <v/>
      </c>
      <c r="ED32" s="50" t="str">
        <f t="shared" si="21"/>
        <v/>
      </c>
      <c r="EE32" s="50" t="str">
        <f t="shared" si="21"/>
        <v/>
      </c>
      <c r="EF32" s="50" t="str">
        <f t="shared" si="21"/>
        <v/>
      </c>
      <c r="EG32" s="50" t="str">
        <f t="shared" si="21"/>
        <v/>
      </c>
      <c r="EH32" s="50" t="str">
        <f t="shared" si="21"/>
        <v/>
      </c>
      <c r="EI32" s="50" t="str">
        <f t="shared" si="21"/>
        <v/>
      </c>
      <c r="EJ32" s="50" t="str">
        <f t="shared" si="21"/>
        <v/>
      </c>
      <c r="EK32" s="50" t="str">
        <f t="shared" si="21"/>
        <v/>
      </c>
      <c r="EL32" s="50" t="str">
        <f t="shared" si="21"/>
        <v/>
      </c>
      <c r="EM32" s="50" t="str">
        <f t="shared" si="21"/>
        <v/>
      </c>
      <c r="EN32" s="50" t="str">
        <f t="shared" si="21"/>
        <v/>
      </c>
      <c r="EO32" s="50" t="str">
        <f t="shared" si="21"/>
        <v/>
      </c>
      <c r="EP32" s="50" t="str">
        <f t="shared" si="21"/>
        <v/>
      </c>
      <c r="EQ32" s="50" t="str">
        <f t="shared" si="21"/>
        <v/>
      </c>
      <c r="ER32" s="50" t="str">
        <f t="shared" si="21"/>
        <v/>
      </c>
      <c r="ES32" s="50" t="str">
        <f t="shared" si="21"/>
        <v/>
      </c>
      <c r="ET32" s="50" t="str">
        <f t="shared" si="21"/>
        <v/>
      </c>
      <c r="EU32" s="50" t="str">
        <f t="shared" si="21"/>
        <v/>
      </c>
      <c r="EV32" s="50" t="str">
        <f t="shared" si="21"/>
        <v/>
      </c>
      <c r="EW32" s="50" t="str">
        <f t="shared" si="21"/>
        <v/>
      </c>
      <c r="EX32" s="50" t="str">
        <f t="shared" si="21"/>
        <v/>
      </c>
      <c r="EY32" s="50" t="str">
        <f t="shared" si="21"/>
        <v/>
      </c>
      <c r="EZ32" s="50" t="str">
        <f t="shared" si="21"/>
        <v/>
      </c>
      <c r="FA32" s="50" t="str">
        <f t="shared" si="21"/>
        <v/>
      </c>
      <c r="FB32" s="50" t="str">
        <f t="shared" si="21"/>
        <v/>
      </c>
      <c r="FC32" s="50" t="str">
        <f t="shared" si="21"/>
        <v/>
      </c>
      <c r="FD32" s="50" t="str">
        <f t="shared" si="21"/>
        <v/>
      </c>
      <c r="FE32" s="50" t="str">
        <f t="shared" si="21"/>
        <v/>
      </c>
      <c r="FF32" s="50" t="str">
        <f t="shared" si="21"/>
        <v/>
      </c>
      <c r="FG32" s="50" t="str">
        <f t="shared" si="21"/>
        <v/>
      </c>
      <c r="FH32" s="50" t="str">
        <f t="shared" si="21"/>
        <v/>
      </c>
      <c r="FI32" s="50" t="str">
        <f t="shared" si="21"/>
        <v/>
      </c>
      <c r="FJ32" s="50" t="str">
        <f t="shared" si="21"/>
        <v/>
      </c>
      <c r="FK32" s="50" t="str">
        <f t="shared" si="21"/>
        <v/>
      </c>
      <c r="FL32" s="50" t="str">
        <f t="shared" si="21"/>
        <v/>
      </c>
      <c r="FM32" s="50" t="str">
        <f t="shared" si="21"/>
        <v/>
      </c>
      <c r="FN32" s="50" t="str">
        <f t="shared" si="21"/>
        <v/>
      </c>
      <c r="FO32" s="50" t="str">
        <f t="shared" si="21"/>
        <v/>
      </c>
      <c r="FP32" s="50" t="str">
        <f t="shared" si="21"/>
        <v/>
      </c>
      <c r="FQ32" s="50" t="str">
        <f t="shared" si="21"/>
        <v/>
      </c>
      <c r="FR32" s="50" t="str">
        <f t="shared" si="21"/>
        <v/>
      </c>
      <c r="FS32" s="50" t="str">
        <f t="shared" si="21"/>
        <v/>
      </c>
      <c r="FT32" s="50" t="str">
        <f t="shared" si="21"/>
        <v/>
      </c>
      <c r="FU32" s="50" t="str">
        <f t="shared" si="21"/>
        <v/>
      </c>
      <c r="FV32" s="50" t="str">
        <f t="shared" si="21"/>
        <v/>
      </c>
      <c r="FW32" s="50" t="str">
        <f t="shared" si="21"/>
        <v/>
      </c>
      <c r="FX32" s="50" t="str">
        <f t="shared" si="21"/>
        <v/>
      </c>
      <c r="FY32" s="50" t="str">
        <f t="shared" si="21"/>
        <v/>
      </c>
      <c r="FZ32" s="50" t="str">
        <f t="shared" si="21"/>
        <v/>
      </c>
      <c r="GA32" s="50" t="str">
        <f t="shared" si="21"/>
        <v/>
      </c>
      <c r="GB32" s="50" t="str">
        <f t="shared" si="21"/>
        <v/>
      </c>
      <c r="GC32" s="50" t="str">
        <f t="shared" si="21"/>
        <v/>
      </c>
      <c r="GD32" s="50" t="str">
        <f t="shared" si="21"/>
        <v/>
      </c>
      <c r="GE32" s="50" t="str">
        <f t="shared" si="21"/>
        <v/>
      </c>
      <c r="GF32" s="50" t="str">
        <f t="shared" si="21"/>
        <v/>
      </c>
      <c r="GG32" s="50" t="str">
        <f t="shared" si="21"/>
        <v/>
      </c>
      <c r="GH32" s="50" t="str">
        <f t="shared" si="23"/>
        <v/>
      </c>
      <c r="GI32" s="50" t="str">
        <f t="shared" si="23"/>
        <v/>
      </c>
      <c r="GJ32" s="50" t="str">
        <f t="shared" si="23"/>
        <v/>
      </c>
      <c r="GK32" s="50" t="str">
        <f t="shared" si="14"/>
        <v/>
      </c>
      <c r="GL32" s="50" t="str">
        <f t="shared" si="14"/>
        <v/>
      </c>
      <c r="GM32" s="50" t="str">
        <f t="shared" si="14"/>
        <v/>
      </c>
      <c r="GN32" s="50" t="str">
        <f t="shared" si="14"/>
        <v/>
      </c>
      <c r="GO32" s="50" t="str">
        <f t="shared" si="14"/>
        <v/>
      </c>
      <c r="GP32" s="50" t="str">
        <f t="shared" si="14"/>
        <v/>
      </c>
      <c r="GQ32" s="50" t="str">
        <f t="shared" si="14"/>
        <v/>
      </c>
      <c r="GR32" s="50" t="str">
        <f t="shared" si="14"/>
        <v/>
      </c>
      <c r="GS32" s="50" t="str">
        <f t="shared" si="14"/>
        <v/>
      </c>
      <c r="GT32" s="50" t="str">
        <f t="shared" si="14"/>
        <v/>
      </c>
      <c r="GU32" s="50" t="str">
        <f t="shared" si="14"/>
        <v/>
      </c>
      <c r="GV32" s="50" t="str">
        <f t="shared" si="14"/>
        <v/>
      </c>
      <c r="GW32" s="50" t="str">
        <f t="shared" si="14"/>
        <v/>
      </c>
      <c r="GX32" s="50" t="str">
        <f t="shared" si="15"/>
        <v/>
      </c>
      <c r="GY32" s="50" t="str">
        <f t="shared" si="15"/>
        <v/>
      </c>
      <c r="GZ32" s="50" t="str">
        <f t="shared" si="15"/>
        <v/>
      </c>
      <c r="HA32" s="50" t="str">
        <f t="shared" si="15"/>
        <v/>
      </c>
      <c r="HB32" s="50" t="str">
        <f t="shared" si="15"/>
        <v/>
      </c>
      <c r="HC32" s="50" t="str">
        <f t="shared" si="15"/>
        <v/>
      </c>
      <c r="HD32" s="50" t="str">
        <f t="shared" si="15"/>
        <v/>
      </c>
      <c r="HE32" s="50" t="str">
        <f t="shared" si="15"/>
        <v/>
      </c>
      <c r="HF32" s="50" t="str">
        <f t="shared" si="15"/>
        <v/>
      </c>
      <c r="HG32" s="50" t="str">
        <f t="shared" si="15"/>
        <v/>
      </c>
      <c r="HH32" s="50" t="str">
        <f t="shared" si="15"/>
        <v/>
      </c>
      <c r="HI32" s="50" t="str">
        <f t="shared" si="15"/>
        <v/>
      </c>
      <c r="HJ32" s="50" t="str">
        <f t="shared" si="15"/>
        <v/>
      </c>
      <c r="HK32" s="50" t="str">
        <f t="shared" si="15"/>
        <v/>
      </c>
      <c r="HL32" s="50" t="str">
        <f t="shared" si="15"/>
        <v/>
      </c>
      <c r="HM32" s="50" t="str">
        <f t="shared" si="15"/>
        <v/>
      </c>
      <c r="HN32" s="50" t="str">
        <f t="shared" si="15"/>
        <v/>
      </c>
      <c r="HO32" s="50" t="str">
        <f t="shared" si="15"/>
        <v/>
      </c>
      <c r="HP32" s="50" t="str">
        <f t="shared" si="15"/>
        <v/>
      </c>
      <c r="HQ32" s="50" t="str">
        <f t="shared" si="15"/>
        <v/>
      </c>
      <c r="HR32" s="112" t="str">
        <f t="shared" si="15"/>
        <v/>
      </c>
    </row>
    <row r="33" spans="1:226" ht="11.1" customHeight="1" x14ac:dyDescent="0.25">
      <c r="A33" s="26"/>
      <c r="B33" s="145"/>
      <c r="C33" s="28" t="str">
        <f>IF(A33=0,"",VLOOKUP(A33,[2]CO!$A$3:$F$5327,2,0))</f>
        <v/>
      </c>
      <c r="D33" s="149" t="s">
        <v>44</v>
      </c>
      <c r="E33" s="29"/>
      <c r="F33" s="29"/>
      <c r="G33" s="30" t="str">
        <f>IF(A33=0,"",VLOOKUP(A33,[2]CO!$A$3:$F$5327,3,0))</f>
        <v/>
      </c>
      <c r="H33" s="142"/>
      <c r="I33" s="143"/>
      <c r="J33" s="143"/>
      <c r="K33" s="143"/>
      <c r="L33" s="143"/>
      <c r="M33" s="32" t="str">
        <f t="shared" si="0"/>
        <v/>
      </c>
      <c r="N33" s="32" t="str">
        <f>IF(B33=0,"",IF(H33="M",HLOOKUP(B33,$Y$12:$DT$13,2),IF(A33=0,"",VLOOKUP(A33,[2]CO!$A$3:$F$5327,4,0))))</f>
        <v/>
      </c>
      <c r="O33" s="32" t="str">
        <f t="shared" si="7"/>
        <v/>
      </c>
      <c r="P33" s="33"/>
      <c r="Q33" s="34" t="str">
        <f t="shared" si="1"/>
        <v/>
      </c>
      <c r="R33" s="35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RESIDENTE"),VLOOKUP(B33,P$14:Q$77,2),"")*S33)</f>
        <v/>
      </c>
      <c r="T33" s="53" t="str">
        <f>IF(A33=0,"",VLOOKUP(A33,[2]CO!$A$3:$F$5318,5,0))</f>
        <v/>
      </c>
      <c r="U33" s="54">
        <f t="shared" si="2"/>
        <v>0</v>
      </c>
      <c r="V33" s="24"/>
      <c r="W33" s="25"/>
      <c r="X33" s="25"/>
      <c r="Y33" s="64" t="str">
        <f t="shared" si="20"/>
        <v/>
      </c>
      <c r="Z33" s="55" t="str">
        <f t="shared" si="20"/>
        <v/>
      </c>
      <c r="AA33" s="55" t="str">
        <f t="shared" si="20"/>
        <v/>
      </c>
      <c r="AB33" s="55" t="str">
        <f t="shared" si="20"/>
        <v/>
      </c>
      <c r="AC33" s="55" t="str">
        <f t="shared" si="20"/>
        <v/>
      </c>
      <c r="AD33" s="55" t="str">
        <f t="shared" si="20"/>
        <v/>
      </c>
      <c r="AE33" s="55" t="str">
        <f t="shared" si="20"/>
        <v/>
      </c>
      <c r="AF33" s="55" t="str">
        <f t="shared" si="20"/>
        <v/>
      </c>
      <c r="AG33" s="55" t="str">
        <f t="shared" si="20"/>
        <v/>
      </c>
      <c r="AH33" s="55" t="str">
        <f t="shared" si="20"/>
        <v/>
      </c>
      <c r="AI33" s="55" t="str">
        <f t="shared" si="20"/>
        <v/>
      </c>
      <c r="AJ33" s="55" t="str">
        <f t="shared" si="20"/>
        <v/>
      </c>
      <c r="AK33" s="55" t="str">
        <f t="shared" si="20"/>
        <v/>
      </c>
      <c r="AL33" s="55" t="str">
        <f t="shared" si="20"/>
        <v/>
      </c>
      <c r="AM33" s="55" t="str">
        <f t="shared" si="20"/>
        <v/>
      </c>
      <c r="AN33" s="55" t="str">
        <f t="shared" si="20"/>
        <v/>
      </c>
      <c r="AO33" s="55" t="str">
        <f t="shared" si="20"/>
        <v/>
      </c>
      <c r="AP33" s="55" t="str">
        <f t="shared" si="20"/>
        <v/>
      </c>
      <c r="AQ33" s="55" t="str">
        <f t="shared" si="20"/>
        <v/>
      </c>
      <c r="AR33" s="55" t="str">
        <f t="shared" si="20"/>
        <v/>
      </c>
      <c r="AS33" s="55" t="str">
        <f t="shared" si="20"/>
        <v/>
      </c>
      <c r="AT33" s="55" t="str">
        <f t="shared" si="20"/>
        <v/>
      </c>
      <c r="AU33" s="55" t="str">
        <f t="shared" si="20"/>
        <v/>
      </c>
      <c r="AV33" s="55" t="str">
        <f t="shared" si="20"/>
        <v/>
      </c>
      <c r="AW33" s="55" t="str">
        <f t="shared" si="20"/>
        <v/>
      </c>
      <c r="AX33" s="55" t="str">
        <f t="shared" si="20"/>
        <v/>
      </c>
      <c r="AY33" s="55" t="str">
        <f t="shared" si="20"/>
        <v/>
      </c>
      <c r="AZ33" s="55" t="str">
        <f t="shared" si="20"/>
        <v/>
      </c>
      <c r="BA33" s="55" t="str">
        <f t="shared" si="20"/>
        <v/>
      </c>
      <c r="BB33" s="55" t="str">
        <f t="shared" si="20"/>
        <v/>
      </c>
      <c r="BC33" s="55" t="str">
        <f t="shared" si="20"/>
        <v/>
      </c>
      <c r="BD33" s="55" t="str">
        <f t="shared" si="20"/>
        <v/>
      </c>
      <c r="BE33" s="55" t="str">
        <f t="shared" si="20"/>
        <v/>
      </c>
      <c r="BF33" s="55" t="str">
        <f t="shared" si="20"/>
        <v/>
      </c>
      <c r="BG33" s="55" t="str">
        <f t="shared" si="20"/>
        <v/>
      </c>
      <c r="BH33" s="55" t="str">
        <f t="shared" si="20"/>
        <v/>
      </c>
      <c r="BI33" s="55" t="str">
        <f t="shared" si="20"/>
        <v/>
      </c>
      <c r="BJ33" s="55" t="str">
        <f t="shared" si="20"/>
        <v/>
      </c>
      <c r="BK33" s="55" t="str">
        <f t="shared" si="20"/>
        <v/>
      </c>
      <c r="BL33" s="55" t="str">
        <f t="shared" si="20"/>
        <v/>
      </c>
      <c r="BM33" s="55" t="str">
        <f t="shared" si="20"/>
        <v/>
      </c>
      <c r="BN33" s="55" t="str">
        <f t="shared" si="20"/>
        <v/>
      </c>
      <c r="BO33" s="55" t="str">
        <f t="shared" si="20"/>
        <v/>
      </c>
      <c r="BP33" s="55" t="str">
        <f t="shared" si="20"/>
        <v/>
      </c>
      <c r="BQ33" s="55" t="str">
        <f t="shared" si="20"/>
        <v/>
      </c>
      <c r="BR33" s="55" t="str">
        <f t="shared" si="20"/>
        <v/>
      </c>
      <c r="BS33" s="55" t="str">
        <f t="shared" si="20"/>
        <v/>
      </c>
      <c r="BT33" s="55" t="str">
        <f t="shared" si="20"/>
        <v/>
      </c>
      <c r="BU33" s="55" t="str">
        <f t="shared" si="20"/>
        <v/>
      </c>
      <c r="BV33" s="55" t="str">
        <f t="shared" si="20"/>
        <v/>
      </c>
      <c r="BW33" s="55" t="str">
        <f t="shared" si="20"/>
        <v/>
      </c>
      <c r="BX33" s="55" t="str">
        <f t="shared" si="20"/>
        <v/>
      </c>
      <c r="BY33" s="55" t="str">
        <f t="shared" si="20"/>
        <v/>
      </c>
      <c r="BZ33" s="55" t="str">
        <f t="shared" si="20"/>
        <v/>
      </c>
      <c r="CA33" s="55" t="str">
        <f t="shared" si="20"/>
        <v/>
      </c>
      <c r="CB33" s="55" t="str">
        <f t="shared" si="20"/>
        <v/>
      </c>
      <c r="CC33" s="55" t="str">
        <f t="shared" si="20"/>
        <v/>
      </c>
      <c r="CD33" s="55" t="str">
        <f t="shared" si="20"/>
        <v/>
      </c>
      <c r="CE33" s="55" t="str">
        <f t="shared" si="20"/>
        <v/>
      </c>
      <c r="CF33" s="55" t="str">
        <f t="shared" si="20"/>
        <v/>
      </c>
      <c r="CG33" s="55" t="str">
        <f t="shared" si="20"/>
        <v/>
      </c>
      <c r="CH33" s="55" t="str">
        <f t="shared" si="20"/>
        <v/>
      </c>
      <c r="CI33" s="55" t="str">
        <f t="shared" si="20"/>
        <v/>
      </c>
      <c r="CJ33" s="55" t="str">
        <f t="shared" si="12"/>
        <v/>
      </c>
      <c r="CK33" s="55" t="str">
        <f t="shared" si="12"/>
        <v/>
      </c>
      <c r="CL33" s="55" t="str">
        <f t="shared" si="12"/>
        <v/>
      </c>
      <c r="CM33" s="55" t="str">
        <f t="shared" si="12"/>
        <v/>
      </c>
      <c r="CN33" s="55" t="str">
        <f t="shared" si="12"/>
        <v/>
      </c>
      <c r="CO33" s="55" t="str">
        <f t="shared" si="12"/>
        <v/>
      </c>
      <c r="CP33" s="55" t="str">
        <f t="shared" si="12"/>
        <v/>
      </c>
      <c r="CQ33" s="55" t="str">
        <f t="shared" si="12"/>
        <v/>
      </c>
      <c r="CR33" s="55" t="str">
        <f t="shared" si="12"/>
        <v/>
      </c>
      <c r="CS33" s="55" t="str">
        <f t="shared" si="12"/>
        <v/>
      </c>
      <c r="CT33" s="55" t="str">
        <f t="shared" si="12"/>
        <v/>
      </c>
      <c r="CU33" s="55" t="str">
        <f t="shared" si="12"/>
        <v/>
      </c>
      <c r="CV33" s="55" t="str">
        <f t="shared" si="12"/>
        <v/>
      </c>
      <c r="CW33" s="55" t="str">
        <f t="shared" si="12"/>
        <v/>
      </c>
      <c r="CX33" s="55" t="str">
        <f t="shared" si="12"/>
        <v/>
      </c>
      <c r="CY33" s="55" t="str">
        <f t="shared" si="12"/>
        <v/>
      </c>
      <c r="CZ33" s="55" t="str">
        <f t="shared" si="13"/>
        <v/>
      </c>
      <c r="DA33" s="55" t="str">
        <f t="shared" si="13"/>
        <v/>
      </c>
      <c r="DB33" s="55" t="str">
        <f t="shared" si="13"/>
        <v/>
      </c>
      <c r="DC33" s="55" t="str">
        <f t="shared" si="13"/>
        <v/>
      </c>
      <c r="DD33" s="55" t="str">
        <f t="shared" si="13"/>
        <v/>
      </c>
      <c r="DE33" s="55" t="str">
        <f t="shared" si="13"/>
        <v/>
      </c>
      <c r="DF33" s="55" t="str">
        <f t="shared" ref="DF33:DT43" si="24">IF($B33=DF$12,$U33,"")</f>
        <v/>
      </c>
      <c r="DG33" s="55" t="str">
        <f t="shared" si="24"/>
        <v/>
      </c>
      <c r="DH33" s="55" t="str">
        <f t="shared" si="24"/>
        <v/>
      </c>
      <c r="DI33" s="55" t="str">
        <f t="shared" si="24"/>
        <v/>
      </c>
      <c r="DJ33" s="55" t="str">
        <f t="shared" si="24"/>
        <v/>
      </c>
      <c r="DK33" s="55" t="str">
        <f t="shared" si="24"/>
        <v/>
      </c>
      <c r="DL33" s="55" t="str">
        <f t="shared" si="24"/>
        <v/>
      </c>
      <c r="DM33" s="55" t="str">
        <f t="shared" si="24"/>
        <v/>
      </c>
      <c r="DN33" s="55" t="str">
        <f t="shared" si="24"/>
        <v/>
      </c>
      <c r="DO33" s="55" t="str">
        <f t="shared" si="24"/>
        <v/>
      </c>
      <c r="DP33" s="55" t="str">
        <f t="shared" si="24"/>
        <v/>
      </c>
      <c r="DQ33" s="55" t="str">
        <f t="shared" si="24"/>
        <v/>
      </c>
      <c r="DR33" s="55" t="str">
        <f t="shared" si="24"/>
        <v/>
      </c>
      <c r="DS33" s="55" t="str">
        <f t="shared" si="24"/>
        <v/>
      </c>
      <c r="DT33" s="106" t="str">
        <f t="shared" si="24"/>
        <v/>
      </c>
      <c r="DU33" s="54"/>
      <c r="DV33" s="25"/>
      <c r="DW33" s="61" t="str">
        <f t="shared" si="21"/>
        <v/>
      </c>
      <c r="DX33" s="50" t="str">
        <f t="shared" si="21"/>
        <v/>
      </c>
      <c r="DY33" s="50" t="str">
        <f t="shared" si="21"/>
        <v/>
      </c>
      <c r="DZ33" s="50" t="str">
        <f t="shared" si="21"/>
        <v/>
      </c>
      <c r="EA33" s="50" t="str">
        <f t="shared" si="21"/>
        <v/>
      </c>
      <c r="EB33" s="50" t="str">
        <f t="shared" si="21"/>
        <v/>
      </c>
      <c r="EC33" s="50" t="str">
        <f t="shared" si="21"/>
        <v/>
      </c>
      <c r="ED33" s="50" t="str">
        <f t="shared" si="21"/>
        <v/>
      </c>
      <c r="EE33" s="50" t="str">
        <f t="shared" si="21"/>
        <v/>
      </c>
      <c r="EF33" s="50" t="str">
        <f t="shared" si="21"/>
        <v/>
      </c>
      <c r="EG33" s="50" t="str">
        <f t="shared" si="21"/>
        <v/>
      </c>
      <c r="EH33" s="50" t="str">
        <f t="shared" si="21"/>
        <v/>
      </c>
      <c r="EI33" s="50" t="str">
        <f t="shared" si="21"/>
        <v/>
      </c>
      <c r="EJ33" s="50" t="str">
        <f t="shared" si="21"/>
        <v/>
      </c>
      <c r="EK33" s="50" t="str">
        <f t="shared" si="21"/>
        <v/>
      </c>
      <c r="EL33" s="50" t="str">
        <f t="shared" si="21"/>
        <v/>
      </c>
      <c r="EM33" s="50" t="str">
        <f t="shared" si="21"/>
        <v/>
      </c>
      <c r="EN33" s="50" t="str">
        <f t="shared" si="21"/>
        <v/>
      </c>
      <c r="EO33" s="50" t="str">
        <f t="shared" si="21"/>
        <v/>
      </c>
      <c r="EP33" s="50" t="str">
        <f t="shared" si="21"/>
        <v/>
      </c>
      <c r="EQ33" s="50" t="str">
        <f t="shared" si="21"/>
        <v/>
      </c>
      <c r="ER33" s="50" t="str">
        <f t="shared" si="21"/>
        <v/>
      </c>
      <c r="ES33" s="50" t="str">
        <f t="shared" si="21"/>
        <v/>
      </c>
      <c r="ET33" s="50" t="str">
        <f t="shared" si="21"/>
        <v/>
      </c>
      <c r="EU33" s="50" t="str">
        <f t="shared" si="21"/>
        <v/>
      </c>
      <c r="EV33" s="50" t="str">
        <f t="shared" si="21"/>
        <v/>
      </c>
      <c r="EW33" s="50" t="str">
        <f t="shared" si="21"/>
        <v/>
      </c>
      <c r="EX33" s="50" t="str">
        <f t="shared" si="21"/>
        <v/>
      </c>
      <c r="EY33" s="50" t="str">
        <f t="shared" si="21"/>
        <v/>
      </c>
      <c r="EZ33" s="50" t="str">
        <f t="shared" si="21"/>
        <v/>
      </c>
      <c r="FA33" s="50" t="str">
        <f t="shared" si="21"/>
        <v/>
      </c>
      <c r="FB33" s="50" t="str">
        <f t="shared" si="21"/>
        <v/>
      </c>
      <c r="FC33" s="50" t="str">
        <f t="shared" si="21"/>
        <v/>
      </c>
      <c r="FD33" s="50" t="str">
        <f t="shared" si="21"/>
        <v/>
      </c>
      <c r="FE33" s="50" t="str">
        <f t="shared" si="21"/>
        <v/>
      </c>
      <c r="FF33" s="50" t="str">
        <f t="shared" si="21"/>
        <v/>
      </c>
      <c r="FG33" s="50" t="str">
        <f t="shared" si="21"/>
        <v/>
      </c>
      <c r="FH33" s="50" t="str">
        <f t="shared" si="21"/>
        <v/>
      </c>
      <c r="FI33" s="50" t="str">
        <f t="shared" si="21"/>
        <v/>
      </c>
      <c r="FJ33" s="50" t="str">
        <f t="shared" si="21"/>
        <v/>
      </c>
      <c r="FK33" s="50" t="str">
        <f t="shared" si="21"/>
        <v/>
      </c>
      <c r="FL33" s="50" t="str">
        <f t="shared" si="21"/>
        <v/>
      </c>
      <c r="FM33" s="50" t="str">
        <f t="shared" si="21"/>
        <v/>
      </c>
      <c r="FN33" s="50" t="str">
        <f t="shared" si="21"/>
        <v/>
      </c>
      <c r="FO33" s="50" t="str">
        <f t="shared" si="21"/>
        <v/>
      </c>
      <c r="FP33" s="50" t="str">
        <f t="shared" si="21"/>
        <v/>
      </c>
      <c r="FQ33" s="50" t="str">
        <f t="shared" si="21"/>
        <v/>
      </c>
      <c r="FR33" s="50" t="str">
        <f t="shared" si="21"/>
        <v/>
      </c>
      <c r="FS33" s="50" t="str">
        <f t="shared" si="21"/>
        <v/>
      </c>
      <c r="FT33" s="50" t="str">
        <f t="shared" si="21"/>
        <v/>
      </c>
      <c r="FU33" s="50" t="str">
        <f t="shared" si="21"/>
        <v/>
      </c>
      <c r="FV33" s="50" t="str">
        <f t="shared" si="21"/>
        <v/>
      </c>
      <c r="FW33" s="50" t="str">
        <f t="shared" si="21"/>
        <v/>
      </c>
      <c r="FX33" s="50" t="str">
        <f t="shared" si="21"/>
        <v/>
      </c>
      <c r="FY33" s="50" t="str">
        <f t="shared" si="21"/>
        <v/>
      </c>
      <c r="FZ33" s="50" t="str">
        <f t="shared" si="21"/>
        <v/>
      </c>
      <c r="GA33" s="50" t="str">
        <f t="shared" si="21"/>
        <v/>
      </c>
      <c r="GB33" s="50" t="str">
        <f t="shared" si="21"/>
        <v/>
      </c>
      <c r="GC33" s="50" t="str">
        <f t="shared" si="21"/>
        <v/>
      </c>
      <c r="GD33" s="50" t="str">
        <f t="shared" si="21"/>
        <v/>
      </c>
      <c r="GE33" s="50" t="str">
        <f t="shared" si="21"/>
        <v/>
      </c>
      <c r="GF33" s="50" t="str">
        <f t="shared" si="21"/>
        <v/>
      </c>
      <c r="GG33" s="50" t="str">
        <f t="shared" si="21"/>
        <v/>
      </c>
      <c r="GH33" s="50" t="str">
        <f t="shared" si="14"/>
        <v/>
      </c>
      <c r="GI33" s="50" t="str">
        <f t="shared" si="14"/>
        <v/>
      </c>
      <c r="GJ33" s="50" t="str">
        <f t="shared" si="14"/>
        <v/>
      </c>
      <c r="GK33" s="50" t="str">
        <f t="shared" si="14"/>
        <v/>
      </c>
      <c r="GL33" s="50" t="str">
        <f t="shared" si="14"/>
        <v/>
      </c>
      <c r="GM33" s="50" t="str">
        <f t="shared" si="14"/>
        <v/>
      </c>
      <c r="GN33" s="50" t="str">
        <f t="shared" si="14"/>
        <v/>
      </c>
      <c r="GO33" s="50" t="str">
        <f t="shared" si="14"/>
        <v/>
      </c>
      <c r="GP33" s="50" t="str">
        <f t="shared" si="14"/>
        <v/>
      </c>
      <c r="GQ33" s="50" t="str">
        <f t="shared" si="14"/>
        <v/>
      </c>
      <c r="GR33" s="50" t="str">
        <f t="shared" si="14"/>
        <v/>
      </c>
      <c r="GS33" s="50" t="str">
        <f t="shared" si="14"/>
        <v/>
      </c>
      <c r="GT33" s="50" t="str">
        <f t="shared" si="14"/>
        <v/>
      </c>
      <c r="GU33" s="50" t="str">
        <f t="shared" si="14"/>
        <v/>
      </c>
      <c r="GV33" s="50" t="str">
        <f t="shared" si="14"/>
        <v/>
      </c>
      <c r="GW33" s="50" t="str">
        <f t="shared" si="14"/>
        <v/>
      </c>
      <c r="GX33" s="50" t="str">
        <f t="shared" si="15"/>
        <v/>
      </c>
      <c r="GY33" s="50" t="str">
        <f t="shared" si="15"/>
        <v/>
      </c>
      <c r="GZ33" s="50" t="str">
        <f t="shared" si="15"/>
        <v/>
      </c>
      <c r="HA33" s="50" t="str">
        <f t="shared" si="15"/>
        <v/>
      </c>
      <c r="HB33" s="50" t="str">
        <f t="shared" si="15"/>
        <v/>
      </c>
      <c r="HC33" s="50" t="str">
        <f t="shared" si="15"/>
        <v/>
      </c>
      <c r="HD33" s="50" t="str">
        <f t="shared" ref="HD33:HR43" si="25">IF($B33=HD$12,$O33,"")</f>
        <v/>
      </c>
      <c r="HE33" s="50" t="str">
        <f t="shared" si="25"/>
        <v/>
      </c>
      <c r="HF33" s="50" t="str">
        <f t="shared" si="25"/>
        <v/>
      </c>
      <c r="HG33" s="50" t="str">
        <f t="shared" si="25"/>
        <v/>
      </c>
      <c r="HH33" s="50" t="str">
        <f t="shared" si="25"/>
        <v/>
      </c>
      <c r="HI33" s="50" t="str">
        <f t="shared" si="25"/>
        <v/>
      </c>
      <c r="HJ33" s="50" t="str">
        <f t="shared" si="25"/>
        <v/>
      </c>
      <c r="HK33" s="50" t="str">
        <f t="shared" si="25"/>
        <v/>
      </c>
      <c r="HL33" s="50" t="str">
        <f t="shared" si="25"/>
        <v/>
      </c>
      <c r="HM33" s="50" t="str">
        <f t="shared" si="25"/>
        <v/>
      </c>
      <c r="HN33" s="50" t="str">
        <f t="shared" si="25"/>
        <v/>
      </c>
      <c r="HO33" s="50" t="str">
        <f t="shared" si="25"/>
        <v/>
      </c>
      <c r="HP33" s="50" t="str">
        <f t="shared" si="25"/>
        <v/>
      </c>
      <c r="HQ33" s="50" t="str">
        <f t="shared" si="25"/>
        <v/>
      </c>
      <c r="HR33" s="112" t="str">
        <f t="shared" si="25"/>
        <v/>
      </c>
    </row>
    <row r="34" spans="1:226" ht="11.1" customHeight="1" x14ac:dyDescent="0.25">
      <c r="A34" s="26"/>
      <c r="B34" s="145"/>
      <c r="C34" s="28" t="str">
        <f>IF(A34=0,"",VLOOKUP(A34,[2]CO!$A$3:$F$5327,2,0))</f>
        <v/>
      </c>
      <c r="D34" s="149"/>
      <c r="E34" s="29"/>
      <c r="F34" s="29"/>
      <c r="G34" s="30" t="str">
        <f>IF(A34=0,"",VLOOKUP(A34,[2]CO!$A$3:$F$5327,3,0))</f>
        <v/>
      </c>
      <c r="H34" s="142"/>
      <c r="I34" s="143"/>
      <c r="J34" s="143"/>
      <c r="K34" s="143"/>
      <c r="L34" s="143"/>
      <c r="M34" s="32" t="str">
        <f t="shared" si="0"/>
        <v/>
      </c>
      <c r="N34" s="32" t="str">
        <f>IF(B34=0,"",IF(H34="M",HLOOKUP(B34,$Y$12:$DT$13,2),IF(A34=0,"",VLOOKUP(A34,[2]CO!$A$3:$F$5327,4,0))))</f>
        <v/>
      </c>
      <c r="O34" s="32" t="str">
        <f t="shared" si="7"/>
        <v/>
      </c>
      <c r="P34" s="33"/>
      <c r="Q34" s="34" t="str">
        <f t="shared" si="1"/>
        <v/>
      </c>
      <c r="R34" s="3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RESIDENTE"),VLOOKUP(B34,P$14:Q$77,2),"")*S34)</f>
        <v/>
      </c>
      <c r="T34" s="53" t="str">
        <f>IF(A34=0,"",VLOOKUP(A34,[2]CO!$A$3:$F$5318,5,0))</f>
        <v/>
      </c>
      <c r="U34" s="54">
        <f t="shared" si="2"/>
        <v>0</v>
      </c>
      <c r="V34" s="24"/>
      <c r="W34" s="25"/>
      <c r="X34" s="25"/>
      <c r="Y34" s="64" t="str">
        <f t="shared" si="20"/>
        <v/>
      </c>
      <c r="Z34" s="55" t="str">
        <f t="shared" si="20"/>
        <v/>
      </c>
      <c r="AA34" s="55" t="str">
        <f t="shared" si="20"/>
        <v/>
      </c>
      <c r="AB34" s="55" t="str">
        <f t="shared" si="20"/>
        <v/>
      </c>
      <c r="AC34" s="55" t="str">
        <f t="shared" si="20"/>
        <v/>
      </c>
      <c r="AD34" s="55" t="str">
        <f t="shared" si="20"/>
        <v/>
      </c>
      <c r="AE34" s="55" t="str">
        <f t="shared" si="20"/>
        <v/>
      </c>
      <c r="AF34" s="55" t="str">
        <f t="shared" si="20"/>
        <v/>
      </c>
      <c r="AG34" s="55" t="str">
        <f t="shared" si="20"/>
        <v/>
      </c>
      <c r="AH34" s="55" t="str">
        <f t="shared" si="20"/>
        <v/>
      </c>
      <c r="AI34" s="55" t="str">
        <f t="shared" si="20"/>
        <v/>
      </c>
      <c r="AJ34" s="55" t="str">
        <f t="shared" si="20"/>
        <v/>
      </c>
      <c r="AK34" s="55" t="str">
        <f t="shared" si="20"/>
        <v/>
      </c>
      <c r="AL34" s="55" t="str">
        <f t="shared" si="20"/>
        <v/>
      </c>
      <c r="AM34" s="55" t="str">
        <f t="shared" si="20"/>
        <v/>
      </c>
      <c r="AN34" s="55" t="str">
        <f t="shared" si="20"/>
        <v/>
      </c>
      <c r="AO34" s="55" t="str">
        <f t="shared" si="20"/>
        <v/>
      </c>
      <c r="AP34" s="55" t="str">
        <f t="shared" si="20"/>
        <v/>
      </c>
      <c r="AQ34" s="55" t="str">
        <f t="shared" si="20"/>
        <v/>
      </c>
      <c r="AR34" s="55" t="str">
        <f t="shared" si="20"/>
        <v/>
      </c>
      <c r="AS34" s="55" t="str">
        <f t="shared" si="20"/>
        <v/>
      </c>
      <c r="AT34" s="55" t="str">
        <f t="shared" si="20"/>
        <v/>
      </c>
      <c r="AU34" s="55" t="str">
        <f t="shared" si="20"/>
        <v/>
      </c>
      <c r="AV34" s="55" t="str">
        <f t="shared" si="20"/>
        <v/>
      </c>
      <c r="AW34" s="55" t="str">
        <f t="shared" si="20"/>
        <v/>
      </c>
      <c r="AX34" s="55" t="str">
        <f t="shared" si="20"/>
        <v/>
      </c>
      <c r="AY34" s="55" t="str">
        <f t="shared" si="20"/>
        <v/>
      </c>
      <c r="AZ34" s="55" t="str">
        <f t="shared" si="20"/>
        <v/>
      </c>
      <c r="BA34" s="55" t="str">
        <f t="shared" si="20"/>
        <v/>
      </c>
      <c r="BB34" s="55" t="str">
        <f t="shared" si="20"/>
        <v/>
      </c>
      <c r="BC34" s="55" t="str">
        <f t="shared" si="20"/>
        <v/>
      </c>
      <c r="BD34" s="55" t="str">
        <f t="shared" si="20"/>
        <v/>
      </c>
      <c r="BE34" s="55" t="str">
        <f t="shared" si="20"/>
        <v/>
      </c>
      <c r="BF34" s="55" t="str">
        <f t="shared" si="20"/>
        <v/>
      </c>
      <c r="BG34" s="55" t="str">
        <f t="shared" si="20"/>
        <v/>
      </c>
      <c r="BH34" s="55" t="str">
        <f t="shared" si="20"/>
        <v/>
      </c>
      <c r="BI34" s="55" t="str">
        <f t="shared" si="20"/>
        <v/>
      </c>
      <c r="BJ34" s="55" t="str">
        <f t="shared" si="20"/>
        <v/>
      </c>
      <c r="BK34" s="55" t="str">
        <f t="shared" si="20"/>
        <v/>
      </c>
      <c r="BL34" s="55" t="str">
        <f t="shared" si="20"/>
        <v/>
      </c>
      <c r="BM34" s="55" t="str">
        <f t="shared" si="20"/>
        <v/>
      </c>
      <c r="BN34" s="55" t="str">
        <f t="shared" ref="BN34:DR41" si="26">IF($B34=BN$12,$U34,"")</f>
        <v/>
      </c>
      <c r="BO34" s="55" t="str">
        <f t="shared" si="26"/>
        <v/>
      </c>
      <c r="BP34" s="55" t="str">
        <f t="shared" si="26"/>
        <v/>
      </c>
      <c r="BQ34" s="55" t="str">
        <f t="shared" si="26"/>
        <v/>
      </c>
      <c r="BR34" s="55" t="str">
        <f t="shared" si="26"/>
        <v/>
      </c>
      <c r="BS34" s="55" t="str">
        <f t="shared" si="26"/>
        <v/>
      </c>
      <c r="BT34" s="55" t="str">
        <f t="shared" si="26"/>
        <v/>
      </c>
      <c r="BU34" s="55" t="str">
        <f t="shared" si="26"/>
        <v/>
      </c>
      <c r="BV34" s="55" t="str">
        <f t="shared" si="26"/>
        <v/>
      </c>
      <c r="BW34" s="55" t="str">
        <f t="shared" si="26"/>
        <v/>
      </c>
      <c r="BX34" s="55" t="str">
        <f t="shared" si="26"/>
        <v/>
      </c>
      <c r="BY34" s="55" t="str">
        <f t="shared" si="26"/>
        <v/>
      </c>
      <c r="BZ34" s="55" t="str">
        <f t="shared" si="26"/>
        <v/>
      </c>
      <c r="CA34" s="55" t="str">
        <f t="shared" si="26"/>
        <v/>
      </c>
      <c r="CB34" s="55" t="str">
        <f t="shared" si="26"/>
        <v/>
      </c>
      <c r="CC34" s="55" t="str">
        <f t="shared" si="26"/>
        <v/>
      </c>
      <c r="CD34" s="55" t="str">
        <f t="shared" si="26"/>
        <v/>
      </c>
      <c r="CE34" s="55" t="str">
        <f t="shared" si="26"/>
        <v/>
      </c>
      <c r="CF34" s="55" t="str">
        <f t="shared" si="26"/>
        <v/>
      </c>
      <c r="CG34" s="55" t="str">
        <f t="shared" si="26"/>
        <v/>
      </c>
      <c r="CH34" s="55" t="str">
        <f t="shared" si="26"/>
        <v/>
      </c>
      <c r="CI34" s="55" t="str">
        <f t="shared" si="26"/>
        <v/>
      </c>
      <c r="CJ34" s="55" t="str">
        <f t="shared" si="12"/>
        <v/>
      </c>
      <c r="CK34" s="55" t="str">
        <f t="shared" si="12"/>
        <v/>
      </c>
      <c r="CL34" s="55" t="str">
        <f t="shared" si="12"/>
        <v/>
      </c>
      <c r="CM34" s="55" t="str">
        <f t="shared" si="12"/>
        <v/>
      </c>
      <c r="CN34" s="55" t="str">
        <f t="shared" si="12"/>
        <v/>
      </c>
      <c r="CO34" s="55" t="str">
        <f t="shared" si="12"/>
        <v/>
      </c>
      <c r="CP34" s="55" t="str">
        <f t="shared" si="12"/>
        <v/>
      </c>
      <c r="CQ34" s="55" t="str">
        <f t="shared" si="12"/>
        <v/>
      </c>
      <c r="CR34" s="55" t="str">
        <f t="shared" si="12"/>
        <v/>
      </c>
      <c r="CS34" s="55" t="str">
        <f t="shared" si="12"/>
        <v/>
      </c>
      <c r="CT34" s="55" t="str">
        <f t="shared" si="12"/>
        <v/>
      </c>
      <c r="CU34" s="55" t="str">
        <f t="shared" si="12"/>
        <v/>
      </c>
      <c r="CV34" s="55" t="str">
        <f t="shared" si="12"/>
        <v/>
      </c>
      <c r="CW34" s="55" t="str">
        <f t="shared" si="12"/>
        <v/>
      </c>
      <c r="CX34" s="55" t="str">
        <f t="shared" si="12"/>
        <v/>
      </c>
      <c r="CY34" s="55" t="str">
        <f t="shared" si="12"/>
        <v/>
      </c>
      <c r="CZ34" s="55" t="str">
        <f t="shared" si="12"/>
        <v/>
      </c>
      <c r="DA34" s="55" t="str">
        <f t="shared" si="12"/>
        <v/>
      </c>
      <c r="DB34" s="55" t="str">
        <f t="shared" si="12"/>
        <v/>
      </c>
      <c r="DC34" s="55" t="str">
        <f t="shared" si="12"/>
        <v/>
      </c>
      <c r="DD34" s="55" t="str">
        <f t="shared" si="12"/>
        <v/>
      </c>
      <c r="DE34" s="55" t="str">
        <f t="shared" si="12"/>
        <v/>
      </c>
      <c r="DF34" s="55" t="str">
        <f t="shared" si="12"/>
        <v/>
      </c>
      <c r="DG34" s="55" t="str">
        <f t="shared" si="12"/>
        <v/>
      </c>
      <c r="DH34" s="55" t="str">
        <f t="shared" si="12"/>
        <v/>
      </c>
      <c r="DI34" s="55" t="str">
        <f t="shared" si="12"/>
        <v/>
      </c>
      <c r="DJ34" s="55" t="str">
        <f t="shared" si="12"/>
        <v/>
      </c>
      <c r="DK34" s="55" t="str">
        <f t="shared" si="12"/>
        <v/>
      </c>
      <c r="DL34" s="55" t="str">
        <f t="shared" si="12"/>
        <v/>
      </c>
      <c r="DM34" s="55" t="str">
        <f t="shared" si="12"/>
        <v/>
      </c>
      <c r="DN34" s="55" t="str">
        <f t="shared" si="12"/>
        <v/>
      </c>
      <c r="DO34" s="55" t="str">
        <f t="shared" si="12"/>
        <v/>
      </c>
      <c r="DP34" s="55" t="str">
        <f t="shared" si="12"/>
        <v/>
      </c>
      <c r="DQ34" s="55" t="str">
        <f t="shared" si="12"/>
        <v/>
      </c>
      <c r="DR34" s="55" t="str">
        <f t="shared" si="24"/>
        <v/>
      </c>
      <c r="DS34" s="55" t="str">
        <f t="shared" si="24"/>
        <v/>
      </c>
      <c r="DT34" s="106" t="str">
        <f t="shared" si="24"/>
        <v/>
      </c>
      <c r="DU34" s="54"/>
      <c r="DV34" s="25"/>
      <c r="DW34" s="61" t="str">
        <f t="shared" si="21"/>
        <v/>
      </c>
      <c r="DX34" s="50" t="str">
        <f t="shared" si="21"/>
        <v/>
      </c>
      <c r="DY34" s="50" t="str">
        <f t="shared" si="21"/>
        <v/>
      </c>
      <c r="DZ34" s="50" t="str">
        <f t="shared" si="21"/>
        <v/>
      </c>
      <c r="EA34" s="50" t="str">
        <f t="shared" si="21"/>
        <v/>
      </c>
      <c r="EB34" s="50" t="str">
        <f t="shared" si="21"/>
        <v/>
      </c>
      <c r="EC34" s="50" t="str">
        <f t="shared" si="21"/>
        <v/>
      </c>
      <c r="ED34" s="50" t="str">
        <f t="shared" si="21"/>
        <v/>
      </c>
      <c r="EE34" s="50" t="str">
        <f t="shared" si="21"/>
        <v/>
      </c>
      <c r="EF34" s="50" t="str">
        <f t="shared" si="21"/>
        <v/>
      </c>
      <c r="EG34" s="50" t="str">
        <f t="shared" si="21"/>
        <v/>
      </c>
      <c r="EH34" s="50" t="str">
        <f t="shared" si="21"/>
        <v/>
      </c>
      <c r="EI34" s="50" t="str">
        <f t="shared" si="21"/>
        <v/>
      </c>
      <c r="EJ34" s="50" t="str">
        <f t="shared" si="21"/>
        <v/>
      </c>
      <c r="EK34" s="50" t="str">
        <f t="shared" si="21"/>
        <v/>
      </c>
      <c r="EL34" s="50" t="str">
        <f t="shared" si="21"/>
        <v/>
      </c>
      <c r="EM34" s="50" t="str">
        <f t="shared" si="21"/>
        <v/>
      </c>
      <c r="EN34" s="50" t="str">
        <f t="shared" si="21"/>
        <v/>
      </c>
      <c r="EO34" s="50" t="str">
        <f t="shared" si="21"/>
        <v/>
      </c>
      <c r="EP34" s="50" t="str">
        <f t="shared" si="21"/>
        <v/>
      </c>
      <c r="EQ34" s="50" t="str">
        <f t="shared" si="21"/>
        <v/>
      </c>
      <c r="ER34" s="50" t="str">
        <f t="shared" si="21"/>
        <v/>
      </c>
      <c r="ES34" s="50" t="str">
        <f t="shared" si="21"/>
        <v/>
      </c>
      <c r="ET34" s="50" t="str">
        <f t="shared" si="21"/>
        <v/>
      </c>
      <c r="EU34" s="50" t="str">
        <f t="shared" si="21"/>
        <v/>
      </c>
      <c r="EV34" s="50" t="str">
        <f t="shared" si="21"/>
        <v/>
      </c>
      <c r="EW34" s="50" t="str">
        <f t="shared" si="21"/>
        <v/>
      </c>
      <c r="EX34" s="50" t="str">
        <f t="shared" si="21"/>
        <v/>
      </c>
      <c r="EY34" s="50" t="str">
        <f t="shared" si="21"/>
        <v/>
      </c>
      <c r="EZ34" s="50" t="str">
        <f t="shared" si="21"/>
        <v/>
      </c>
      <c r="FA34" s="50" t="str">
        <f t="shared" si="21"/>
        <v/>
      </c>
      <c r="FB34" s="50" t="str">
        <f t="shared" si="21"/>
        <v/>
      </c>
      <c r="FC34" s="50" t="str">
        <f t="shared" si="21"/>
        <v/>
      </c>
      <c r="FD34" s="50" t="str">
        <f t="shared" si="21"/>
        <v/>
      </c>
      <c r="FE34" s="50" t="str">
        <f t="shared" si="21"/>
        <v/>
      </c>
      <c r="FF34" s="50" t="str">
        <f t="shared" si="21"/>
        <v/>
      </c>
      <c r="FG34" s="50" t="str">
        <f t="shared" si="21"/>
        <v/>
      </c>
      <c r="FH34" s="50" t="str">
        <f t="shared" si="21"/>
        <v/>
      </c>
      <c r="FI34" s="50" t="str">
        <f t="shared" si="21"/>
        <v/>
      </c>
      <c r="FJ34" s="50" t="str">
        <f t="shared" si="21"/>
        <v/>
      </c>
      <c r="FK34" s="50" t="str">
        <f t="shared" si="21"/>
        <v/>
      </c>
      <c r="FL34" s="50" t="str">
        <f t="shared" ref="FL34:HP41" si="27">IF($B34=FL$12,$O34,"")</f>
        <v/>
      </c>
      <c r="FM34" s="50" t="str">
        <f t="shared" si="27"/>
        <v/>
      </c>
      <c r="FN34" s="50" t="str">
        <f t="shared" si="27"/>
        <v/>
      </c>
      <c r="FO34" s="50" t="str">
        <f t="shared" si="27"/>
        <v/>
      </c>
      <c r="FP34" s="50" t="str">
        <f t="shared" si="27"/>
        <v/>
      </c>
      <c r="FQ34" s="50" t="str">
        <f t="shared" si="27"/>
        <v/>
      </c>
      <c r="FR34" s="50" t="str">
        <f t="shared" si="27"/>
        <v/>
      </c>
      <c r="FS34" s="50" t="str">
        <f t="shared" si="27"/>
        <v/>
      </c>
      <c r="FT34" s="50" t="str">
        <f t="shared" si="27"/>
        <v/>
      </c>
      <c r="FU34" s="50" t="str">
        <f t="shared" si="27"/>
        <v/>
      </c>
      <c r="FV34" s="50" t="str">
        <f t="shared" si="27"/>
        <v/>
      </c>
      <c r="FW34" s="50" t="str">
        <f t="shared" si="27"/>
        <v/>
      </c>
      <c r="FX34" s="50" t="str">
        <f t="shared" si="27"/>
        <v/>
      </c>
      <c r="FY34" s="50" t="str">
        <f t="shared" si="27"/>
        <v/>
      </c>
      <c r="FZ34" s="50" t="str">
        <f t="shared" si="27"/>
        <v/>
      </c>
      <c r="GA34" s="50" t="str">
        <f t="shared" si="27"/>
        <v/>
      </c>
      <c r="GB34" s="50" t="str">
        <f t="shared" si="27"/>
        <v/>
      </c>
      <c r="GC34" s="50" t="str">
        <f t="shared" si="27"/>
        <v/>
      </c>
      <c r="GD34" s="50" t="str">
        <f t="shared" si="27"/>
        <v/>
      </c>
      <c r="GE34" s="50" t="str">
        <f t="shared" si="27"/>
        <v/>
      </c>
      <c r="GF34" s="50" t="str">
        <f t="shared" si="27"/>
        <v/>
      </c>
      <c r="GG34" s="50" t="str">
        <f t="shared" si="27"/>
        <v/>
      </c>
      <c r="GH34" s="50" t="str">
        <f t="shared" si="14"/>
        <v/>
      </c>
      <c r="GI34" s="50" t="str">
        <f t="shared" si="14"/>
        <v/>
      </c>
      <c r="GJ34" s="50" t="str">
        <f t="shared" si="14"/>
        <v/>
      </c>
      <c r="GK34" s="50" t="str">
        <f t="shared" si="14"/>
        <v/>
      </c>
      <c r="GL34" s="50" t="str">
        <f t="shared" si="14"/>
        <v/>
      </c>
      <c r="GM34" s="50" t="str">
        <f t="shared" si="14"/>
        <v/>
      </c>
      <c r="GN34" s="50" t="str">
        <f t="shared" si="14"/>
        <v/>
      </c>
      <c r="GO34" s="50" t="str">
        <f t="shared" si="14"/>
        <v/>
      </c>
      <c r="GP34" s="50" t="str">
        <f t="shared" si="14"/>
        <v/>
      </c>
      <c r="GQ34" s="50" t="str">
        <f t="shared" si="14"/>
        <v/>
      </c>
      <c r="GR34" s="50" t="str">
        <f t="shared" si="14"/>
        <v/>
      </c>
      <c r="GS34" s="50" t="str">
        <f t="shared" si="14"/>
        <v/>
      </c>
      <c r="GT34" s="50" t="str">
        <f t="shared" si="14"/>
        <v/>
      </c>
      <c r="GU34" s="50" t="str">
        <f t="shared" si="14"/>
        <v/>
      </c>
      <c r="GV34" s="50" t="str">
        <f t="shared" si="14"/>
        <v/>
      </c>
      <c r="GW34" s="50" t="str">
        <f t="shared" si="14"/>
        <v/>
      </c>
      <c r="GX34" s="50" t="str">
        <f t="shared" si="14"/>
        <v/>
      </c>
      <c r="GY34" s="50" t="str">
        <f t="shared" si="14"/>
        <v/>
      </c>
      <c r="GZ34" s="50" t="str">
        <f t="shared" si="14"/>
        <v/>
      </c>
      <c r="HA34" s="50" t="str">
        <f t="shared" si="14"/>
        <v/>
      </c>
      <c r="HB34" s="50" t="str">
        <f t="shared" si="14"/>
        <v/>
      </c>
      <c r="HC34" s="50" t="str">
        <f t="shared" si="14"/>
        <v/>
      </c>
      <c r="HD34" s="50" t="str">
        <f t="shared" si="14"/>
        <v/>
      </c>
      <c r="HE34" s="50" t="str">
        <f t="shared" si="14"/>
        <v/>
      </c>
      <c r="HF34" s="50" t="str">
        <f t="shared" si="14"/>
        <v/>
      </c>
      <c r="HG34" s="50" t="str">
        <f t="shared" si="14"/>
        <v/>
      </c>
      <c r="HH34" s="50" t="str">
        <f t="shared" si="14"/>
        <v/>
      </c>
      <c r="HI34" s="50" t="str">
        <f t="shared" si="14"/>
        <v/>
      </c>
      <c r="HJ34" s="50" t="str">
        <f t="shared" si="14"/>
        <v/>
      </c>
      <c r="HK34" s="50" t="str">
        <f t="shared" si="14"/>
        <v/>
      </c>
      <c r="HL34" s="50" t="str">
        <f t="shared" si="14"/>
        <v/>
      </c>
      <c r="HM34" s="50" t="str">
        <f t="shared" si="14"/>
        <v/>
      </c>
      <c r="HN34" s="50" t="str">
        <f t="shared" si="14"/>
        <v/>
      </c>
      <c r="HO34" s="50" t="str">
        <f t="shared" si="14"/>
        <v/>
      </c>
      <c r="HP34" s="50" t="str">
        <f t="shared" si="25"/>
        <v/>
      </c>
      <c r="HQ34" s="50" t="str">
        <f t="shared" si="25"/>
        <v/>
      </c>
      <c r="HR34" s="112" t="str">
        <f t="shared" si="25"/>
        <v/>
      </c>
    </row>
    <row r="35" spans="1:226" ht="11.1" customHeight="1" x14ac:dyDescent="0.25">
      <c r="A35" s="26">
        <v>3918</v>
      </c>
      <c r="B35" s="145">
        <v>4</v>
      </c>
      <c r="C35" s="28" t="str">
        <f>IF(A35=0,"",VLOOKUP(A35,[2]CO!$A$3:$F$5327,2,0))</f>
        <v>PÉREZ MENDOZA JOSÉ FLORENTINO</v>
      </c>
      <c r="D35" s="149"/>
      <c r="E35" s="29"/>
      <c r="F35" s="29"/>
      <c r="G35" s="30" t="str">
        <f>IF(A35=0,"",VLOOKUP(A35,[2]CO!$A$3:$F$5327,3,0))</f>
        <v>OF</v>
      </c>
      <c r="H35" s="142"/>
      <c r="I35" s="143"/>
      <c r="J35" s="143"/>
      <c r="K35" s="143"/>
      <c r="L35" s="143">
        <v>7</v>
      </c>
      <c r="M35" s="32">
        <f t="shared" si="0"/>
        <v>7</v>
      </c>
      <c r="N35" s="32">
        <f>IF(B35=0,"",IF(H35="M",HLOOKUP(B35,$Y$12:$DT$13,2),IF(A35=0,"",VLOOKUP(A35,[2]CO!$A$3:$F$5327,4,0))))</f>
        <v>638.79999999999995</v>
      </c>
      <c r="O35" s="32">
        <f t="shared" si="7"/>
        <v>4471.5999999999995</v>
      </c>
      <c r="P35" s="33"/>
      <c r="Q35" s="34" t="str">
        <f t="shared" si="1"/>
        <v/>
      </c>
      <c r="R35" s="35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RESIDENTE"),VLOOKUP(B35,P$14:Q$77,2),"")*S35)</f>
        <v>5749.1999999999989</v>
      </c>
      <c r="S35" s="118">
        <v>1</v>
      </c>
      <c r="T35" s="53">
        <f>IF(A35=0,"",VLOOKUP(A35,[2]CO!$A$3:$F$5318,5,0))</f>
        <v>0</v>
      </c>
      <c r="U35" s="54">
        <f t="shared" si="2"/>
        <v>0</v>
      </c>
      <c r="V35" s="24"/>
      <c r="W35" s="25"/>
      <c r="X35" s="25"/>
      <c r="Y35" s="64" t="str">
        <f t="shared" ref="Y35:CI39" si="28">IF($B35=Y$12,$U35,"")</f>
        <v/>
      </c>
      <c r="Z35" s="55" t="str">
        <f t="shared" si="28"/>
        <v/>
      </c>
      <c r="AA35" s="55" t="str">
        <f t="shared" si="28"/>
        <v/>
      </c>
      <c r="AB35" s="55">
        <f t="shared" si="28"/>
        <v>0</v>
      </c>
      <c r="AC35" s="55" t="str">
        <f t="shared" si="28"/>
        <v/>
      </c>
      <c r="AD35" s="55" t="str">
        <f t="shared" si="28"/>
        <v/>
      </c>
      <c r="AE35" s="55" t="str">
        <f t="shared" si="28"/>
        <v/>
      </c>
      <c r="AF35" s="55" t="str">
        <f t="shared" si="28"/>
        <v/>
      </c>
      <c r="AG35" s="55" t="str">
        <f t="shared" si="28"/>
        <v/>
      </c>
      <c r="AH35" s="55" t="str">
        <f t="shared" si="28"/>
        <v/>
      </c>
      <c r="AI35" s="55" t="str">
        <f t="shared" si="28"/>
        <v/>
      </c>
      <c r="AJ35" s="55" t="str">
        <f t="shared" si="28"/>
        <v/>
      </c>
      <c r="AK35" s="55" t="str">
        <f t="shared" si="28"/>
        <v/>
      </c>
      <c r="AL35" s="55" t="str">
        <f t="shared" si="28"/>
        <v/>
      </c>
      <c r="AM35" s="55" t="str">
        <f t="shared" si="28"/>
        <v/>
      </c>
      <c r="AN35" s="55" t="str">
        <f t="shared" si="28"/>
        <v/>
      </c>
      <c r="AO35" s="55" t="str">
        <f t="shared" si="28"/>
        <v/>
      </c>
      <c r="AP35" s="55" t="str">
        <f t="shared" si="28"/>
        <v/>
      </c>
      <c r="AQ35" s="55" t="str">
        <f t="shared" si="28"/>
        <v/>
      </c>
      <c r="AR35" s="55" t="str">
        <f t="shared" si="28"/>
        <v/>
      </c>
      <c r="AS35" s="55" t="str">
        <f t="shared" si="28"/>
        <v/>
      </c>
      <c r="AT35" s="55" t="str">
        <f t="shared" si="28"/>
        <v/>
      </c>
      <c r="AU35" s="55" t="str">
        <f t="shared" si="28"/>
        <v/>
      </c>
      <c r="AV35" s="55" t="str">
        <f t="shared" si="28"/>
        <v/>
      </c>
      <c r="AW35" s="55" t="str">
        <f t="shared" si="28"/>
        <v/>
      </c>
      <c r="AX35" s="55" t="str">
        <f t="shared" si="28"/>
        <v/>
      </c>
      <c r="AY35" s="55" t="str">
        <f t="shared" si="28"/>
        <v/>
      </c>
      <c r="AZ35" s="55" t="str">
        <f t="shared" si="28"/>
        <v/>
      </c>
      <c r="BA35" s="55" t="str">
        <f t="shared" si="28"/>
        <v/>
      </c>
      <c r="BB35" s="55" t="str">
        <f t="shared" si="28"/>
        <v/>
      </c>
      <c r="BC35" s="55" t="str">
        <f t="shared" si="28"/>
        <v/>
      </c>
      <c r="BD35" s="55" t="str">
        <f t="shared" si="28"/>
        <v/>
      </c>
      <c r="BE35" s="55" t="str">
        <f t="shared" si="28"/>
        <v/>
      </c>
      <c r="BF35" s="55" t="str">
        <f t="shared" si="28"/>
        <v/>
      </c>
      <c r="BG35" s="55" t="str">
        <f t="shared" si="28"/>
        <v/>
      </c>
      <c r="BH35" s="55" t="str">
        <f t="shared" si="28"/>
        <v/>
      </c>
      <c r="BI35" s="55" t="str">
        <f t="shared" si="28"/>
        <v/>
      </c>
      <c r="BJ35" s="55" t="str">
        <f t="shared" si="28"/>
        <v/>
      </c>
      <c r="BK35" s="55" t="str">
        <f t="shared" si="28"/>
        <v/>
      </c>
      <c r="BL35" s="55" t="str">
        <f t="shared" si="28"/>
        <v/>
      </c>
      <c r="BM35" s="55" t="str">
        <f t="shared" si="28"/>
        <v/>
      </c>
      <c r="BN35" s="55" t="str">
        <f t="shared" si="26"/>
        <v/>
      </c>
      <c r="BO35" s="55" t="str">
        <f t="shared" si="26"/>
        <v/>
      </c>
      <c r="BP35" s="55" t="str">
        <f t="shared" si="26"/>
        <v/>
      </c>
      <c r="BQ35" s="55" t="str">
        <f t="shared" si="26"/>
        <v/>
      </c>
      <c r="BR35" s="55" t="str">
        <f t="shared" si="26"/>
        <v/>
      </c>
      <c r="BS35" s="55" t="str">
        <f t="shared" si="26"/>
        <v/>
      </c>
      <c r="BT35" s="55" t="str">
        <f t="shared" si="26"/>
        <v/>
      </c>
      <c r="BU35" s="55" t="str">
        <f t="shared" si="26"/>
        <v/>
      </c>
      <c r="BV35" s="55" t="str">
        <f t="shared" si="26"/>
        <v/>
      </c>
      <c r="BW35" s="55" t="str">
        <f t="shared" si="26"/>
        <v/>
      </c>
      <c r="BX35" s="55" t="str">
        <f t="shared" si="26"/>
        <v/>
      </c>
      <c r="BY35" s="55" t="str">
        <f t="shared" si="26"/>
        <v/>
      </c>
      <c r="BZ35" s="55" t="str">
        <f t="shared" si="26"/>
        <v/>
      </c>
      <c r="CA35" s="55" t="str">
        <f t="shared" si="26"/>
        <v/>
      </c>
      <c r="CB35" s="55" t="str">
        <f t="shared" si="26"/>
        <v/>
      </c>
      <c r="CC35" s="55" t="str">
        <f t="shared" si="26"/>
        <v/>
      </c>
      <c r="CD35" s="55" t="str">
        <f t="shared" si="26"/>
        <v/>
      </c>
      <c r="CE35" s="55" t="str">
        <f t="shared" si="26"/>
        <v/>
      </c>
      <c r="CF35" s="55" t="str">
        <f t="shared" si="26"/>
        <v/>
      </c>
      <c r="CG35" s="55" t="str">
        <f t="shared" si="26"/>
        <v/>
      </c>
      <c r="CH35" s="55" t="str">
        <f t="shared" si="26"/>
        <v/>
      </c>
      <c r="CI35" s="55" t="str">
        <f t="shared" si="26"/>
        <v/>
      </c>
      <c r="CJ35" s="55" t="str">
        <f t="shared" si="12"/>
        <v/>
      </c>
      <c r="CK35" s="55" t="str">
        <f t="shared" si="12"/>
        <v/>
      </c>
      <c r="CL35" s="55" t="str">
        <f t="shared" si="12"/>
        <v/>
      </c>
      <c r="CM35" s="55" t="str">
        <f t="shared" si="12"/>
        <v/>
      </c>
      <c r="CN35" s="55" t="str">
        <f t="shared" si="12"/>
        <v/>
      </c>
      <c r="CO35" s="55" t="str">
        <f t="shared" si="12"/>
        <v/>
      </c>
      <c r="CP35" s="55" t="str">
        <f t="shared" si="12"/>
        <v/>
      </c>
      <c r="CQ35" s="55" t="str">
        <f t="shared" si="12"/>
        <v/>
      </c>
      <c r="CR35" s="55" t="str">
        <f t="shared" si="12"/>
        <v/>
      </c>
      <c r="CS35" s="55" t="str">
        <f t="shared" si="12"/>
        <v/>
      </c>
      <c r="CT35" s="55" t="str">
        <f t="shared" si="12"/>
        <v/>
      </c>
      <c r="CU35" s="55" t="str">
        <f t="shared" si="12"/>
        <v/>
      </c>
      <c r="CV35" s="55" t="str">
        <f t="shared" si="12"/>
        <v/>
      </c>
      <c r="CW35" s="55" t="str">
        <f t="shared" si="12"/>
        <v/>
      </c>
      <c r="CX35" s="55" t="str">
        <f t="shared" si="12"/>
        <v/>
      </c>
      <c r="CY35" s="55" t="str">
        <f t="shared" si="12"/>
        <v/>
      </c>
      <c r="CZ35" s="55" t="str">
        <f t="shared" si="12"/>
        <v/>
      </c>
      <c r="DA35" s="55" t="str">
        <f t="shared" si="12"/>
        <v/>
      </c>
      <c r="DB35" s="55" t="str">
        <f t="shared" si="12"/>
        <v/>
      </c>
      <c r="DC35" s="55" t="str">
        <f t="shared" ref="DC35:DR35" si="29">IF($B35=DC$12,$U35,"")</f>
        <v/>
      </c>
      <c r="DD35" s="55" t="str">
        <f t="shared" si="29"/>
        <v/>
      </c>
      <c r="DE35" s="55" t="str">
        <f t="shared" si="29"/>
        <v/>
      </c>
      <c r="DF35" s="55" t="str">
        <f t="shared" si="29"/>
        <v/>
      </c>
      <c r="DG35" s="55" t="str">
        <f t="shared" si="29"/>
        <v/>
      </c>
      <c r="DH35" s="55" t="str">
        <f t="shared" si="29"/>
        <v/>
      </c>
      <c r="DI35" s="55" t="str">
        <f t="shared" si="29"/>
        <v/>
      </c>
      <c r="DJ35" s="55" t="str">
        <f t="shared" si="29"/>
        <v/>
      </c>
      <c r="DK35" s="55" t="str">
        <f t="shared" si="29"/>
        <v/>
      </c>
      <c r="DL35" s="55" t="str">
        <f t="shared" si="29"/>
        <v/>
      </c>
      <c r="DM35" s="55" t="str">
        <f t="shared" si="29"/>
        <v/>
      </c>
      <c r="DN35" s="55" t="str">
        <f t="shared" si="29"/>
        <v/>
      </c>
      <c r="DO35" s="55" t="str">
        <f t="shared" si="29"/>
        <v/>
      </c>
      <c r="DP35" s="55" t="str">
        <f t="shared" si="29"/>
        <v/>
      </c>
      <c r="DQ35" s="55" t="str">
        <f t="shared" si="29"/>
        <v/>
      </c>
      <c r="DR35" s="55" t="str">
        <f t="shared" si="29"/>
        <v/>
      </c>
      <c r="DS35" s="55" t="str">
        <f t="shared" si="24"/>
        <v/>
      </c>
      <c r="DT35" s="106" t="str">
        <f t="shared" si="24"/>
        <v/>
      </c>
      <c r="DU35" s="54"/>
      <c r="DV35" s="25"/>
      <c r="DW35" s="61" t="str">
        <f t="shared" ref="DW35:GG39" si="30">IF($B35=DW$12,$O35,"")</f>
        <v/>
      </c>
      <c r="DX35" s="50" t="str">
        <f t="shared" si="30"/>
        <v/>
      </c>
      <c r="DY35" s="50" t="str">
        <f t="shared" si="30"/>
        <v/>
      </c>
      <c r="DZ35" s="50">
        <f t="shared" si="30"/>
        <v>4471.5999999999995</v>
      </c>
      <c r="EA35" s="50" t="str">
        <f t="shared" si="30"/>
        <v/>
      </c>
      <c r="EB35" s="50" t="str">
        <f t="shared" si="30"/>
        <v/>
      </c>
      <c r="EC35" s="50" t="str">
        <f t="shared" si="30"/>
        <v/>
      </c>
      <c r="ED35" s="50" t="str">
        <f t="shared" si="30"/>
        <v/>
      </c>
      <c r="EE35" s="50" t="str">
        <f t="shared" si="30"/>
        <v/>
      </c>
      <c r="EF35" s="50" t="str">
        <f t="shared" si="30"/>
        <v/>
      </c>
      <c r="EG35" s="50" t="str">
        <f t="shared" si="30"/>
        <v/>
      </c>
      <c r="EH35" s="50" t="str">
        <f t="shared" si="30"/>
        <v/>
      </c>
      <c r="EI35" s="50" t="str">
        <f t="shared" si="30"/>
        <v/>
      </c>
      <c r="EJ35" s="50" t="str">
        <f t="shared" si="30"/>
        <v/>
      </c>
      <c r="EK35" s="50" t="str">
        <f t="shared" si="30"/>
        <v/>
      </c>
      <c r="EL35" s="50" t="str">
        <f t="shared" si="30"/>
        <v/>
      </c>
      <c r="EM35" s="50" t="str">
        <f t="shared" si="30"/>
        <v/>
      </c>
      <c r="EN35" s="50" t="str">
        <f t="shared" si="30"/>
        <v/>
      </c>
      <c r="EO35" s="50" t="str">
        <f t="shared" si="30"/>
        <v/>
      </c>
      <c r="EP35" s="50" t="str">
        <f t="shared" si="30"/>
        <v/>
      </c>
      <c r="EQ35" s="50" t="str">
        <f t="shared" si="30"/>
        <v/>
      </c>
      <c r="ER35" s="50" t="str">
        <f t="shared" si="30"/>
        <v/>
      </c>
      <c r="ES35" s="50" t="str">
        <f t="shared" si="30"/>
        <v/>
      </c>
      <c r="ET35" s="50" t="str">
        <f t="shared" si="30"/>
        <v/>
      </c>
      <c r="EU35" s="50" t="str">
        <f t="shared" si="30"/>
        <v/>
      </c>
      <c r="EV35" s="50" t="str">
        <f t="shared" si="30"/>
        <v/>
      </c>
      <c r="EW35" s="50" t="str">
        <f t="shared" si="30"/>
        <v/>
      </c>
      <c r="EX35" s="50" t="str">
        <f t="shared" si="30"/>
        <v/>
      </c>
      <c r="EY35" s="50" t="str">
        <f t="shared" si="30"/>
        <v/>
      </c>
      <c r="EZ35" s="50" t="str">
        <f t="shared" si="30"/>
        <v/>
      </c>
      <c r="FA35" s="50" t="str">
        <f t="shared" si="30"/>
        <v/>
      </c>
      <c r="FB35" s="50" t="str">
        <f t="shared" si="30"/>
        <v/>
      </c>
      <c r="FC35" s="50" t="str">
        <f t="shared" si="30"/>
        <v/>
      </c>
      <c r="FD35" s="50" t="str">
        <f t="shared" si="30"/>
        <v/>
      </c>
      <c r="FE35" s="50" t="str">
        <f t="shared" si="30"/>
        <v/>
      </c>
      <c r="FF35" s="50" t="str">
        <f t="shared" si="30"/>
        <v/>
      </c>
      <c r="FG35" s="50" t="str">
        <f t="shared" si="30"/>
        <v/>
      </c>
      <c r="FH35" s="50" t="str">
        <f t="shared" si="30"/>
        <v/>
      </c>
      <c r="FI35" s="50" t="str">
        <f t="shared" si="30"/>
        <v/>
      </c>
      <c r="FJ35" s="50" t="str">
        <f t="shared" si="30"/>
        <v/>
      </c>
      <c r="FK35" s="50" t="str">
        <f t="shared" si="30"/>
        <v/>
      </c>
      <c r="FL35" s="50" t="str">
        <f t="shared" si="27"/>
        <v/>
      </c>
      <c r="FM35" s="50" t="str">
        <f t="shared" si="27"/>
        <v/>
      </c>
      <c r="FN35" s="50" t="str">
        <f t="shared" si="27"/>
        <v/>
      </c>
      <c r="FO35" s="50" t="str">
        <f t="shared" si="27"/>
        <v/>
      </c>
      <c r="FP35" s="50" t="str">
        <f t="shared" si="27"/>
        <v/>
      </c>
      <c r="FQ35" s="50" t="str">
        <f t="shared" si="27"/>
        <v/>
      </c>
      <c r="FR35" s="50" t="str">
        <f t="shared" si="27"/>
        <v/>
      </c>
      <c r="FS35" s="50" t="str">
        <f t="shared" si="27"/>
        <v/>
      </c>
      <c r="FT35" s="50" t="str">
        <f t="shared" si="27"/>
        <v/>
      </c>
      <c r="FU35" s="50" t="str">
        <f t="shared" si="27"/>
        <v/>
      </c>
      <c r="FV35" s="50" t="str">
        <f t="shared" si="27"/>
        <v/>
      </c>
      <c r="FW35" s="50" t="str">
        <f t="shared" si="27"/>
        <v/>
      </c>
      <c r="FX35" s="50" t="str">
        <f t="shared" si="27"/>
        <v/>
      </c>
      <c r="FY35" s="50" t="str">
        <f t="shared" si="27"/>
        <v/>
      </c>
      <c r="FZ35" s="50" t="str">
        <f t="shared" si="27"/>
        <v/>
      </c>
      <c r="GA35" s="50" t="str">
        <f t="shared" si="27"/>
        <v/>
      </c>
      <c r="GB35" s="50" t="str">
        <f t="shared" si="27"/>
        <v/>
      </c>
      <c r="GC35" s="50" t="str">
        <f t="shared" si="27"/>
        <v/>
      </c>
      <c r="GD35" s="50" t="str">
        <f t="shared" si="27"/>
        <v/>
      </c>
      <c r="GE35" s="50" t="str">
        <f t="shared" si="27"/>
        <v/>
      </c>
      <c r="GF35" s="50" t="str">
        <f t="shared" si="27"/>
        <v/>
      </c>
      <c r="GG35" s="50" t="str">
        <f t="shared" si="27"/>
        <v/>
      </c>
      <c r="GH35" s="50" t="str">
        <f t="shared" si="14"/>
        <v/>
      </c>
      <c r="GI35" s="50" t="str">
        <f t="shared" si="14"/>
        <v/>
      </c>
      <c r="GJ35" s="50" t="str">
        <f t="shared" si="14"/>
        <v/>
      </c>
      <c r="GK35" s="50" t="str">
        <f t="shared" si="14"/>
        <v/>
      </c>
      <c r="GL35" s="50" t="str">
        <f t="shared" si="14"/>
        <v/>
      </c>
      <c r="GM35" s="50" t="str">
        <f t="shared" si="14"/>
        <v/>
      </c>
      <c r="GN35" s="50" t="str">
        <f t="shared" si="14"/>
        <v/>
      </c>
      <c r="GO35" s="50" t="str">
        <f t="shared" si="14"/>
        <v/>
      </c>
      <c r="GP35" s="50" t="str">
        <f t="shared" si="14"/>
        <v/>
      </c>
      <c r="GQ35" s="50" t="str">
        <f t="shared" si="14"/>
        <v/>
      </c>
      <c r="GR35" s="50" t="str">
        <f t="shared" si="14"/>
        <v/>
      </c>
      <c r="GS35" s="50" t="str">
        <f t="shared" si="14"/>
        <v/>
      </c>
      <c r="GT35" s="50" t="str">
        <f t="shared" si="14"/>
        <v/>
      </c>
      <c r="GU35" s="50" t="str">
        <f t="shared" si="14"/>
        <v/>
      </c>
      <c r="GV35" s="50" t="str">
        <f t="shared" si="14"/>
        <v/>
      </c>
      <c r="GW35" s="50" t="str">
        <f t="shared" si="14"/>
        <v/>
      </c>
      <c r="GX35" s="50" t="str">
        <f t="shared" si="14"/>
        <v/>
      </c>
      <c r="GY35" s="50" t="str">
        <f t="shared" si="14"/>
        <v/>
      </c>
      <c r="GZ35" s="50" t="str">
        <f t="shared" si="14"/>
        <v/>
      </c>
      <c r="HA35" s="50" t="str">
        <f t="shared" ref="HA35:HP35" si="31">IF($B35=HA$12,$O35,"")</f>
        <v/>
      </c>
      <c r="HB35" s="50" t="str">
        <f t="shared" si="31"/>
        <v/>
      </c>
      <c r="HC35" s="50" t="str">
        <f t="shared" si="31"/>
        <v/>
      </c>
      <c r="HD35" s="50" t="str">
        <f t="shared" si="31"/>
        <v/>
      </c>
      <c r="HE35" s="50" t="str">
        <f t="shared" si="31"/>
        <v/>
      </c>
      <c r="HF35" s="50" t="str">
        <f t="shared" si="31"/>
        <v/>
      </c>
      <c r="HG35" s="50" t="str">
        <f t="shared" si="31"/>
        <v/>
      </c>
      <c r="HH35" s="50" t="str">
        <f t="shared" si="31"/>
        <v/>
      </c>
      <c r="HI35" s="50" t="str">
        <f t="shared" si="31"/>
        <v/>
      </c>
      <c r="HJ35" s="50" t="str">
        <f t="shared" si="31"/>
        <v/>
      </c>
      <c r="HK35" s="50" t="str">
        <f t="shared" si="31"/>
        <v/>
      </c>
      <c r="HL35" s="50" t="str">
        <f t="shared" si="31"/>
        <v/>
      </c>
      <c r="HM35" s="50" t="str">
        <f t="shared" si="31"/>
        <v/>
      </c>
      <c r="HN35" s="50" t="str">
        <f t="shared" si="31"/>
        <v/>
      </c>
      <c r="HO35" s="50" t="str">
        <f t="shared" si="31"/>
        <v/>
      </c>
      <c r="HP35" s="50" t="str">
        <f t="shared" si="31"/>
        <v/>
      </c>
      <c r="HQ35" s="50" t="str">
        <f t="shared" si="25"/>
        <v/>
      </c>
      <c r="HR35" s="112" t="str">
        <f t="shared" si="25"/>
        <v/>
      </c>
    </row>
    <row r="36" spans="1:226" ht="11.1" customHeight="1" x14ac:dyDescent="0.25">
      <c r="A36" s="26" t="s">
        <v>30</v>
      </c>
      <c r="B36" s="145">
        <v>4</v>
      </c>
      <c r="C36" s="28" t="str">
        <f>IF(A36=0,"",VLOOKUP(A36,[2]CO!$A$3:$F$5327,2,0))</f>
        <v>Lote</v>
      </c>
      <c r="D36" s="149" t="s">
        <v>37</v>
      </c>
      <c r="E36" s="29"/>
      <c r="F36" s="29"/>
      <c r="G36" s="30" t="str">
        <f>IF(A36=0,"",VLOOKUP(A36,[2]CO!$A$3:$F$5327,3,0))</f>
        <v>LOTE</v>
      </c>
      <c r="H36" s="142"/>
      <c r="I36" s="143">
        <v>1.597</v>
      </c>
      <c r="J36" s="143"/>
      <c r="K36" s="143"/>
      <c r="L36" s="143">
        <v>8</v>
      </c>
      <c r="M36" s="32">
        <f t="shared" si="0"/>
        <v>12.776</v>
      </c>
      <c r="N36" s="32">
        <f>IF(B36=0,"",IF(H36="M",HLOOKUP(B36,$Y$12:$DT$13,2),IF(A36=0,"",VLOOKUP(A36,[2]CO!$A$3:$F$5327,4,0))))</f>
        <v>100</v>
      </c>
      <c r="O36" s="32">
        <f t="shared" si="7"/>
        <v>1277.5999999999999</v>
      </c>
      <c r="P36" s="33">
        <v>4</v>
      </c>
      <c r="Q36" s="34">
        <f t="shared" si="1"/>
        <v>5749.1999999999989</v>
      </c>
      <c r="R36" s="3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RESIDENTE"),VLOOKUP(B36,P$14:Q$77,2),"")*S36)</f>
        <v/>
      </c>
      <c r="T36" s="53">
        <f>IF(A36=0,"",VLOOKUP(A36,[2]CO!$A$3:$F$5318,5,0))</f>
        <v>0</v>
      </c>
      <c r="U36" s="54">
        <f t="shared" si="2"/>
        <v>0</v>
      </c>
      <c r="V36" s="24"/>
      <c r="W36" s="25"/>
      <c r="X36" s="25"/>
      <c r="Y36" s="64" t="str">
        <f t="shared" si="28"/>
        <v/>
      </c>
      <c r="Z36" s="55" t="str">
        <f t="shared" si="28"/>
        <v/>
      </c>
      <c r="AA36" s="55" t="str">
        <f t="shared" si="28"/>
        <v/>
      </c>
      <c r="AB36" s="55">
        <f t="shared" si="28"/>
        <v>0</v>
      </c>
      <c r="AC36" s="55" t="str">
        <f t="shared" si="28"/>
        <v/>
      </c>
      <c r="AD36" s="55" t="str">
        <f t="shared" si="28"/>
        <v/>
      </c>
      <c r="AE36" s="55" t="str">
        <f t="shared" si="28"/>
        <v/>
      </c>
      <c r="AF36" s="55" t="str">
        <f t="shared" si="28"/>
        <v/>
      </c>
      <c r="AG36" s="55" t="str">
        <f t="shared" si="28"/>
        <v/>
      </c>
      <c r="AH36" s="55" t="str">
        <f t="shared" si="28"/>
        <v/>
      </c>
      <c r="AI36" s="55" t="str">
        <f t="shared" si="28"/>
        <v/>
      </c>
      <c r="AJ36" s="55" t="str">
        <f t="shared" si="28"/>
        <v/>
      </c>
      <c r="AK36" s="55" t="str">
        <f t="shared" si="28"/>
        <v/>
      </c>
      <c r="AL36" s="55" t="str">
        <f t="shared" si="28"/>
        <v/>
      </c>
      <c r="AM36" s="55" t="str">
        <f t="shared" si="28"/>
        <v/>
      </c>
      <c r="AN36" s="55" t="str">
        <f t="shared" si="28"/>
        <v/>
      </c>
      <c r="AO36" s="55" t="str">
        <f t="shared" si="28"/>
        <v/>
      </c>
      <c r="AP36" s="55" t="str">
        <f t="shared" si="28"/>
        <v/>
      </c>
      <c r="AQ36" s="55" t="str">
        <f t="shared" si="28"/>
        <v/>
      </c>
      <c r="AR36" s="55" t="str">
        <f t="shared" si="28"/>
        <v/>
      </c>
      <c r="AS36" s="55" t="str">
        <f t="shared" si="28"/>
        <v/>
      </c>
      <c r="AT36" s="55" t="str">
        <f t="shared" si="28"/>
        <v/>
      </c>
      <c r="AU36" s="55" t="str">
        <f t="shared" si="28"/>
        <v/>
      </c>
      <c r="AV36" s="55" t="str">
        <f t="shared" si="28"/>
        <v/>
      </c>
      <c r="AW36" s="55" t="str">
        <f t="shared" si="28"/>
        <v/>
      </c>
      <c r="AX36" s="55" t="str">
        <f t="shared" si="28"/>
        <v/>
      </c>
      <c r="AY36" s="55" t="str">
        <f t="shared" si="28"/>
        <v/>
      </c>
      <c r="AZ36" s="55" t="str">
        <f t="shared" si="28"/>
        <v/>
      </c>
      <c r="BA36" s="55" t="str">
        <f t="shared" si="28"/>
        <v/>
      </c>
      <c r="BB36" s="55" t="str">
        <f t="shared" si="28"/>
        <v/>
      </c>
      <c r="BC36" s="55" t="str">
        <f t="shared" si="28"/>
        <v/>
      </c>
      <c r="BD36" s="55" t="str">
        <f t="shared" si="28"/>
        <v/>
      </c>
      <c r="BE36" s="55" t="str">
        <f t="shared" si="28"/>
        <v/>
      </c>
      <c r="BF36" s="55" t="str">
        <f t="shared" si="28"/>
        <v/>
      </c>
      <c r="BG36" s="55" t="str">
        <f t="shared" si="28"/>
        <v/>
      </c>
      <c r="BH36" s="55" t="str">
        <f t="shared" si="28"/>
        <v/>
      </c>
      <c r="BI36" s="55" t="str">
        <f t="shared" si="28"/>
        <v/>
      </c>
      <c r="BJ36" s="55" t="str">
        <f t="shared" si="28"/>
        <v/>
      </c>
      <c r="BK36" s="55" t="str">
        <f t="shared" si="28"/>
        <v/>
      </c>
      <c r="BL36" s="55" t="str">
        <f t="shared" si="28"/>
        <v/>
      </c>
      <c r="BM36" s="55" t="str">
        <f t="shared" si="28"/>
        <v/>
      </c>
      <c r="BN36" s="55" t="str">
        <f t="shared" si="26"/>
        <v/>
      </c>
      <c r="BO36" s="55" t="str">
        <f t="shared" si="26"/>
        <v/>
      </c>
      <c r="BP36" s="55" t="str">
        <f t="shared" si="26"/>
        <v/>
      </c>
      <c r="BQ36" s="55" t="str">
        <f t="shared" si="26"/>
        <v/>
      </c>
      <c r="BR36" s="55" t="str">
        <f t="shared" si="26"/>
        <v/>
      </c>
      <c r="BS36" s="55" t="str">
        <f t="shared" si="26"/>
        <v/>
      </c>
      <c r="BT36" s="55" t="str">
        <f t="shared" si="26"/>
        <v/>
      </c>
      <c r="BU36" s="55" t="str">
        <f t="shared" si="26"/>
        <v/>
      </c>
      <c r="BV36" s="55" t="str">
        <f t="shared" si="26"/>
        <v/>
      </c>
      <c r="BW36" s="55" t="str">
        <f t="shared" si="26"/>
        <v/>
      </c>
      <c r="BX36" s="55" t="str">
        <f t="shared" si="26"/>
        <v/>
      </c>
      <c r="BY36" s="55" t="str">
        <f t="shared" si="26"/>
        <v/>
      </c>
      <c r="BZ36" s="55" t="str">
        <f t="shared" si="26"/>
        <v/>
      </c>
      <c r="CA36" s="55" t="str">
        <f t="shared" si="26"/>
        <v/>
      </c>
      <c r="CB36" s="55" t="str">
        <f t="shared" si="26"/>
        <v/>
      </c>
      <c r="CC36" s="55" t="str">
        <f t="shared" si="26"/>
        <v/>
      </c>
      <c r="CD36" s="55" t="str">
        <f t="shared" si="26"/>
        <v/>
      </c>
      <c r="CE36" s="55" t="str">
        <f t="shared" si="26"/>
        <v/>
      </c>
      <c r="CF36" s="55" t="str">
        <f t="shared" si="26"/>
        <v/>
      </c>
      <c r="CG36" s="55" t="str">
        <f t="shared" si="26"/>
        <v/>
      </c>
      <c r="CH36" s="55" t="str">
        <f t="shared" si="26"/>
        <v/>
      </c>
      <c r="CI36" s="55" t="str">
        <f t="shared" si="26"/>
        <v/>
      </c>
      <c r="CJ36" s="55" t="str">
        <f t="shared" si="26"/>
        <v/>
      </c>
      <c r="CK36" s="55" t="str">
        <f t="shared" si="26"/>
        <v/>
      </c>
      <c r="CL36" s="55" t="str">
        <f t="shared" si="26"/>
        <v/>
      </c>
      <c r="CM36" s="55" t="str">
        <f t="shared" si="26"/>
        <v/>
      </c>
      <c r="CN36" s="55" t="str">
        <f t="shared" si="26"/>
        <v/>
      </c>
      <c r="CO36" s="55" t="str">
        <f t="shared" si="26"/>
        <v/>
      </c>
      <c r="CP36" s="55" t="str">
        <f t="shared" si="26"/>
        <v/>
      </c>
      <c r="CQ36" s="55" t="str">
        <f t="shared" si="26"/>
        <v/>
      </c>
      <c r="CR36" s="55" t="str">
        <f t="shared" si="26"/>
        <v/>
      </c>
      <c r="CS36" s="55" t="str">
        <f t="shared" si="26"/>
        <v/>
      </c>
      <c r="CT36" s="55" t="str">
        <f t="shared" si="26"/>
        <v/>
      </c>
      <c r="CU36" s="55" t="str">
        <f t="shared" si="26"/>
        <v/>
      </c>
      <c r="CV36" s="55" t="str">
        <f t="shared" si="26"/>
        <v/>
      </c>
      <c r="CW36" s="55" t="str">
        <f t="shared" si="26"/>
        <v/>
      </c>
      <c r="CX36" s="55" t="str">
        <f t="shared" si="26"/>
        <v/>
      </c>
      <c r="CY36" s="55" t="str">
        <f t="shared" si="26"/>
        <v/>
      </c>
      <c r="CZ36" s="55" t="str">
        <f t="shared" si="26"/>
        <v/>
      </c>
      <c r="DA36" s="55" t="str">
        <f t="shared" si="26"/>
        <v/>
      </c>
      <c r="DB36" s="55" t="str">
        <f t="shared" si="26"/>
        <v/>
      </c>
      <c r="DC36" s="55" t="str">
        <f t="shared" si="26"/>
        <v/>
      </c>
      <c r="DD36" s="55" t="str">
        <f t="shared" si="26"/>
        <v/>
      </c>
      <c r="DE36" s="55" t="str">
        <f t="shared" si="26"/>
        <v/>
      </c>
      <c r="DF36" s="55" t="str">
        <f t="shared" si="26"/>
        <v/>
      </c>
      <c r="DG36" s="55" t="str">
        <f t="shared" si="26"/>
        <v/>
      </c>
      <c r="DH36" s="55" t="str">
        <f t="shared" si="26"/>
        <v/>
      </c>
      <c r="DI36" s="55" t="str">
        <f t="shared" si="26"/>
        <v/>
      </c>
      <c r="DJ36" s="55" t="str">
        <f t="shared" si="26"/>
        <v/>
      </c>
      <c r="DK36" s="55" t="str">
        <f t="shared" si="26"/>
        <v/>
      </c>
      <c r="DL36" s="55" t="str">
        <f t="shared" si="26"/>
        <v/>
      </c>
      <c r="DM36" s="55" t="str">
        <f t="shared" si="26"/>
        <v/>
      </c>
      <c r="DN36" s="55" t="str">
        <f t="shared" si="26"/>
        <v/>
      </c>
      <c r="DO36" s="55" t="str">
        <f t="shared" si="26"/>
        <v/>
      </c>
      <c r="DP36" s="55" t="str">
        <f t="shared" si="26"/>
        <v/>
      </c>
      <c r="DQ36" s="55" t="str">
        <f t="shared" si="26"/>
        <v/>
      </c>
      <c r="DR36" s="55" t="str">
        <f t="shared" si="26"/>
        <v/>
      </c>
      <c r="DS36" s="55" t="str">
        <f t="shared" si="24"/>
        <v/>
      </c>
      <c r="DT36" s="106" t="str">
        <f t="shared" si="24"/>
        <v/>
      </c>
      <c r="DU36" s="54"/>
      <c r="DV36" s="25"/>
      <c r="DW36" s="61" t="str">
        <f t="shared" si="30"/>
        <v/>
      </c>
      <c r="DX36" s="50" t="str">
        <f t="shared" si="30"/>
        <v/>
      </c>
      <c r="DY36" s="50" t="str">
        <f t="shared" si="30"/>
        <v/>
      </c>
      <c r="DZ36" s="50">
        <f t="shared" si="30"/>
        <v>1277.5999999999999</v>
      </c>
      <c r="EA36" s="50" t="str">
        <f t="shared" si="30"/>
        <v/>
      </c>
      <c r="EB36" s="50" t="str">
        <f t="shared" si="30"/>
        <v/>
      </c>
      <c r="EC36" s="50" t="str">
        <f t="shared" si="30"/>
        <v/>
      </c>
      <c r="ED36" s="50" t="str">
        <f t="shared" si="30"/>
        <v/>
      </c>
      <c r="EE36" s="50" t="str">
        <f t="shared" si="30"/>
        <v/>
      </c>
      <c r="EF36" s="50" t="str">
        <f t="shared" si="30"/>
        <v/>
      </c>
      <c r="EG36" s="50" t="str">
        <f t="shared" si="30"/>
        <v/>
      </c>
      <c r="EH36" s="50" t="str">
        <f t="shared" si="30"/>
        <v/>
      </c>
      <c r="EI36" s="50" t="str">
        <f t="shared" si="30"/>
        <v/>
      </c>
      <c r="EJ36" s="50" t="str">
        <f t="shared" si="30"/>
        <v/>
      </c>
      <c r="EK36" s="50" t="str">
        <f t="shared" si="30"/>
        <v/>
      </c>
      <c r="EL36" s="50" t="str">
        <f t="shared" si="30"/>
        <v/>
      </c>
      <c r="EM36" s="50" t="str">
        <f t="shared" si="30"/>
        <v/>
      </c>
      <c r="EN36" s="50" t="str">
        <f t="shared" si="30"/>
        <v/>
      </c>
      <c r="EO36" s="50" t="str">
        <f t="shared" si="30"/>
        <v/>
      </c>
      <c r="EP36" s="50" t="str">
        <f t="shared" si="30"/>
        <v/>
      </c>
      <c r="EQ36" s="50" t="str">
        <f t="shared" si="30"/>
        <v/>
      </c>
      <c r="ER36" s="50" t="str">
        <f t="shared" si="30"/>
        <v/>
      </c>
      <c r="ES36" s="50" t="str">
        <f t="shared" si="30"/>
        <v/>
      </c>
      <c r="ET36" s="50" t="str">
        <f t="shared" si="30"/>
        <v/>
      </c>
      <c r="EU36" s="50" t="str">
        <f t="shared" si="30"/>
        <v/>
      </c>
      <c r="EV36" s="50" t="str">
        <f t="shared" si="30"/>
        <v/>
      </c>
      <c r="EW36" s="50" t="str">
        <f t="shared" si="30"/>
        <v/>
      </c>
      <c r="EX36" s="50" t="str">
        <f t="shared" si="30"/>
        <v/>
      </c>
      <c r="EY36" s="50" t="str">
        <f t="shared" si="30"/>
        <v/>
      </c>
      <c r="EZ36" s="50" t="str">
        <f t="shared" si="30"/>
        <v/>
      </c>
      <c r="FA36" s="50" t="str">
        <f t="shared" si="30"/>
        <v/>
      </c>
      <c r="FB36" s="50" t="str">
        <f t="shared" si="30"/>
        <v/>
      </c>
      <c r="FC36" s="50" t="str">
        <f t="shared" si="30"/>
        <v/>
      </c>
      <c r="FD36" s="50" t="str">
        <f t="shared" si="30"/>
        <v/>
      </c>
      <c r="FE36" s="50" t="str">
        <f t="shared" si="30"/>
        <v/>
      </c>
      <c r="FF36" s="50" t="str">
        <f t="shared" si="30"/>
        <v/>
      </c>
      <c r="FG36" s="50" t="str">
        <f t="shared" si="30"/>
        <v/>
      </c>
      <c r="FH36" s="50" t="str">
        <f t="shared" si="30"/>
        <v/>
      </c>
      <c r="FI36" s="50" t="str">
        <f t="shared" si="30"/>
        <v/>
      </c>
      <c r="FJ36" s="50" t="str">
        <f t="shared" si="30"/>
        <v/>
      </c>
      <c r="FK36" s="50" t="str">
        <f t="shared" si="30"/>
        <v/>
      </c>
      <c r="FL36" s="50" t="str">
        <f t="shared" si="27"/>
        <v/>
      </c>
      <c r="FM36" s="50" t="str">
        <f t="shared" si="27"/>
        <v/>
      </c>
      <c r="FN36" s="50" t="str">
        <f t="shared" si="27"/>
        <v/>
      </c>
      <c r="FO36" s="50" t="str">
        <f t="shared" si="27"/>
        <v/>
      </c>
      <c r="FP36" s="50" t="str">
        <f t="shared" si="27"/>
        <v/>
      </c>
      <c r="FQ36" s="50" t="str">
        <f t="shared" si="27"/>
        <v/>
      </c>
      <c r="FR36" s="50" t="str">
        <f t="shared" si="27"/>
        <v/>
      </c>
      <c r="FS36" s="50" t="str">
        <f t="shared" si="27"/>
        <v/>
      </c>
      <c r="FT36" s="50" t="str">
        <f t="shared" si="27"/>
        <v/>
      </c>
      <c r="FU36" s="50" t="str">
        <f t="shared" si="27"/>
        <v/>
      </c>
      <c r="FV36" s="50" t="str">
        <f t="shared" si="27"/>
        <v/>
      </c>
      <c r="FW36" s="50" t="str">
        <f t="shared" si="27"/>
        <v/>
      </c>
      <c r="FX36" s="50" t="str">
        <f t="shared" si="27"/>
        <v/>
      </c>
      <c r="FY36" s="50" t="str">
        <f t="shared" si="27"/>
        <v/>
      </c>
      <c r="FZ36" s="50" t="str">
        <f t="shared" si="27"/>
        <v/>
      </c>
      <c r="GA36" s="50" t="str">
        <f t="shared" si="27"/>
        <v/>
      </c>
      <c r="GB36" s="50" t="str">
        <f t="shared" si="27"/>
        <v/>
      </c>
      <c r="GC36" s="50" t="str">
        <f t="shared" si="27"/>
        <v/>
      </c>
      <c r="GD36" s="50" t="str">
        <f t="shared" si="27"/>
        <v/>
      </c>
      <c r="GE36" s="50" t="str">
        <f t="shared" si="27"/>
        <v/>
      </c>
      <c r="GF36" s="50" t="str">
        <f t="shared" si="27"/>
        <v/>
      </c>
      <c r="GG36" s="50" t="str">
        <f t="shared" si="27"/>
        <v/>
      </c>
      <c r="GH36" s="50" t="str">
        <f t="shared" si="27"/>
        <v/>
      </c>
      <c r="GI36" s="50" t="str">
        <f t="shared" si="27"/>
        <v/>
      </c>
      <c r="GJ36" s="50" t="str">
        <f t="shared" si="27"/>
        <v/>
      </c>
      <c r="GK36" s="50" t="str">
        <f t="shared" si="27"/>
        <v/>
      </c>
      <c r="GL36" s="50" t="str">
        <f t="shared" si="27"/>
        <v/>
      </c>
      <c r="GM36" s="50" t="str">
        <f t="shared" si="27"/>
        <v/>
      </c>
      <c r="GN36" s="50" t="str">
        <f t="shared" si="27"/>
        <v/>
      </c>
      <c r="GO36" s="50" t="str">
        <f t="shared" si="27"/>
        <v/>
      </c>
      <c r="GP36" s="50" t="str">
        <f t="shared" si="27"/>
        <v/>
      </c>
      <c r="GQ36" s="50" t="str">
        <f t="shared" si="27"/>
        <v/>
      </c>
      <c r="GR36" s="50" t="str">
        <f t="shared" si="27"/>
        <v/>
      </c>
      <c r="GS36" s="50" t="str">
        <f t="shared" si="27"/>
        <v/>
      </c>
      <c r="GT36" s="50" t="str">
        <f t="shared" si="27"/>
        <v/>
      </c>
      <c r="GU36" s="50" t="str">
        <f t="shared" si="27"/>
        <v/>
      </c>
      <c r="GV36" s="50" t="str">
        <f t="shared" si="27"/>
        <v/>
      </c>
      <c r="GW36" s="50" t="str">
        <f t="shared" si="27"/>
        <v/>
      </c>
      <c r="GX36" s="50" t="str">
        <f t="shared" si="27"/>
        <v/>
      </c>
      <c r="GY36" s="50" t="str">
        <f t="shared" si="27"/>
        <v/>
      </c>
      <c r="GZ36" s="50" t="str">
        <f t="shared" si="27"/>
        <v/>
      </c>
      <c r="HA36" s="50" t="str">
        <f t="shared" si="27"/>
        <v/>
      </c>
      <c r="HB36" s="50" t="str">
        <f t="shared" si="27"/>
        <v/>
      </c>
      <c r="HC36" s="50" t="str">
        <f t="shared" si="27"/>
        <v/>
      </c>
      <c r="HD36" s="50" t="str">
        <f t="shared" si="27"/>
        <v/>
      </c>
      <c r="HE36" s="50" t="str">
        <f t="shared" si="27"/>
        <v/>
      </c>
      <c r="HF36" s="50" t="str">
        <f t="shared" si="27"/>
        <v/>
      </c>
      <c r="HG36" s="50" t="str">
        <f t="shared" si="27"/>
        <v/>
      </c>
      <c r="HH36" s="50" t="str">
        <f t="shared" si="27"/>
        <v/>
      </c>
      <c r="HI36" s="50" t="str">
        <f t="shared" si="27"/>
        <v/>
      </c>
      <c r="HJ36" s="50" t="str">
        <f t="shared" si="27"/>
        <v/>
      </c>
      <c r="HK36" s="50" t="str">
        <f t="shared" si="27"/>
        <v/>
      </c>
      <c r="HL36" s="50" t="str">
        <f t="shared" si="27"/>
        <v/>
      </c>
      <c r="HM36" s="50" t="str">
        <f t="shared" si="27"/>
        <v/>
      </c>
      <c r="HN36" s="50" t="str">
        <f t="shared" si="27"/>
        <v/>
      </c>
      <c r="HO36" s="50" t="str">
        <f t="shared" si="27"/>
        <v/>
      </c>
      <c r="HP36" s="50" t="str">
        <f t="shared" si="27"/>
        <v/>
      </c>
      <c r="HQ36" s="50" t="str">
        <f t="shared" si="25"/>
        <v/>
      </c>
      <c r="HR36" s="112" t="str">
        <f t="shared" si="25"/>
        <v/>
      </c>
    </row>
    <row r="37" spans="1:226" ht="11.1" customHeight="1" x14ac:dyDescent="0.25">
      <c r="A37" s="26"/>
      <c r="B37" s="145"/>
      <c r="C37" s="28" t="str">
        <f>IF(A37=0,"",VLOOKUP(A37,[2]CO!$A$3:$F$5327,2,0))</f>
        <v/>
      </c>
      <c r="D37" s="178" t="s">
        <v>38</v>
      </c>
      <c r="E37" s="29"/>
      <c r="F37" s="29"/>
      <c r="G37" s="30" t="str">
        <f>IF(A37=0,"",VLOOKUP(A37,[2]CO!$A$3:$F$5327,3,0))</f>
        <v/>
      </c>
      <c r="H37" s="142"/>
      <c r="I37" s="143"/>
      <c r="J37" s="143"/>
      <c r="K37" s="143"/>
      <c r="L37" s="143"/>
      <c r="M37" s="32" t="str">
        <f t="shared" si="0"/>
        <v/>
      </c>
      <c r="N37" s="32" t="str">
        <f>IF(B37=0,"",IF(H37="M",HLOOKUP(B37,$Y$12:$DT$13,2),IF(A37=0,"",VLOOKUP(A37,[2]CO!$A$3:$F$5327,4,0))))</f>
        <v/>
      </c>
      <c r="O37" s="32" t="str">
        <f t="shared" si="7"/>
        <v/>
      </c>
      <c r="P37" s="33"/>
      <c r="Q37" s="34" t="str">
        <f t="shared" si="1"/>
        <v/>
      </c>
      <c r="R37" s="35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RESIDENTE"),VLOOKUP(B37,P$14:Q$77,2),"")*S37)</f>
        <v/>
      </c>
      <c r="T37" s="53" t="str">
        <f>IF(A37=0,"",VLOOKUP(A37,[2]CO!$A$3:$F$5318,5,0))</f>
        <v/>
      </c>
      <c r="U37" s="54">
        <f t="shared" si="2"/>
        <v>0</v>
      </c>
      <c r="V37" s="24"/>
      <c r="W37" s="25"/>
      <c r="X37" s="25"/>
      <c r="Y37" s="64" t="str">
        <f t="shared" si="28"/>
        <v/>
      </c>
      <c r="Z37" s="55" t="str">
        <f t="shared" si="28"/>
        <v/>
      </c>
      <c r="AA37" s="55" t="str">
        <f t="shared" si="28"/>
        <v/>
      </c>
      <c r="AB37" s="55" t="str">
        <f t="shared" si="28"/>
        <v/>
      </c>
      <c r="AC37" s="55" t="str">
        <f t="shared" si="28"/>
        <v/>
      </c>
      <c r="AD37" s="55" t="str">
        <f t="shared" si="28"/>
        <v/>
      </c>
      <c r="AE37" s="55" t="str">
        <f t="shared" si="28"/>
        <v/>
      </c>
      <c r="AF37" s="55" t="str">
        <f t="shared" si="28"/>
        <v/>
      </c>
      <c r="AG37" s="55" t="str">
        <f t="shared" si="28"/>
        <v/>
      </c>
      <c r="AH37" s="55" t="str">
        <f t="shared" si="28"/>
        <v/>
      </c>
      <c r="AI37" s="55" t="str">
        <f t="shared" si="28"/>
        <v/>
      </c>
      <c r="AJ37" s="55" t="str">
        <f t="shared" si="28"/>
        <v/>
      </c>
      <c r="AK37" s="55" t="str">
        <f t="shared" si="28"/>
        <v/>
      </c>
      <c r="AL37" s="55" t="str">
        <f t="shared" si="28"/>
        <v/>
      </c>
      <c r="AM37" s="55" t="str">
        <f t="shared" si="28"/>
        <v/>
      </c>
      <c r="AN37" s="55" t="str">
        <f t="shared" si="28"/>
        <v/>
      </c>
      <c r="AO37" s="55" t="str">
        <f t="shared" si="28"/>
        <v/>
      </c>
      <c r="AP37" s="55" t="str">
        <f t="shared" si="28"/>
        <v/>
      </c>
      <c r="AQ37" s="55" t="str">
        <f t="shared" si="28"/>
        <v/>
      </c>
      <c r="AR37" s="55" t="str">
        <f t="shared" si="28"/>
        <v/>
      </c>
      <c r="AS37" s="55" t="str">
        <f t="shared" si="28"/>
        <v/>
      </c>
      <c r="AT37" s="55" t="str">
        <f t="shared" si="28"/>
        <v/>
      </c>
      <c r="AU37" s="55" t="str">
        <f t="shared" si="28"/>
        <v/>
      </c>
      <c r="AV37" s="55" t="str">
        <f t="shared" si="28"/>
        <v/>
      </c>
      <c r="AW37" s="55" t="str">
        <f t="shared" si="28"/>
        <v/>
      </c>
      <c r="AX37" s="55" t="str">
        <f t="shared" si="28"/>
        <v/>
      </c>
      <c r="AY37" s="55" t="str">
        <f t="shared" si="28"/>
        <v/>
      </c>
      <c r="AZ37" s="55" t="str">
        <f t="shared" si="28"/>
        <v/>
      </c>
      <c r="BA37" s="55" t="str">
        <f t="shared" si="28"/>
        <v/>
      </c>
      <c r="BB37" s="55" t="str">
        <f t="shared" si="28"/>
        <v/>
      </c>
      <c r="BC37" s="55" t="str">
        <f t="shared" si="28"/>
        <v/>
      </c>
      <c r="BD37" s="55" t="str">
        <f t="shared" si="28"/>
        <v/>
      </c>
      <c r="BE37" s="55" t="str">
        <f t="shared" si="28"/>
        <v/>
      </c>
      <c r="BF37" s="55" t="str">
        <f t="shared" si="28"/>
        <v/>
      </c>
      <c r="BG37" s="55" t="str">
        <f t="shared" si="28"/>
        <v/>
      </c>
      <c r="BH37" s="55" t="str">
        <f t="shared" si="28"/>
        <v/>
      </c>
      <c r="BI37" s="55" t="str">
        <f t="shared" si="28"/>
        <v/>
      </c>
      <c r="BJ37" s="55" t="str">
        <f t="shared" si="28"/>
        <v/>
      </c>
      <c r="BK37" s="55" t="str">
        <f t="shared" si="28"/>
        <v/>
      </c>
      <c r="BL37" s="55" t="str">
        <f t="shared" si="28"/>
        <v/>
      </c>
      <c r="BM37" s="55" t="str">
        <f t="shared" si="28"/>
        <v/>
      </c>
      <c r="BN37" s="55" t="str">
        <f t="shared" si="28"/>
        <v/>
      </c>
      <c r="BO37" s="55" t="str">
        <f t="shared" si="28"/>
        <v/>
      </c>
      <c r="BP37" s="55" t="str">
        <f t="shared" si="28"/>
        <v/>
      </c>
      <c r="BQ37" s="55" t="str">
        <f t="shared" si="28"/>
        <v/>
      </c>
      <c r="BR37" s="55" t="str">
        <f t="shared" si="28"/>
        <v/>
      </c>
      <c r="BS37" s="55" t="str">
        <f t="shared" si="28"/>
        <v/>
      </c>
      <c r="BT37" s="55" t="str">
        <f t="shared" si="28"/>
        <v/>
      </c>
      <c r="BU37" s="55" t="str">
        <f t="shared" si="28"/>
        <v/>
      </c>
      <c r="BV37" s="55" t="str">
        <f t="shared" si="28"/>
        <v/>
      </c>
      <c r="BW37" s="55" t="str">
        <f t="shared" si="28"/>
        <v/>
      </c>
      <c r="BX37" s="55" t="str">
        <f t="shared" si="28"/>
        <v/>
      </c>
      <c r="BY37" s="55" t="str">
        <f t="shared" si="28"/>
        <v/>
      </c>
      <c r="BZ37" s="55" t="str">
        <f t="shared" si="28"/>
        <v/>
      </c>
      <c r="CA37" s="55" t="str">
        <f t="shared" si="28"/>
        <v/>
      </c>
      <c r="CB37" s="55" t="str">
        <f t="shared" si="28"/>
        <v/>
      </c>
      <c r="CC37" s="55" t="str">
        <f t="shared" si="28"/>
        <v/>
      </c>
      <c r="CD37" s="55" t="str">
        <f t="shared" si="28"/>
        <v/>
      </c>
      <c r="CE37" s="55" t="str">
        <f t="shared" si="28"/>
        <v/>
      </c>
      <c r="CF37" s="55" t="str">
        <f t="shared" si="28"/>
        <v/>
      </c>
      <c r="CG37" s="55" t="str">
        <f t="shared" si="28"/>
        <v/>
      </c>
      <c r="CH37" s="55" t="str">
        <f t="shared" si="28"/>
        <v/>
      </c>
      <c r="CI37" s="55" t="str">
        <f t="shared" si="28"/>
        <v/>
      </c>
      <c r="CJ37" s="55" t="str">
        <f t="shared" si="26"/>
        <v/>
      </c>
      <c r="CK37" s="55" t="str">
        <f t="shared" si="26"/>
        <v/>
      </c>
      <c r="CL37" s="55" t="str">
        <f t="shared" si="26"/>
        <v/>
      </c>
      <c r="CM37" s="55" t="str">
        <f t="shared" si="26"/>
        <v/>
      </c>
      <c r="CN37" s="55" t="str">
        <f t="shared" si="26"/>
        <v/>
      </c>
      <c r="CO37" s="55" t="str">
        <f t="shared" si="26"/>
        <v/>
      </c>
      <c r="CP37" s="55" t="str">
        <f t="shared" si="26"/>
        <v/>
      </c>
      <c r="CQ37" s="55" t="str">
        <f t="shared" si="26"/>
        <v/>
      </c>
      <c r="CR37" s="55" t="str">
        <f t="shared" si="26"/>
        <v/>
      </c>
      <c r="CS37" s="55" t="str">
        <f t="shared" si="26"/>
        <v/>
      </c>
      <c r="CT37" s="55" t="str">
        <f t="shared" si="26"/>
        <v/>
      </c>
      <c r="CU37" s="55" t="str">
        <f t="shared" si="26"/>
        <v/>
      </c>
      <c r="CV37" s="55" t="str">
        <f t="shared" si="26"/>
        <v/>
      </c>
      <c r="CW37" s="55" t="str">
        <f t="shared" si="26"/>
        <v/>
      </c>
      <c r="CX37" s="55" t="str">
        <f t="shared" si="26"/>
        <v/>
      </c>
      <c r="CY37" s="55" t="str">
        <f t="shared" si="26"/>
        <v/>
      </c>
      <c r="CZ37" s="55" t="str">
        <f t="shared" si="26"/>
        <v/>
      </c>
      <c r="DA37" s="55" t="str">
        <f t="shared" si="26"/>
        <v/>
      </c>
      <c r="DB37" s="55" t="str">
        <f t="shared" si="26"/>
        <v/>
      </c>
      <c r="DC37" s="55" t="str">
        <f t="shared" si="26"/>
        <v/>
      </c>
      <c r="DD37" s="55" t="str">
        <f t="shared" si="26"/>
        <v/>
      </c>
      <c r="DE37" s="55" t="str">
        <f t="shared" si="26"/>
        <v/>
      </c>
      <c r="DF37" s="55" t="str">
        <f t="shared" si="26"/>
        <v/>
      </c>
      <c r="DG37" s="55" t="str">
        <f t="shared" si="26"/>
        <v/>
      </c>
      <c r="DH37" s="55" t="str">
        <f t="shared" si="26"/>
        <v/>
      </c>
      <c r="DI37" s="55" t="str">
        <f t="shared" si="26"/>
        <v/>
      </c>
      <c r="DJ37" s="55" t="str">
        <f t="shared" si="26"/>
        <v/>
      </c>
      <c r="DK37" s="55" t="str">
        <f t="shared" si="26"/>
        <v/>
      </c>
      <c r="DL37" s="55" t="str">
        <f t="shared" si="26"/>
        <v/>
      </c>
      <c r="DM37" s="55" t="str">
        <f t="shared" si="26"/>
        <v/>
      </c>
      <c r="DN37" s="55" t="str">
        <f t="shared" si="26"/>
        <v/>
      </c>
      <c r="DO37" s="55" t="str">
        <f t="shared" si="26"/>
        <v/>
      </c>
      <c r="DP37" s="55" t="str">
        <f t="shared" si="26"/>
        <v/>
      </c>
      <c r="DQ37" s="55" t="str">
        <f t="shared" si="26"/>
        <v/>
      </c>
      <c r="DR37" s="55" t="str">
        <f t="shared" si="26"/>
        <v/>
      </c>
      <c r="DS37" s="55" t="str">
        <f t="shared" si="24"/>
        <v/>
      </c>
      <c r="DT37" s="106" t="str">
        <f t="shared" si="24"/>
        <v/>
      </c>
      <c r="DU37" s="54"/>
      <c r="DV37" s="25"/>
      <c r="DW37" s="61" t="str">
        <f t="shared" si="30"/>
        <v/>
      </c>
      <c r="DX37" s="50" t="str">
        <f t="shared" si="30"/>
        <v/>
      </c>
      <c r="DY37" s="50" t="str">
        <f t="shared" si="30"/>
        <v/>
      </c>
      <c r="DZ37" s="50" t="str">
        <f t="shared" si="30"/>
        <v/>
      </c>
      <c r="EA37" s="50" t="str">
        <f t="shared" si="30"/>
        <v/>
      </c>
      <c r="EB37" s="50" t="str">
        <f t="shared" si="30"/>
        <v/>
      </c>
      <c r="EC37" s="50" t="str">
        <f t="shared" si="30"/>
        <v/>
      </c>
      <c r="ED37" s="50" t="str">
        <f t="shared" si="30"/>
        <v/>
      </c>
      <c r="EE37" s="50" t="str">
        <f t="shared" si="30"/>
        <v/>
      </c>
      <c r="EF37" s="50" t="str">
        <f t="shared" si="30"/>
        <v/>
      </c>
      <c r="EG37" s="50" t="str">
        <f t="shared" si="30"/>
        <v/>
      </c>
      <c r="EH37" s="50" t="str">
        <f t="shared" si="30"/>
        <v/>
      </c>
      <c r="EI37" s="50" t="str">
        <f t="shared" si="30"/>
        <v/>
      </c>
      <c r="EJ37" s="50" t="str">
        <f t="shared" si="30"/>
        <v/>
      </c>
      <c r="EK37" s="50" t="str">
        <f t="shared" si="30"/>
        <v/>
      </c>
      <c r="EL37" s="50" t="str">
        <f t="shared" si="30"/>
        <v/>
      </c>
      <c r="EM37" s="50" t="str">
        <f t="shared" si="30"/>
        <v/>
      </c>
      <c r="EN37" s="50" t="str">
        <f t="shared" si="30"/>
        <v/>
      </c>
      <c r="EO37" s="50" t="str">
        <f t="shared" si="30"/>
        <v/>
      </c>
      <c r="EP37" s="50" t="str">
        <f t="shared" si="30"/>
        <v/>
      </c>
      <c r="EQ37" s="50" t="str">
        <f t="shared" si="30"/>
        <v/>
      </c>
      <c r="ER37" s="50" t="str">
        <f t="shared" si="30"/>
        <v/>
      </c>
      <c r="ES37" s="50" t="str">
        <f t="shared" si="30"/>
        <v/>
      </c>
      <c r="ET37" s="50" t="str">
        <f t="shared" si="30"/>
        <v/>
      </c>
      <c r="EU37" s="50" t="str">
        <f t="shared" si="30"/>
        <v/>
      </c>
      <c r="EV37" s="50" t="str">
        <f t="shared" si="30"/>
        <v/>
      </c>
      <c r="EW37" s="50" t="str">
        <f t="shared" si="30"/>
        <v/>
      </c>
      <c r="EX37" s="50" t="str">
        <f t="shared" si="30"/>
        <v/>
      </c>
      <c r="EY37" s="50" t="str">
        <f t="shared" si="30"/>
        <v/>
      </c>
      <c r="EZ37" s="50" t="str">
        <f t="shared" si="30"/>
        <v/>
      </c>
      <c r="FA37" s="50" t="str">
        <f t="shared" si="30"/>
        <v/>
      </c>
      <c r="FB37" s="50" t="str">
        <f t="shared" si="30"/>
        <v/>
      </c>
      <c r="FC37" s="50" t="str">
        <f t="shared" si="30"/>
        <v/>
      </c>
      <c r="FD37" s="50" t="str">
        <f t="shared" si="30"/>
        <v/>
      </c>
      <c r="FE37" s="50" t="str">
        <f t="shared" si="30"/>
        <v/>
      </c>
      <c r="FF37" s="50" t="str">
        <f t="shared" si="30"/>
        <v/>
      </c>
      <c r="FG37" s="50" t="str">
        <f t="shared" si="30"/>
        <v/>
      </c>
      <c r="FH37" s="50" t="str">
        <f t="shared" si="30"/>
        <v/>
      </c>
      <c r="FI37" s="50" t="str">
        <f t="shared" si="30"/>
        <v/>
      </c>
      <c r="FJ37" s="50" t="str">
        <f t="shared" si="30"/>
        <v/>
      </c>
      <c r="FK37" s="50" t="str">
        <f t="shared" si="30"/>
        <v/>
      </c>
      <c r="FL37" s="50" t="str">
        <f t="shared" si="30"/>
        <v/>
      </c>
      <c r="FM37" s="50" t="str">
        <f t="shared" si="30"/>
        <v/>
      </c>
      <c r="FN37" s="50" t="str">
        <f t="shared" si="30"/>
        <v/>
      </c>
      <c r="FO37" s="50" t="str">
        <f t="shared" si="30"/>
        <v/>
      </c>
      <c r="FP37" s="50" t="str">
        <f t="shared" si="30"/>
        <v/>
      </c>
      <c r="FQ37" s="50" t="str">
        <f t="shared" si="30"/>
        <v/>
      </c>
      <c r="FR37" s="50" t="str">
        <f t="shared" si="30"/>
        <v/>
      </c>
      <c r="FS37" s="50" t="str">
        <f t="shared" si="30"/>
        <v/>
      </c>
      <c r="FT37" s="50" t="str">
        <f t="shared" si="30"/>
        <v/>
      </c>
      <c r="FU37" s="50" t="str">
        <f t="shared" si="30"/>
        <v/>
      </c>
      <c r="FV37" s="50" t="str">
        <f t="shared" si="30"/>
        <v/>
      </c>
      <c r="FW37" s="50" t="str">
        <f t="shared" si="30"/>
        <v/>
      </c>
      <c r="FX37" s="50" t="str">
        <f t="shared" si="30"/>
        <v/>
      </c>
      <c r="FY37" s="50" t="str">
        <f t="shared" si="30"/>
        <v/>
      </c>
      <c r="FZ37" s="50" t="str">
        <f t="shared" si="30"/>
        <v/>
      </c>
      <c r="GA37" s="50" t="str">
        <f t="shared" si="30"/>
        <v/>
      </c>
      <c r="GB37" s="50" t="str">
        <f t="shared" si="30"/>
        <v/>
      </c>
      <c r="GC37" s="50" t="str">
        <f t="shared" si="30"/>
        <v/>
      </c>
      <c r="GD37" s="50" t="str">
        <f t="shared" si="30"/>
        <v/>
      </c>
      <c r="GE37" s="50" t="str">
        <f t="shared" si="30"/>
        <v/>
      </c>
      <c r="GF37" s="50" t="str">
        <f t="shared" si="30"/>
        <v/>
      </c>
      <c r="GG37" s="50" t="str">
        <f t="shared" si="30"/>
        <v/>
      </c>
      <c r="GH37" s="50" t="str">
        <f t="shared" si="27"/>
        <v/>
      </c>
      <c r="GI37" s="50" t="str">
        <f t="shared" si="27"/>
        <v/>
      </c>
      <c r="GJ37" s="50" t="str">
        <f t="shared" si="27"/>
        <v/>
      </c>
      <c r="GK37" s="50" t="str">
        <f t="shared" si="27"/>
        <v/>
      </c>
      <c r="GL37" s="50" t="str">
        <f t="shared" si="27"/>
        <v/>
      </c>
      <c r="GM37" s="50" t="str">
        <f t="shared" si="27"/>
        <v/>
      </c>
      <c r="GN37" s="50" t="str">
        <f t="shared" si="27"/>
        <v/>
      </c>
      <c r="GO37" s="50" t="str">
        <f t="shared" si="27"/>
        <v/>
      </c>
      <c r="GP37" s="50" t="str">
        <f t="shared" si="27"/>
        <v/>
      </c>
      <c r="GQ37" s="50" t="str">
        <f t="shared" si="27"/>
        <v/>
      </c>
      <c r="GR37" s="50" t="str">
        <f t="shared" si="27"/>
        <v/>
      </c>
      <c r="GS37" s="50" t="str">
        <f t="shared" si="27"/>
        <v/>
      </c>
      <c r="GT37" s="50" t="str">
        <f t="shared" si="27"/>
        <v/>
      </c>
      <c r="GU37" s="50" t="str">
        <f t="shared" si="27"/>
        <v/>
      </c>
      <c r="GV37" s="50" t="str">
        <f t="shared" si="27"/>
        <v/>
      </c>
      <c r="GW37" s="50" t="str">
        <f t="shared" si="27"/>
        <v/>
      </c>
      <c r="GX37" s="50" t="str">
        <f t="shared" si="27"/>
        <v/>
      </c>
      <c r="GY37" s="50" t="str">
        <f t="shared" si="27"/>
        <v/>
      </c>
      <c r="GZ37" s="50" t="str">
        <f t="shared" si="27"/>
        <v/>
      </c>
      <c r="HA37" s="50" t="str">
        <f t="shared" si="27"/>
        <v/>
      </c>
      <c r="HB37" s="50" t="str">
        <f t="shared" si="27"/>
        <v/>
      </c>
      <c r="HC37" s="50" t="str">
        <f t="shared" si="27"/>
        <v/>
      </c>
      <c r="HD37" s="50" t="str">
        <f t="shared" si="27"/>
        <v/>
      </c>
      <c r="HE37" s="50" t="str">
        <f t="shared" si="27"/>
        <v/>
      </c>
      <c r="HF37" s="50" t="str">
        <f t="shared" si="27"/>
        <v/>
      </c>
      <c r="HG37" s="50" t="str">
        <f t="shared" si="27"/>
        <v/>
      </c>
      <c r="HH37" s="50" t="str">
        <f t="shared" si="27"/>
        <v/>
      </c>
      <c r="HI37" s="50" t="str">
        <f t="shared" si="27"/>
        <v/>
      </c>
      <c r="HJ37" s="50" t="str">
        <f t="shared" si="27"/>
        <v/>
      </c>
      <c r="HK37" s="50" t="str">
        <f t="shared" si="27"/>
        <v/>
      </c>
      <c r="HL37" s="50" t="str">
        <f t="shared" si="27"/>
        <v/>
      </c>
      <c r="HM37" s="50" t="str">
        <f t="shared" si="27"/>
        <v/>
      </c>
      <c r="HN37" s="50" t="str">
        <f t="shared" si="27"/>
        <v/>
      </c>
      <c r="HO37" s="50" t="str">
        <f t="shared" si="27"/>
        <v/>
      </c>
      <c r="HP37" s="50" t="str">
        <f t="shared" si="27"/>
        <v/>
      </c>
      <c r="HQ37" s="50" t="str">
        <f t="shared" si="25"/>
        <v/>
      </c>
      <c r="HR37" s="112" t="str">
        <f t="shared" si="25"/>
        <v/>
      </c>
    </row>
    <row r="38" spans="1:226" ht="11.1" customHeight="1" x14ac:dyDescent="0.25">
      <c r="A38" s="26"/>
      <c r="B38" s="145"/>
      <c r="C38" s="28" t="str">
        <f>IF(A38=0,"",VLOOKUP(A38,[2]CO!$A$3:$F$5327,2,0))</f>
        <v/>
      </c>
      <c r="D38" s="149" t="s">
        <v>39</v>
      </c>
      <c r="E38" s="29"/>
      <c r="F38" s="29"/>
      <c r="G38" s="30" t="str">
        <f>IF(A38=0,"",VLOOKUP(A38,[2]CO!$A$3:$F$5327,3,0))</f>
        <v/>
      </c>
      <c r="H38" s="142"/>
      <c r="I38" s="143"/>
      <c r="J38" s="143"/>
      <c r="K38" s="143"/>
      <c r="L38" s="143"/>
      <c r="M38" s="32" t="str">
        <f t="shared" si="0"/>
        <v/>
      </c>
      <c r="N38" s="32" t="str">
        <f>IF(B38=0,"",IF(H38="M",HLOOKUP(B38,$Y$12:$DT$13,2),IF(A38=0,"",VLOOKUP(A38,[2]CO!$A$3:$F$5327,4,0))))</f>
        <v/>
      </c>
      <c r="O38" s="32" t="str">
        <f t="shared" si="7"/>
        <v/>
      </c>
      <c r="P38" s="33"/>
      <c r="Q38" s="34" t="str">
        <f t="shared" si="1"/>
        <v/>
      </c>
      <c r="R38" s="35" t="str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RESIDENTE"),VLOOKUP(B38,P$14:Q$77,2),"")*S38)</f>
        <v/>
      </c>
      <c r="T38" s="53" t="str">
        <f>IF(A38=0,"",VLOOKUP(A38,[2]CO!$A$3:$F$5318,5,0))</f>
        <v/>
      </c>
      <c r="U38" s="54">
        <f t="shared" si="2"/>
        <v>0</v>
      </c>
      <c r="V38" s="24"/>
      <c r="W38" s="25"/>
      <c r="X38" s="25"/>
      <c r="Y38" s="64" t="str">
        <f t="shared" si="28"/>
        <v/>
      </c>
      <c r="Z38" s="55" t="str">
        <f t="shared" si="28"/>
        <v/>
      </c>
      <c r="AA38" s="55" t="str">
        <f t="shared" si="28"/>
        <v/>
      </c>
      <c r="AB38" s="55" t="str">
        <f t="shared" si="28"/>
        <v/>
      </c>
      <c r="AC38" s="55" t="str">
        <f t="shared" si="28"/>
        <v/>
      </c>
      <c r="AD38" s="55" t="str">
        <f t="shared" si="28"/>
        <v/>
      </c>
      <c r="AE38" s="55" t="str">
        <f t="shared" si="28"/>
        <v/>
      </c>
      <c r="AF38" s="55" t="str">
        <f t="shared" si="28"/>
        <v/>
      </c>
      <c r="AG38" s="55" t="str">
        <f t="shared" si="28"/>
        <v/>
      </c>
      <c r="AH38" s="55" t="str">
        <f t="shared" si="28"/>
        <v/>
      </c>
      <c r="AI38" s="55" t="str">
        <f t="shared" si="28"/>
        <v/>
      </c>
      <c r="AJ38" s="55" t="str">
        <f t="shared" si="28"/>
        <v/>
      </c>
      <c r="AK38" s="55" t="str">
        <f t="shared" si="28"/>
        <v/>
      </c>
      <c r="AL38" s="55" t="str">
        <f t="shared" si="28"/>
        <v/>
      </c>
      <c r="AM38" s="55" t="str">
        <f t="shared" si="28"/>
        <v/>
      </c>
      <c r="AN38" s="55" t="str">
        <f t="shared" si="28"/>
        <v/>
      </c>
      <c r="AO38" s="55" t="str">
        <f t="shared" si="28"/>
        <v/>
      </c>
      <c r="AP38" s="55" t="str">
        <f t="shared" si="28"/>
        <v/>
      </c>
      <c r="AQ38" s="55" t="str">
        <f t="shared" si="28"/>
        <v/>
      </c>
      <c r="AR38" s="55" t="str">
        <f t="shared" si="28"/>
        <v/>
      </c>
      <c r="AS38" s="55" t="str">
        <f t="shared" si="28"/>
        <v/>
      </c>
      <c r="AT38" s="55" t="str">
        <f t="shared" si="28"/>
        <v/>
      </c>
      <c r="AU38" s="55" t="str">
        <f t="shared" si="28"/>
        <v/>
      </c>
      <c r="AV38" s="55" t="str">
        <f t="shared" si="28"/>
        <v/>
      </c>
      <c r="AW38" s="55" t="str">
        <f t="shared" si="28"/>
        <v/>
      </c>
      <c r="AX38" s="55" t="str">
        <f t="shared" si="28"/>
        <v/>
      </c>
      <c r="AY38" s="55" t="str">
        <f t="shared" si="28"/>
        <v/>
      </c>
      <c r="AZ38" s="55" t="str">
        <f t="shared" si="28"/>
        <v/>
      </c>
      <c r="BA38" s="55" t="str">
        <f t="shared" si="28"/>
        <v/>
      </c>
      <c r="BB38" s="55" t="str">
        <f t="shared" si="28"/>
        <v/>
      </c>
      <c r="BC38" s="55" t="str">
        <f t="shared" si="28"/>
        <v/>
      </c>
      <c r="BD38" s="55" t="str">
        <f t="shared" si="28"/>
        <v/>
      </c>
      <c r="BE38" s="55" t="str">
        <f t="shared" si="28"/>
        <v/>
      </c>
      <c r="BF38" s="55" t="str">
        <f t="shared" si="28"/>
        <v/>
      </c>
      <c r="BG38" s="55" t="str">
        <f t="shared" si="28"/>
        <v/>
      </c>
      <c r="BH38" s="55" t="str">
        <f t="shared" si="28"/>
        <v/>
      </c>
      <c r="BI38" s="55" t="str">
        <f t="shared" si="28"/>
        <v/>
      </c>
      <c r="BJ38" s="55" t="str">
        <f t="shared" si="28"/>
        <v/>
      </c>
      <c r="BK38" s="55" t="str">
        <f t="shared" si="28"/>
        <v/>
      </c>
      <c r="BL38" s="55" t="str">
        <f t="shared" si="28"/>
        <v/>
      </c>
      <c r="BM38" s="55" t="str">
        <f t="shared" si="28"/>
        <v/>
      </c>
      <c r="BN38" s="55" t="str">
        <f t="shared" si="28"/>
        <v/>
      </c>
      <c r="BO38" s="55" t="str">
        <f t="shared" si="28"/>
        <v/>
      </c>
      <c r="BP38" s="55" t="str">
        <f t="shared" si="28"/>
        <v/>
      </c>
      <c r="BQ38" s="55" t="str">
        <f t="shared" si="28"/>
        <v/>
      </c>
      <c r="BR38" s="55" t="str">
        <f t="shared" si="28"/>
        <v/>
      </c>
      <c r="BS38" s="55" t="str">
        <f t="shared" si="28"/>
        <v/>
      </c>
      <c r="BT38" s="55" t="str">
        <f t="shared" si="28"/>
        <v/>
      </c>
      <c r="BU38" s="55" t="str">
        <f t="shared" si="28"/>
        <v/>
      </c>
      <c r="BV38" s="55" t="str">
        <f t="shared" si="28"/>
        <v/>
      </c>
      <c r="BW38" s="55" t="str">
        <f t="shared" si="28"/>
        <v/>
      </c>
      <c r="BX38" s="55" t="str">
        <f t="shared" si="28"/>
        <v/>
      </c>
      <c r="BY38" s="55" t="str">
        <f t="shared" si="28"/>
        <v/>
      </c>
      <c r="BZ38" s="55" t="str">
        <f t="shared" si="28"/>
        <v/>
      </c>
      <c r="CA38" s="55" t="str">
        <f t="shared" si="28"/>
        <v/>
      </c>
      <c r="CB38" s="55" t="str">
        <f t="shared" si="28"/>
        <v/>
      </c>
      <c r="CC38" s="55" t="str">
        <f t="shared" si="28"/>
        <v/>
      </c>
      <c r="CD38" s="55" t="str">
        <f t="shared" si="28"/>
        <v/>
      </c>
      <c r="CE38" s="55" t="str">
        <f t="shared" si="28"/>
        <v/>
      </c>
      <c r="CF38" s="55" t="str">
        <f t="shared" si="28"/>
        <v/>
      </c>
      <c r="CG38" s="55" t="str">
        <f t="shared" si="28"/>
        <v/>
      </c>
      <c r="CH38" s="55" t="str">
        <f t="shared" si="28"/>
        <v/>
      </c>
      <c r="CI38" s="55" t="str">
        <f t="shared" si="28"/>
        <v/>
      </c>
      <c r="CJ38" s="55" t="str">
        <f t="shared" si="26"/>
        <v/>
      </c>
      <c r="CK38" s="55" t="str">
        <f t="shared" si="26"/>
        <v/>
      </c>
      <c r="CL38" s="55" t="str">
        <f t="shared" si="26"/>
        <v/>
      </c>
      <c r="CM38" s="55" t="str">
        <f t="shared" si="26"/>
        <v/>
      </c>
      <c r="CN38" s="55" t="str">
        <f t="shared" si="26"/>
        <v/>
      </c>
      <c r="CO38" s="55" t="str">
        <f t="shared" si="26"/>
        <v/>
      </c>
      <c r="CP38" s="55" t="str">
        <f t="shared" si="26"/>
        <v/>
      </c>
      <c r="CQ38" s="55" t="str">
        <f t="shared" si="26"/>
        <v/>
      </c>
      <c r="CR38" s="55" t="str">
        <f t="shared" si="26"/>
        <v/>
      </c>
      <c r="CS38" s="55" t="str">
        <f t="shared" si="26"/>
        <v/>
      </c>
      <c r="CT38" s="55" t="str">
        <f t="shared" si="26"/>
        <v/>
      </c>
      <c r="CU38" s="55" t="str">
        <f t="shared" si="26"/>
        <v/>
      </c>
      <c r="CV38" s="55" t="str">
        <f t="shared" si="26"/>
        <v/>
      </c>
      <c r="CW38" s="55" t="str">
        <f t="shared" si="26"/>
        <v/>
      </c>
      <c r="CX38" s="55" t="str">
        <f t="shared" si="26"/>
        <v/>
      </c>
      <c r="CY38" s="55" t="str">
        <f t="shared" si="26"/>
        <v/>
      </c>
      <c r="CZ38" s="55" t="str">
        <f t="shared" si="26"/>
        <v/>
      </c>
      <c r="DA38" s="55" t="str">
        <f t="shared" si="26"/>
        <v/>
      </c>
      <c r="DB38" s="55" t="str">
        <f t="shared" si="26"/>
        <v/>
      </c>
      <c r="DC38" s="55" t="str">
        <f t="shared" si="26"/>
        <v/>
      </c>
      <c r="DD38" s="55" t="str">
        <f t="shared" si="26"/>
        <v/>
      </c>
      <c r="DE38" s="55" t="str">
        <f t="shared" si="26"/>
        <v/>
      </c>
      <c r="DF38" s="55" t="str">
        <f t="shared" si="26"/>
        <v/>
      </c>
      <c r="DG38" s="55" t="str">
        <f t="shared" si="26"/>
        <v/>
      </c>
      <c r="DH38" s="55" t="str">
        <f t="shared" si="26"/>
        <v/>
      </c>
      <c r="DI38" s="55" t="str">
        <f t="shared" si="26"/>
        <v/>
      </c>
      <c r="DJ38" s="55" t="str">
        <f t="shared" si="26"/>
        <v/>
      </c>
      <c r="DK38" s="55" t="str">
        <f t="shared" si="26"/>
        <v/>
      </c>
      <c r="DL38" s="55" t="str">
        <f t="shared" si="26"/>
        <v/>
      </c>
      <c r="DM38" s="55" t="str">
        <f t="shared" si="26"/>
        <v/>
      </c>
      <c r="DN38" s="55" t="str">
        <f t="shared" si="26"/>
        <v/>
      </c>
      <c r="DO38" s="55" t="str">
        <f t="shared" si="26"/>
        <v/>
      </c>
      <c r="DP38" s="55" t="str">
        <f t="shared" si="26"/>
        <v/>
      </c>
      <c r="DQ38" s="55" t="str">
        <f t="shared" si="26"/>
        <v/>
      </c>
      <c r="DR38" s="55" t="str">
        <f t="shared" si="26"/>
        <v/>
      </c>
      <c r="DS38" s="55" t="str">
        <f t="shared" si="24"/>
        <v/>
      </c>
      <c r="DT38" s="106" t="str">
        <f t="shared" si="24"/>
        <v/>
      </c>
      <c r="DU38" s="54"/>
      <c r="DV38" s="25"/>
      <c r="DW38" s="61" t="str">
        <f t="shared" si="30"/>
        <v/>
      </c>
      <c r="DX38" s="50" t="str">
        <f t="shared" si="30"/>
        <v/>
      </c>
      <c r="DY38" s="50" t="str">
        <f t="shared" si="30"/>
        <v/>
      </c>
      <c r="DZ38" s="50" t="str">
        <f t="shared" si="30"/>
        <v/>
      </c>
      <c r="EA38" s="50" t="str">
        <f t="shared" si="30"/>
        <v/>
      </c>
      <c r="EB38" s="50" t="str">
        <f t="shared" si="30"/>
        <v/>
      </c>
      <c r="EC38" s="50" t="str">
        <f t="shared" si="30"/>
        <v/>
      </c>
      <c r="ED38" s="50" t="str">
        <f t="shared" si="30"/>
        <v/>
      </c>
      <c r="EE38" s="50" t="str">
        <f t="shared" si="30"/>
        <v/>
      </c>
      <c r="EF38" s="50" t="str">
        <f t="shared" si="30"/>
        <v/>
      </c>
      <c r="EG38" s="50" t="str">
        <f t="shared" si="30"/>
        <v/>
      </c>
      <c r="EH38" s="50" t="str">
        <f t="shared" si="30"/>
        <v/>
      </c>
      <c r="EI38" s="50" t="str">
        <f t="shared" si="30"/>
        <v/>
      </c>
      <c r="EJ38" s="50" t="str">
        <f t="shared" si="30"/>
        <v/>
      </c>
      <c r="EK38" s="50" t="str">
        <f t="shared" si="30"/>
        <v/>
      </c>
      <c r="EL38" s="50" t="str">
        <f t="shared" si="30"/>
        <v/>
      </c>
      <c r="EM38" s="50" t="str">
        <f t="shared" si="30"/>
        <v/>
      </c>
      <c r="EN38" s="50" t="str">
        <f t="shared" si="30"/>
        <v/>
      </c>
      <c r="EO38" s="50" t="str">
        <f t="shared" si="30"/>
        <v/>
      </c>
      <c r="EP38" s="50" t="str">
        <f t="shared" si="30"/>
        <v/>
      </c>
      <c r="EQ38" s="50" t="str">
        <f t="shared" si="30"/>
        <v/>
      </c>
      <c r="ER38" s="50" t="str">
        <f t="shared" si="30"/>
        <v/>
      </c>
      <c r="ES38" s="50" t="str">
        <f t="shared" si="30"/>
        <v/>
      </c>
      <c r="ET38" s="50" t="str">
        <f t="shared" si="30"/>
        <v/>
      </c>
      <c r="EU38" s="50" t="str">
        <f t="shared" si="30"/>
        <v/>
      </c>
      <c r="EV38" s="50" t="str">
        <f t="shared" si="30"/>
        <v/>
      </c>
      <c r="EW38" s="50" t="str">
        <f t="shared" si="30"/>
        <v/>
      </c>
      <c r="EX38" s="50" t="str">
        <f t="shared" si="30"/>
        <v/>
      </c>
      <c r="EY38" s="50" t="str">
        <f t="shared" si="30"/>
        <v/>
      </c>
      <c r="EZ38" s="50" t="str">
        <f t="shared" si="30"/>
        <v/>
      </c>
      <c r="FA38" s="50" t="str">
        <f t="shared" si="30"/>
        <v/>
      </c>
      <c r="FB38" s="50" t="str">
        <f t="shared" si="30"/>
        <v/>
      </c>
      <c r="FC38" s="50" t="str">
        <f t="shared" si="30"/>
        <v/>
      </c>
      <c r="FD38" s="50" t="str">
        <f t="shared" si="30"/>
        <v/>
      </c>
      <c r="FE38" s="50" t="str">
        <f t="shared" si="30"/>
        <v/>
      </c>
      <c r="FF38" s="50" t="str">
        <f t="shared" si="30"/>
        <v/>
      </c>
      <c r="FG38" s="50" t="str">
        <f t="shared" si="30"/>
        <v/>
      </c>
      <c r="FH38" s="50" t="str">
        <f t="shared" si="30"/>
        <v/>
      </c>
      <c r="FI38" s="50" t="str">
        <f t="shared" si="30"/>
        <v/>
      </c>
      <c r="FJ38" s="50" t="str">
        <f t="shared" si="30"/>
        <v/>
      </c>
      <c r="FK38" s="50" t="str">
        <f t="shared" si="30"/>
        <v/>
      </c>
      <c r="FL38" s="50" t="str">
        <f t="shared" si="30"/>
        <v/>
      </c>
      <c r="FM38" s="50" t="str">
        <f t="shared" si="30"/>
        <v/>
      </c>
      <c r="FN38" s="50" t="str">
        <f t="shared" si="30"/>
        <v/>
      </c>
      <c r="FO38" s="50" t="str">
        <f t="shared" si="30"/>
        <v/>
      </c>
      <c r="FP38" s="50" t="str">
        <f t="shared" si="30"/>
        <v/>
      </c>
      <c r="FQ38" s="50" t="str">
        <f t="shared" si="30"/>
        <v/>
      </c>
      <c r="FR38" s="50" t="str">
        <f t="shared" si="30"/>
        <v/>
      </c>
      <c r="FS38" s="50" t="str">
        <f t="shared" si="30"/>
        <v/>
      </c>
      <c r="FT38" s="50" t="str">
        <f t="shared" si="30"/>
        <v/>
      </c>
      <c r="FU38" s="50" t="str">
        <f t="shared" si="30"/>
        <v/>
      </c>
      <c r="FV38" s="50" t="str">
        <f t="shared" si="30"/>
        <v/>
      </c>
      <c r="FW38" s="50" t="str">
        <f t="shared" si="30"/>
        <v/>
      </c>
      <c r="FX38" s="50" t="str">
        <f t="shared" si="30"/>
        <v/>
      </c>
      <c r="FY38" s="50" t="str">
        <f t="shared" si="30"/>
        <v/>
      </c>
      <c r="FZ38" s="50" t="str">
        <f t="shared" si="30"/>
        <v/>
      </c>
      <c r="GA38" s="50" t="str">
        <f t="shared" si="30"/>
        <v/>
      </c>
      <c r="GB38" s="50" t="str">
        <f t="shared" si="30"/>
        <v/>
      </c>
      <c r="GC38" s="50" t="str">
        <f t="shared" si="30"/>
        <v/>
      </c>
      <c r="GD38" s="50" t="str">
        <f t="shared" si="30"/>
        <v/>
      </c>
      <c r="GE38" s="50" t="str">
        <f t="shared" si="30"/>
        <v/>
      </c>
      <c r="GF38" s="50" t="str">
        <f t="shared" si="30"/>
        <v/>
      </c>
      <c r="GG38" s="50" t="str">
        <f t="shared" si="30"/>
        <v/>
      </c>
      <c r="GH38" s="50" t="str">
        <f t="shared" si="27"/>
        <v/>
      </c>
      <c r="GI38" s="50" t="str">
        <f t="shared" si="27"/>
        <v/>
      </c>
      <c r="GJ38" s="50" t="str">
        <f t="shared" si="27"/>
        <v/>
      </c>
      <c r="GK38" s="50" t="str">
        <f t="shared" si="27"/>
        <v/>
      </c>
      <c r="GL38" s="50" t="str">
        <f t="shared" si="27"/>
        <v/>
      </c>
      <c r="GM38" s="50" t="str">
        <f t="shared" si="27"/>
        <v/>
      </c>
      <c r="GN38" s="50" t="str">
        <f t="shared" si="27"/>
        <v/>
      </c>
      <c r="GO38" s="50" t="str">
        <f t="shared" si="27"/>
        <v/>
      </c>
      <c r="GP38" s="50" t="str">
        <f t="shared" si="27"/>
        <v/>
      </c>
      <c r="GQ38" s="50" t="str">
        <f t="shared" si="27"/>
        <v/>
      </c>
      <c r="GR38" s="50" t="str">
        <f t="shared" si="27"/>
        <v/>
      </c>
      <c r="GS38" s="50" t="str">
        <f t="shared" si="27"/>
        <v/>
      </c>
      <c r="GT38" s="50" t="str">
        <f t="shared" si="27"/>
        <v/>
      </c>
      <c r="GU38" s="50" t="str">
        <f t="shared" si="27"/>
        <v/>
      </c>
      <c r="GV38" s="50" t="str">
        <f t="shared" si="27"/>
        <v/>
      </c>
      <c r="GW38" s="50" t="str">
        <f t="shared" si="27"/>
        <v/>
      </c>
      <c r="GX38" s="50" t="str">
        <f t="shared" si="27"/>
        <v/>
      </c>
      <c r="GY38" s="50" t="str">
        <f t="shared" si="27"/>
        <v/>
      </c>
      <c r="GZ38" s="50" t="str">
        <f t="shared" si="27"/>
        <v/>
      </c>
      <c r="HA38" s="50" t="str">
        <f t="shared" si="27"/>
        <v/>
      </c>
      <c r="HB38" s="50" t="str">
        <f t="shared" si="27"/>
        <v/>
      </c>
      <c r="HC38" s="50" t="str">
        <f t="shared" si="27"/>
        <v/>
      </c>
      <c r="HD38" s="50" t="str">
        <f t="shared" si="27"/>
        <v/>
      </c>
      <c r="HE38" s="50" t="str">
        <f t="shared" si="27"/>
        <v/>
      </c>
      <c r="HF38" s="50" t="str">
        <f t="shared" si="27"/>
        <v/>
      </c>
      <c r="HG38" s="50" t="str">
        <f t="shared" si="27"/>
        <v/>
      </c>
      <c r="HH38" s="50" t="str">
        <f t="shared" si="27"/>
        <v/>
      </c>
      <c r="HI38" s="50" t="str">
        <f t="shared" si="27"/>
        <v/>
      </c>
      <c r="HJ38" s="50" t="str">
        <f t="shared" si="27"/>
        <v/>
      </c>
      <c r="HK38" s="50" t="str">
        <f t="shared" si="27"/>
        <v/>
      </c>
      <c r="HL38" s="50" t="str">
        <f t="shared" si="27"/>
        <v/>
      </c>
      <c r="HM38" s="50" t="str">
        <f t="shared" si="27"/>
        <v/>
      </c>
      <c r="HN38" s="50" t="str">
        <f t="shared" si="27"/>
        <v/>
      </c>
      <c r="HO38" s="50" t="str">
        <f t="shared" si="27"/>
        <v/>
      </c>
      <c r="HP38" s="50" t="str">
        <f t="shared" si="27"/>
        <v/>
      </c>
      <c r="HQ38" s="50" t="str">
        <f t="shared" si="25"/>
        <v/>
      </c>
      <c r="HR38" s="112" t="str">
        <f t="shared" si="25"/>
        <v/>
      </c>
    </row>
    <row r="39" spans="1:226" ht="11.1" customHeight="1" x14ac:dyDescent="0.25">
      <c r="A39" s="26"/>
      <c r="B39" s="145"/>
      <c r="C39" s="28" t="str">
        <f>IF(A39=0,"",VLOOKUP(A39,[2]CO!$A$3:$F$5327,2,0))</f>
        <v/>
      </c>
      <c r="D39" s="149" t="s">
        <v>40</v>
      </c>
      <c r="E39" s="29"/>
      <c r="F39" s="29"/>
      <c r="G39" s="30" t="str">
        <f>IF(A39=0,"",VLOOKUP(A39,[2]CO!$A$3:$F$5327,3,0))</f>
        <v/>
      </c>
      <c r="H39" s="142"/>
      <c r="I39" s="143"/>
      <c r="J39" s="143"/>
      <c r="K39" s="143"/>
      <c r="L39" s="143"/>
      <c r="M39" s="32" t="str">
        <f t="shared" si="0"/>
        <v/>
      </c>
      <c r="N39" s="32" t="str">
        <f>IF(B39=0,"",IF(H39="M",HLOOKUP(B39,$Y$12:$DT$13,2),IF(A39=0,"",VLOOKUP(A39,[2]CO!$A$3:$F$5327,4,0))))</f>
        <v/>
      </c>
      <c r="O39" s="32" t="str">
        <f t="shared" si="7"/>
        <v/>
      </c>
      <c r="P39" s="33"/>
      <c r="Q39" s="34" t="str">
        <f t="shared" si="1"/>
        <v/>
      </c>
      <c r="R39" s="35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RESIDENTE"),VLOOKUP(B39,P$14:Q$77,2),"")*S39)</f>
        <v/>
      </c>
      <c r="T39" s="53" t="str">
        <f>IF(A39=0,"",VLOOKUP(A39,[2]CO!$A$3:$F$5318,5,0))</f>
        <v/>
      </c>
      <c r="U39" s="54">
        <f t="shared" si="2"/>
        <v>0</v>
      </c>
      <c r="V39" s="24"/>
      <c r="W39" s="25"/>
      <c r="X39" s="25"/>
      <c r="Y39" s="64" t="str">
        <f t="shared" si="28"/>
        <v/>
      </c>
      <c r="Z39" s="55" t="str">
        <f t="shared" si="28"/>
        <v/>
      </c>
      <c r="AA39" s="55" t="str">
        <f t="shared" si="28"/>
        <v/>
      </c>
      <c r="AB39" s="55" t="str">
        <f t="shared" si="28"/>
        <v/>
      </c>
      <c r="AC39" s="55" t="str">
        <f t="shared" si="28"/>
        <v/>
      </c>
      <c r="AD39" s="55" t="str">
        <f t="shared" si="28"/>
        <v/>
      </c>
      <c r="AE39" s="55" t="str">
        <f t="shared" si="28"/>
        <v/>
      </c>
      <c r="AF39" s="55" t="str">
        <f t="shared" si="28"/>
        <v/>
      </c>
      <c r="AG39" s="55" t="str">
        <f t="shared" si="28"/>
        <v/>
      </c>
      <c r="AH39" s="55" t="str">
        <f t="shared" si="28"/>
        <v/>
      </c>
      <c r="AI39" s="55" t="str">
        <f t="shared" si="28"/>
        <v/>
      </c>
      <c r="AJ39" s="55" t="str">
        <f t="shared" si="28"/>
        <v/>
      </c>
      <c r="AK39" s="55" t="str">
        <f t="shared" si="28"/>
        <v/>
      </c>
      <c r="AL39" s="55" t="str">
        <f t="shared" si="28"/>
        <v/>
      </c>
      <c r="AM39" s="55" t="str">
        <f t="shared" si="28"/>
        <v/>
      </c>
      <c r="AN39" s="55" t="str">
        <f t="shared" si="28"/>
        <v/>
      </c>
      <c r="AO39" s="55" t="str">
        <f t="shared" si="28"/>
        <v/>
      </c>
      <c r="AP39" s="55" t="str">
        <f t="shared" si="28"/>
        <v/>
      </c>
      <c r="AQ39" s="55" t="str">
        <f t="shared" si="28"/>
        <v/>
      </c>
      <c r="AR39" s="55" t="str">
        <f t="shared" si="28"/>
        <v/>
      </c>
      <c r="AS39" s="55" t="str">
        <f t="shared" si="28"/>
        <v/>
      </c>
      <c r="AT39" s="55" t="str">
        <f t="shared" si="28"/>
        <v/>
      </c>
      <c r="AU39" s="55" t="str">
        <f t="shared" si="28"/>
        <v/>
      </c>
      <c r="AV39" s="55" t="str">
        <f t="shared" si="28"/>
        <v/>
      </c>
      <c r="AW39" s="55" t="str">
        <f t="shared" si="28"/>
        <v/>
      </c>
      <c r="AX39" s="55" t="str">
        <f t="shared" si="28"/>
        <v/>
      </c>
      <c r="AY39" s="55" t="str">
        <f t="shared" si="28"/>
        <v/>
      </c>
      <c r="AZ39" s="55" t="str">
        <f t="shared" si="28"/>
        <v/>
      </c>
      <c r="BA39" s="55" t="str">
        <f t="shared" si="28"/>
        <v/>
      </c>
      <c r="BB39" s="55" t="str">
        <f t="shared" si="28"/>
        <v/>
      </c>
      <c r="BC39" s="55" t="str">
        <f t="shared" si="28"/>
        <v/>
      </c>
      <c r="BD39" s="55" t="str">
        <f t="shared" si="28"/>
        <v/>
      </c>
      <c r="BE39" s="55" t="str">
        <f t="shared" si="28"/>
        <v/>
      </c>
      <c r="BF39" s="55" t="str">
        <f t="shared" si="28"/>
        <v/>
      </c>
      <c r="BG39" s="55" t="str">
        <f t="shared" si="28"/>
        <v/>
      </c>
      <c r="BH39" s="55" t="str">
        <f t="shared" si="28"/>
        <v/>
      </c>
      <c r="BI39" s="55" t="str">
        <f t="shared" si="28"/>
        <v/>
      </c>
      <c r="BJ39" s="55" t="str">
        <f t="shared" si="28"/>
        <v/>
      </c>
      <c r="BK39" s="55" t="str">
        <f t="shared" si="28"/>
        <v/>
      </c>
      <c r="BL39" s="55" t="str">
        <f t="shared" si="28"/>
        <v/>
      </c>
      <c r="BM39" s="55" t="str">
        <f t="shared" si="28"/>
        <v/>
      </c>
      <c r="BN39" s="55" t="str">
        <f t="shared" si="28"/>
        <v/>
      </c>
      <c r="BO39" s="55" t="str">
        <f t="shared" si="28"/>
        <v/>
      </c>
      <c r="BP39" s="55" t="str">
        <f t="shared" si="28"/>
        <v/>
      </c>
      <c r="BQ39" s="55" t="str">
        <f t="shared" si="28"/>
        <v/>
      </c>
      <c r="BR39" s="55" t="str">
        <f t="shared" si="28"/>
        <v/>
      </c>
      <c r="BS39" s="55" t="str">
        <f t="shared" si="28"/>
        <v/>
      </c>
      <c r="BT39" s="55" t="str">
        <f t="shared" ref="BT39:CI39" si="32">IF($B39=BT$12,$U39,"")</f>
        <v/>
      </c>
      <c r="BU39" s="55" t="str">
        <f t="shared" si="32"/>
        <v/>
      </c>
      <c r="BV39" s="55" t="str">
        <f t="shared" si="32"/>
        <v/>
      </c>
      <c r="BW39" s="55" t="str">
        <f t="shared" si="32"/>
        <v/>
      </c>
      <c r="BX39" s="55" t="str">
        <f t="shared" si="32"/>
        <v/>
      </c>
      <c r="BY39" s="55" t="str">
        <f t="shared" si="32"/>
        <v/>
      </c>
      <c r="BZ39" s="55" t="str">
        <f t="shared" si="32"/>
        <v/>
      </c>
      <c r="CA39" s="55" t="str">
        <f t="shared" si="32"/>
        <v/>
      </c>
      <c r="CB39" s="55" t="str">
        <f t="shared" si="32"/>
        <v/>
      </c>
      <c r="CC39" s="55" t="str">
        <f t="shared" si="32"/>
        <v/>
      </c>
      <c r="CD39" s="55" t="str">
        <f t="shared" si="32"/>
        <v/>
      </c>
      <c r="CE39" s="55" t="str">
        <f t="shared" si="32"/>
        <v/>
      </c>
      <c r="CF39" s="55" t="str">
        <f t="shared" si="32"/>
        <v/>
      </c>
      <c r="CG39" s="55" t="str">
        <f t="shared" si="32"/>
        <v/>
      </c>
      <c r="CH39" s="55" t="str">
        <f t="shared" si="32"/>
        <v/>
      </c>
      <c r="CI39" s="55" t="str">
        <f t="shared" si="32"/>
        <v/>
      </c>
      <c r="CJ39" s="55" t="str">
        <f t="shared" si="26"/>
        <v/>
      </c>
      <c r="CK39" s="55" t="str">
        <f t="shared" si="26"/>
        <v/>
      </c>
      <c r="CL39" s="55" t="str">
        <f t="shared" si="26"/>
        <v/>
      </c>
      <c r="CM39" s="55" t="str">
        <f t="shared" si="26"/>
        <v/>
      </c>
      <c r="CN39" s="55" t="str">
        <f t="shared" si="26"/>
        <v/>
      </c>
      <c r="CO39" s="55" t="str">
        <f t="shared" si="26"/>
        <v/>
      </c>
      <c r="CP39" s="55" t="str">
        <f t="shared" si="26"/>
        <v/>
      </c>
      <c r="CQ39" s="55" t="str">
        <f t="shared" si="26"/>
        <v/>
      </c>
      <c r="CR39" s="55" t="str">
        <f t="shared" si="26"/>
        <v/>
      </c>
      <c r="CS39" s="55" t="str">
        <f t="shared" si="26"/>
        <v/>
      </c>
      <c r="CT39" s="55" t="str">
        <f t="shared" si="26"/>
        <v/>
      </c>
      <c r="CU39" s="55" t="str">
        <f t="shared" si="26"/>
        <v/>
      </c>
      <c r="CV39" s="55" t="str">
        <f t="shared" si="26"/>
        <v/>
      </c>
      <c r="CW39" s="55" t="str">
        <f t="shared" si="26"/>
        <v/>
      </c>
      <c r="CX39" s="55" t="str">
        <f t="shared" si="26"/>
        <v/>
      </c>
      <c r="CY39" s="55" t="str">
        <f t="shared" si="26"/>
        <v/>
      </c>
      <c r="CZ39" s="55" t="str">
        <f t="shared" si="26"/>
        <v/>
      </c>
      <c r="DA39" s="55" t="str">
        <f t="shared" si="26"/>
        <v/>
      </c>
      <c r="DB39" s="55" t="str">
        <f t="shared" si="26"/>
        <v/>
      </c>
      <c r="DC39" s="55" t="str">
        <f t="shared" si="26"/>
        <v/>
      </c>
      <c r="DD39" s="55" t="str">
        <f t="shared" si="26"/>
        <v/>
      </c>
      <c r="DE39" s="55" t="str">
        <f t="shared" si="26"/>
        <v/>
      </c>
      <c r="DF39" s="55" t="str">
        <f t="shared" si="26"/>
        <v/>
      </c>
      <c r="DG39" s="55" t="str">
        <f t="shared" si="26"/>
        <v/>
      </c>
      <c r="DH39" s="55" t="str">
        <f t="shared" si="26"/>
        <v/>
      </c>
      <c r="DI39" s="55" t="str">
        <f t="shared" si="26"/>
        <v/>
      </c>
      <c r="DJ39" s="55" t="str">
        <f t="shared" si="26"/>
        <v/>
      </c>
      <c r="DK39" s="55" t="str">
        <f t="shared" si="26"/>
        <v/>
      </c>
      <c r="DL39" s="55" t="str">
        <f t="shared" si="26"/>
        <v/>
      </c>
      <c r="DM39" s="55" t="str">
        <f t="shared" si="26"/>
        <v/>
      </c>
      <c r="DN39" s="55" t="str">
        <f t="shared" si="26"/>
        <v/>
      </c>
      <c r="DO39" s="55" t="str">
        <f t="shared" si="26"/>
        <v/>
      </c>
      <c r="DP39" s="55" t="str">
        <f t="shared" si="26"/>
        <v/>
      </c>
      <c r="DQ39" s="55" t="str">
        <f t="shared" si="26"/>
        <v/>
      </c>
      <c r="DR39" s="55" t="str">
        <f t="shared" si="26"/>
        <v/>
      </c>
      <c r="DS39" s="55" t="str">
        <f t="shared" si="24"/>
        <v/>
      </c>
      <c r="DT39" s="106" t="str">
        <f t="shared" si="24"/>
        <v/>
      </c>
      <c r="DU39" s="54"/>
      <c r="DV39" s="25"/>
      <c r="DW39" s="61" t="str">
        <f t="shared" si="30"/>
        <v/>
      </c>
      <c r="DX39" s="50" t="str">
        <f t="shared" si="30"/>
        <v/>
      </c>
      <c r="DY39" s="50" t="str">
        <f t="shared" si="30"/>
        <v/>
      </c>
      <c r="DZ39" s="50" t="str">
        <f t="shared" si="30"/>
        <v/>
      </c>
      <c r="EA39" s="50" t="str">
        <f t="shared" si="30"/>
        <v/>
      </c>
      <c r="EB39" s="50" t="str">
        <f t="shared" si="30"/>
        <v/>
      </c>
      <c r="EC39" s="50" t="str">
        <f t="shared" si="30"/>
        <v/>
      </c>
      <c r="ED39" s="50" t="str">
        <f t="shared" si="30"/>
        <v/>
      </c>
      <c r="EE39" s="50" t="str">
        <f t="shared" si="30"/>
        <v/>
      </c>
      <c r="EF39" s="50" t="str">
        <f t="shared" si="30"/>
        <v/>
      </c>
      <c r="EG39" s="50" t="str">
        <f t="shared" si="30"/>
        <v/>
      </c>
      <c r="EH39" s="50" t="str">
        <f t="shared" si="30"/>
        <v/>
      </c>
      <c r="EI39" s="50" t="str">
        <f t="shared" si="30"/>
        <v/>
      </c>
      <c r="EJ39" s="50" t="str">
        <f t="shared" si="30"/>
        <v/>
      </c>
      <c r="EK39" s="50" t="str">
        <f t="shared" si="30"/>
        <v/>
      </c>
      <c r="EL39" s="50" t="str">
        <f t="shared" si="30"/>
        <v/>
      </c>
      <c r="EM39" s="50" t="str">
        <f t="shared" si="30"/>
        <v/>
      </c>
      <c r="EN39" s="50" t="str">
        <f t="shared" si="30"/>
        <v/>
      </c>
      <c r="EO39" s="50" t="str">
        <f t="shared" si="30"/>
        <v/>
      </c>
      <c r="EP39" s="50" t="str">
        <f t="shared" si="30"/>
        <v/>
      </c>
      <c r="EQ39" s="50" t="str">
        <f t="shared" si="30"/>
        <v/>
      </c>
      <c r="ER39" s="50" t="str">
        <f t="shared" si="30"/>
        <v/>
      </c>
      <c r="ES39" s="50" t="str">
        <f t="shared" si="30"/>
        <v/>
      </c>
      <c r="ET39" s="50" t="str">
        <f t="shared" si="30"/>
        <v/>
      </c>
      <c r="EU39" s="50" t="str">
        <f t="shared" si="30"/>
        <v/>
      </c>
      <c r="EV39" s="50" t="str">
        <f t="shared" si="30"/>
        <v/>
      </c>
      <c r="EW39" s="50" t="str">
        <f t="shared" si="30"/>
        <v/>
      </c>
      <c r="EX39" s="50" t="str">
        <f t="shared" si="30"/>
        <v/>
      </c>
      <c r="EY39" s="50" t="str">
        <f t="shared" si="30"/>
        <v/>
      </c>
      <c r="EZ39" s="50" t="str">
        <f t="shared" si="30"/>
        <v/>
      </c>
      <c r="FA39" s="50" t="str">
        <f t="shared" si="30"/>
        <v/>
      </c>
      <c r="FB39" s="50" t="str">
        <f t="shared" si="30"/>
        <v/>
      </c>
      <c r="FC39" s="50" t="str">
        <f t="shared" si="30"/>
        <v/>
      </c>
      <c r="FD39" s="50" t="str">
        <f t="shared" si="30"/>
        <v/>
      </c>
      <c r="FE39" s="50" t="str">
        <f t="shared" si="30"/>
        <v/>
      </c>
      <c r="FF39" s="50" t="str">
        <f t="shared" si="30"/>
        <v/>
      </c>
      <c r="FG39" s="50" t="str">
        <f t="shared" si="30"/>
        <v/>
      </c>
      <c r="FH39" s="50" t="str">
        <f t="shared" si="30"/>
        <v/>
      </c>
      <c r="FI39" s="50" t="str">
        <f t="shared" si="30"/>
        <v/>
      </c>
      <c r="FJ39" s="50" t="str">
        <f t="shared" si="30"/>
        <v/>
      </c>
      <c r="FK39" s="50" t="str">
        <f t="shared" si="30"/>
        <v/>
      </c>
      <c r="FL39" s="50" t="str">
        <f t="shared" si="30"/>
        <v/>
      </c>
      <c r="FM39" s="50" t="str">
        <f t="shared" si="30"/>
        <v/>
      </c>
      <c r="FN39" s="50" t="str">
        <f t="shared" si="30"/>
        <v/>
      </c>
      <c r="FO39" s="50" t="str">
        <f t="shared" si="30"/>
        <v/>
      </c>
      <c r="FP39" s="50" t="str">
        <f t="shared" si="30"/>
        <v/>
      </c>
      <c r="FQ39" s="50" t="str">
        <f t="shared" si="30"/>
        <v/>
      </c>
      <c r="FR39" s="50" t="str">
        <f t="shared" ref="FR39:GG39" si="33">IF($B39=FR$12,$O39,"")</f>
        <v/>
      </c>
      <c r="FS39" s="50" t="str">
        <f t="shared" si="33"/>
        <v/>
      </c>
      <c r="FT39" s="50" t="str">
        <f t="shared" si="33"/>
        <v/>
      </c>
      <c r="FU39" s="50" t="str">
        <f t="shared" si="33"/>
        <v/>
      </c>
      <c r="FV39" s="50" t="str">
        <f t="shared" si="33"/>
        <v/>
      </c>
      <c r="FW39" s="50" t="str">
        <f t="shared" si="33"/>
        <v/>
      </c>
      <c r="FX39" s="50" t="str">
        <f t="shared" si="33"/>
        <v/>
      </c>
      <c r="FY39" s="50" t="str">
        <f t="shared" si="33"/>
        <v/>
      </c>
      <c r="FZ39" s="50" t="str">
        <f t="shared" si="33"/>
        <v/>
      </c>
      <c r="GA39" s="50" t="str">
        <f t="shared" si="33"/>
        <v/>
      </c>
      <c r="GB39" s="50" t="str">
        <f t="shared" si="33"/>
        <v/>
      </c>
      <c r="GC39" s="50" t="str">
        <f t="shared" si="33"/>
        <v/>
      </c>
      <c r="GD39" s="50" t="str">
        <f t="shared" si="33"/>
        <v/>
      </c>
      <c r="GE39" s="50" t="str">
        <f t="shared" si="33"/>
        <v/>
      </c>
      <c r="GF39" s="50" t="str">
        <f t="shared" si="33"/>
        <v/>
      </c>
      <c r="GG39" s="50" t="str">
        <f t="shared" si="33"/>
        <v/>
      </c>
      <c r="GH39" s="50" t="str">
        <f t="shared" si="27"/>
        <v/>
      </c>
      <c r="GI39" s="50" t="str">
        <f t="shared" si="27"/>
        <v/>
      </c>
      <c r="GJ39" s="50" t="str">
        <f t="shared" si="27"/>
        <v/>
      </c>
      <c r="GK39" s="50" t="str">
        <f t="shared" si="27"/>
        <v/>
      </c>
      <c r="GL39" s="50" t="str">
        <f t="shared" si="27"/>
        <v/>
      </c>
      <c r="GM39" s="50" t="str">
        <f t="shared" si="27"/>
        <v/>
      </c>
      <c r="GN39" s="50" t="str">
        <f t="shared" si="27"/>
        <v/>
      </c>
      <c r="GO39" s="50" t="str">
        <f t="shared" si="27"/>
        <v/>
      </c>
      <c r="GP39" s="50" t="str">
        <f t="shared" si="27"/>
        <v/>
      </c>
      <c r="GQ39" s="50" t="str">
        <f t="shared" si="27"/>
        <v/>
      </c>
      <c r="GR39" s="50" t="str">
        <f t="shared" si="27"/>
        <v/>
      </c>
      <c r="GS39" s="50" t="str">
        <f t="shared" si="27"/>
        <v/>
      </c>
      <c r="GT39" s="50" t="str">
        <f t="shared" si="27"/>
        <v/>
      </c>
      <c r="GU39" s="50" t="str">
        <f t="shared" si="27"/>
        <v/>
      </c>
      <c r="GV39" s="50" t="str">
        <f t="shared" si="27"/>
        <v/>
      </c>
      <c r="GW39" s="50" t="str">
        <f t="shared" si="27"/>
        <v/>
      </c>
      <c r="GX39" s="50" t="str">
        <f t="shared" si="27"/>
        <v/>
      </c>
      <c r="GY39" s="50" t="str">
        <f t="shared" si="27"/>
        <v/>
      </c>
      <c r="GZ39" s="50" t="str">
        <f t="shared" si="27"/>
        <v/>
      </c>
      <c r="HA39" s="50" t="str">
        <f t="shared" si="27"/>
        <v/>
      </c>
      <c r="HB39" s="50" t="str">
        <f t="shared" si="27"/>
        <v/>
      </c>
      <c r="HC39" s="50" t="str">
        <f t="shared" si="27"/>
        <v/>
      </c>
      <c r="HD39" s="50" t="str">
        <f t="shared" si="27"/>
        <v/>
      </c>
      <c r="HE39" s="50" t="str">
        <f t="shared" si="27"/>
        <v/>
      </c>
      <c r="HF39" s="50" t="str">
        <f t="shared" si="27"/>
        <v/>
      </c>
      <c r="HG39" s="50" t="str">
        <f t="shared" si="27"/>
        <v/>
      </c>
      <c r="HH39" s="50" t="str">
        <f t="shared" si="27"/>
        <v/>
      </c>
      <c r="HI39" s="50" t="str">
        <f t="shared" si="27"/>
        <v/>
      </c>
      <c r="HJ39" s="50" t="str">
        <f t="shared" si="27"/>
        <v/>
      </c>
      <c r="HK39" s="50" t="str">
        <f t="shared" si="27"/>
        <v/>
      </c>
      <c r="HL39" s="50" t="str">
        <f t="shared" si="27"/>
        <v/>
      </c>
      <c r="HM39" s="50" t="str">
        <f t="shared" si="27"/>
        <v/>
      </c>
      <c r="HN39" s="50" t="str">
        <f t="shared" si="27"/>
        <v/>
      </c>
      <c r="HO39" s="50" t="str">
        <f t="shared" si="27"/>
        <v/>
      </c>
      <c r="HP39" s="50" t="str">
        <f t="shared" si="27"/>
        <v/>
      </c>
      <c r="HQ39" s="50" t="str">
        <f t="shared" si="25"/>
        <v/>
      </c>
      <c r="HR39" s="112" t="str">
        <f t="shared" si="25"/>
        <v/>
      </c>
    </row>
    <row r="40" spans="1:226" ht="11.1" customHeight="1" x14ac:dyDescent="0.25">
      <c r="A40" s="26"/>
      <c r="B40" s="145"/>
      <c r="C40" s="28" t="str">
        <f>IF(A40=0,"",VLOOKUP(A40,[2]CO!$A$3:$F$5327,2,0))</f>
        <v/>
      </c>
      <c r="D40" s="149" t="s">
        <v>41</v>
      </c>
      <c r="E40" s="29"/>
      <c r="F40" s="29"/>
      <c r="G40" s="30" t="str">
        <f>IF(A40=0,"",VLOOKUP(A40,[2]CO!$A$3:$F$5327,3,0))</f>
        <v/>
      </c>
      <c r="H40" s="142"/>
      <c r="I40" s="143"/>
      <c r="J40" s="143"/>
      <c r="K40" s="143"/>
      <c r="L40" s="143"/>
      <c r="M40" s="32" t="str">
        <f t="shared" si="0"/>
        <v/>
      </c>
      <c r="N40" s="32" t="str">
        <f>IF(B40=0,"",IF(H40="M",HLOOKUP(B40,$Y$12:$DT$13,2),IF(A40=0,"",VLOOKUP(A40,[2]CO!$A$3:$F$5327,4,0))))</f>
        <v/>
      </c>
      <c r="O40" s="32" t="str">
        <f t="shared" si="7"/>
        <v/>
      </c>
      <c r="P40" s="33"/>
      <c r="Q40" s="34" t="str">
        <f t="shared" si="1"/>
        <v/>
      </c>
      <c r="R40" s="35" t="str">
        <f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RESIDENTE"),VLOOKUP(B40,P$14:Q$77,2),"")*S40)</f>
        <v/>
      </c>
      <c r="T40" s="53" t="str">
        <f>IF(A40=0,"",VLOOKUP(A40,[2]CO!$A$3:$F$5318,5,0))</f>
        <v/>
      </c>
      <c r="U40" s="54">
        <f t="shared" si="2"/>
        <v>0</v>
      </c>
      <c r="V40" s="24"/>
      <c r="W40" s="25"/>
      <c r="X40" s="25"/>
      <c r="Y40" s="64" t="str">
        <f t="shared" ref="Y40:CI43" si="34">IF($B40=Y$12,$U40,"")</f>
        <v/>
      </c>
      <c r="Z40" s="55" t="str">
        <f t="shared" si="34"/>
        <v/>
      </c>
      <c r="AA40" s="55" t="str">
        <f t="shared" si="34"/>
        <v/>
      </c>
      <c r="AB40" s="55" t="str">
        <f t="shared" si="34"/>
        <v/>
      </c>
      <c r="AC40" s="55" t="str">
        <f t="shared" si="34"/>
        <v/>
      </c>
      <c r="AD40" s="55" t="str">
        <f t="shared" si="34"/>
        <v/>
      </c>
      <c r="AE40" s="55" t="str">
        <f t="shared" si="34"/>
        <v/>
      </c>
      <c r="AF40" s="55" t="str">
        <f t="shared" si="34"/>
        <v/>
      </c>
      <c r="AG40" s="55" t="str">
        <f t="shared" si="34"/>
        <v/>
      </c>
      <c r="AH40" s="55" t="str">
        <f t="shared" si="34"/>
        <v/>
      </c>
      <c r="AI40" s="55" t="str">
        <f t="shared" si="34"/>
        <v/>
      </c>
      <c r="AJ40" s="55" t="str">
        <f t="shared" si="34"/>
        <v/>
      </c>
      <c r="AK40" s="55" t="str">
        <f t="shared" si="34"/>
        <v/>
      </c>
      <c r="AL40" s="55" t="str">
        <f t="shared" si="34"/>
        <v/>
      </c>
      <c r="AM40" s="55" t="str">
        <f t="shared" si="34"/>
        <v/>
      </c>
      <c r="AN40" s="55" t="str">
        <f t="shared" si="34"/>
        <v/>
      </c>
      <c r="AO40" s="55" t="str">
        <f t="shared" si="34"/>
        <v/>
      </c>
      <c r="AP40" s="55" t="str">
        <f t="shared" si="34"/>
        <v/>
      </c>
      <c r="AQ40" s="55" t="str">
        <f t="shared" si="34"/>
        <v/>
      </c>
      <c r="AR40" s="55" t="str">
        <f t="shared" si="34"/>
        <v/>
      </c>
      <c r="AS40" s="55" t="str">
        <f t="shared" si="34"/>
        <v/>
      </c>
      <c r="AT40" s="55" t="str">
        <f t="shared" si="34"/>
        <v/>
      </c>
      <c r="AU40" s="55" t="str">
        <f t="shared" si="34"/>
        <v/>
      </c>
      <c r="AV40" s="55" t="str">
        <f t="shared" si="34"/>
        <v/>
      </c>
      <c r="AW40" s="55" t="str">
        <f t="shared" si="34"/>
        <v/>
      </c>
      <c r="AX40" s="55" t="str">
        <f t="shared" si="34"/>
        <v/>
      </c>
      <c r="AY40" s="55" t="str">
        <f t="shared" si="34"/>
        <v/>
      </c>
      <c r="AZ40" s="55" t="str">
        <f t="shared" si="34"/>
        <v/>
      </c>
      <c r="BA40" s="55" t="str">
        <f t="shared" si="34"/>
        <v/>
      </c>
      <c r="BB40" s="55" t="str">
        <f t="shared" si="34"/>
        <v/>
      </c>
      <c r="BC40" s="55" t="str">
        <f t="shared" si="34"/>
        <v/>
      </c>
      <c r="BD40" s="55" t="str">
        <f t="shared" si="34"/>
        <v/>
      </c>
      <c r="BE40" s="55" t="str">
        <f t="shared" si="34"/>
        <v/>
      </c>
      <c r="BF40" s="55" t="str">
        <f t="shared" si="34"/>
        <v/>
      </c>
      <c r="BG40" s="55" t="str">
        <f t="shared" si="34"/>
        <v/>
      </c>
      <c r="BH40" s="55" t="str">
        <f t="shared" si="34"/>
        <v/>
      </c>
      <c r="BI40" s="55" t="str">
        <f t="shared" si="34"/>
        <v/>
      </c>
      <c r="BJ40" s="55" t="str">
        <f t="shared" si="34"/>
        <v/>
      </c>
      <c r="BK40" s="55" t="str">
        <f t="shared" si="34"/>
        <v/>
      </c>
      <c r="BL40" s="55" t="str">
        <f t="shared" si="34"/>
        <v/>
      </c>
      <c r="BM40" s="55" t="str">
        <f t="shared" si="34"/>
        <v/>
      </c>
      <c r="BN40" s="55" t="str">
        <f t="shared" si="34"/>
        <v/>
      </c>
      <c r="BO40" s="55" t="str">
        <f t="shared" si="34"/>
        <v/>
      </c>
      <c r="BP40" s="55" t="str">
        <f t="shared" si="34"/>
        <v/>
      </c>
      <c r="BQ40" s="55" t="str">
        <f t="shared" si="34"/>
        <v/>
      </c>
      <c r="BR40" s="55" t="str">
        <f t="shared" si="34"/>
        <v/>
      </c>
      <c r="BS40" s="55" t="str">
        <f t="shared" si="34"/>
        <v/>
      </c>
      <c r="BT40" s="55" t="str">
        <f t="shared" si="34"/>
        <v/>
      </c>
      <c r="BU40" s="55" t="str">
        <f t="shared" si="34"/>
        <v/>
      </c>
      <c r="BV40" s="55" t="str">
        <f t="shared" si="34"/>
        <v/>
      </c>
      <c r="BW40" s="55" t="str">
        <f t="shared" si="34"/>
        <v/>
      </c>
      <c r="BX40" s="55" t="str">
        <f t="shared" si="34"/>
        <v/>
      </c>
      <c r="BY40" s="55" t="str">
        <f t="shared" si="34"/>
        <v/>
      </c>
      <c r="BZ40" s="55" t="str">
        <f t="shared" si="34"/>
        <v/>
      </c>
      <c r="CA40" s="55" t="str">
        <f t="shared" si="34"/>
        <v/>
      </c>
      <c r="CB40" s="55" t="str">
        <f t="shared" si="34"/>
        <v/>
      </c>
      <c r="CC40" s="55" t="str">
        <f t="shared" si="34"/>
        <v/>
      </c>
      <c r="CD40" s="55" t="str">
        <f t="shared" si="34"/>
        <v/>
      </c>
      <c r="CE40" s="55" t="str">
        <f t="shared" si="34"/>
        <v/>
      </c>
      <c r="CF40" s="55" t="str">
        <f t="shared" si="34"/>
        <v/>
      </c>
      <c r="CG40" s="55" t="str">
        <f t="shared" si="34"/>
        <v/>
      </c>
      <c r="CH40" s="55" t="str">
        <f t="shared" si="34"/>
        <v/>
      </c>
      <c r="CI40" s="55" t="str">
        <f t="shared" si="34"/>
        <v/>
      </c>
      <c r="CJ40" s="55" t="str">
        <f t="shared" si="26"/>
        <v/>
      </c>
      <c r="CK40" s="55" t="str">
        <f t="shared" si="26"/>
        <v/>
      </c>
      <c r="CL40" s="55" t="str">
        <f t="shared" si="26"/>
        <v/>
      </c>
      <c r="CM40" s="55" t="str">
        <f t="shared" si="26"/>
        <v/>
      </c>
      <c r="CN40" s="55" t="str">
        <f t="shared" si="26"/>
        <v/>
      </c>
      <c r="CO40" s="55" t="str">
        <f t="shared" si="26"/>
        <v/>
      </c>
      <c r="CP40" s="55" t="str">
        <f t="shared" si="26"/>
        <v/>
      </c>
      <c r="CQ40" s="55" t="str">
        <f t="shared" si="26"/>
        <v/>
      </c>
      <c r="CR40" s="55" t="str">
        <f t="shared" si="26"/>
        <v/>
      </c>
      <c r="CS40" s="55" t="str">
        <f t="shared" si="26"/>
        <v/>
      </c>
      <c r="CT40" s="55" t="str">
        <f t="shared" si="26"/>
        <v/>
      </c>
      <c r="CU40" s="55" t="str">
        <f t="shared" si="26"/>
        <v/>
      </c>
      <c r="CV40" s="55" t="str">
        <f t="shared" si="26"/>
        <v/>
      </c>
      <c r="CW40" s="55" t="str">
        <f t="shared" si="26"/>
        <v/>
      </c>
      <c r="CX40" s="55" t="str">
        <f t="shared" si="26"/>
        <v/>
      </c>
      <c r="CY40" s="55" t="str">
        <f t="shared" si="26"/>
        <v/>
      </c>
      <c r="CZ40" s="55" t="str">
        <f t="shared" si="26"/>
        <v/>
      </c>
      <c r="DA40" s="55" t="str">
        <f t="shared" si="26"/>
        <v/>
      </c>
      <c r="DB40" s="55" t="str">
        <f t="shared" si="26"/>
        <v/>
      </c>
      <c r="DC40" s="55" t="str">
        <f t="shared" si="26"/>
        <v/>
      </c>
      <c r="DD40" s="55" t="str">
        <f t="shared" si="26"/>
        <v/>
      </c>
      <c r="DE40" s="55" t="str">
        <f t="shared" si="26"/>
        <v/>
      </c>
      <c r="DF40" s="55" t="str">
        <f t="shared" si="26"/>
        <v/>
      </c>
      <c r="DG40" s="55" t="str">
        <f t="shared" si="26"/>
        <v/>
      </c>
      <c r="DH40" s="55" t="str">
        <f t="shared" si="26"/>
        <v/>
      </c>
      <c r="DI40" s="55" t="str">
        <f t="shared" si="26"/>
        <v/>
      </c>
      <c r="DJ40" s="55" t="str">
        <f t="shared" si="26"/>
        <v/>
      </c>
      <c r="DK40" s="55" t="str">
        <f t="shared" si="26"/>
        <v/>
      </c>
      <c r="DL40" s="55" t="str">
        <f t="shared" si="26"/>
        <v/>
      </c>
      <c r="DM40" s="55" t="str">
        <f t="shared" si="26"/>
        <v/>
      </c>
      <c r="DN40" s="55" t="str">
        <f t="shared" si="26"/>
        <v/>
      </c>
      <c r="DO40" s="55" t="str">
        <f t="shared" si="26"/>
        <v/>
      </c>
      <c r="DP40" s="55" t="str">
        <f t="shared" si="26"/>
        <v/>
      </c>
      <c r="DQ40" s="55" t="str">
        <f t="shared" si="26"/>
        <v/>
      </c>
      <c r="DR40" s="55" t="str">
        <f t="shared" si="26"/>
        <v/>
      </c>
      <c r="DS40" s="55" t="str">
        <f t="shared" si="24"/>
        <v/>
      </c>
      <c r="DT40" s="106" t="str">
        <f t="shared" si="24"/>
        <v/>
      </c>
      <c r="DU40" s="54"/>
      <c r="DV40" s="25"/>
      <c r="DW40" s="61" t="str">
        <f t="shared" ref="DW40:GG43" si="35">IF($B40=DW$12,$O40,"")</f>
        <v/>
      </c>
      <c r="DX40" s="50" t="str">
        <f t="shared" si="35"/>
        <v/>
      </c>
      <c r="DY40" s="50" t="str">
        <f t="shared" si="35"/>
        <v/>
      </c>
      <c r="DZ40" s="50" t="str">
        <f t="shared" si="35"/>
        <v/>
      </c>
      <c r="EA40" s="50" t="str">
        <f t="shared" si="35"/>
        <v/>
      </c>
      <c r="EB40" s="50" t="str">
        <f t="shared" si="35"/>
        <v/>
      </c>
      <c r="EC40" s="50" t="str">
        <f t="shared" si="35"/>
        <v/>
      </c>
      <c r="ED40" s="50" t="str">
        <f t="shared" si="35"/>
        <v/>
      </c>
      <c r="EE40" s="50" t="str">
        <f t="shared" si="35"/>
        <v/>
      </c>
      <c r="EF40" s="50" t="str">
        <f t="shared" si="35"/>
        <v/>
      </c>
      <c r="EG40" s="50" t="str">
        <f t="shared" si="35"/>
        <v/>
      </c>
      <c r="EH40" s="50" t="str">
        <f t="shared" si="35"/>
        <v/>
      </c>
      <c r="EI40" s="50" t="str">
        <f t="shared" si="35"/>
        <v/>
      </c>
      <c r="EJ40" s="50" t="str">
        <f t="shared" si="35"/>
        <v/>
      </c>
      <c r="EK40" s="50" t="str">
        <f t="shared" si="35"/>
        <v/>
      </c>
      <c r="EL40" s="50" t="str">
        <f t="shared" si="35"/>
        <v/>
      </c>
      <c r="EM40" s="50" t="str">
        <f t="shared" si="35"/>
        <v/>
      </c>
      <c r="EN40" s="50" t="str">
        <f t="shared" si="35"/>
        <v/>
      </c>
      <c r="EO40" s="50" t="str">
        <f t="shared" si="35"/>
        <v/>
      </c>
      <c r="EP40" s="50" t="str">
        <f t="shared" si="35"/>
        <v/>
      </c>
      <c r="EQ40" s="50" t="str">
        <f t="shared" si="35"/>
        <v/>
      </c>
      <c r="ER40" s="50" t="str">
        <f t="shared" si="35"/>
        <v/>
      </c>
      <c r="ES40" s="50" t="str">
        <f t="shared" si="35"/>
        <v/>
      </c>
      <c r="ET40" s="50" t="str">
        <f t="shared" si="35"/>
        <v/>
      </c>
      <c r="EU40" s="50" t="str">
        <f t="shared" si="35"/>
        <v/>
      </c>
      <c r="EV40" s="50" t="str">
        <f t="shared" si="35"/>
        <v/>
      </c>
      <c r="EW40" s="50" t="str">
        <f t="shared" si="35"/>
        <v/>
      </c>
      <c r="EX40" s="50" t="str">
        <f t="shared" si="35"/>
        <v/>
      </c>
      <c r="EY40" s="50" t="str">
        <f t="shared" si="35"/>
        <v/>
      </c>
      <c r="EZ40" s="50" t="str">
        <f t="shared" si="35"/>
        <v/>
      </c>
      <c r="FA40" s="50" t="str">
        <f t="shared" si="35"/>
        <v/>
      </c>
      <c r="FB40" s="50" t="str">
        <f t="shared" si="35"/>
        <v/>
      </c>
      <c r="FC40" s="50" t="str">
        <f t="shared" si="35"/>
        <v/>
      </c>
      <c r="FD40" s="50" t="str">
        <f t="shared" si="35"/>
        <v/>
      </c>
      <c r="FE40" s="50" t="str">
        <f t="shared" si="35"/>
        <v/>
      </c>
      <c r="FF40" s="50" t="str">
        <f t="shared" si="35"/>
        <v/>
      </c>
      <c r="FG40" s="50" t="str">
        <f t="shared" si="35"/>
        <v/>
      </c>
      <c r="FH40" s="50" t="str">
        <f t="shared" si="35"/>
        <v/>
      </c>
      <c r="FI40" s="50" t="str">
        <f t="shared" si="35"/>
        <v/>
      </c>
      <c r="FJ40" s="50" t="str">
        <f t="shared" si="35"/>
        <v/>
      </c>
      <c r="FK40" s="50" t="str">
        <f t="shared" si="35"/>
        <v/>
      </c>
      <c r="FL40" s="50" t="str">
        <f t="shared" si="35"/>
        <v/>
      </c>
      <c r="FM40" s="50" t="str">
        <f t="shared" si="35"/>
        <v/>
      </c>
      <c r="FN40" s="50" t="str">
        <f t="shared" si="35"/>
        <v/>
      </c>
      <c r="FO40" s="50" t="str">
        <f t="shared" si="35"/>
        <v/>
      </c>
      <c r="FP40" s="50" t="str">
        <f t="shared" si="35"/>
        <v/>
      </c>
      <c r="FQ40" s="50" t="str">
        <f t="shared" si="35"/>
        <v/>
      </c>
      <c r="FR40" s="50" t="str">
        <f t="shared" si="35"/>
        <v/>
      </c>
      <c r="FS40" s="50" t="str">
        <f t="shared" si="35"/>
        <v/>
      </c>
      <c r="FT40" s="50" t="str">
        <f t="shared" si="35"/>
        <v/>
      </c>
      <c r="FU40" s="50" t="str">
        <f t="shared" si="35"/>
        <v/>
      </c>
      <c r="FV40" s="50" t="str">
        <f t="shared" si="35"/>
        <v/>
      </c>
      <c r="FW40" s="50" t="str">
        <f t="shared" si="35"/>
        <v/>
      </c>
      <c r="FX40" s="50" t="str">
        <f t="shared" si="35"/>
        <v/>
      </c>
      <c r="FY40" s="50" t="str">
        <f t="shared" si="35"/>
        <v/>
      </c>
      <c r="FZ40" s="50" t="str">
        <f t="shared" si="35"/>
        <v/>
      </c>
      <c r="GA40" s="50" t="str">
        <f t="shared" si="35"/>
        <v/>
      </c>
      <c r="GB40" s="50" t="str">
        <f t="shared" si="35"/>
        <v/>
      </c>
      <c r="GC40" s="50" t="str">
        <f t="shared" si="35"/>
        <v/>
      </c>
      <c r="GD40" s="50" t="str">
        <f t="shared" si="35"/>
        <v/>
      </c>
      <c r="GE40" s="50" t="str">
        <f t="shared" si="35"/>
        <v/>
      </c>
      <c r="GF40" s="50" t="str">
        <f t="shared" si="35"/>
        <v/>
      </c>
      <c r="GG40" s="50" t="str">
        <f t="shared" si="35"/>
        <v/>
      </c>
      <c r="GH40" s="50" t="str">
        <f t="shared" si="27"/>
        <v/>
      </c>
      <c r="GI40" s="50" t="str">
        <f t="shared" si="27"/>
        <v/>
      </c>
      <c r="GJ40" s="50" t="str">
        <f t="shared" si="27"/>
        <v/>
      </c>
      <c r="GK40" s="50" t="str">
        <f t="shared" si="27"/>
        <v/>
      </c>
      <c r="GL40" s="50" t="str">
        <f t="shared" si="27"/>
        <v/>
      </c>
      <c r="GM40" s="50" t="str">
        <f t="shared" si="27"/>
        <v/>
      </c>
      <c r="GN40" s="50" t="str">
        <f t="shared" si="27"/>
        <v/>
      </c>
      <c r="GO40" s="50" t="str">
        <f t="shared" si="27"/>
        <v/>
      </c>
      <c r="GP40" s="50" t="str">
        <f t="shared" si="27"/>
        <v/>
      </c>
      <c r="GQ40" s="50" t="str">
        <f t="shared" si="27"/>
        <v/>
      </c>
      <c r="GR40" s="50" t="str">
        <f t="shared" si="27"/>
        <v/>
      </c>
      <c r="GS40" s="50" t="str">
        <f t="shared" si="27"/>
        <v/>
      </c>
      <c r="GT40" s="50" t="str">
        <f t="shared" si="27"/>
        <v/>
      </c>
      <c r="GU40" s="50" t="str">
        <f t="shared" si="27"/>
        <v/>
      </c>
      <c r="GV40" s="50" t="str">
        <f t="shared" si="27"/>
        <v/>
      </c>
      <c r="GW40" s="50" t="str">
        <f t="shared" si="27"/>
        <v/>
      </c>
      <c r="GX40" s="50" t="str">
        <f t="shared" si="27"/>
        <v/>
      </c>
      <c r="GY40" s="50" t="str">
        <f t="shared" si="27"/>
        <v/>
      </c>
      <c r="GZ40" s="50" t="str">
        <f t="shared" si="27"/>
        <v/>
      </c>
      <c r="HA40" s="50" t="str">
        <f t="shared" si="27"/>
        <v/>
      </c>
      <c r="HB40" s="50" t="str">
        <f t="shared" si="27"/>
        <v/>
      </c>
      <c r="HC40" s="50" t="str">
        <f t="shared" si="27"/>
        <v/>
      </c>
      <c r="HD40" s="50" t="str">
        <f t="shared" si="27"/>
        <v/>
      </c>
      <c r="HE40" s="50" t="str">
        <f t="shared" si="27"/>
        <v/>
      </c>
      <c r="HF40" s="50" t="str">
        <f t="shared" si="27"/>
        <v/>
      </c>
      <c r="HG40" s="50" t="str">
        <f t="shared" si="27"/>
        <v/>
      </c>
      <c r="HH40" s="50" t="str">
        <f t="shared" si="27"/>
        <v/>
      </c>
      <c r="HI40" s="50" t="str">
        <f t="shared" si="27"/>
        <v/>
      </c>
      <c r="HJ40" s="50" t="str">
        <f t="shared" si="27"/>
        <v/>
      </c>
      <c r="HK40" s="50" t="str">
        <f t="shared" si="27"/>
        <v/>
      </c>
      <c r="HL40" s="50" t="str">
        <f t="shared" si="27"/>
        <v/>
      </c>
      <c r="HM40" s="50" t="str">
        <f t="shared" si="27"/>
        <v/>
      </c>
      <c r="HN40" s="50" t="str">
        <f t="shared" si="27"/>
        <v/>
      </c>
      <c r="HO40" s="50" t="str">
        <f t="shared" si="27"/>
        <v/>
      </c>
      <c r="HP40" s="50" t="str">
        <f t="shared" si="27"/>
        <v/>
      </c>
      <c r="HQ40" s="50" t="str">
        <f t="shared" si="25"/>
        <v/>
      </c>
      <c r="HR40" s="112" t="str">
        <f t="shared" si="25"/>
        <v/>
      </c>
    </row>
    <row r="41" spans="1:226" ht="11.1" customHeight="1" x14ac:dyDescent="0.25">
      <c r="A41" s="26"/>
      <c r="B41" s="145"/>
      <c r="C41" s="28" t="str">
        <f>IF(A41=0,"",VLOOKUP(A41,[2]CO!$A$3:$F$5327,2,0))</f>
        <v/>
      </c>
      <c r="D41" s="178" t="s">
        <v>42</v>
      </c>
      <c r="E41" s="29"/>
      <c r="F41" s="29"/>
      <c r="G41" s="30" t="str">
        <f>IF(A41=0,"",VLOOKUP(A41,[2]CO!$A$3:$F$5327,3,0))</f>
        <v/>
      </c>
      <c r="H41" s="142"/>
      <c r="I41" s="143"/>
      <c r="J41" s="143"/>
      <c r="K41" s="143"/>
      <c r="L41" s="143"/>
      <c r="M41" s="32" t="str">
        <f t="shared" si="0"/>
        <v/>
      </c>
      <c r="N41" s="32" t="str">
        <f>IF(B41=0,"",IF(H41="M",HLOOKUP(B41,$Y$12:$DT$13,2),IF(A41=0,"",VLOOKUP(A41,[2]CO!$A$3:$F$5327,4,0))))</f>
        <v/>
      </c>
      <c r="O41" s="32" t="str">
        <f t="shared" si="7"/>
        <v/>
      </c>
      <c r="P41" s="33"/>
      <c r="Q41" s="34" t="str">
        <f t="shared" si="1"/>
        <v/>
      </c>
      <c r="R41" s="35" t="str">
        <f>IF(S41=0,"",IF(OR(G41="PEON",G41="OF",G41="JARD",G41="CARP",G41="MAESTRO",G41="SOLD",G41="BGRO",G41="CHOFER",G41="AYTE",G41="S.INTTE.",G41="ASEO",G41="P.PISOS",G41="VELADOR",G41="RESID",G41="PINTOR",G41="ELECT",G41="AZULE",G41="AUX CONT.",G41="SECRETARIA",G41="AUXILIAR ADMTVO.",G41="ARQUITECTO",G41="DIBUJANTE",G41="AUX. DE RESIDENTE"),VLOOKUP(B41,P$14:Q$77,2),"")*S41)</f>
        <v/>
      </c>
      <c r="T41" s="53" t="str">
        <f>IF(A41=0,"",VLOOKUP(A41,[2]CO!$A$3:$F$5318,5,0))</f>
        <v/>
      </c>
      <c r="U41" s="54">
        <f t="shared" si="2"/>
        <v>0</v>
      </c>
      <c r="V41" s="24"/>
      <c r="W41" s="25"/>
      <c r="X41" s="25"/>
      <c r="Y41" s="64" t="str">
        <f t="shared" si="34"/>
        <v/>
      </c>
      <c r="Z41" s="55" t="str">
        <f t="shared" si="34"/>
        <v/>
      </c>
      <c r="AA41" s="55" t="str">
        <f t="shared" si="34"/>
        <v/>
      </c>
      <c r="AB41" s="55" t="str">
        <f t="shared" si="34"/>
        <v/>
      </c>
      <c r="AC41" s="55" t="str">
        <f t="shared" si="34"/>
        <v/>
      </c>
      <c r="AD41" s="55" t="str">
        <f t="shared" si="34"/>
        <v/>
      </c>
      <c r="AE41" s="55" t="str">
        <f t="shared" si="34"/>
        <v/>
      </c>
      <c r="AF41" s="55" t="str">
        <f t="shared" si="34"/>
        <v/>
      </c>
      <c r="AG41" s="55" t="str">
        <f t="shared" si="34"/>
        <v/>
      </c>
      <c r="AH41" s="55" t="str">
        <f t="shared" si="34"/>
        <v/>
      </c>
      <c r="AI41" s="55" t="str">
        <f t="shared" si="34"/>
        <v/>
      </c>
      <c r="AJ41" s="55" t="str">
        <f t="shared" si="34"/>
        <v/>
      </c>
      <c r="AK41" s="55" t="str">
        <f t="shared" si="34"/>
        <v/>
      </c>
      <c r="AL41" s="55" t="str">
        <f t="shared" si="34"/>
        <v/>
      </c>
      <c r="AM41" s="55" t="str">
        <f t="shared" si="34"/>
        <v/>
      </c>
      <c r="AN41" s="55" t="str">
        <f t="shared" si="34"/>
        <v/>
      </c>
      <c r="AO41" s="55" t="str">
        <f t="shared" si="34"/>
        <v/>
      </c>
      <c r="AP41" s="55" t="str">
        <f t="shared" si="34"/>
        <v/>
      </c>
      <c r="AQ41" s="55" t="str">
        <f t="shared" si="34"/>
        <v/>
      </c>
      <c r="AR41" s="55" t="str">
        <f t="shared" si="34"/>
        <v/>
      </c>
      <c r="AS41" s="55" t="str">
        <f t="shared" si="34"/>
        <v/>
      </c>
      <c r="AT41" s="55" t="str">
        <f t="shared" si="34"/>
        <v/>
      </c>
      <c r="AU41" s="55" t="str">
        <f t="shared" si="34"/>
        <v/>
      </c>
      <c r="AV41" s="55" t="str">
        <f t="shared" si="34"/>
        <v/>
      </c>
      <c r="AW41" s="55" t="str">
        <f t="shared" si="34"/>
        <v/>
      </c>
      <c r="AX41" s="55" t="str">
        <f t="shared" si="34"/>
        <v/>
      </c>
      <c r="AY41" s="55" t="str">
        <f t="shared" si="34"/>
        <v/>
      </c>
      <c r="AZ41" s="55" t="str">
        <f t="shared" si="34"/>
        <v/>
      </c>
      <c r="BA41" s="55" t="str">
        <f t="shared" si="34"/>
        <v/>
      </c>
      <c r="BB41" s="55" t="str">
        <f t="shared" si="34"/>
        <v/>
      </c>
      <c r="BC41" s="55" t="str">
        <f t="shared" si="34"/>
        <v/>
      </c>
      <c r="BD41" s="55" t="str">
        <f t="shared" si="34"/>
        <v/>
      </c>
      <c r="BE41" s="55" t="str">
        <f t="shared" si="34"/>
        <v/>
      </c>
      <c r="BF41" s="55" t="str">
        <f t="shared" si="34"/>
        <v/>
      </c>
      <c r="BG41" s="55" t="str">
        <f t="shared" si="34"/>
        <v/>
      </c>
      <c r="BH41" s="55" t="str">
        <f t="shared" si="34"/>
        <v/>
      </c>
      <c r="BI41" s="55" t="str">
        <f t="shared" si="34"/>
        <v/>
      </c>
      <c r="BJ41" s="55" t="str">
        <f t="shared" si="34"/>
        <v/>
      </c>
      <c r="BK41" s="55" t="str">
        <f t="shared" si="34"/>
        <v/>
      </c>
      <c r="BL41" s="55" t="str">
        <f t="shared" si="34"/>
        <v/>
      </c>
      <c r="BM41" s="55" t="str">
        <f t="shared" si="34"/>
        <v/>
      </c>
      <c r="BN41" s="55" t="str">
        <f t="shared" si="34"/>
        <v/>
      </c>
      <c r="BO41" s="55" t="str">
        <f t="shared" si="34"/>
        <v/>
      </c>
      <c r="BP41" s="55" t="str">
        <f t="shared" si="34"/>
        <v/>
      </c>
      <c r="BQ41" s="55" t="str">
        <f t="shared" si="34"/>
        <v/>
      </c>
      <c r="BR41" s="55" t="str">
        <f t="shared" si="34"/>
        <v/>
      </c>
      <c r="BS41" s="55" t="str">
        <f t="shared" si="34"/>
        <v/>
      </c>
      <c r="BT41" s="55" t="str">
        <f t="shared" si="34"/>
        <v/>
      </c>
      <c r="BU41" s="55" t="str">
        <f t="shared" si="34"/>
        <v/>
      </c>
      <c r="BV41" s="55" t="str">
        <f t="shared" si="34"/>
        <v/>
      </c>
      <c r="BW41" s="55" t="str">
        <f t="shared" si="34"/>
        <v/>
      </c>
      <c r="BX41" s="55" t="str">
        <f t="shared" si="34"/>
        <v/>
      </c>
      <c r="BY41" s="55" t="str">
        <f t="shared" si="34"/>
        <v/>
      </c>
      <c r="BZ41" s="55" t="str">
        <f t="shared" si="34"/>
        <v/>
      </c>
      <c r="CA41" s="55" t="str">
        <f t="shared" si="34"/>
        <v/>
      </c>
      <c r="CB41" s="55" t="str">
        <f t="shared" si="34"/>
        <v/>
      </c>
      <c r="CC41" s="55" t="str">
        <f t="shared" si="34"/>
        <v/>
      </c>
      <c r="CD41" s="55" t="str">
        <f t="shared" si="34"/>
        <v/>
      </c>
      <c r="CE41" s="55" t="str">
        <f t="shared" si="34"/>
        <v/>
      </c>
      <c r="CF41" s="55" t="str">
        <f t="shared" si="34"/>
        <v/>
      </c>
      <c r="CG41" s="55" t="str">
        <f t="shared" si="34"/>
        <v/>
      </c>
      <c r="CH41" s="55" t="str">
        <f t="shared" si="34"/>
        <v/>
      </c>
      <c r="CI41" s="55" t="str">
        <f t="shared" si="34"/>
        <v/>
      </c>
      <c r="CJ41" s="55" t="str">
        <f t="shared" si="26"/>
        <v/>
      </c>
      <c r="CK41" s="55" t="str">
        <f t="shared" si="26"/>
        <v/>
      </c>
      <c r="CL41" s="55" t="str">
        <f t="shared" si="26"/>
        <v/>
      </c>
      <c r="CM41" s="55" t="str">
        <f t="shared" si="26"/>
        <v/>
      </c>
      <c r="CN41" s="55" t="str">
        <f t="shared" si="26"/>
        <v/>
      </c>
      <c r="CO41" s="55" t="str">
        <f t="shared" si="26"/>
        <v/>
      </c>
      <c r="CP41" s="55" t="str">
        <f t="shared" si="26"/>
        <v/>
      </c>
      <c r="CQ41" s="55" t="str">
        <f t="shared" si="26"/>
        <v/>
      </c>
      <c r="CR41" s="55" t="str">
        <f t="shared" si="26"/>
        <v/>
      </c>
      <c r="CS41" s="55" t="str">
        <f t="shared" si="26"/>
        <v/>
      </c>
      <c r="CT41" s="55" t="str">
        <f t="shared" si="26"/>
        <v/>
      </c>
      <c r="CU41" s="55" t="str">
        <f t="shared" si="26"/>
        <v/>
      </c>
      <c r="CV41" s="55" t="str">
        <f t="shared" si="26"/>
        <v/>
      </c>
      <c r="CW41" s="55" t="str">
        <f t="shared" si="26"/>
        <v/>
      </c>
      <c r="CX41" s="55" t="str">
        <f t="shared" ref="CX41:DR41" si="36">IF($B41=CX$12,$U41,"")</f>
        <v/>
      </c>
      <c r="CY41" s="55" t="str">
        <f t="shared" si="36"/>
        <v/>
      </c>
      <c r="CZ41" s="55" t="str">
        <f t="shared" si="36"/>
        <v/>
      </c>
      <c r="DA41" s="55" t="str">
        <f t="shared" si="36"/>
        <v/>
      </c>
      <c r="DB41" s="55" t="str">
        <f t="shared" si="36"/>
        <v/>
      </c>
      <c r="DC41" s="55" t="str">
        <f t="shared" si="36"/>
        <v/>
      </c>
      <c r="DD41" s="55" t="str">
        <f t="shared" si="36"/>
        <v/>
      </c>
      <c r="DE41" s="55" t="str">
        <f t="shared" si="36"/>
        <v/>
      </c>
      <c r="DF41" s="55" t="str">
        <f t="shared" si="36"/>
        <v/>
      </c>
      <c r="DG41" s="55" t="str">
        <f t="shared" si="36"/>
        <v/>
      </c>
      <c r="DH41" s="55" t="str">
        <f t="shared" si="36"/>
        <v/>
      </c>
      <c r="DI41" s="55" t="str">
        <f t="shared" si="36"/>
        <v/>
      </c>
      <c r="DJ41" s="55" t="str">
        <f t="shared" si="36"/>
        <v/>
      </c>
      <c r="DK41" s="55" t="str">
        <f t="shared" si="36"/>
        <v/>
      </c>
      <c r="DL41" s="55" t="str">
        <f t="shared" si="36"/>
        <v/>
      </c>
      <c r="DM41" s="55" t="str">
        <f t="shared" si="36"/>
        <v/>
      </c>
      <c r="DN41" s="55" t="str">
        <f t="shared" si="36"/>
        <v/>
      </c>
      <c r="DO41" s="55" t="str">
        <f t="shared" si="36"/>
        <v/>
      </c>
      <c r="DP41" s="55" t="str">
        <f t="shared" si="36"/>
        <v/>
      </c>
      <c r="DQ41" s="55" t="str">
        <f t="shared" si="36"/>
        <v/>
      </c>
      <c r="DR41" s="55" t="str">
        <f t="shared" si="36"/>
        <v/>
      </c>
      <c r="DS41" s="55" t="str">
        <f t="shared" si="24"/>
        <v/>
      </c>
      <c r="DT41" s="106" t="str">
        <f t="shared" si="24"/>
        <v/>
      </c>
      <c r="DU41" s="54"/>
      <c r="DV41" s="25"/>
      <c r="DW41" s="61" t="str">
        <f t="shared" si="35"/>
        <v/>
      </c>
      <c r="DX41" s="50" t="str">
        <f t="shared" si="35"/>
        <v/>
      </c>
      <c r="DY41" s="50" t="str">
        <f t="shared" si="35"/>
        <v/>
      </c>
      <c r="DZ41" s="50" t="str">
        <f t="shared" si="35"/>
        <v/>
      </c>
      <c r="EA41" s="50" t="str">
        <f t="shared" si="35"/>
        <v/>
      </c>
      <c r="EB41" s="50" t="str">
        <f t="shared" si="35"/>
        <v/>
      </c>
      <c r="EC41" s="50" t="str">
        <f t="shared" si="35"/>
        <v/>
      </c>
      <c r="ED41" s="50" t="str">
        <f t="shared" si="35"/>
        <v/>
      </c>
      <c r="EE41" s="50" t="str">
        <f t="shared" si="35"/>
        <v/>
      </c>
      <c r="EF41" s="50" t="str">
        <f t="shared" si="35"/>
        <v/>
      </c>
      <c r="EG41" s="50" t="str">
        <f t="shared" si="35"/>
        <v/>
      </c>
      <c r="EH41" s="50" t="str">
        <f t="shared" si="35"/>
        <v/>
      </c>
      <c r="EI41" s="50" t="str">
        <f t="shared" si="35"/>
        <v/>
      </c>
      <c r="EJ41" s="50" t="str">
        <f t="shared" si="35"/>
        <v/>
      </c>
      <c r="EK41" s="50" t="str">
        <f t="shared" si="35"/>
        <v/>
      </c>
      <c r="EL41" s="50" t="str">
        <f t="shared" si="35"/>
        <v/>
      </c>
      <c r="EM41" s="50" t="str">
        <f t="shared" si="35"/>
        <v/>
      </c>
      <c r="EN41" s="50" t="str">
        <f t="shared" si="35"/>
        <v/>
      </c>
      <c r="EO41" s="50" t="str">
        <f t="shared" si="35"/>
        <v/>
      </c>
      <c r="EP41" s="50" t="str">
        <f t="shared" si="35"/>
        <v/>
      </c>
      <c r="EQ41" s="50" t="str">
        <f t="shared" si="35"/>
        <v/>
      </c>
      <c r="ER41" s="50" t="str">
        <f t="shared" si="35"/>
        <v/>
      </c>
      <c r="ES41" s="50" t="str">
        <f t="shared" si="35"/>
        <v/>
      </c>
      <c r="ET41" s="50" t="str">
        <f t="shared" si="35"/>
        <v/>
      </c>
      <c r="EU41" s="50" t="str">
        <f t="shared" si="35"/>
        <v/>
      </c>
      <c r="EV41" s="50" t="str">
        <f t="shared" si="35"/>
        <v/>
      </c>
      <c r="EW41" s="50" t="str">
        <f t="shared" si="35"/>
        <v/>
      </c>
      <c r="EX41" s="50" t="str">
        <f t="shared" si="35"/>
        <v/>
      </c>
      <c r="EY41" s="50" t="str">
        <f t="shared" si="35"/>
        <v/>
      </c>
      <c r="EZ41" s="50" t="str">
        <f t="shared" si="35"/>
        <v/>
      </c>
      <c r="FA41" s="50" t="str">
        <f t="shared" si="35"/>
        <v/>
      </c>
      <c r="FB41" s="50" t="str">
        <f t="shared" si="35"/>
        <v/>
      </c>
      <c r="FC41" s="50" t="str">
        <f t="shared" si="35"/>
        <v/>
      </c>
      <c r="FD41" s="50" t="str">
        <f t="shared" si="35"/>
        <v/>
      </c>
      <c r="FE41" s="50" t="str">
        <f t="shared" si="35"/>
        <v/>
      </c>
      <c r="FF41" s="50" t="str">
        <f t="shared" si="35"/>
        <v/>
      </c>
      <c r="FG41" s="50" t="str">
        <f t="shared" si="35"/>
        <v/>
      </c>
      <c r="FH41" s="50" t="str">
        <f t="shared" si="35"/>
        <v/>
      </c>
      <c r="FI41" s="50" t="str">
        <f t="shared" si="35"/>
        <v/>
      </c>
      <c r="FJ41" s="50" t="str">
        <f t="shared" si="35"/>
        <v/>
      </c>
      <c r="FK41" s="50" t="str">
        <f t="shared" si="35"/>
        <v/>
      </c>
      <c r="FL41" s="50" t="str">
        <f t="shared" si="35"/>
        <v/>
      </c>
      <c r="FM41" s="50" t="str">
        <f t="shared" si="35"/>
        <v/>
      </c>
      <c r="FN41" s="50" t="str">
        <f t="shared" si="35"/>
        <v/>
      </c>
      <c r="FO41" s="50" t="str">
        <f t="shared" si="35"/>
        <v/>
      </c>
      <c r="FP41" s="50" t="str">
        <f t="shared" si="35"/>
        <v/>
      </c>
      <c r="FQ41" s="50" t="str">
        <f t="shared" si="35"/>
        <v/>
      </c>
      <c r="FR41" s="50" t="str">
        <f t="shared" si="35"/>
        <v/>
      </c>
      <c r="FS41" s="50" t="str">
        <f t="shared" si="35"/>
        <v/>
      </c>
      <c r="FT41" s="50" t="str">
        <f t="shared" si="35"/>
        <v/>
      </c>
      <c r="FU41" s="50" t="str">
        <f t="shared" si="35"/>
        <v/>
      </c>
      <c r="FV41" s="50" t="str">
        <f t="shared" si="35"/>
        <v/>
      </c>
      <c r="FW41" s="50" t="str">
        <f t="shared" si="35"/>
        <v/>
      </c>
      <c r="FX41" s="50" t="str">
        <f t="shared" si="35"/>
        <v/>
      </c>
      <c r="FY41" s="50" t="str">
        <f t="shared" si="35"/>
        <v/>
      </c>
      <c r="FZ41" s="50" t="str">
        <f t="shared" si="35"/>
        <v/>
      </c>
      <c r="GA41" s="50" t="str">
        <f t="shared" si="35"/>
        <v/>
      </c>
      <c r="GB41" s="50" t="str">
        <f t="shared" si="35"/>
        <v/>
      </c>
      <c r="GC41" s="50" t="str">
        <f t="shared" si="35"/>
        <v/>
      </c>
      <c r="GD41" s="50" t="str">
        <f t="shared" si="35"/>
        <v/>
      </c>
      <c r="GE41" s="50" t="str">
        <f t="shared" si="35"/>
        <v/>
      </c>
      <c r="GF41" s="50" t="str">
        <f t="shared" si="35"/>
        <v/>
      </c>
      <c r="GG41" s="50" t="str">
        <f t="shared" si="35"/>
        <v/>
      </c>
      <c r="GH41" s="50" t="str">
        <f t="shared" si="27"/>
        <v/>
      </c>
      <c r="GI41" s="50" t="str">
        <f t="shared" si="27"/>
        <v/>
      </c>
      <c r="GJ41" s="50" t="str">
        <f t="shared" si="27"/>
        <v/>
      </c>
      <c r="GK41" s="50" t="str">
        <f t="shared" si="27"/>
        <v/>
      </c>
      <c r="GL41" s="50" t="str">
        <f t="shared" si="27"/>
        <v/>
      </c>
      <c r="GM41" s="50" t="str">
        <f t="shared" si="27"/>
        <v/>
      </c>
      <c r="GN41" s="50" t="str">
        <f t="shared" si="27"/>
        <v/>
      </c>
      <c r="GO41" s="50" t="str">
        <f t="shared" si="27"/>
        <v/>
      </c>
      <c r="GP41" s="50" t="str">
        <f t="shared" si="27"/>
        <v/>
      </c>
      <c r="GQ41" s="50" t="str">
        <f t="shared" si="27"/>
        <v/>
      </c>
      <c r="GR41" s="50" t="str">
        <f t="shared" si="27"/>
        <v/>
      </c>
      <c r="GS41" s="50" t="str">
        <f t="shared" si="27"/>
        <v/>
      </c>
      <c r="GT41" s="50" t="str">
        <f t="shared" si="27"/>
        <v/>
      </c>
      <c r="GU41" s="50" t="str">
        <f t="shared" si="27"/>
        <v/>
      </c>
      <c r="GV41" s="50" t="str">
        <f t="shared" ref="GV41:HP41" si="37">IF($B41=GV$12,$O41,"")</f>
        <v/>
      </c>
      <c r="GW41" s="50" t="str">
        <f t="shared" si="37"/>
        <v/>
      </c>
      <c r="GX41" s="50" t="str">
        <f t="shared" si="37"/>
        <v/>
      </c>
      <c r="GY41" s="50" t="str">
        <f t="shared" si="37"/>
        <v/>
      </c>
      <c r="GZ41" s="50" t="str">
        <f t="shared" si="37"/>
        <v/>
      </c>
      <c r="HA41" s="50" t="str">
        <f t="shared" si="37"/>
        <v/>
      </c>
      <c r="HB41" s="50" t="str">
        <f t="shared" si="37"/>
        <v/>
      </c>
      <c r="HC41" s="50" t="str">
        <f t="shared" si="37"/>
        <v/>
      </c>
      <c r="HD41" s="50" t="str">
        <f t="shared" si="37"/>
        <v/>
      </c>
      <c r="HE41" s="50" t="str">
        <f t="shared" si="37"/>
        <v/>
      </c>
      <c r="HF41" s="50" t="str">
        <f t="shared" si="37"/>
        <v/>
      </c>
      <c r="HG41" s="50" t="str">
        <f t="shared" si="37"/>
        <v/>
      </c>
      <c r="HH41" s="50" t="str">
        <f t="shared" si="37"/>
        <v/>
      </c>
      <c r="HI41" s="50" t="str">
        <f t="shared" si="37"/>
        <v/>
      </c>
      <c r="HJ41" s="50" t="str">
        <f t="shared" si="37"/>
        <v/>
      </c>
      <c r="HK41" s="50" t="str">
        <f t="shared" si="37"/>
        <v/>
      </c>
      <c r="HL41" s="50" t="str">
        <f t="shared" si="37"/>
        <v/>
      </c>
      <c r="HM41" s="50" t="str">
        <f t="shared" si="37"/>
        <v/>
      </c>
      <c r="HN41" s="50" t="str">
        <f t="shared" si="37"/>
        <v/>
      </c>
      <c r="HO41" s="50" t="str">
        <f t="shared" si="37"/>
        <v/>
      </c>
      <c r="HP41" s="50" t="str">
        <f t="shared" si="37"/>
        <v/>
      </c>
      <c r="HQ41" s="50" t="str">
        <f t="shared" si="25"/>
        <v/>
      </c>
      <c r="HR41" s="112" t="str">
        <f t="shared" si="25"/>
        <v/>
      </c>
    </row>
    <row r="42" spans="1:226" ht="11.1" customHeight="1" x14ac:dyDescent="0.25">
      <c r="A42" s="26"/>
      <c r="B42" s="145"/>
      <c r="C42" s="28" t="str">
        <f>IF(A42=0,"",VLOOKUP(A42,[2]CO!$A$3:$F$5327,2,0))</f>
        <v/>
      </c>
      <c r="D42" s="149" t="s">
        <v>43</v>
      </c>
      <c r="E42" s="29"/>
      <c r="F42" s="29"/>
      <c r="G42" s="30" t="str">
        <f>IF(A42=0,"",VLOOKUP(A42,[2]CO!$A$3:$F$5327,3,0))</f>
        <v/>
      </c>
      <c r="H42" s="142"/>
      <c r="I42" s="143"/>
      <c r="J42" s="143"/>
      <c r="K42" s="143"/>
      <c r="L42" s="143"/>
      <c r="M42" s="32" t="str">
        <f t="shared" si="0"/>
        <v/>
      </c>
      <c r="N42" s="32" t="str">
        <f>IF(B42=0,"",IF(H42="M",HLOOKUP(B42,$Y$12:$DT$13,2),IF(A42=0,"",VLOOKUP(A42,[2]CO!$A$3:$F$5327,4,0))))</f>
        <v/>
      </c>
      <c r="O42" s="32" t="str">
        <f t="shared" si="7"/>
        <v/>
      </c>
      <c r="P42" s="33"/>
      <c r="Q42" s="34" t="str">
        <f t="shared" si="1"/>
        <v/>
      </c>
      <c r="R42" s="35" t="str">
        <f>IF(S42=0,"",IF(OR(G42="PEON",G42="OF",G42="JARD",G42="CARP",G42="MAESTRO",G42="SOLD",G42="BGRO",G42="CHOFER",G42="AYTE",G42="S.INTTE.",G42="ASEO",G42="P.PISOS",G42="VELADOR",G42="RESID",G42="PINTOR",G42="ELECT",G42="AZULE",G42="AUX CONT.",G42="SECRETARIA",G42="AUXILIAR ADMTVO.",G42="ARQUITECTO",G42="DIBUJANTE",G42="AUX. DE RESIDENTE"),VLOOKUP(B42,P$14:Q$77,2),"")*S42)</f>
        <v/>
      </c>
      <c r="T42" s="53" t="str">
        <f>IF(A42=0,"",VLOOKUP(A42,[2]CO!$A$3:$F$5318,5,0))</f>
        <v/>
      </c>
      <c r="U42" s="54">
        <f t="shared" si="2"/>
        <v>0</v>
      </c>
      <c r="V42" s="24"/>
      <c r="W42" s="25"/>
      <c r="X42" s="25"/>
      <c r="Y42" s="64" t="str">
        <f t="shared" si="34"/>
        <v/>
      </c>
      <c r="Z42" s="55" t="str">
        <f t="shared" si="34"/>
        <v/>
      </c>
      <c r="AA42" s="55" t="str">
        <f t="shared" si="34"/>
        <v/>
      </c>
      <c r="AB42" s="55" t="str">
        <f t="shared" si="34"/>
        <v/>
      </c>
      <c r="AC42" s="55" t="str">
        <f t="shared" si="34"/>
        <v/>
      </c>
      <c r="AD42" s="55" t="str">
        <f t="shared" si="34"/>
        <v/>
      </c>
      <c r="AE42" s="55" t="str">
        <f t="shared" si="34"/>
        <v/>
      </c>
      <c r="AF42" s="55" t="str">
        <f t="shared" si="34"/>
        <v/>
      </c>
      <c r="AG42" s="55" t="str">
        <f t="shared" si="34"/>
        <v/>
      </c>
      <c r="AH42" s="55" t="str">
        <f t="shared" si="34"/>
        <v/>
      </c>
      <c r="AI42" s="55" t="str">
        <f t="shared" si="34"/>
        <v/>
      </c>
      <c r="AJ42" s="55" t="str">
        <f t="shared" si="34"/>
        <v/>
      </c>
      <c r="AK42" s="55" t="str">
        <f t="shared" si="34"/>
        <v/>
      </c>
      <c r="AL42" s="55" t="str">
        <f t="shared" si="34"/>
        <v/>
      </c>
      <c r="AM42" s="55" t="str">
        <f t="shared" si="34"/>
        <v/>
      </c>
      <c r="AN42" s="55" t="str">
        <f t="shared" si="34"/>
        <v/>
      </c>
      <c r="AO42" s="55" t="str">
        <f t="shared" si="34"/>
        <v/>
      </c>
      <c r="AP42" s="55" t="str">
        <f t="shared" si="34"/>
        <v/>
      </c>
      <c r="AQ42" s="55" t="str">
        <f t="shared" si="34"/>
        <v/>
      </c>
      <c r="AR42" s="55" t="str">
        <f t="shared" si="34"/>
        <v/>
      </c>
      <c r="AS42" s="55" t="str">
        <f t="shared" si="34"/>
        <v/>
      </c>
      <c r="AT42" s="55" t="str">
        <f t="shared" si="34"/>
        <v/>
      </c>
      <c r="AU42" s="55" t="str">
        <f t="shared" si="34"/>
        <v/>
      </c>
      <c r="AV42" s="55" t="str">
        <f t="shared" si="34"/>
        <v/>
      </c>
      <c r="AW42" s="55" t="str">
        <f t="shared" si="34"/>
        <v/>
      </c>
      <c r="AX42" s="55" t="str">
        <f t="shared" si="34"/>
        <v/>
      </c>
      <c r="AY42" s="55" t="str">
        <f t="shared" si="34"/>
        <v/>
      </c>
      <c r="AZ42" s="55" t="str">
        <f t="shared" si="34"/>
        <v/>
      </c>
      <c r="BA42" s="55" t="str">
        <f t="shared" si="34"/>
        <v/>
      </c>
      <c r="BB42" s="55" t="str">
        <f t="shared" si="34"/>
        <v/>
      </c>
      <c r="BC42" s="55" t="str">
        <f t="shared" si="34"/>
        <v/>
      </c>
      <c r="BD42" s="55" t="str">
        <f t="shared" si="34"/>
        <v/>
      </c>
      <c r="BE42" s="55" t="str">
        <f t="shared" si="34"/>
        <v/>
      </c>
      <c r="BF42" s="55" t="str">
        <f t="shared" si="34"/>
        <v/>
      </c>
      <c r="BG42" s="55" t="str">
        <f t="shared" si="34"/>
        <v/>
      </c>
      <c r="BH42" s="55" t="str">
        <f t="shared" si="34"/>
        <v/>
      </c>
      <c r="BI42" s="55" t="str">
        <f t="shared" si="34"/>
        <v/>
      </c>
      <c r="BJ42" s="55" t="str">
        <f t="shared" si="34"/>
        <v/>
      </c>
      <c r="BK42" s="55" t="str">
        <f t="shared" si="34"/>
        <v/>
      </c>
      <c r="BL42" s="55" t="str">
        <f t="shared" si="34"/>
        <v/>
      </c>
      <c r="BM42" s="55" t="str">
        <f t="shared" si="34"/>
        <v/>
      </c>
      <c r="BN42" s="55" t="str">
        <f t="shared" si="34"/>
        <v/>
      </c>
      <c r="BO42" s="55" t="str">
        <f t="shared" si="34"/>
        <v/>
      </c>
      <c r="BP42" s="55" t="str">
        <f t="shared" si="34"/>
        <v/>
      </c>
      <c r="BQ42" s="55" t="str">
        <f t="shared" si="34"/>
        <v/>
      </c>
      <c r="BR42" s="55" t="str">
        <f t="shared" si="34"/>
        <v/>
      </c>
      <c r="BS42" s="55" t="str">
        <f t="shared" si="34"/>
        <v/>
      </c>
      <c r="BT42" s="55" t="str">
        <f t="shared" si="34"/>
        <v/>
      </c>
      <c r="BU42" s="55" t="str">
        <f t="shared" si="34"/>
        <v/>
      </c>
      <c r="BV42" s="55" t="str">
        <f t="shared" si="34"/>
        <v/>
      </c>
      <c r="BW42" s="55" t="str">
        <f t="shared" si="34"/>
        <v/>
      </c>
      <c r="BX42" s="55" t="str">
        <f t="shared" si="34"/>
        <v/>
      </c>
      <c r="BY42" s="55" t="str">
        <f t="shared" si="34"/>
        <v/>
      </c>
      <c r="BZ42" s="55" t="str">
        <f t="shared" si="34"/>
        <v/>
      </c>
      <c r="CA42" s="55" t="str">
        <f t="shared" si="34"/>
        <v/>
      </c>
      <c r="CB42" s="55" t="str">
        <f t="shared" si="34"/>
        <v/>
      </c>
      <c r="CC42" s="55" t="str">
        <f t="shared" si="34"/>
        <v/>
      </c>
      <c r="CD42" s="55" t="str">
        <f t="shared" si="34"/>
        <v/>
      </c>
      <c r="CE42" s="55" t="str">
        <f t="shared" si="34"/>
        <v/>
      </c>
      <c r="CF42" s="55" t="str">
        <f t="shared" si="34"/>
        <v/>
      </c>
      <c r="CG42" s="55" t="str">
        <f t="shared" si="34"/>
        <v/>
      </c>
      <c r="CH42" s="55" t="str">
        <f t="shared" si="34"/>
        <v/>
      </c>
      <c r="CI42" s="55" t="str">
        <f t="shared" si="34"/>
        <v/>
      </c>
      <c r="CJ42" s="55" t="str">
        <f t="shared" ref="CJ42:DR43" si="38">IF($B42=CJ$12,$U42,"")</f>
        <v/>
      </c>
      <c r="CK42" s="55" t="str">
        <f t="shared" si="38"/>
        <v/>
      </c>
      <c r="CL42" s="55" t="str">
        <f t="shared" si="38"/>
        <v/>
      </c>
      <c r="CM42" s="55" t="str">
        <f t="shared" si="38"/>
        <v/>
      </c>
      <c r="CN42" s="55" t="str">
        <f t="shared" si="38"/>
        <v/>
      </c>
      <c r="CO42" s="55" t="str">
        <f t="shared" si="38"/>
        <v/>
      </c>
      <c r="CP42" s="55" t="str">
        <f t="shared" si="38"/>
        <v/>
      </c>
      <c r="CQ42" s="55" t="str">
        <f t="shared" si="38"/>
        <v/>
      </c>
      <c r="CR42" s="55" t="str">
        <f t="shared" si="38"/>
        <v/>
      </c>
      <c r="CS42" s="55" t="str">
        <f t="shared" si="38"/>
        <v/>
      </c>
      <c r="CT42" s="55" t="str">
        <f t="shared" si="38"/>
        <v/>
      </c>
      <c r="CU42" s="55" t="str">
        <f t="shared" si="38"/>
        <v/>
      </c>
      <c r="CV42" s="55" t="str">
        <f t="shared" si="38"/>
        <v/>
      </c>
      <c r="CW42" s="55" t="str">
        <f t="shared" si="38"/>
        <v/>
      </c>
      <c r="CX42" s="55" t="str">
        <f t="shared" si="38"/>
        <v/>
      </c>
      <c r="CY42" s="55" t="str">
        <f t="shared" si="38"/>
        <v/>
      </c>
      <c r="CZ42" s="55" t="str">
        <f t="shared" si="38"/>
        <v/>
      </c>
      <c r="DA42" s="55" t="str">
        <f t="shared" si="38"/>
        <v/>
      </c>
      <c r="DB42" s="55" t="str">
        <f t="shared" si="38"/>
        <v/>
      </c>
      <c r="DC42" s="55" t="str">
        <f t="shared" si="38"/>
        <v/>
      </c>
      <c r="DD42" s="55" t="str">
        <f t="shared" si="38"/>
        <v/>
      </c>
      <c r="DE42" s="55" t="str">
        <f t="shared" si="38"/>
        <v/>
      </c>
      <c r="DF42" s="55" t="str">
        <f t="shared" si="38"/>
        <v/>
      </c>
      <c r="DG42" s="55" t="str">
        <f t="shared" si="38"/>
        <v/>
      </c>
      <c r="DH42" s="55" t="str">
        <f t="shared" si="38"/>
        <v/>
      </c>
      <c r="DI42" s="55" t="str">
        <f t="shared" si="38"/>
        <v/>
      </c>
      <c r="DJ42" s="55" t="str">
        <f t="shared" si="38"/>
        <v/>
      </c>
      <c r="DK42" s="55" t="str">
        <f t="shared" si="38"/>
        <v/>
      </c>
      <c r="DL42" s="55" t="str">
        <f t="shared" si="38"/>
        <v/>
      </c>
      <c r="DM42" s="55" t="str">
        <f t="shared" si="38"/>
        <v/>
      </c>
      <c r="DN42" s="55" t="str">
        <f t="shared" si="38"/>
        <v/>
      </c>
      <c r="DO42" s="55" t="str">
        <f t="shared" si="38"/>
        <v/>
      </c>
      <c r="DP42" s="55" t="str">
        <f t="shared" si="38"/>
        <v/>
      </c>
      <c r="DQ42" s="55" t="str">
        <f t="shared" si="38"/>
        <v/>
      </c>
      <c r="DR42" s="55" t="str">
        <f t="shared" si="38"/>
        <v/>
      </c>
      <c r="DS42" s="55" t="str">
        <f t="shared" si="24"/>
        <v/>
      </c>
      <c r="DT42" s="106" t="str">
        <f t="shared" si="24"/>
        <v/>
      </c>
      <c r="DU42" s="54"/>
      <c r="DV42" s="25"/>
      <c r="DW42" s="61" t="str">
        <f t="shared" si="35"/>
        <v/>
      </c>
      <c r="DX42" s="50" t="str">
        <f t="shared" si="35"/>
        <v/>
      </c>
      <c r="DY42" s="50" t="str">
        <f t="shared" si="35"/>
        <v/>
      </c>
      <c r="DZ42" s="50" t="str">
        <f t="shared" si="35"/>
        <v/>
      </c>
      <c r="EA42" s="50" t="str">
        <f t="shared" si="35"/>
        <v/>
      </c>
      <c r="EB42" s="50" t="str">
        <f t="shared" si="35"/>
        <v/>
      </c>
      <c r="EC42" s="50" t="str">
        <f t="shared" si="35"/>
        <v/>
      </c>
      <c r="ED42" s="50" t="str">
        <f t="shared" si="35"/>
        <v/>
      </c>
      <c r="EE42" s="50" t="str">
        <f t="shared" si="35"/>
        <v/>
      </c>
      <c r="EF42" s="50" t="str">
        <f t="shared" si="35"/>
        <v/>
      </c>
      <c r="EG42" s="50" t="str">
        <f t="shared" si="35"/>
        <v/>
      </c>
      <c r="EH42" s="50" t="str">
        <f t="shared" si="35"/>
        <v/>
      </c>
      <c r="EI42" s="50" t="str">
        <f t="shared" si="35"/>
        <v/>
      </c>
      <c r="EJ42" s="50" t="str">
        <f t="shared" si="35"/>
        <v/>
      </c>
      <c r="EK42" s="50" t="str">
        <f t="shared" si="35"/>
        <v/>
      </c>
      <c r="EL42" s="50" t="str">
        <f t="shared" si="35"/>
        <v/>
      </c>
      <c r="EM42" s="50" t="str">
        <f t="shared" si="35"/>
        <v/>
      </c>
      <c r="EN42" s="50" t="str">
        <f t="shared" si="35"/>
        <v/>
      </c>
      <c r="EO42" s="50" t="str">
        <f t="shared" si="35"/>
        <v/>
      </c>
      <c r="EP42" s="50" t="str">
        <f t="shared" si="35"/>
        <v/>
      </c>
      <c r="EQ42" s="50" t="str">
        <f t="shared" si="35"/>
        <v/>
      </c>
      <c r="ER42" s="50" t="str">
        <f t="shared" si="35"/>
        <v/>
      </c>
      <c r="ES42" s="50" t="str">
        <f t="shared" si="35"/>
        <v/>
      </c>
      <c r="ET42" s="50" t="str">
        <f t="shared" si="35"/>
        <v/>
      </c>
      <c r="EU42" s="50" t="str">
        <f t="shared" si="35"/>
        <v/>
      </c>
      <c r="EV42" s="50" t="str">
        <f t="shared" si="35"/>
        <v/>
      </c>
      <c r="EW42" s="50" t="str">
        <f t="shared" si="35"/>
        <v/>
      </c>
      <c r="EX42" s="50" t="str">
        <f t="shared" si="35"/>
        <v/>
      </c>
      <c r="EY42" s="50" t="str">
        <f t="shared" si="35"/>
        <v/>
      </c>
      <c r="EZ42" s="50" t="str">
        <f t="shared" si="35"/>
        <v/>
      </c>
      <c r="FA42" s="50" t="str">
        <f t="shared" si="35"/>
        <v/>
      </c>
      <c r="FB42" s="50" t="str">
        <f t="shared" si="35"/>
        <v/>
      </c>
      <c r="FC42" s="50" t="str">
        <f t="shared" si="35"/>
        <v/>
      </c>
      <c r="FD42" s="50" t="str">
        <f t="shared" si="35"/>
        <v/>
      </c>
      <c r="FE42" s="50" t="str">
        <f t="shared" si="35"/>
        <v/>
      </c>
      <c r="FF42" s="50" t="str">
        <f t="shared" si="35"/>
        <v/>
      </c>
      <c r="FG42" s="50" t="str">
        <f t="shared" si="35"/>
        <v/>
      </c>
      <c r="FH42" s="50" t="str">
        <f t="shared" si="35"/>
        <v/>
      </c>
      <c r="FI42" s="50" t="str">
        <f t="shared" si="35"/>
        <v/>
      </c>
      <c r="FJ42" s="50" t="str">
        <f t="shared" si="35"/>
        <v/>
      </c>
      <c r="FK42" s="50" t="str">
        <f t="shared" si="35"/>
        <v/>
      </c>
      <c r="FL42" s="50" t="str">
        <f t="shared" si="35"/>
        <v/>
      </c>
      <c r="FM42" s="50" t="str">
        <f t="shared" si="35"/>
        <v/>
      </c>
      <c r="FN42" s="50" t="str">
        <f t="shared" si="35"/>
        <v/>
      </c>
      <c r="FO42" s="50" t="str">
        <f t="shared" si="35"/>
        <v/>
      </c>
      <c r="FP42" s="50" t="str">
        <f t="shared" si="35"/>
        <v/>
      </c>
      <c r="FQ42" s="50" t="str">
        <f t="shared" si="35"/>
        <v/>
      </c>
      <c r="FR42" s="50" t="str">
        <f t="shared" si="35"/>
        <v/>
      </c>
      <c r="FS42" s="50" t="str">
        <f t="shared" si="35"/>
        <v/>
      </c>
      <c r="FT42" s="50" t="str">
        <f t="shared" si="35"/>
        <v/>
      </c>
      <c r="FU42" s="50" t="str">
        <f t="shared" si="35"/>
        <v/>
      </c>
      <c r="FV42" s="50" t="str">
        <f t="shared" si="35"/>
        <v/>
      </c>
      <c r="FW42" s="50" t="str">
        <f t="shared" si="35"/>
        <v/>
      </c>
      <c r="FX42" s="50" t="str">
        <f t="shared" si="35"/>
        <v/>
      </c>
      <c r="FY42" s="50" t="str">
        <f t="shared" si="35"/>
        <v/>
      </c>
      <c r="FZ42" s="50" t="str">
        <f t="shared" si="35"/>
        <v/>
      </c>
      <c r="GA42" s="50" t="str">
        <f t="shared" si="35"/>
        <v/>
      </c>
      <c r="GB42" s="50" t="str">
        <f t="shared" si="35"/>
        <v/>
      </c>
      <c r="GC42" s="50" t="str">
        <f t="shared" si="35"/>
        <v/>
      </c>
      <c r="GD42" s="50" t="str">
        <f t="shared" si="35"/>
        <v/>
      </c>
      <c r="GE42" s="50" t="str">
        <f t="shared" si="35"/>
        <v/>
      </c>
      <c r="GF42" s="50" t="str">
        <f t="shared" si="35"/>
        <v/>
      </c>
      <c r="GG42" s="50" t="str">
        <f t="shared" si="35"/>
        <v/>
      </c>
      <c r="GH42" s="50" t="str">
        <f t="shared" ref="GH42:HP43" si="39">IF($B42=GH$12,$O42,"")</f>
        <v/>
      </c>
      <c r="GI42" s="50" t="str">
        <f t="shared" si="39"/>
        <v/>
      </c>
      <c r="GJ42" s="50" t="str">
        <f t="shared" si="39"/>
        <v/>
      </c>
      <c r="GK42" s="50" t="str">
        <f t="shared" si="39"/>
        <v/>
      </c>
      <c r="GL42" s="50" t="str">
        <f t="shared" si="39"/>
        <v/>
      </c>
      <c r="GM42" s="50" t="str">
        <f t="shared" si="39"/>
        <v/>
      </c>
      <c r="GN42" s="50" t="str">
        <f t="shared" si="39"/>
        <v/>
      </c>
      <c r="GO42" s="50" t="str">
        <f t="shared" si="39"/>
        <v/>
      </c>
      <c r="GP42" s="50" t="str">
        <f t="shared" si="39"/>
        <v/>
      </c>
      <c r="GQ42" s="50" t="str">
        <f t="shared" si="39"/>
        <v/>
      </c>
      <c r="GR42" s="50" t="str">
        <f t="shared" si="39"/>
        <v/>
      </c>
      <c r="GS42" s="50" t="str">
        <f t="shared" si="39"/>
        <v/>
      </c>
      <c r="GT42" s="50" t="str">
        <f t="shared" si="39"/>
        <v/>
      </c>
      <c r="GU42" s="50" t="str">
        <f t="shared" si="39"/>
        <v/>
      </c>
      <c r="GV42" s="50" t="str">
        <f t="shared" si="39"/>
        <v/>
      </c>
      <c r="GW42" s="50" t="str">
        <f t="shared" si="39"/>
        <v/>
      </c>
      <c r="GX42" s="50" t="str">
        <f t="shared" si="39"/>
        <v/>
      </c>
      <c r="GY42" s="50" t="str">
        <f t="shared" si="39"/>
        <v/>
      </c>
      <c r="GZ42" s="50" t="str">
        <f t="shared" si="39"/>
        <v/>
      </c>
      <c r="HA42" s="50" t="str">
        <f t="shared" si="39"/>
        <v/>
      </c>
      <c r="HB42" s="50" t="str">
        <f t="shared" si="39"/>
        <v/>
      </c>
      <c r="HC42" s="50" t="str">
        <f t="shared" si="39"/>
        <v/>
      </c>
      <c r="HD42" s="50" t="str">
        <f t="shared" si="39"/>
        <v/>
      </c>
      <c r="HE42" s="50" t="str">
        <f t="shared" si="39"/>
        <v/>
      </c>
      <c r="HF42" s="50" t="str">
        <f t="shared" si="39"/>
        <v/>
      </c>
      <c r="HG42" s="50" t="str">
        <f t="shared" si="39"/>
        <v/>
      </c>
      <c r="HH42" s="50" t="str">
        <f t="shared" si="39"/>
        <v/>
      </c>
      <c r="HI42" s="50" t="str">
        <f t="shared" si="39"/>
        <v/>
      </c>
      <c r="HJ42" s="50" t="str">
        <f t="shared" si="39"/>
        <v/>
      </c>
      <c r="HK42" s="50" t="str">
        <f t="shared" si="39"/>
        <v/>
      </c>
      <c r="HL42" s="50" t="str">
        <f t="shared" si="39"/>
        <v/>
      </c>
      <c r="HM42" s="50" t="str">
        <f t="shared" si="39"/>
        <v/>
      </c>
      <c r="HN42" s="50" t="str">
        <f t="shared" si="39"/>
        <v/>
      </c>
      <c r="HO42" s="50" t="str">
        <f t="shared" si="39"/>
        <v/>
      </c>
      <c r="HP42" s="50" t="str">
        <f t="shared" si="39"/>
        <v/>
      </c>
      <c r="HQ42" s="50" t="str">
        <f t="shared" si="25"/>
        <v/>
      </c>
      <c r="HR42" s="112" t="str">
        <f t="shared" si="25"/>
        <v/>
      </c>
    </row>
    <row r="43" spans="1:226" ht="11.1" customHeight="1" x14ac:dyDescent="0.25">
      <c r="A43" s="26"/>
      <c r="B43" s="145"/>
      <c r="C43" s="28" t="str">
        <f>IF(A43=0,"",VLOOKUP(A43,[2]CO!$A$3:$F$5327,2,0))</f>
        <v/>
      </c>
      <c r="D43" s="149" t="s">
        <v>44</v>
      </c>
      <c r="E43" s="29"/>
      <c r="F43" s="29"/>
      <c r="G43" s="30" t="str">
        <f>IF(A43=0,"",VLOOKUP(A43,[2]CO!$A$3:$F$5327,3,0))</f>
        <v/>
      </c>
      <c r="H43" s="142"/>
      <c r="I43" s="143"/>
      <c r="J43" s="143"/>
      <c r="K43" s="143"/>
      <c r="L43" s="143"/>
      <c r="M43" s="32" t="str">
        <f t="shared" si="0"/>
        <v/>
      </c>
      <c r="N43" s="32" t="str">
        <f>IF(B43=0,"",IF(H43="M",HLOOKUP(B43,$Y$12:$DT$13,2),IF(A43=0,"",VLOOKUP(A43,[2]CO!$A$3:$F$5327,4,0))))</f>
        <v/>
      </c>
      <c r="O43" s="32" t="str">
        <f t="shared" si="7"/>
        <v/>
      </c>
      <c r="P43" s="33"/>
      <c r="Q43" s="34" t="str">
        <f t="shared" si="1"/>
        <v/>
      </c>
      <c r="R43" s="35" t="str">
        <f>IF(S43=0,"",IF(OR(G43="PEON",G43="OF",G43="JARD",G43="CARP",G43="MAESTRO",G43="SOLD",G43="BGRO",G43="CHOFER",G43="AYTE",G43="S.INTTE.",G43="ASEO",G43="P.PISOS",G43="VELADOR",G43="RESID",G43="PINTOR",G43="ELECT",G43="AZULE",G43="AUX CONT.",G43="SECRETARIA",G43="AUXILIAR ADMTVO.",G43="ARQUITECTO",G43="DIBUJANTE",G43="AUX. DE RESIDENTE"),VLOOKUP(B43,P$14:Q$77,2),"")*S43)</f>
        <v/>
      </c>
      <c r="T43" s="53" t="str">
        <f>IF(A43=0,"",VLOOKUP(A43,[2]CO!$A$3:$F$5318,5,0))</f>
        <v/>
      </c>
      <c r="U43" s="54">
        <f t="shared" si="2"/>
        <v>0</v>
      </c>
      <c r="V43" s="24"/>
      <c r="W43" s="25"/>
      <c r="X43" s="25"/>
      <c r="Y43" s="64" t="str">
        <f t="shared" si="34"/>
        <v/>
      </c>
      <c r="Z43" s="55" t="str">
        <f t="shared" si="34"/>
        <v/>
      </c>
      <c r="AA43" s="55" t="str">
        <f t="shared" si="34"/>
        <v/>
      </c>
      <c r="AB43" s="55" t="str">
        <f t="shared" si="34"/>
        <v/>
      </c>
      <c r="AC43" s="55" t="str">
        <f t="shared" si="34"/>
        <v/>
      </c>
      <c r="AD43" s="55" t="str">
        <f t="shared" si="34"/>
        <v/>
      </c>
      <c r="AE43" s="55" t="str">
        <f t="shared" si="34"/>
        <v/>
      </c>
      <c r="AF43" s="55" t="str">
        <f t="shared" si="34"/>
        <v/>
      </c>
      <c r="AG43" s="55" t="str">
        <f t="shared" si="34"/>
        <v/>
      </c>
      <c r="AH43" s="55" t="str">
        <f t="shared" si="34"/>
        <v/>
      </c>
      <c r="AI43" s="55" t="str">
        <f t="shared" si="34"/>
        <v/>
      </c>
      <c r="AJ43" s="55" t="str">
        <f t="shared" si="34"/>
        <v/>
      </c>
      <c r="AK43" s="55" t="str">
        <f t="shared" si="34"/>
        <v/>
      </c>
      <c r="AL43" s="55" t="str">
        <f t="shared" si="34"/>
        <v/>
      </c>
      <c r="AM43" s="55" t="str">
        <f t="shared" si="34"/>
        <v/>
      </c>
      <c r="AN43" s="55" t="str">
        <f t="shared" si="34"/>
        <v/>
      </c>
      <c r="AO43" s="55" t="str">
        <f t="shared" si="34"/>
        <v/>
      </c>
      <c r="AP43" s="55" t="str">
        <f t="shared" si="34"/>
        <v/>
      </c>
      <c r="AQ43" s="55" t="str">
        <f t="shared" si="34"/>
        <v/>
      </c>
      <c r="AR43" s="55" t="str">
        <f t="shared" si="34"/>
        <v/>
      </c>
      <c r="AS43" s="55" t="str">
        <f t="shared" si="34"/>
        <v/>
      </c>
      <c r="AT43" s="55" t="str">
        <f t="shared" si="34"/>
        <v/>
      </c>
      <c r="AU43" s="55" t="str">
        <f t="shared" si="34"/>
        <v/>
      </c>
      <c r="AV43" s="55" t="str">
        <f t="shared" si="34"/>
        <v/>
      </c>
      <c r="AW43" s="55" t="str">
        <f t="shared" si="34"/>
        <v/>
      </c>
      <c r="AX43" s="55" t="str">
        <f t="shared" si="34"/>
        <v/>
      </c>
      <c r="AY43" s="55" t="str">
        <f t="shared" si="34"/>
        <v/>
      </c>
      <c r="AZ43" s="55" t="str">
        <f t="shared" si="34"/>
        <v/>
      </c>
      <c r="BA43" s="55" t="str">
        <f t="shared" si="34"/>
        <v/>
      </c>
      <c r="BB43" s="55" t="str">
        <f t="shared" si="34"/>
        <v/>
      </c>
      <c r="BC43" s="55" t="str">
        <f t="shared" si="34"/>
        <v/>
      </c>
      <c r="BD43" s="55" t="str">
        <f t="shared" si="34"/>
        <v/>
      </c>
      <c r="BE43" s="55" t="str">
        <f t="shared" si="34"/>
        <v/>
      </c>
      <c r="BF43" s="55" t="str">
        <f t="shared" si="34"/>
        <v/>
      </c>
      <c r="BG43" s="55" t="str">
        <f t="shared" si="34"/>
        <v/>
      </c>
      <c r="BH43" s="55" t="str">
        <f t="shared" si="34"/>
        <v/>
      </c>
      <c r="BI43" s="55" t="str">
        <f t="shared" si="34"/>
        <v/>
      </c>
      <c r="BJ43" s="55" t="str">
        <f t="shared" si="34"/>
        <v/>
      </c>
      <c r="BK43" s="55" t="str">
        <f t="shared" si="34"/>
        <v/>
      </c>
      <c r="BL43" s="55" t="str">
        <f t="shared" si="34"/>
        <v/>
      </c>
      <c r="BM43" s="55" t="str">
        <f t="shared" si="34"/>
        <v/>
      </c>
      <c r="BN43" s="55" t="str">
        <f t="shared" si="34"/>
        <v/>
      </c>
      <c r="BO43" s="55" t="str">
        <f t="shared" si="34"/>
        <v/>
      </c>
      <c r="BP43" s="55" t="str">
        <f t="shared" si="34"/>
        <v/>
      </c>
      <c r="BQ43" s="55" t="str">
        <f t="shared" si="34"/>
        <v/>
      </c>
      <c r="BR43" s="55" t="str">
        <f t="shared" si="34"/>
        <v/>
      </c>
      <c r="BS43" s="55" t="str">
        <f t="shared" si="34"/>
        <v/>
      </c>
      <c r="BT43" s="55" t="str">
        <f t="shared" si="34"/>
        <v/>
      </c>
      <c r="BU43" s="55" t="str">
        <f t="shared" si="34"/>
        <v/>
      </c>
      <c r="BV43" s="55" t="str">
        <f t="shared" si="34"/>
        <v/>
      </c>
      <c r="BW43" s="55" t="str">
        <f t="shared" si="34"/>
        <v/>
      </c>
      <c r="BX43" s="55" t="str">
        <f t="shared" si="34"/>
        <v/>
      </c>
      <c r="BY43" s="55" t="str">
        <f t="shared" si="34"/>
        <v/>
      </c>
      <c r="BZ43" s="55" t="str">
        <f t="shared" si="34"/>
        <v/>
      </c>
      <c r="CA43" s="55" t="str">
        <f t="shared" si="34"/>
        <v/>
      </c>
      <c r="CB43" s="55" t="str">
        <f t="shared" si="34"/>
        <v/>
      </c>
      <c r="CC43" s="55" t="str">
        <f t="shared" si="34"/>
        <v/>
      </c>
      <c r="CD43" s="55" t="str">
        <f t="shared" si="34"/>
        <v/>
      </c>
      <c r="CE43" s="55" t="str">
        <f t="shared" si="34"/>
        <v/>
      </c>
      <c r="CF43" s="55" t="str">
        <f t="shared" si="34"/>
        <v/>
      </c>
      <c r="CG43" s="55" t="str">
        <f t="shared" si="34"/>
        <v/>
      </c>
      <c r="CH43" s="55" t="str">
        <f t="shared" si="34"/>
        <v/>
      </c>
      <c r="CI43" s="55" t="str">
        <f t="shared" si="34"/>
        <v/>
      </c>
      <c r="CJ43" s="55" t="str">
        <f t="shared" si="38"/>
        <v/>
      </c>
      <c r="CK43" s="55" t="str">
        <f t="shared" si="38"/>
        <v/>
      </c>
      <c r="CL43" s="55" t="str">
        <f t="shared" si="38"/>
        <v/>
      </c>
      <c r="CM43" s="55" t="str">
        <f t="shared" si="38"/>
        <v/>
      </c>
      <c r="CN43" s="55" t="str">
        <f t="shared" si="38"/>
        <v/>
      </c>
      <c r="CO43" s="55" t="str">
        <f t="shared" si="38"/>
        <v/>
      </c>
      <c r="CP43" s="55" t="str">
        <f t="shared" si="38"/>
        <v/>
      </c>
      <c r="CQ43" s="55" t="str">
        <f t="shared" si="38"/>
        <v/>
      </c>
      <c r="CR43" s="55" t="str">
        <f t="shared" si="38"/>
        <v/>
      </c>
      <c r="CS43" s="55" t="str">
        <f t="shared" si="38"/>
        <v/>
      </c>
      <c r="CT43" s="55" t="str">
        <f t="shared" si="38"/>
        <v/>
      </c>
      <c r="CU43" s="55" t="str">
        <f t="shared" si="38"/>
        <v/>
      </c>
      <c r="CV43" s="55" t="str">
        <f t="shared" si="38"/>
        <v/>
      </c>
      <c r="CW43" s="55" t="str">
        <f t="shared" si="38"/>
        <v/>
      </c>
      <c r="CX43" s="55" t="str">
        <f t="shared" si="38"/>
        <v/>
      </c>
      <c r="CY43" s="55" t="str">
        <f t="shared" si="38"/>
        <v/>
      </c>
      <c r="CZ43" s="55" t="str">
        <f t="shared" si="38"/>
        <v/>
      </c>
      <c r="DA43" s="55" t="str">
        <f t="shared" si="38"/>
        <v/>
      </c>
      <c r="DB43" s="55" t="str">
        <f t="shared" si="38"/>
        <v/>
      </c>
      <c r="DC43" s="55" t="str">
        <f t="shared" si="38"/>
        <v/>
      </c>
      <c r="DD43" s="55" t="str">
        <f t="shared" si="38"/>
        <v/>
      </c>
      <c r="DE43" s="55" t="str">
        <f t="shared" si="38"/>
        <v/>
      </c>
      <c r="DF43" s="55" t="str">
        <f t="shared" si="38"/>
        <v/>
      </c>
      <c r="DG43" s="55" t="str">
        <f t="shared" si="38"/>
        <v/>
      </c>
      <c r="DH43" s="55" t="str">
        <f t="shared" si="38"/>
        <v/>
      </c>
      <c r="DI43" s="55" t="str">
        <f t="shared" si="38"/>
        <v/>
      </c>
      <c r="DJ43" s="55" t="str">
        <f t="shared" si="38"/>
        <v/>
      </c>
      <c r="DK43" s="55" t="str">
        <f t="shared" si="38"/>
        <v/>
      </c>
      <c r="DL43" s="55" t="str">
        <f t="shared" si="38"/>
        <v/>
      </c>
      <c r="DM43" s="55" t="str">
        <f t="shared" si="38"/>
        <v/>
      </c>
      <c r="DN43" s="55" t="str">
        <f t="shared" si="38"/>
        <v/>
      </c>
      <c r="DO43" s="55" t="str">
        <f t="shared" si="38"/>
        <v/>
      </c>
      <c r="DP43" s="55" t="str">
        <f t="shared" si="38"/>
        <v/>
      </c>
      <c r="DQ43" s="55" t="str">
        <f t="shared" si="38"/>
        <v/>
      </c>
      <c r="DR43" s="55" t="str">
        <f t="shared" si="38"/>
        <v/>
      </c>
      <c r="DS43" s="55" t="str">
        <f t="shared" si="24"/>
        <v/>
      </c>
      <c r="DT43" s="106" t="str">
        <f t="shared" si="24"/>
        <v/>
      </c>
      <c r="DU43" s="54"/>
      <c r="DV43" s="25"/>
      <c r="DW43" s="61" t="str">
        <f t="shared" si="35"/>
        <v/>
      </c>
      <c r="DX43" s="50" t="str">
        <f t="shared" si="35"/>
        <v/>
      </c>
      <c r="DY43" s="50" t="str">
        <f t="shared" si="35"/>
        <v/>
      </c>
      <c r="DZ43" s="50" t="str">
        <f t="shared" si="35"/>
        <v/>
      </c>
      <c r="EA43" s="50" t="str">
        <f t="shared" si="35"/>
        <v/>
      </c>
      <c r="EB43" s="50" t="str">
        <f t="shared" si="35"/>
        <v/>
      </c>
      <c r="EC43" s="50" t="str">
        <f t="shared" si="35"/>
        <v/>
      </c>
      <c r="ED43" s="50" t="str">
        <f t="shared" si="35"/>
        <v/>
      </c>
      <c r="EE43" s="50" t="str">
        <f t="shared" si="35"/>
        <v/>
      </c>
      <c r="EF43" s="50" t="str">
        <f t="shared" si="35"/>
        <v/>
      </c>
      <c r="EG43" s="50" t="str">
        <f t="shared" si="35"/>
        <v/>
      </c>
      <c r="EH43" s="50" t="str">
        <f t="shared" si="35"/>
        <v/>
      </c>
      <c r="EI43" s="50" t="str">
        <f t="shared" si="35"/>
        <v/>
      </c>
      <c r="EJ43" s="50" t="str">
        <f t="shared" si="35"/>
        <v/>
      </c>
      <c r="EK43" s="50" t="str">
        <f t="shared" si="35"/>
        <v/>
      </c>
      <c r="EL43" s="50" t="str">
        <f t="shared" si="35"/>
        <v/>
      </c>
      <c r="EM43" s="50" t="str">
        <f t="shared" si="35"/>
        <v/>
      </c>
      <c r="EN43" s="50" t="str">
        <f t="shared" si="35"/>
        <v/>
      </c>
      <c r="EO43" s="50" t="str">
        <f t="shared" si="35"/>
        <v/>
      </c>
      <c r="EP43" s="50" t="str">
        <f t="shared" si="35"/>
        <v/>
      </c>
      <c r="EQ43" s="50" t="str">
        <f t="shared" si="35"/>
        <v/>
      </c>
      <c r="ER43" s="50" t="str">
        <f t="shared" si="35"/>
        <v/>
      </c>
      <c r="ES43" s="50" t="str">
        <f t="shared" si="35"/>
        <v/>
      </c>
      <c r="ET43" s="50" t="str">
        <f t="shared" si="35"/>
        <v/>
      </c>
      <c r="EU43" s="50" t="str">
        <f t="shared" si="35"/>
        <v/>
      </c>
      <c r="EV43" s="50" t="str">
        <f t="shared" si="35"/>
        <v/>
      </c>
      <c r="EW43" s="50" t="str">
        <f t="shared" si="35"/>
        <v/>
      </c>
      <c r="EX43" s="50" t="str">
        <f t="shared" si="35"/>
        <v/>
      </c>
      <c r="EY43" s="50" t="str">
        <f t="shared" si="35"/>
        <v/>
      </c>
      <c r="EZ43" s="50" t="str">
        <f t="shared" si="35"/>
        <v/>
      </c>
      <c r="FA43" s="50" t="str">
        <f t="shared" si="35"/>
        <v/>
      </c>
      <c r="FB43" s="50" t="str">
        <f t="shared" si="35"/>
        <v/>
      </c>
      <c r="FC43" s="50" t="str">
        <f t="shared" si="35"/>
        <v/>
      </c>
      <c r="FD43" s="50" t="str">
        <f t="shared" si="35"/>
        <v/>
      </c>
      <c r="FE43" s="50" t="str">
        <f t="shared" si="35"/>
        <v/>
      </c>
      <c r="FF43" s="50" t="str">
        <f t="shared" si="35"/>
        <v/>
      </c>
      <c r="FG43" s="50" t="str">
        <f t="shared" si="35"/>
        <v/>
      </c>
      <c r="FH43" s="50" t="str">
        <f t="shared" si="35"/>
        <v/>
      </c>
      <c r="FI43" s="50" t="str">
        <f t="shared" si="35"/>
        <v/>
      </c>
      <c r="FJ43" s="50" t="str">
        <f t="shared" si="35"/>
        <v/>
      </c>
      <c r="FK43" s="50" t="str">
        <f t="shared" si="35"/>
        <v/>
      </c>
      <c r="FL43" s="50" t="str">
        <f t="shared" si="35"/>
        <v/>
      </c>
      <c r="FM43" s="50" t="str">
        <f t="shared" si="35"/>
        <v/>
      </c>
      <c r="FN43" s="50" t="str">
        <f t="shared" si="35"/>
        <v/>
      </c>
      <c r="FO43" s="50" t="str">
        <f t="shared" si="35"/>
        <v/>
      </c>
      <c r="FP43" s="50" t="str">
        <f t="shared" si="35"/>
        <v/>
      </c>
      <c r="FQ43" s="50" t="str">
        <f t="shared" si="35"/>
        <v/>
      </c>
      <c r="FR43" s="50" t="str">
        <f t="shared" si="35"/>
        <v/>
      </c>
      <c r="FS43" s="50" t="str">
        <f t="shared" si="35"/>
        <v/>
      </c>
      <c r="FT43" s="50" t="str">
        <f t="shared" si="35"/>
        <v/>
      </c>
      <c r="FU43" s="50" t="str">
        <f t="shared" si="35"/>
        <v/>
      </c>
      <c r="FV43" s="50" t="str">
        <f t="shared" si="35"/>
        <v/>
      </c>
      <c r="FW43" s="50" t="str">
        <f t="shared" si="35"/>
        <v/>
      </c>
      <c r="FX43" s="50" t="str">
        <f t="shared" si="35"/>
        <v/>
      </c>
      <c r="FY43" s="50" t="str">
        <f t="shared" si="35"/>
        <v/>
      </c>
      <c r="FZ43" s="50" t="str">
        <f t="shared" si="35"/>
        <v/>
      </c>
      <c r="GA43" s="50" t="str">
        <f t="shared" si="35"/>
        <v/>
      </c>
      <c r="GB43" s="50" t="str">
        <f t="shared" si="35"/>
        <v/>
      </c>
      <c r="GC43" s="50" t="str">
        <f t="shared" si="35"/>
        <v/>
      </c>
      <c r="GD43" s="50" t="str">
        <f t="shared" si="35"/>
        <v/>
      </c>
      <c r="GE43" s="50" t="str">
        <f t="shared" si="35"/>
        <v/>
      </c>
      <c r="GF43" s="50" t="str">
        <f t="shared" si="35"/>
        <v/>
      </c>
      <c r="GG43" s="50" t="str">
        <f t="shared" si="35"/>
        <v/>
      </c>
      <c r="GH43" s="50" t="str">
        <f t="shared" si="39"/>
        <v/>
      </c>
      <c r="GI43" s="50" t="str">
        <f t="shared" si="39"/>
        <v/>
      </c>
      <c r="GJ43" s="50" t="str">
        <f t="shared" si="39"/>
        <v/>
      </c>
      <c r="GK43" s="50" t="str">
        <f t="shared" si="39"/>
        <v/>
      </c>
      <c r="GL43" s="50" t="str">
        <f t="shared" si="39"/>
        <v/>
      </c>
      <c r="GM43" s="50" t="str">
        <f t="shared" si="39"/>
        <v/>
      </c>
      <c r="GN43" s="50" t="str">
        <f t="shared" si="39"/>
        <v/>
      </c>
      <c r="GO43" s="50" t="str">
        <f t="shared" si="39"/>
        <v/>
      </c>
      <c r="GP43" s="50" t="str">
        <f t="shared" si="39"/>
        <v/>
      </c>
      <c r="GQ43" s="50" t="str">
        <f t="shared" si="39"/>
        <v/>
      </c>
      <c r="GR43" s="50" t="str">
        <f t="shared" si="39"/>
        <v/>
      </c>
      <c r="GS43" s="50" t="str">
        <f t="shared" si="39"/>
        <v/>
      </c>
      <c r="GT43" s="50" t="str">
        <f t="shared" si="39"/>
        <v/>
      </c>
      <c r="GU43" s="50" t="str">
        <f t="shared" si="39"/>
        <v/>
      </c>
      <c r="GV43" s="50" t="str">
        <f t="shared" si="39"/>
        <v/>
      </c>
      <c r="GW43" s="50" t="str">
        <f t="shared" si="39"/>
        <v/>
      </c>
      <c r="GX43" s="50" t="str">
        <f t="shared" si="39"/>
        <v/>
      </c>
      <c r="GY43" s="50" t="str">
        <f t="shared" si="39"/>
        <v/>
      </c>
      <c r="GZ43" s="50" t="str">
        <f t="shared" si="39"/>
        <v/>
      </c>
      <c r="HA43" s="50" t="str">
        <f t="shared" si="39"/>
        <v/>
      </c>
      <c r="HB43" s="50" t="str">
        <f t="shared" si="39"/>
        <v/>
      </c>
      <c r="HC43" s="50" t="str">
        <f t="shared" si="39"/>
        <v/>
      </c>
      <c r="HD43" s="50" t="str">
        <f t="shared" si="39"/>
        <v/>
      </c>
      <c r="HE43" s="50" t="str">
        <f t="shared" si="39"/>
        <v/>
      </c>
      <c r="HF43" s="50" t="str">
        <f t="shared" si="39"/>
        <v/>
      </c>
      <c r="HG43" s="50" t="str">
        <f t="shared" si="39"/>
        <v/>
      </c>
      <c r="HH43" s="50" t="str">
        <f t="shared" si="39"/>
        <v/>
      </c>
      <c r="HI43" s="50" t="str">
        <f t="shared" si="39"/>
        <v/>
      </c>
      <c r="HJ43" s="50" t="str">
        <f t="shared" si="39"/>
        <v/>
      </c>
      <c r="HK43" s="50" t="str">
        <f t="shared" si="39"/>
        <v/>
      </c>
      <c r="HL43" s="50" t="str">
        <f t="shared" si="39"/>
        <v/>
      </c>
      <c r="HM43" s="50" t="str">
        <f t="shared" si="39"/>
        <v/>
      </c>
      <c r="HN43" s="50" t="str">
        <f t="shared" si="39"/>
        <v/>
      </c>
      <c r="HO43" s="50" t="str">
        <f t="shared" si="39"/>
        <v/>
      </c>
      <c r="HP43" s="50" t="str">
        <f t="shared" si="39"/>
        <v/>
      </c>
      <c r="HQ43" s="50" t="str">
        <f t="shared" si="25"/>
        <v/>
      </c>
      <c r="HR43" s="112" t="str">
        <f t="shared" si="25"/>
        <v/>
      </c>
    </row>
    <row r="44" spans="1:226" ht="11.1" customHeight="1" x14ac:dyDescent="0.25">
      <c r="A44" s="26"/>
      <c r="B44" s="27"/>
      <c r="C44" s="28" t="str">
        <f>IF(A44=0,"",VLOOKUP(A44,[2]CO!$A$3:$F$5327,2,0))</f>
        <v/>
      </c>
      <c r="D44" s="29"/>
      <c r="E44" s="29"/>
      <c r="F44" s="29"/>
      <c r="G44" s="30" t="str">
        <f>IF(A44=0,"",VLOOKUP(A44,[2]CO!$A$3:$F$5327,3,0))</f>
        <v/>
      </c>
      <c r="H44" s="29"/>
      <c r="I44" s="31"/>
      <c r="J44" s="31"/>
      <c r="K44" s="31"/>
      <c r="L44" s="31"/>
      <c r="M44" s="32" t="str">
        <f t="shared" ref="M44:M46" si="40">IF(L44=0,"",PRODUCT(I44:L44))</f>
        <v/>
      </c>
      <c r="N44" s="32" t="str">
        <f>IF(B44=0,"",IF(H44="M",HLOOKUP(B44,$Y$12:$DT$13,2),IF(A44=0,"",VLOOKUP(A44,[2]CO!$A$3:$F$5327,4,0))))</f>
        <v/>
      </c>
      <c r="O44" s="32" t="str">
        <f t="shared" ref="O44:O46" si="41">IF(L44=0,"",PRODUCT(M44:N44))</f>
        <v/>
      </c>
      <c r="P44" s="33"/>
      <c r="Q44" s="34" t="str">
        <f t="shared" ref="Q44:Q46" si="42">IF(P44=0,"",(HLOOKUP(P44,$DW$12:$HR$13,2)))</f>
        <v/>
      </c>
      <c r="R44" s="35" t="str">
        <f>IF(S44=0,"",IF(OR(G44="PEON",G44="OF",G44="JARD",G44="CARP",G44="MAESTRO",G44="SOLD",G44="BGRO",G44="CHOFER",G44="AYTE",G44="S.INTTE.",G44="ASEO",G44="P.PISOS",G44="VELADOR",G44="RESID",G44="PINTOR",G44="ELECT",G44="AZULE",G44="AUX CONT.",G44="SECRETARIA",G44="AUXILIAR ADMTVO.",G44="ARQUITECTO",G44="DIBUJANTE",G44="AUX. DE RESIDENTE"),VLOOKUP(B44,P$14:Q$77,2),"")*S44)</f>
        <v/>
      </c>
      <c r="T44" s="53" t="str">
        <f>IF(A44=0,"",VLOOKUP(A44,[2]CO!$A$3:$F$5318,5,0))</f>
        <v/>
      </c>
      <c r="U44" s="54">
        <f t="shared" ref="U44:U46" si="43">IF(T44=1,O44*0.1,)</f>
        <v>0</v>
      </c>
      <c r="V44" s="24"/>
      <c r="W44" s="25"/>
      <c r="X44" s="25"/>
      <c r="Y44" s="64" t="str">
        <f t="shared" ref="Y44:AA44" si="44">IF($B44=Y$12,$U44,"")</f>
        <v/>
      </c>
      <c r="Z44" s="55" t="str">
        <f t="shared" si="44"/>
        <v/>
      </c>
      <c r="AA44" s="55" t="str">
        <f t="shared" si="44"/>
        <v/>
      </c>
      <c r="AB44" s="55" t="str">
        <f t="shared" ref="AB44:CI44" si="45">IF($B44=AB$12,$U44,"")</f>
        <v/>
      </c>
      <c r="AC44" s="55" t="str">
        <f t="shared" si="45"/>
        <v/>
      </c>
      <c r="AD44" s="55" t="str">
        <f t="shared" si="45"/>
        <v/>
      </c>
      <c r="AE44" s="55" t="str">
        <f t="shared" si="45"/>
        <v/>
      </c>
      <c r="AF44" s="55" t="str">
        <f t="shared" si="45"/>
        <v/>
      </c>
      <c r="AG44" s="55" t="str">
        <f t="shared" si="45"/>
        <v/>
      </c>
      <c r="AH44" s="55" t="str">
        <f t="shared" si="45"/>
        <v/>
      </c>
      <c r="AI44" s="55" t="str">
        <f t="shared" si="45"/>
        <v/>
      </c>
      <c r="AJ44" s="55" t="str">
        <f t="shared" si="45"/>
        <v/>
      </c>
      <c r="AK44" s="55" t="str">
        <f t="shared" si="45"/>
        <v/>
      </c>
      <c r="AL44" s="55" t="str">
        <f t="shared" si="45"/>
        <v/>
      </c>
      <c r="AM44" s="55" t="str">
        <f t="shared" si="45"/>
        <v/>
      </c>
      <c r="AN44" s="55" t="str">
        <f t="shared" si="45"/>
        <v/>
      </c>
      <c r="AO44" s="55" t="str">
        <f t="shared" si="45"/>
        <v/>
      </c>
      <c r="AP44" s="55" t="str">
        <f t="shared" si="45"/>
        <v/>
      </c>
      <c r="AQ44" s="55" t="str">
        <f t="shared" si="45"/>
        <v/>
      </c>
      <c r="AR44" s="55" t="str">
        <f t="shared" si="45"/>
        <v/>
      </c>
      <c r="AS44" s="55" t="str">
        <f t="shared" si="45"/>
        <v/>
      </c>
      <c r="AT44" s="55" t="str">
        <f t="shared" si="45"/>
        <v/>
      </c>
      <c r="AU44" s="55" t="str">
        <f t="shared" si="45"/>
        <v/>
      </c>
      <c r="AV44" s="55" t="str">
        <f t="shared" si="45"/>
        <v/>
      </c>
      <c r="AW44" s="55" t="str">
        <f t="shared" si="45"/>
        <v/>
      </c>
      <c r="AX44" s="55" t="str">
        <f t="shared" si="45"/>
        <v/>
      </c>
      <c r="AY44" s="55" t="str">
        <f t="shared" si="45"/>
        <v/>
      </c>
      <c r="AZ44" s="55" t="str">
        <f t="shared" si="45"/>
        <v/>
      </c>
      <c r="BA44" s="55" t="str">
        <f t="shared" si="45"/>
        <v/>
      </c>
      <c r="BB44" s="55" t="str">
        <f t="shared" si="45"/>
        <v/>
      </c>
      <c r="BC44" s="55" t="str">
        <f t="shared" si="45"/>
        <v/>
      </c>
      <c r="BD44" s="55" t="str">
        <f t="shared" si="45"/>
        <v/>
      </c>
      <c r="BE44" s="55" t="str">
        <f t="shared" si="45"/>
        <v/>
      </c>
      <c r="BF44" s="55" t="str">
        <f t="shared" si="45"/>
        <v/>
      </c>
      <c r="BG44" s="55" t="str">
        <f t="shared" si="45"/>
        <v/>
      </c>
      <c r="BH44" s="55" t="str">
        <f t="shared" si="45"/>
        <v/>
      </c>
      <c r="BI44" s="55" t="str">
        <f t="shared" si="45"/>
        <v/>
      </c>
      <c r="BJ44" s="55" t="str">
        <f t="shared" si="45"/>
        <v/>
      </c>
      <c r="BK44" s="55" t="str">
        <f t="shared" si="45"/>
        <v/>
      </c>
      <c r="BL44" s="55" t="str">
        <f t="shared" si="45"/>
        <v/>
      </c>
      <c r="BM44" s="55" t="str">
        <f t="shared" si="45"/>
        <v/>
      </c>
      <c r="BN44" s="55" t="str">
        <f t="shared" si="45"/>
        <v/>
      </c>
      <c r="BO44" s="55" t="str">
        <f t="shared" si="45"/>
        <v/>
      </c>
      <c r="BP44" s="55" t="str">
        <f t="shared" si="45"/>
        <v/>
      </c>
      <c r="BQ44" s="55" t="str">
        <f t="shared" si="45"/>
        <v/>
      </c>
      <c r="BR44" s="55" t="str">
        <f t="shared" si="45"/>
        <v/>
      </c>
      <c r="BS44" s="55" t="str">
        <f t="shared" si="45"/>
        <v/>
      </c>
      <c r="BT44" s="55" t="str">
        <f t="shared" si="45"/>
        <v/>
      </c>
      <c r="BU44" s="55" t="str">
        <f t="shared" si="45"/>
        <v/>
      </c>
      <c r="BV44" s="55" t="str">
        <f t="shared" si="45"/>
        <v/>
      </c>
      <c r="BW44" s="55" t="str">
        <f t="shared" si="45"/>
        <v/>
      </c>
      <c r="BX44" s="55" t="str">
        <f t="shared" si="45"/>
        <v/>
      </c>
      <c r="BY44" s="55" t="str">
        <f t="shared" si="45"/>
        <v/>
      </c>
      <c r="BZ44" s="55" t="str">
        <f t="shared" si="45"/>
        <v/>
      </c>
      <c r="CA44" s="55" t="str">
        <f t="shared" si="45"/>
        <v/>
      </c>
      <c r="CB44" s="55" t="str">
        <f t="shared" si="45"/>
        <v/>
      </c>
      <c r="CC44" s="55" t="str">
        <f t="shared" si="45"/>
        <v/>
      </c>
      <c r="CD44" s="55" t="str">
        <f t="shared" si="45"/>
        <v/>
      </c>
      <c r="CE44" s="55" t="str">
        <f t="shared" si="45"/>
        <v/>
      </c>
      <c r="CF44" s="55" t="str">
        <f t="shared" si="45"/>
        <v/>
      </c>
      <c r="CG44" s="55" t="str">
        <f t="shared" si="45"/>
        <v/>
      </c>
      <c r="CH44" s="55" t="str">
        <f t="shared" si="45"/>
        <v/>
      </c>
      <c r="CI44" s="55" t="str">
        <f t="shared" si="45"/>
        <v/>
      </c>
      <c r="CJ44" s="55" t="str">
        <f t="shared" ref="CJ44:CY46" si="46">IF($B44=CJ$12,$U44,"")</f>
        <v/>
      </c>
      <c r="CK44" s="55" t="str">
        <f t="shared" si="46"/>
        <v/>
      </c>
      <c r="CL44" s="55" t="str">
        <f t="shared" si="46"/>
        <v/>
      </c>
      <c r="CM44" s="55" t="str">
        <f t="shared" si="46"/>
        <v/>
      </c>
      <c r="CN44" s="55" t="str">
        <f t="shared" ref="CN44:CY45" si="47">IF($B44=CN$12,$U44,"")</f>
        <v/>
      </c>
      <c r="CO44" s="55" t="str">
        <f t="shared" si="47"/>
        <v/>
      </c>
      <c r="CP44" s="55" t="str">
        <f t="shared" si="47"/>
        <v/>
      </c>
      <c r="CQ44" s="55" t="str">
        <f t="shared" si="47"/>
        <v/>
      </c>
      <c r="CR44" s="55" t="str">
        <f t="shared" si="47"/>
        <v/>
      </c>
      <c r="CS44" s="55" t="str">
        <f t="shared" si="47"/>
        <v/>
      </c>
      <c r="CT44" s="55" t="str">
        <f t="shared" si="47"/>
        <v/>
      </c>
      <c r="CU44" s="55" t="str">
        <f t="shared" si="47"/>
        <v/>
      </c>
      <c r="CV44" s="55" t="str">
        <f t="shared" si="47"/>
        <v/>
      </c>
      <c r="CW44" s="55" t="str">
        <f t="shared" si="47"/>
        <v/>
      </c>
      <c r="CX44" s="55" t="str">
        <f t="shared" si="47"/>
        <v/>
      </c>
      <c r="CY44" s="55" t="str">
        <f t="shared" si="47"/>
        <v/>
      </c>
      <c r="CZ44" s="55" t="str">
        <f t="shared" ref="CZ44:DN46" si="48">IF($B44=CZ$12,$U44,"")</f>
        <v/>
      </c>
      <c r="DA44" s="55" t="str">
        <f t="shared" si="48"/>
        <v/>
      </c>
      <c r="DB44" s="55" t="str">
        <f t="shared" si="48"/>
        <v/>
      </c>
      <c r="DC44" s="55" t="str">
        <f t="shared" si="48"/>
        <v/>
      </c>
      <c r="DD44" s="55" t="str">
        <f t="shared" si="48"/>
        <v/>
      </c>
      <c r="DE44" s="55" t="str">
        <f t="shared" si="48"/>
        <v/>
      </c>
      <c r="DF44" s="55" t="str">
        <f t="shared" si="48"/>
        <v/>
      </c>
      <c r="DG44" s="55" t="str">
        <f t="shared" si="48"/>
        <v/>
      </c>
      <c r="DH44" s="55" t="str">
        <f t="shared" si="48"/>
        <v/>
      </c>
      <c r="DI44" s="55" t="str">
        <f t="shared" si="48"/>
        <v/>
      </c>
      <c r="DJ44" s="55" t="str">
        <f t="shared" si="48"/>
        <v/>
      </c>
      <c r="DK44" s="55" t="str">
        <f t="shared" si="48"/>
        <v/>
      </c>
      <c r="DL44" s="55" t="str">
        <f t="shared" si="48"/>
        <v/>
      </c>
      <c r="DM44" s="55" t="str">
        <f t="shared" si="48"/>
        <v/>
      </c>
      <c r="DN44" s="55" t="str">
        <f t="shared" si="48"/>
        <v/>
      </c>
      <c r="DO44" s="55" t="str">
        <f t="shared" ref="DO44:DT46" si="49">IF($B44=DO$12,$U44,"")</f>
        <v/>
      </c>
      <c r="DP44" s="55" t="str">
        <f t="shared" si="49"/>
        <v/>
      </c>
      <c r="DQ44" s="55" t="str">
        <f t="shared" si="49"/>
        <v/>
      </c>
      <c r="DR44" s="55" t="str">
        <f t="shared" si="49"/>
        <v/>
      </c>
      <c r="DS44" s="55" t="str">
        <f t="shared" si="49"/>
        <v/>
      </c>
      <c r="DT44" s="106" t="str">
        <f t="shared" si="49"/>
        <v/>
      </c>
      <c r="DU44" s="54"/>
      <c r="DV44" s="25"/>
      <c r="DW44" s="61" t="str">
        <f t="shared" ref="DW44:DY44" si="50">IF($B44=DW$12,$O44,"")</f>
        <v/>
      </c>
      <c r="DX44" s="50" t="str">
        <f t="shared" si="50"/>
        <v/>
      </c>
      <c r="DY44" s="50" t="str">
        <f t="shared" si="50"/>
        <v/>
      </c>
      <c r="DZ44" s="50" t="str">
        <f t="shared" ref="DZ44:GG44" si="51">IF($B44=DZ$12,$O44,"")</f>
        <v/>
      </c>
      <c r="EA44" s="50" t="str">
        <f t="shared" si="51"/>
        <v/>
      </c>
      <c r="EB44" s="50" t="str">
        <f t="shared" si="51"/>
        <v/>
      </c>
      <c r="EC44" s="50" t="str">
        <f t="shared" si="51"/>
        <v/>
      </c>
      <c r="ED44" s="50" t="str">
        <f t="shared" si="51"/>
        <v/>
      </c>
      <c r="EE44" s="50" t="str">
        <f t="shared" si="51"/>
        <v/>
      </c>
      <c r="EF44" s="50" t="str">
        <f t="shared" si="51"/>
        <v/>
      </c>
      <c r="EG44" s="50" t="str">
        <f t="shared" si="51"/>
        <v/>
      </c>
      <c r="EH44" s="50" t="str">
        <f t="shared" si="51"/>
        <v/>
      </c>
      <c r="EI44" s="50" t="str">
        <f t="shared" si="51"/>
        <v/>
      </c>
      <c r="EJ44" s="50" t="str">
        <f t="shared" si="51"/>
        <v/>
      </c>
      <c r="EK44" s="50" t="str">
        <f t="shared" si="51"/>
        <v/>
      </c>
      <c r="EL44" s="50" t="str">
        <f t="shared" si="51"/>
        <v/>
      </c>
      <c r="EM44" s="50" t="str">
        <f t="shared" si="51"/>
        <v/>
      </c>
      <c r="EN44" s="50" t="str">
        <f t="shared" si="51"/>
        <v/>
      </c>
      <c r="EO44" s="50" t="str">
        <f t="shared" si="51"/>
        <v/>
      </c>
      <c r="EP44" s="50" t="str">
        <f t="shared" si="51"/>
        <v/>
      </c>
      <c r="EQ44" s="50" t="str">
        <f t="shared" si="51"/>
        <v/>
      </c>
      <c r="ER44" s="50" t="str">
        <f t="shared" si="51"/>
        <v/>
      </c>
      <c r="ES44" s="50" t="str">
        <f t="shared" si="51"/>
        <v/>
      </c>
      <c r="ET44" s="50" t="str">
        <f t="shared" si="51"/>
        <v/>
      </c>
      <c r="EU44" s="50" t="str">
        <f t="shared" si="51"/>
        <v/>
      </c>
      <c r="EV44" s="50" t="str">
        <f t="shared" si="51"/>
        <v/>
      </c>
      <c r="EW44" s="50" t="str">
        <f t="shared" si="51"/>
        <v/>
      </c>
      <c r="EX44" s="50" t="str">
        <f t="shared" si="51"/>
        <v/>
      </c>
      <c r="EY44" s="50" t="str">
        <f t="shared" si="51"/>
        <v/>
      </c>
      <c r="EZ44" s="50" t="str">
        <f t="shared" si="51"/>
        <v/>
      </c>
      <c r="FA44" s="50" t="str">
        <f t="shared" si="51"/>
        <v/>
      </c>
      <c r="FB44" s="50" t="str">
        <f t="shared" si="51"/>
        <v/>
      </c>
      <c r="FC44" s="50" t="str">
        <f t="shared" si="51"/>
        <v/>
      </c>
      <c r="FD44" s="50" t="str">
        <f t="shared" si="51"/>
        <v/>
      </c>
      <c r="FE44" s="50" t="str">
        <f t="shared" si="51"/>
        <v/>
      </c>
      <c r="FF44" s="50" t="str">
        <f t="shared" si="51"/>
        <v/>
      </c>
      <c r="FG44" s="50" t="str">
        <f t="shared" si="51"/>
        <v/>
      </c>
      <c r="FH44" s="50" t="str">
        <f t="shared" si="51"/>
        <v/>
      </c>
      <c r="FI44" s="50" t="str">
        <f t="shared" si="51"/>
        <v/>
      </c>
      <c r="FJ44" s="50" t="str">
        <f t="shared" si="51"/>
        <v/>
      </c>
      <c r="FK44" s="50" t="str">
        <f t="shared" si="51"/>
        <v/>
      </c>
      <c r="FL44" s="50" t="str">
        <f t="shared" si="51"/>
        <v/>
      </c>
      <c r="FM44" s="50" t="str">
        <f t="shared" si="51"/>
        <v/>
      </c>
      <c r="FN44" s="50" t="str">
        <f t="shared" si="51"/>
        <v/>
      </c>
      <c r="FO44" s="50" t="str">
        <f t="shared" si="51"/>
        <v/>
      </c>
      <c r="FP44" s="50" t="str">
        <f t="shared" si="51"/>
        <v/>
      </c>
      <c r="FQ44" s="50" t="str">
        <f t="shared" si="51"/>
        <v/>
      </c>
      <c r="FR44" s="50" t="str">
        <f t="shared" si="51"/>
        <v/>
      </c>
      <c r="FS44" s="50" t="str">
        <f t="shared" si="51"/>
        <v/>
      </c>
      <c r="FT44" s="50" t="str">
        <f t="shared" si="51"/>
        <v/>
      </c>
      <c r="FU44" s="50" t="str">
        <f t="shared" si="51"/>
        <v/>
      </c>
      <c r="FV44" s="50" t="str">
        <f t="shared" si="51"/>
        <v/>
      </c>
      <c r="FW44" s="50" t="str">
        <f t="shared" si="51"/>
        <v/>
      </c>
      <c r="FX44" s="50" t="str">
        <f t="shared" si="51"/>
        <v/>
      </c>
      <c r="FY44" s="50" t="str">
        <f t="shared" si="51"/>
        <v/>
      </c>
      <c r="FZ44" s="50" t="str">
        <f t="shared" si="51"/>
        <v/>
      </c>
      <c r="GA44" s="50" t="str">
        <f t="shared" si="51"/>
        <v/>
      </c>
      <c r="GB44" s="50" t="str">
        <f t="shared" si="51"/>
        <v/>
      </c>
      <c r="GC44" s="50" t="str">
        <f t="shared" si="51"/>
        <v/>
      </c>
      <c r="GD44" s="50" t="str">
        <f t="shared" si="51"/>
        <v/>
      </c>
      <c r="GE44" s="50" t="str">
        <f t="shared" si="51"/>
        <v/>
      </c>
      <c r="GF44" s="50" t="str">
        <f t="shared" si="51"/>
        <v/>
      </c>
      <c r="GG44" s="50" t="str">
        <f t="shared" si="51"/>
        <v/>
      </c>
      <c r="GH44" s="50" t="str">
        <f t="shared" ref="GH44:GW46" si="52">IF($B44=GH$12,$O44,"")</f>
        <v/>
      </c>
      <c r="GI44" s="50" t="str">
        <f t="shared" si="52"/>
        <v/>
      </c>
      <c r="GJ44" s="50" t="str">
        <f t="shared" si="52"/>
        <v/>
      </c>
      <c r="GK44" s="50" t="str">
        <f t="shared" si="52"/>
        <v/>
      </c>
      <c r="GL44" s="50" t="str">
        <f t="shared" ref="GL44:GW45" si="53">IF($B44=GL$12,$O44,"")</f>
        <v/>
      </c>
      <c r="GM44" s="50" t="str">
        <f t="shared" si="53"/>
        <v/>
      </c>
      <c r="GN44" s="50" t="str">
        <f t="shared" si="53"/>
        <v/>
      </c>
      <c r="GO44" s="50" t="str">
        <f t="shared" si="53"/>
        <v/>
      </c>
      <c r="GP44" s="50" t="str">
        <f t="shared" si="53"/>
        <v/>
      </c>
      <c r="GQ44" s="50" t="str">
        <f t="shared" si="53"/>
        <v/>
      </c>
      <c r="GR44" s="50" t="str">
        <f t="shared" si="53"/>
        <v/>
      </c>
      <c r="GS44" s="50" t="str">
        <f t="shared" si="53"/>
        <v/>
      </c>
      <c r="GT44" s="50" t="str">
        <f t="shared" si="53"/>
        <v/>
      </c>
      <c r="GU44" s="50" t="str">
        <f t="shared" si="53"/>
        <v/>
      </c>
      <c r="GV44" s="50" t="str">
        <f t="shared" si="53"/>
        <v/>
      </c>
      <c r="GW44" s="50" t="str">
        <f t="shared" si="53"/>
        <v/>
      </c>
      <c r="GX44" s="50" t="str">
        <f t="shared" ref="GX44:HL46" si="54">IF($B44=GX$12,$O44,"")</f>
        <v/>
      </c>
      <c r="GY44" s="50" t="str">
        <f t="shared" si="54"/>
        <v/>
      </c>
      <c r="GZ44" s="50" t="str">
        <f t="shared" si="54"/>
        <v/>
      </c>
      <c r="HA44" s="50" t="str">
        <f t="shared" si="54"/>
        <v/>
      </c>
      <c r="HB44" s="50" t="str">
        <f t="shared" si="54"/>
        <v/>
      </c>
      <c r="HC44" s="50" t="str">
        <f t="shared" si="54"/>
        <v/>
      </c>
      <c r="HD44" s="50" t="str">
        <f t="shared" si="54"/>
        <v/>
      </c>
      <c r="HE44" s="50" t="str">
        <f t="shared" si="54"/>
        <v/>
      </c>
      <c r="HF44" s="50" t="str">
        <f t="shared" si="54"/>
        <v/>
      </c>
      <c r="HG44" s="50" t="str">
        <f t="shared" si="54"/>
        <v/>
      </c>
      <c r="HH44" s="50" t="str">
        <f t="shared" si="54"/>
        <v/>
      </c>
      <c r="HI44" s="50" t="str">
        <f t="shared" si="54"/>
        <v/>
      </c>
      <c r="HJ44" s="50" t="str">
        <f t="shared" si="54"/>
        <v/>
      </c>
      <c r="HK44" s="50" t="str">
        <f t="shared" si="54"/>
        <v/>
      </c>
      <c r="HL44" s="50" t="str">
        <f t="shared" si="54"/>
        <v/>
      </c>
      <c r="HM44" s="50" t="str">
        <f t="shared" ref="HM44:HR46" si="55">IF($B44=HM$12,$O44,"")</f>
        <v/>
      </c>
      <c r="HN44" s="50" t="str">
        <f t="shared" si="55"/>
        <v/>
      </c>
      <c r="HO44" s="50" t="str">
        <f t="shared" si="55"/>
        <v/>
      </c>
      <c r="HP44" s="50" t="str">
        <f t="shared" si="55"/>
        <v/>
      </c>
      <c r="HQ44" s="50" t="str">
        <f t="shared" si="55"/>
        <v/>
      </c>
      <c r="HR44" s="112" t="str">
        <f t="shared" si="55"/>
        <v/>
      </c>
    </row>
    <row r="45" spans="1:226" ht="11.1" customHeight="1" x14ac:dyDescent="0.25">
      <c r="A45" s="26"/>
      <c r="B45" s="27"/>
      <c r="C45" s="28" t="str">
        <f>IF(A45=0,"",VLOOKUP(A45,[2]CO!$A$3:$F$5327,2,0))</f>
        <v/>
      </c>
      <c r="D45" s="29"/>
      <c r="E45" s="29"/>
      <c r="F45" s="29"/>
      <c r="G45" s="30" t="str">
        <f>IF(A45=0,"",VLOOKUP(A45,[2]CO!$A$3:$F$5327,3,0))</f>
        <v/>
      </c>
      <c r="H45" s="29"/>
      <c r="I45" s="31"/>
      <c r="J45" s="31"/>
      <c r="K45" s="31"/>
      <c r="L45" s="31"/>
      <c r="M45" s="32" t="str">
        <f t="shared" si="40"/>
        <v/>
      </c>
      <c r="N45" s="32" t="str">
        <f>IF(B45=0,"",IF(H45="M",HLOOKUP(B45,$Y$12:$DT$13,2),IF(A45=0,"",VLOOKUP(A45,[2]CO!$A$3:$F$5327,4,0))))</f>
        <v/>
      </c>
      <c r="O45" s="32" t="str">
        <f t="shared" si="41"/>
        <v/>
      </c>
      <c r="P45" s="33"/>
      <c r="Q45" s="34" t="str">
        <f t="shared" si="42"/>
        <v/>
      </c>
      <c r="R45" s="35" t="str">
        <f>IF(S45=0,"",IF(OR(G45="PEON",G45="OF",G45="JARD",G45="CARP",G45="MAESTRO",G45="SOLD",G45="BGRO",G45="CHOFER",G45="AYTE",G45="S.INTTE.",G45="ASEO",G45="P.PISOS",G45="VELADOR",G45="RESID",G45="PINTOR",G45="ELECT",G45="AZULE",G45="AUX CONT.",G45="SECRETARIA",G45="AUXILIAR ADMTVO.",G45="ARQUITECTO",G45="DIBUJANTE",G45="AUX. DE RESIDENTE"),VLOOKUP(B45,P$14:Q$77,2),"")*S45)</f>
        <v/>
      </c>
      <c r="T45" s="53" t="str">
        <f>IF(A45=0,"",VLOOKUP(A45,[2]CO!$A$3:$F$5318,5,0))</f>
        <v/>
      </c>
      <c r="U45" s="54">
        <f t="shared" si="43"/>
        <v>0</v>
      </c>
      <c r="V45" s="24"/>
      <c r="W45" s="25"/>
      <c r="X45" s="25"/>
      <c r="Y45" s="64" t="str">
        <f t="shared" ref="Y45:CI46" si="56">IF($B45=Y$12,$U45,"")</f>
        <v/>
      </c>
      <c r="Z45" s="55" t="str">
        <f t="shared" si="56"/>
        <v/>
      </c>
      <c r="AA45" s="55" t="str">
        <f t="shared" si="56"/>
        <v/>
      </c>
      <c r="AB45" s="55" t="str">
        <f t="shared" si="56"/>
        <v/>
      </c>
      <c r="AC45" s="55" t="str">
        <f t="shared" si="56"/>
        <v/>
      </c>
      <c r="AD45" s="55" t="str">
        <f t="shared" si="56"/>
        <v/>
      </c>
      <c r="AE45" s="55" t="str">
        <f t="shared" si="56"/>
        <v/>
      </c>
      <c r="AF45" s="55" t="str">
        <f t="shared" si="56"/>
        <v/>
      </c>
      <c r="AG45" s="55" t="str">
        <f t="shared" si="56"/>
        <v/>
      </c>
      <c r="AH45" s="55" t="str">
        <f t="shared" si="56"/>
        <v/>
      </c>
      <c r="AI45" s="55" t="str">
        <f t="shared" si="56"/>
        <v/>
      </c>
      <c r="AJ45" s="55" t="str">
        <f t="shared" si="56"/>
        <v/>
      </c>
      <c r="AK45" s="55" t="str">
        <f t="shared" si="56"/>
        <v/>
      </c>
      <c r="AL45" s="55" t="str">
        <f t="shared" si="56"/>
        <v/>
      </c>
      <c r="AM45" s="55" t="str">
        <f t="shared" si="56"/>
        <v/>
      </c>
      <c r="AN45" s="55" t="str">
        <f t="shared" si="56"/>
        <v/>
      </c>
      <c r="AO45" s="55" t="str">
        <f t="shared" si="56"/>
        <v/>
      </c>
      <c r="AP45" s="55" t="str">
        <f t="shared" si="56"/>
        <v/>
      </c>
      <c r="AQ45" s="55" t="str">
        <f t="shared" si="56"/>
        <v/>
      </c>
      <c r="AR45" s="55" t="str">
        <f t="shared" si="56"/>
        <v/>
      </c>
      <c r="AS45" s="55" t="str">
        <f t="shared" si="56"/>
        <v/>
      </c>
      <c r="AT45" s="55" t="str">
        <f t="shared" si="56"/>
        <v/>
      </c>
      <c r="AU45" s="55" t="str">
        <f t="shared" si="56"/>
        <v/>
      </c>
      <c r="AV45" s="55" t="str">
        <f t="shared" si="56"/>
        <v/>
      </c>
      <c r="AW45" s="55" t="str">
        <f t="shared" si="56"/>
        <v/>
      </c>
      <c r="AX45" s="55" t="str">
        <f t="shared" si="56"/>
        <v/>
      </c>
      <c r="AY45" s="55" t="str">
        <f t="shared" si="56"/>
        <v/>
      </c>
      <c r="AZ45" s="55" t="str">
        <f t="shared" si="56"/>
        <v/>
      </c>
      <c r="BA45" s="55" t="str">
        <f t="shared" si="56"/>
        <v/>
      </c>
      <c r="BB45" s="55" t="str">
        <f t="shared" si="56"/>
        <v/>
      </c>
      <c r="BC45" s="55" t="str">
        <f t="shared" si="56"/>
        <v/>
      </c>
      <c r="BD45" s="55" t="str">
        <f t="shared" si="56"/>
        <v/>
      </c>
      <c r="BE45" s="55" t="str">
        <f t="shared" si="56"/>
        <v/>
      </c>
      <c r="BF45" s="55" t="str">
        <f t="shared" si="56"/>
        <v/>
      </c>
      <c r="BG45" s="55" t="str">
        <f t="shared" si="56"/>
        <v/>
      </c>
      <c r="BH45" s="55" t="str">
        <f t="shared" si="56"/>
        <v/>
      </c>
      <c r="BI45" s="55" t="str">
        <f t="shared" si="56"/>
        <v/>
      </c>
      <c r="BJ45" s="55" t="str">
        <f t="shared" si="56"/>
        <v/>
      </c>
      <c r="BK45" s="55" t="str">
        <f t="shared" si="56"/>
        <v/>
      </c>
      <c r="BL45" s="55" t="str">
        <f t="shared" si="56"/>
        <v/>
      </c>
      <c r="BM45" s="55" t="str">
        <f t="shared" si="56"/>
        <v/>
      </c>
      <c r="BN45" s="55" t="str">
        <f t="shared" si="56"/>
        <v/>
      </c>
      <c r="BO45" s="55" t="str">
        <f t="shared" si="56"/>
        <v/>
      </c>
      <c r="BP45" s="55" t="str">
        <f t="shared" si="56"/>
        <v/>
      </c>
      <c r="BQ45" s="55" t="str">
        <f t="shared" si="56"/>
        <v/>
      </c>
      <c r="BR45" s="55" t="str">
        <f t="shared" si="56"/>
        <v/>
      </c>
      <c r="BS45" s="55" t="str">
        <f t="shared" si="56"/>
        <v/>
      </c>
      <c r="BT45" s="55" t="str">
        <f t="shared" si="56"/>
        <v/>
      </c>
      <c r="BU45" s="55" t="str">
        <f t="shared" si="56"/>
        <v/>
      </c>
      <c r="BV45" s="55" t="str">
        <f t="shared" si="56"/>
        <v/>
      </c>
      <c r="BW45" s="55" t="str">
        <f t="shared" si="56"/>
        <v/>
      </c>
      <c r="BX45" s="55" t="str">
        <f t="shared" si="56"/>
        <v/>
      </c>
      <c r="BY45" s="55" t="str">
        <f t="shared" si="56"/>
        <v/>
      </c>
      <c r="BZ45" s="55" t="str">
        <f t="shared" si="56"/>
        <v/>
      </c>
      <c r="CA45" s="55" t="str">
        <f t="shared" si="56"/>
        <v/>
      </c>
      <c r="CB45" s="55" t="str">
        <f t="shared" si="56"/>
        <v/>
      </c>
      <c r="CC45" s="55" t="str">
        <f t="shared" si="56"/>
        <v/>
      </c>
      <c r="CD45" s="55" t="str">
        <f t="shared" si="56"/>
        <v/>
      </c>
      <c r="CE45" s="55" t="str">
        <f t="shared" si="56"/>
        <v/>
      </c>
      <c r="CF45" s="55" t="str">
        <f t="shared" si="56"/>
        <v/>
      </c>
      <c r="CG45" s="55" t="str">
        <f t="shared" si="56"/>
        <v/>
      </c>
      <c r="CH45" s="55" t="str">
        <f t="shared" si="56"/>
        <v/>
      </c>
      <c r="CI45" s="55" t="str">
        <f t="shared" si="56"/>
        <v/>
      </c>
      <c r="CJ45" s="55" t="str">
        <f t="shared" si="46"/>
        <v/>
      </c>
      <c r="CK45" s="55" t="str">
        <f t="shared" si="46"/>
        <v/>
      </c>
      <c r="CL45" s="55" t="str">
        <f t="shared" si="46"/>
        <v/>
      </c>
      <c r="CM45" s="55" t="str">
        <f t="shared" si="46"/>
        <v/>
      </c>
      <c r="CN45" s="55" t="str">
        <f t="shared" si="47"/>
        <v/>
      </c>
      <c r="CO45" s="55" t="str">
        <f t="shared" si="47"/>
        <v/>
      </c>
      <c r="CP45" s="55" t="str">
        <f t="shared" si="47"/>
        <v/>
      </c>
      <c r="CQ45" s="55" t="str">
        <f t="shared" si="47"/>
        <v/>
      </c>
      <c r="CR45" s="55" t="str">
        <f t="shared" si="47"/>
        <v/>
      </c>
      <c r="CS45" s="55" t="str">
        <f t="shared" si="47"/>
        <v/>
      </c>
      <c r="CT45" s="55" t="str">
        <f t="shared" si="47"/>
        <v/>
      </c>
      <c r="CU45" s="55" t="str">
        <f t="shared" si="47"/>
        <v/>
      </c>
      <c r="CV45" s="55" t="str">
        <f t="shared" si="47"/>
        <v/>
      </c>
      <c r="CW45" s="55" t="str">
        <f t="shared" si="47"/>
        <v/>
      </c>
      <c r="CX45" s="55" t="str">
        <f t="shared" si="47"/>
        <v/>
      </c>
      <c r="CY45" s="55" t="str">
        <f t="shared" si="47"/>
        <v/>
      </c>
      <c r="CZ45" s="55" t="str">
        <f t="shared" si="48"/>
        <v/>
      </c>
      <c r="DA45" s="55" t="str">
        <f t="shared" si="48"/>
        <v/>
      </c>
      <c r="DB45" s="55" t="str">
        <f t="shared" si="48"/>
        <v/>
      </c>
      <c r="DC45" s="55" t="str">
        <f t="shared" si="48"/>
        <v/>
      </c>
      <c r="DD45" s="55" t="str">
        <f t="shared" si="48"/>
        <v/>
      </c>
      <c r="DE45" s="55" t="str">
        <f t="shared" si="48"/>
        <v/>
      </c>
      <c r="DF45" s="55" t="str">
        <f t="shared" si="48"/>
        <v/>
      </c>
      <c r="DG45" s="55" t="str">
        <f t="shared" si="48"/>
        <v/>
      </c>
      <c r="DH45" s="55" t="str">
        <f t="shared" si="48"/>
        <v/>
      </c>
      <c r="DI45" s="55" t="str">
        <f t="shared" si="48"/>
        <v/>
      </c>
      <c r="DJ45" s="55" t="str">
        <f t="shared" si="48"/>
        <v/>
      </c>
      <c r="DK45" s="55" t="str">
        <f t="shared" si="48"/>
        <v/>
      </c>
      <c r="DL45" s="55" t="str">
        <f t="shared" si="48"/>
        <v/>
      </c>
      <c r="DM45" s="55" t="str">
        <f t="shared" si="48"/>
        <v/>
      </c>
      <c r="DN45" s="55" t="str">
        <f t="shared" si="48"/>
        <v/>
      </c>
      <c r="DO45" s="55" t="str">
        <f t="shared" si="49"/>
        <v/>
      </c>
      <c r="DP45" s="55" t="str">
        <f t="shared" si="49"/>
        <v/>
      </c>
      <c r="DQ45" s="55" t="str">
        <f t="shared" si="49"/>
        <v/>
      </c>
      <c r="DR45" s="55" t="str">
        <f t="shared" si="49"/>
        <v/>
      </c>
      <c r="DS45" s="55" t="str">
        <f t="shared" si="49"/>
        <v/>
      </c>
      <c r="DT45" s="106" t="str">
        <f t="shared" si="49"/>
        <v/>
      </c>
      <c r="DU45" s="54"/>
      <c r="DV45" s="25"/>
      <c r="DW45" s="61" t="str">
        <f t="shared" ref="DW45:GG46" si="57">IF($B45=DW$12,$O45,"")</f>
        <v/>
      </c>
      <c r="DX45" s="50" t="str">
        <f t="shared" si="57"/>
        <v/>
      </c>
      <c r="DY45" s="50" t="str">
        <f t="shared" si="57"/>
        <v/>
      </c>
      <c r="DZ45" s="50" t="str">
        <f t="shared" si="57"/>
        <v/>
      </c>
      <c r="EA45" s="50" t="str">
        <f t="shared" si="57"/>
        <v/>
      </c>
      <c r="EB45" s="50" t="str">
        <f t="shared" si="57"/>
        <v/>
      </c>
      <c r="EC45" s="50" t="str">
        <f t="shared" si="57"/>
        <v/>
      </c>
      <c r="ED45" s="50" t="str">
        <f t="shared" si="57"/>
        <v/>
      </c>
      <c r="EE45" s="50" t="str">
        <f t="shared" si="57"/>
        <v/>
      </c>
      <c r="EF45" s="50" t="str">
        <f t="shared" si="57"/>
        <v/>
      </c>
      <c r="EG45" s="50" t="str">
        <f t="shared" si="57"/>
        <v/>
      </c>
      <c r="EH45" s="50" t="str">
        <f t="shared" si="57"/>
        <v/>
      </c>
      <c r="EI45" s="50" t="str">
        <f t="shared" si="57"/>
        <v/>
      </c>
      <c r="EJ45" s="50" t="str">
        <f t="shared" si="57"/>
        <v/>
      </c>
      <c r="EK45" s="50" t="str">
        <f t="shared" si="57"/>
        <v/>
      </c>
      <c r="EL45" s="50" t="str">
        <f t="shared" si="57"/>
        <v/>
      </c>
      <c r="EM45" s="50" t="str">
        <f t="shared" si="57"/>
        <v/>
      </c>
      <c r="EN45" s="50" t="str">
        <f t="shared" si="57"/>
        <v/>
      </c>
      <c r="EO45" s="50" t="str">
        <f t="shared" si="57"/>
        <v/>
      </c>
      <c r="EP45" s="50" t="str">
        <f t="shared" si="57"/>
        <v/>
      </c>
      <c r="EQ45" s="50" t="str">
        <f t="shared" si="57"/>
        <v/>
      </c>
      <c r="ER45" s="50" t="str">
        <f t="shared" si="57"/>
        <v/>
      </c>
      <c r="ES45" s="50" t="str">
        <f t="shared" si="57"/>
        <v/>
      </c>
      <c r="ET45" s="50" t="str">
        <f t="shared" si="57"/>
        <v/>
      </c>
      <c r="EU45" s="50" t="str">
        <f t="shared" si="57"/>
        <v/>
      </c>
      <c r="EV45" s="50" t="str">
        <f t="shared" si="57"/>
        <v/>
      </c>
      <c r="EW45" s="50" t="str">
        <f t="shared" si="57"/>
        <v/>
      </c>
      <c r="EX45" s="50" t="str">
        <f t="shared" si="57"/>
        <v/>
      </c>
      <c r="EY45" s="50" t="str">
        <f t="shared" si="57"/>
        <v/>
      </c>
      <c r="EZ45" s="50" t="str">
        <f t="shared" si="57"/>
        <v/>
      </c>
      <c r="FA45" s="50" t="str">
        <f t="shared" si="57"/>
        <v/>
      </c>
      <c r="FB45" s="50" t="str">
        <f t="shared" si="57"/>
        <v/>
      </c>
      <c r="FC45" s="50" t="str">
        <f t="shared" si="57"/>
        <v/>
      </c>
      <c r="FD45" s="50" t="str">
        <f t="shared" si="57"/>
        <v/>
      </c>
      <c r="FE45" s="50" t="str">
        <f t="shared" si="57"/>
        <v/>
      </c>
      <c r="FF45" s="50" t="str">
        <f t="shared" si="57"/>
        <v/>
      </c>
      <c r="FG45" s="50" t="str">
        <f t="shared" si="57"/>
        <v/>
      </c>
      <c r="FH45" s="50" t="str">
        <f t="shared" si="57"/>
        <v/>
      </c>
      <c r="FI45" s="50" t="str">
        <f t="shared" si="57"/>
        <v/>
      </c>
      <c r="FJ45" s="50" t="str">
        <f t="shared" si="57"/>
        <v/>
      </c>
      <c r="FK45" s="50" t="str">
        <f t="shared" si="57"/>
        <v/>
      </c>
      <c r="FL45" s="50" t="str">
        <f t="shared" si="57"/>
        <v/>
      </c>
      <c r="FM45" s="50" t="str">
        <f t="shared" si="57"/>
        <v/>
      </c>
      <c r="FN45" s="50" t="str">
        <f t="shared" si="57"/>
        <v/>
      </c>
      <c r="FO45" s="50" t="str">
        <f t="shared" si="57"/>
        <v/>
      </c>
      <c r="FP45" s="50" t="str">
        <f t="shared" si="57"/>
        <v/>
      </c>
      <c r="FQ45" s="50" t="str">
        <f t="shared" si="57"/>
        <v/>
      </c>
      <c r="FR45" s="50" t="str">
        <f t="shared" si="57"/>
        <v/>
      </c>
      <c r="FS45" s="50" t="str">
        <f t="shared" si="57"/>
        <v/>
      </c>
      <c r="FT45" s="50" t="str">
        <f t="shared" si="57"/>
        <v/>
      </c>
      <c r="FU45" s="50" t="str">
        <f t="shared" si="57"/>
        <v/>
      </c>
      <c r="FV45" s="50" t="str">
        <f t="shared" si="57"/>
        <v/>
      </c>
      <c r="FW45" s="50" t="str">
        <f t="shared" si="57"/>
        <v/>
      </c>
      <c r="FX45" s="50" t="str">
        <f t="shared" si="57"/>
        <v/>
      </c>
      <c r="FY45" s="50" t="str">
        <f t="shared" si="57"/>
        <v/>
      </c>
      <c r="FZ45" s="50" t="str">
        <f t="shared" si="57"/>
        <v/>
      </c>
      <c r="GA45" s="50" t="str">
        <f t="shared" si="57"/>
        <v/>
      </c>
      <c r="GB45" s="50" t="str">
        <f t="shared" si="57"/>
        <v/>
      </c>
      <c r="GC45" s="50" t="str">
        <f t="shared" si="57"/>
        <v/>
      </c>
      <c r="GD45" s="50" t="str">
        <f t="shared" si="57"/>
        <v/>
      </c>
      <c r="GE45" s="50" t="str">
        <f t="shared" si="57"/>
        <v/>
      </c>
      <c r="GF45" s="50" t="str">
        <f t="shared" si="57"/>
        <v/>
      </c>
      <c r="GG45" s="50" t="str">
        <f t="shared" si="57"/>
        <v/>
      </c>
      <c r="GH45" s="50" t="str">
        <f t="shared" si="52"/>
        <v/>
      </c>
      <c r="GI45" s="50" t="str">
        <f t="shared" si="52"/>
        <v/>
      </c>
      <c r="GJ45" s="50" t="str">
        <f t="shared" si="52"/>
        <v/>
      </c>
      <c r="GK45" s="50" t="str">
        <f t="shared" si="52"/>
        <v/>
      </c>
      <c r="GL45" s="50" t="str">
        <f t="shared" si="53"/>
        <v/>
      </c>
      <c r="GM45" s="50" t="str">
        <f t="shared" si="53"/>
        <v/>
      </c>
      <c r="GN45" s="50" t="str">
        <f t="shared" si="53"/>
        <v/>
      </c>
      <c r="GO45" s="50" t="str">
        <f t="shared" si="53"/>
        <v/>
      </c>
      <c r="GP45" s="50" t="str">
        <f t="shared" si="53"/>
        <v/>
      </c>
      <c r="GQ45" s="50" t="str">
        <f t="shared" si="53"/>
        <v/>
      </c>
      <c r="GR45" s="50" t="str">
        <f t="shared" si="53"/>
        <v/>
      </c>
      <c r="GS45" s="50" t="str">
        <f t="shared" si="53"/>
        <v/>
      </c>
      <c r="GT45" s="50" t="str">
        <f t="shared" si="53"/>
        <v/>
      </c>
      <c r="GU45" s="50" t="str">
        <f t="shared" si="53"/>
        <v/>
      </c>
      <c r="GV45" s="50" t="str">
        <f t="shared" si="53"/>
        <v/>
      </c>
      <c r="GW45" s="50" t="str">
        <f t="shared" si="53"/>
        <v/>
      </c>
      <c r="GX45" s="50" t="str">
        <f t="shared" si="54"/>
        <v/>
      </c>
      <c r="GY45" s="50" t="str">
        <f t="shared" si="54"/>
        <v/>
      </c>
      <c r="GZ45" s="50" t="str">
        <f t="shared" si="54"/>
        <v/>
      </c>
      <c r="HA45" s="50" t="str">
        <f t="shared" si="54"/>
        <v/>
      </c>
      <c r="HB45" s="50" t="str">
        <f t="shared" si="54"/>
        <v/>
      </c>
      <c r="HC45" s="50" t="str">
        <f t="shared" si="54"/>
        <v/>
      </c>
      <c r="HD45" s="50" t="str">
        <f t="shared" si="54"/>
        <v/>
      </c>
      <c r="HE45" s="50" t="str">
        <f t="shared" si="54"/>
        <v/>
      </c>
      <c r="HF45" s="50" t="str">
        <f t="shared" si="54"/>
        <v/>
      </c>
      <c r="HG45" s="50" t="str">
        <f t="shared" si="54"/>
        <v/>
      </c>
      <c r="HH45" s="50" t="str">
        <f t="shared" si="54"/>
        <v/>
      </c>
      <c r="HI45" s="50" t="str">
        <f t="shared" si="54"/>
        <v/>
      </c>
      <c r="HJ45" s="50" t="str">
        <f t="shared" si="54"/>
        <v/>
      </c>
      <c r="HK45" s="50" t="str">
        <f t="shared" si="54"/>
        <v/>
      </c>
      <c r="HL45" s="50" t="str">
        <f t="shared" si="54"/>
        <v/>
      </c>
      <c r="HM45" s="50" t="str">
        <f t="shared" si="55"/>
        <v/>
      </c>
      <c r="HN45" s="50" t="str">
        <f t="shared" si="55"/>
        <v/>
      </c>
      <c r="HO45" s="50" t="str">
        <f t="shared" si="55"/>
        <v/>
      </c>
      <c r="HP45" s="50" t="str">
        <f t="shared" si="55"/>
        <v/>
      </c>
      <c r="HQ45" s="50" t="str">
        <f t="shared" si="55"/>
        <v/>
      </c>
      <c r="HR45" s="112" t="str">
        <f t="shared" si="55"/>
        <v/>
      </c>
    </row>
    <row r="46" spans="1:226" ht="11.1" customHeight="1" x14ac:dyDescent="0.25">
      <c r="A46" s="26"/>
      <c r="B46" s="27"/>
      <c r="C46" s="28" t="str">
        <f>IF(A46=0,"",VLOOKUP(A46,[2]CO!$A$3:$F$5327,2,0))</f>
        <v/>
      </c>
      <c r="D46" s="29"/>
      <c r="E46" s="29"/>
      <c r="F46" s="29"/>
      <c r="G46" s="30" t="str">
        <f>IF(A46=0,"",VLOOKUP(A46,[2]CO!$A$3:$F$5327,3,0))</f>
        <v/>
      </c>
      <c r="H46" s="29"/>
      <c r="I46" s="31"/>
      <c r="J46" s="31"/>
      <c r="K46" s="31"/>
      <c r="L46" s="31"/>
      <c r="M46" s="32" t="str">
        <f t="shared" si="40"/>
        <v/>
      </c>
      <c r="N46" s="32" t="str">
        <f>IF(B46=0,"",IF(H46="M",HLOOKUP(B46,$Y$12:$DT$13,2),IF(A46=0,"",VLOOKUP(A46,[2]CO!$A$3:$F$5327,4,0))))</f>
        <v/>
      </c>
      <c r="O46" s="32" t="str">
        <f t="shared" si="41"/>
        <v/>
      </c>
      <c r="P46" s="33"/>
      <c r="Q46" s="34" t="str">
        <f t="shared" si="42"/>
        <v/>
      </c>
      <c r="R46" s="35" t="str">
        <f>IF(S46=0,"",IF(OR(G46="PEON",G46="OF",G46="JARD",G46="CARP",G46="MAESTRO",G46="SOLD",G46="BGRO",G46="CHOFER",G46="AYTE",G46="S.INTTE.",G46="ASEO",G46="P.PISOS",G46="VELADOR",G46="RESID",G46="PINTOR",G46="ELECT",G46="AZULE",G46="AUX CONT.",G46="SECRETARIA",G46="AUXILIAR ADMTVO.",G46="ARQUITECTO",G46="DIBUJANTE",G46="AUX. DE RESIDENTE"),VLOOKUP(B46,P$14:Q$77,2),"")*S46)</f>
        <v/>
      </c>
      <c r="T46" s="53" t="str">
        <f>IF(A46=0,"",VLOOKUP(A46,[2]CO!$A$3:$F$5318,5,0))</f>
        <v/>
      </c>
      <c r="U46" s="54">
        <f t="shared" si="43"/>
        <v>0</v>
      </c>
      <c r="V46" s="24"/>
      <c r="W46" s="25"/>
      <c r="X46" s="25"/>
      <c r="Y46" s="64" t="str">
        <f t="shared" si="56"/>
        <v/>
      </c>
      <c r="Z46" s="55" t="str">
        <f t="shared" si="56"/>
        <v/>
      </c>
      <c r="AA46" s="55" t="str">
        <f t="shared" si="56"/>
        <v/>
      </c>
      <c r="AB46" s="55" t="str">
        <f t="shared" si="56"/>
        <v/>
      </c>
      <c r="AC46" s="55" t="str">
        <f t="shared" si="56"/>
        <v/>
      </c>
      <c r="AD46" s="55" t="str">
        <f t="shared" si="56"/>
        <v/>
      </c>
      <c r="AE46" s="55" t="str">
        <f t="shared" si="56"/>
        <v/>
      </c>
      <c r="AF46" s="55" t="str">
        <f t="shared" si="56"/>
        <v/>
      </c>
      <c r="AG46" s="55" t="str">
        <f t="shared" si="56"/>
        <v/>
      </c>
      <c r="AH46" s="55" t="str">
        <f t="shared" si="56"/>
        <v/>
      </c>
      <c r="AI46" s="55" t="str">
        <f t="shared" si="56"/>
        <v/>
      </c>
      <c r="AJ46" s="55" t="str">
        <f t="shared" si="56"/>
        <v/>
      </c>
      <c r="AK46" s="55" t="str">
        <f t="shared" si="56"/>
        <v/>
      </c>
      <c r="AL46" s="55" t="str">
        <f t="shared" si="56"/>
        <v/>
      </c>
      <c r="AM46" s="55" t="str">
        <f t="shared" si="56"/>
        <v/>
      </c>
      <c r="AN46" s="55" t="str">
        <f t="shared" si="56"/>
        <v/>
      </c>
      <c r="AO46" s="55" t="str">
        <f t="shared" si="56"/>
        <v/>
      </c>
      <c r="AP46" s="55" t="str">
        <f t="shared" si="56"/>
        <v/>
      </c>
      <c r="AQ46" s="55" t="str">
        <f t="shared" si="56"/>
        <v/>
      </c>
      <c r="AR46" s="55" t="str">
        <f t="shared" si="56"/>
        <v/>
      </c>
      <c r="AS46" s="55" t="str">
        <f t="shared" si="56"/>
        <v/>
      </c>
      <c r="AT46" s="55" t="str">
        <f t="shared" si="56"/>
        <v/>
      </c>
      <c r="AU46" s="55" t="str">
        <f t="shared" si="56"/>
        <v/>
      </c>
      <c r="AV46" s="55" t="str">
        <f t="shared" si="56"/>
        <v/>
      </c>
      <c r="AW46" s="55" t="str">
        <f t="shared" si="56"/>
        <v/>
      </c>
      <c r="AX46" s="55" t="str">
        <f t="shared" si="56"/>
        <v/>
      </c>
      <c r="AY46" s="55" t="str">
        <f t="shared" si="56"/>
        <v/>
      </c>
      <c r="AZ46" s="55" t="str">
        <f t="shared" si="56"/>
        <v/>
      </c>
      <c r="BA46" s="55" t="str">
        <f t="shared" si="56"/>
        <v/>
      </c>
      <c r="BB46" s="55" t="str">
        <f t="shared" si="56"/>
        <v/>
      </c>
      <c r="BC46" s="55" t="str">
        <f t="shared" si="56"/>
        <v/>
      </c>
      <c r="BD46" s="55" t="str">
        <f t="shared" si="56"/>
        <v/>
      </c>
      <c r="BE46" s="55" t="str">
        <f t="shared" si="56"/>
        <v/>
      </c>
      <c r="BF46" s="55" t="str">
        <f t="shared" si="56"/>
        <v/>
      </c>
      <c r="BG46" s="55" t="str">
        <f t="shared" si="56"/>
        <v/>
      </c>
      <c r="BH46" s="55" t="str">
        <f t="shared" si="56"/>
        <v/>
      </c>
      <c r="BI46" s="55" t="str">
        <f t="shared" si="56"/>
        <v/>
      </c>
      <c r="BJ46" s="55" t="str">
        <f t="shared" si="56"/>
        <v/>
      </c>
      <c r="BK46" s="55" t="str">
        <f t="shared" si="56"/>
        <v/>
      </c>
      <c r="BL46" s="55" t="str">
        <f t="shared" si="56"/>
        <v/>
      </c>
      <c r="BM46" s="55" t="str">
        <f t="shared" si="56"/>
        <v/>
      </c>
      <c r="BN46" s="55" t="str">
        <f t="shared" si="56"/>
        <v/>
      </c>
      <c r="BO46" s="55" t="str">
        <f t="shared" si="56"/>
        <v/>
      </c>
      <c r="BP46" s="55" t="str">
        <f t="shared" si="56"/>
        <v/>
      </c>
      <c r="BQ46" s="55" t="str">
        <f t="shared" si="56"/>
        <v/>
      </c>
      <c r="BR46" s="55" t="str">
        <f t="shared" si="56"/>
        <v/>
      </c>
      <c r="BS46" s="55" t="str">
        <f t="shared" si="56"/>
        <v/>
      </c>
      <c r="BT46" s="55" t="str">
        <f t="shared" si="56"/>
        <v/>
      </c>
      <c r="BU46" s="55" t="str">
        <f t="shared" si="56"/>
        <v/>
      </c>
      <c r="BV46" s="55" t="str">
        <f t="shared" si="56"/>
        <v/>
      </c>
      <c r="BW46" s="55" t="str">
        <f t="shared" si="56"/>
        <v/>
      </c>
      <c r="BX46" s="55" t="str">
        <f t="shared" si="56"/>
        <v/>
      </c>
      <c r="BY46" s="55" t="str">
        <f t="shared" si="56"/>
        <v/>
      </c>
      <c r="BZ46" s="55" t="str">
        <f t="shared" si="56"/>
        <v/>
      </c>
      <c r="CA46" s="55" t="str">
        <f t="shared" si="56"/>
        <v/>
      </c>
      <c r="CB46" s="55" t="str">
        <f t="shared" si="56"/>
        <v/>
      </c>
      <c r="CC46" s="55" t="str">
        <f t="shared" si="56"/>
        <v/>
      </c>
      <c r="CD46" s="55" t="str">
        <f t="shared" si="56"/>
        <v/>
      </c>
      <c r="CE46" s="55" t="str">
        <f t="shared" si="56"/>
        <v/>
      </c>
      <c r="CF46" s="55" t="str">
        <f t="shared" si="56"/>
        <v/>
      </c>
      <c r="CG46" s="55" t="str">
        <f t="shared" si="56"/>
        <v/>
      </c>
      <c r="CH46" s="55" t="str">
        <f t="shared" si="56"/>
        <v/>
      </c>
      <c r="CI46" s="55" t="str">
        <f t="shared" si="56"/>
        <v/>
      </c>
      <c r="CJ46" s="55" t="str">
        <f t="shared" si="46"/>
        <v/>
      </c>
      <c r="CK46" s="55" t="str">
        <f t="shared" si="46"/>
        <v/>
      </c>
      <c r="CL46" s="55" t="str">
        <f t="shared" si="46"/>
        <v/>
      </c>
      <c r="CM46" s="55" t="str">
        <f t="shared" si="46"/>
        <v/>
      </c>
      <c r="CN46" s="55" t="str">
        <f t="shared" si="46"/>
        <v/>
      </c>
      <c r="CO46" s="55" t="str">
        <f t="shared" si="46"/>
        <v/>
      </c>
      <c r="CP46" s="55" t="str">
        <f t="shared" si="46"/>
        <v/>
      </c>
      <c r="CQ46" s="55" t="str">
        <f t="shared" si="46"/>
        <v/>
      </c>
      <c r="CR46" s="55" t="str">
        <f t="shared" si="46"/>
        <v/>
      </c>
      <c r="CS46" s="55" t="str">
        <f t="shared" si="46"/>
        <v/>
      </c>
      <c r="CT46" s="55" t="str">
        <f t="shared" si="46"/>
        <v/>
      </c>
      <c r="CU46" s="55" t="str">
        <f t="shared" si="46"/>
        <v/>
      </c>
      <c r="CV46" s="55" t="str">
        <f t="shared" si="46"/>
        <v/>
      </c>
      <c r="CW46" s="55" t="str">
        <f t="shared" si="46"/>
        <v/>
      </c>
      <c r="CX46" s="55" t="str">
        <f t="shared" si="46"/>
        <v/>
      </c>
      <c r="CY46" s="55" t="str">
        <f t="shared" si="46"/>
        <v/>
      </c>
      <c r="CZ46" s="55" t="str">
        <f t="shared" si="48"/>
        <v/>
      </c>
      <c r="DA46" s="55" t="str">
        <f t="shared" si="48"/>
        <v/>
      </c>
      <c r="DB46" s="55" t="str">
        <f t="shared" si="48"/>
        <v/>
      </c>
      <c r="DC46" s="55" t="str">
        <f t="shared" si="48"/>
        <v/>
      </c>
      <c r="DD46" s="55" t="str">
        <f t="shared" si="48"/>
        <v/>
      </c>
      <c r="DE46" s="55" t="str">
        <f t="shared" si="48"/>
        <v/>
      </c>
      <c r="DF46" s="55" t="str">
        <f t="shared" si="48"/>
        <v/>
      </c>
      <c r="DG46" s="55" t="str">
        <f t="shared" si="48"/>
        <v/>
      </c>
      <c r="DH46" s="55" t="str">
        <f t="shared" si="48"/>
        <v/>
      </c>
      <c r="DI46" s="55" t="str">
        <f t="shared" si="48"/>
        <v/>
      </c>
      <c r="DJ46" s="55" t="str">
        <f t="shared" si="48"/>
        <v/>
      </c>
      <c r="DK46" s="55" t="str">
        <f t="shared" si="48"/>
        <v/>
      </c>
      <c r="DL46" s="55" t="str">
        <f t="shared" si="48"/>
        <v/>
      </c>
      <c r="DM46" s="55" t="str">
        <f t="shared" si="48"/>
        <v/>
      </c>
      <c r="DN46" s="55" t="str">
        <f t="shared" si="48"/>
        <v/>
      </c>
      <c r="DO46" s="55" t="str">
        <f t="shared" si="49"/>
        <v/>
      </c>
      <c r="DP46" s="55" t="str">
        <f t="shared" si="49"/>
        <v/>
      </c>
      <c r="DQ46" s="55" t="str">
        <f t="shared" si="49"/>
        <v/>
      </c>
      <c r="DR46" s="55" t="str">
        <f t="shared" si="49"/>
        <v/>
      </c>
      <c r="DS46" s="55" t="str">
        <f t="shared" si="49"/>
        <v/>
      </c>
      <c r="DT46" s="106" t="str">
        <f t="shared" si="49"/>
        <v/>
      </c>
      <c r="DU46" s="54"/>
      <c r="DV46" s="25"/>
      <c r="DW46" s="61" t="str">
        <f t="shared" si="57"/>
        <v/>
      </c>
      <c r="DX46" s="50" t="str">
        <f t="shared" si="57"/>
        <v/>
      </c>
      <c r="DY46" s="50" t="str">
        <f t="shared" si="57"/>
        <v/>
      </c>
      <c r="DZ46" s="50" t="str">
        <f t="shared" si="57"/>
        <v/>
      </c>
      <c r="EA46" s="50" t="str">
        <f t="shared" si="57"/>
        <v/>
      </c>
      <c r="EB46" s="50" t="str">
        <f t="shared" si="57"/>
        <v/>
      </c>
      <c r="EC46" s="50" t="str">
        <f t="shared" si="57"/>
        <v/>
      </c>
      <c r="ED46" s="50" t="str">
        <f t="shared" si="57"/>
        <v/>
      </c>
      <c r="EE46" s="50" t="str">
        <f t="shared" si="57"/>
        <v/>
      </c>
      <c r="EF46" s="50" t="str">
        <f t="shared" si="57"/>
        <v/>
      </c>
      <c r="EG46" s="50" t="str">
        <f t="shared" si="57"/>
        <v/>
      </c>
      <c r="EH46" s="50" t="str">
        <f t="shared" si="57"/>
        <v/>
      </c>
      <c r="EI46" s="50" t="str">
        <f t="shared" si="57"/>
        <v/>
      </c>
      <c r="EJ46" s="50" t="str">
        <f t="shared" si="57"/>
        <v/>
      </c>
      <c r="EK46" s="50" t="str">
        <f t="shared" si="57"/>
        <v/>
      </c>
      <c r="EL46" s="50" t="str">
        <f t="shared" si="57"/>
        <v/>
      </c>
      <c r="EM46" s="50" t="str">
        <f t="shared" si="57"/>
        <v/>
      </c>
      <c r="EN46" s="50" t="str">
        <f t="shared" si="57"/>
        <v/>
      </c>
      <c r="EO46" s="50" t="str">
        <f t="shared" si="57"/>
        <v/>
      </c>
      <c r="EP46" s="50" t="str">
        <f t="shared" si="57"/>
        <v/>
      </c>
      <c r="EQ46" s="50" t="str">
        <f t="shared" si="57"/>
        <v/>
      </c>
      <c r="ER46" s="50" t="str">
        <f t="shared" si="57"/>
        <v/>
      </c>
      <c r="ES46" s="50" t="str">
        <f t="shared" si="57"/>
        <v/>
      </c>
      <c r="ET46" s="50" t="str">
        <f t="shared" si="57"/>
        <v/>
      </c>
      <c r="EU46" s="50" t="str">
        <f t="shared" si="57"/>
        <v/>
      </c>
      <c r="EV46" s="50" t="str">
        <f t="shared" si="57"/>
        <v/>
      </c>
      <c r="EW46" s="50" t="str">
        <f t="shared" si="57"/>
        <v/>
      </c>
      <c r="EX46" s="50" t="str">
        <f t="shared" si="57"/>
        <v/>
      </c>
      <c r="EY46" s="50" t="str">
        <f t="shared" si="57"/>
        <v/>
      </c>
      <c r="EZ46" s="50" t="str">
        <f t="shared" si="57"/>
        <v/>
      </c>
      <c r="FA46" s="50" t="str">
        <f t="shared" si="57"/>
        <v/>
      </c>
      <c r="FB46" s="50" t="str">
        <f t="shared" si="57"/>
        <v/>
      </c>
      <c r="FC46" s="50" t="str">
        <f t="shared" si="57"/>
        <v/>
      </c>
      <c r="FD46" s="50" t="str">
        <f t="shared" si="57"/>
        <v/>
      </c>
      <c r="FE46" s="50" t="str">
        <f t="shared" si="57"/>
        <v/>
      </c>
      <c r="FF46" s="50" t="str">
        <f t="shared" si="57"/>
        <v/>
      </c>
      <c r="FG46" s="50" t="str">
        <f t="shared" si="57"/>
        <v/>
      </c>
      <c r="FH46" s="50" t="str">
        <f t="shared" si="57"/>
        <v/>
      </c>
      <c r="FI46" s="50" t="str">
        <f t="shared" si="57"/>
        <v/>
      </c>
      <c r="FJ46" s="50" t="str">
        <f t="shared" si="57"/>
        <v/>
      </c>
      <c r="FK46" s="50" t="str">
        <f t="shared" si="57"/>
        <v/>
      </c>
      <c r="FL46" s="50" t="str">
        <f t="shared" si="57"/>
        <v/>
      </c>
      <c r="FM46" s="50" t="str">
        <f t="shared" si="57"/>
        <v/>
      </c>
      <c r="FN46" s="50" t="str">
        <f t="shared" si="57"/>
        <v/>
      </c>
      <c r="FO46" s="50" t="str">
        <f t="shared" si="57"/>
        <v/>
      </c>
      <c r="FP46" s="50" t="str">
        <f t="shared" si="57"/>
        <v/>
      </c>
      <c r="FQ46" s="50" t="str">
        <f t="shared" si="57"/>
        <v/>
      </c>
      <c r="FR46" s="50" t="str">
        <f t="shared" si="57"/>
        <v/>
      </c>
      <c r="FS46" s="50" t="str">
        <f t="shared" si="57"/>
        <v/>
      </c>
      <c r="FT46" s="50" t="str">
        <f t="shared" si="57"/>
        <v/>
      </c>
      <c r="FU46" s="50" t="str">
        <f t="shared" si="57"/>
        <v/>
      </c>
      <c r="FV46" s="50" t="str">
        <f t="shared" si="57"/>
        <v/>
      </c>
      <c r="FW46" s="50" t="str">
        <f t="shared" si="57"/>
        <v/>
      </c>
      <c r="FX46" s="50" t="str">
        <f t="shared" si="57"/>
        <v/>
      </c>
      <c r="FY46" s="50" t="str">
        <f t="shared" si="57"/>
        <v/>
      </c>
      <c r="FZ46" s="50" t="str">
        <f t="shared" si="57"/>
        <v/>
      </c>
      <c r="GA46" s="50" t="str">
        <f t="shared" si="57"/>
        <v/>
      </c>
      <c r="GB46" s="50" t="str">
        <f t="shared" si="57"/>
        <v/>
      </c>
      <c r="GC46" s="50" t="str">
        <f t="shared" si="57"/>
        <v/>
      </c>
      <c r="GD46" s="50" t="str">
        <f t="shared" si="57"/>
        <v/>
      </c>
      <c r="GE46" s="50" t="str">
        <f t="shared" si="57"/>
        <v/>
      </c>
      <c r="GF46" s="50" t="str">
        <f t="shared" si="57"/>
        <v/>
      </c>
      <c r="GG46" s="50" t="str">
        <f t="shared" si="57"/>
        <v/>
      </c>
      <c r="GH46" s="50" t="str">
        <f t="shared" si="52"/>
        <v/>
      </c>
      <c r="GI46" s="50" t="str">
        <f t="shared" si="52"/>
        <v/>
      </c>
      <c r="GJ46" s="50" t="str">
        <f t="shared" si="52"/>
        <v/>
      </c>
      <c r="GK46" s="50" t="str">
        <f t="shared" si="52"/>
        <v/>
      </c>
      <c r="GL46" s="50" t="str">
        <f t="shared" si="52"/>
        <v/>
      </c>
      <c r="GM46" s="50" t="str">
        <f t="shared" si="52"/>
        <v/>
      </c>
      <c r="GN46" s="50" t="str">
        <f t="shared" si="52"/>
        <v/>
      </c>
      <c r="GO46" s="50" t="str">
        <f t="shared" si="52"/>
        <v/>
      </c>
      <c r="GP46" s="50" t="str">
        <f t="shared" si="52"/>
        <v/>
      </c>
      <c r="GQ46" s="50" t="str">
        <f t="shared" si="52"/>
        <v/>
      </c>
      <c r="GR46" s="50" t="str">
        <f t="shared" si="52"/>
        <v/>
      </c>
      <c r="GS46" s="50" t="str">
        <f t="shared" si="52"/>
        <v/>
      </c>
      <c r="GT46" s="50" t="str">
        <f t="shared" si="52"/>
        <v/>
      </c>
      <c r="GU46" s="50" t="str">
        <f t="shared" si="52"/>
        <v/>
      </c>
      <c r="GV46" s="50" t="str">
        <f t="shared" si="52"/>
        <v/>
      </c>
      <c r="GW46" s="50" t="str">
        <f t="shared" si="52"/>
        <v/>
      </c>
      <c r="GX46" s="50" t="str">
        <f t="shared" si="54"/>
        <v/>
      </c>
      <c r="GY46" s="50" t="str">
        <f t="shared" si="54"/>
        <v/>
      </c>
      <c r="GZ46" s="50" t="str">
        <f t="shared" si="54"/>
        <v/>
      </c>
      <c r="HA46" s="50" t="str">
        <f t="shared" si="54"/>
        <v/>
      </c>
      <c r="HB46" s="50" t="str">
        <f t="shared" si="54"/>
        <v/>
      </c>
      <c r="HC46" s="50" t="str">
        <f t="shared" si="54"/>
        <v/>
      </c>
      <c r="HD46" s="50" t="str">
        <f t="shared" si="54"/>
        <v/>
      </c>
      <c r="HE46" s="50" t="str">
        <f t="shared" si="54"/>
        <v/>
      </c>
      <c r="HF46" s="50" t="str">
        <f t="shared" si="54"/>
        <v/>
      </c>
      <c r="HG46" s="50" t="str">
        <f t="shared" si="54"/>
        <v/>
      </c>
      <c r="HH46" s="50" t="str">
        <f t="shared" si="54"/>
        <v/>
      </c>
      <c r="HI46" s="50" t="str">
        <f t="shared" si="54"/>
        <v/>
      </c>
      <c r="HJ46" s="50" t="str">
        <f t="shared" si="54"/>
        <v/>
      </c>
      <c r="HK46" s="50" t="str">
        <f t="shared" si="54"/>
        <v/>
      </c>
      <c r="HL46" s="50" t="str">
        <f t="shared" si="54"/>
        <v/>
      </c>
      <c r="HM46" s="50" t="str">
        <f t="shared" si="55"/>
        <v/>
      </c>
      <c r="HN46" s="50" t="str">
        <f t="shared" si="55"/>
        <v/>
      </c>
      <c r="HO46" s="50" t="str">
        <f t="shared" si="55"/>
        <v/>
      </c>
      <c r="HP46" s="50" t="str">
        <f t="shared" si="55"/>
        <v/>
      </c>
      <c r="HQ46" s="50" t="str">
        <f t="shared" si="55"/>
        <v/>
      </c>
      <c r="HR46" s="112" t="str">
        <f t="shared" si="55"/>
        <v/>
      </c>
    </row>
    <row r="47" spans="1:226" ht="11.1" customHeight="1" x14ac:dyDescent="0.25">
      <c r="A47" s="26"/>
      <c r="B47" s="27"/>
      <c r="C47" s="28" t="str">
        <f>IF(A47=0,"",VLOOKUP(A47,[2]CO!$A$3:$F$5327,2,0))</f>
        <v/>
      </c>
      <c r="D47" s="29"/>
      <c r="E47" s="29"/>
      <c r="F47" s="29"/>
      <c r="G47" s="30" t="str">
        <f>IF(A47=0,"",VLOOKUP(A47,[2]CO!$A$3:$F$5327,3,0))</f>
        <v/>
      </c>
      <c r="H47" s="29"/>
      <c r="I47" s="31"/>
      <c r="J47" s="31"/>
      <c r="K47" s="31"/>
      <c r="L47" s="31"/>
      <c r="M47" s="32" t="str">
        <f t="shared" si="0"/>
        <v/>
      </c>
      <c r="N47" s="32" t="str">
        <f>IF(B47=0,"",IF(H47="M",HLOOKUP(B47,$Y$12:$DT$13,2),IF(A47=0,"",VLOOKUP(A47,[2]CO!$A$3:$F$5327,4,0))))</f>
        <v/>
      </c>
      <c r="O47" s="32" t="str">
        <f t="shared" si="7"/>
        <v/>
      </c>
      <c r="P47" s="33"/>
      <c r="Q47" s="34" t="str">
        <f t="shared" si="1"/>
        <v/>
      </c>
      <c r="R47" s="35" t="str">
        <f>IF(S47=0,"",IF(OR(G47="PEON",G47="OF",G47="JARD",G47="CARP",G47="MAESTRO",G47="SOLD",G47="BGRO",G47="CHOFER",G47="AYTE",G47="S.INTTE.",G47="ASEO",G47="P.PISOS",G47="VELADOR",G47="RESID",G47="PINTOR",G47="ELECT",G47="AZULE",G47="AUX CONT.",G47="SECRETARIA",G47="AUXILIAR ADMTVO.",G47="ARQUITECTO",G47="DIBUJANTE",G47="AUX. DE RESIDENTE"),VLOOKUP(B47,P$14:Q$77,2),"")*S47)</f>
        <v/>
      </c>
      <c r="T47" s="53" t="str">
        <f>IF(A47=0,"",VLOOKUP(A47,[2]CO!$A$3:$F$5318,5,0))</f>
        <v/>
      </c>
      <c r="U47" s="54">
        <f t="shared" si="2"/>
        <v>0</v>
      </c>
      <c r="V47" s="24"/>
      <c r="W47" s="25"/>
      <c r="X47" s="25"/>
      <c r="Y47" s="64" t="str">
        <f t="shared" ref="Y47:CI48" si="58">IF($B47=Y$12,$U47,"")</f>
        <v/>
      </c>
      <c r="Z47" s="55" t="str">
        <f t="shared" si="58"/>
        <v/>
      </c>
      <c r="AA47" s="55" t="str">
        <f t="shared" si="58"/>
        <v/>
      </c>
      <c r="AB47" s="55" t="str">
        <f t="shared" si="58"/>
        <v/>
      </c>
      <c r="AC47" s="55" t="str">
        <f t="shared" si="58"/>
        <v/>
      </c>
      <c r="AD47" s="55" t="str">
        <f t="shared" si="58"/>
        <v/>
      </c>
      <c r="AE47" s="55" t="str">
        <f t="shared" si="58"/>
        <v/>
      </c>
      <c r="AF47" s="55" t="str">
        <f t="shared" si="58"/>
        <v/>
      </c>
      <c r="AG47" s="55" t="str">
        <f t="shared" si="58"/>
        <v/>
      </c>
      <c r="AH47" s="55" t="str">
        <f t="shared" si="58"/>
        <v/>
      </c>
      <c r="AI47" s="55" t="str">
        <f t="shared" si="58"/>
        <v/>
      </c>
      <c r="AJ47" s="55" t="str">
        <f t="shared" si="58"/>
        <v/>
      </c>
      <c r="AK47" s="55" t="str">
        <f t="shared" si="58"/>
        <v/>
      </c>
      <c r="AL47" s="55" t="str">
        <f t="shared" si="58"/>
        <v/>
      </c>
      <c r="AM47" s="55" t="str">
        <f t="shared" si="58"/>
        <v/>
      </c>
      <c r="AN47" s="55" t="str">
        <f t="shared" si="58"/>
        <v/>
      </c>
      <c r="AO47" s="55" t="str">
        <f t="shared" si="58"/>
        <v/>
      </c>
      <c r="AP47" s="55" t="str">
        <f t="shared" si="58"/>
        <v/>
      </c>
      <c r="AQ47" s="55" t="str">
        <f t="shared" si="58"/>
        <v/>
      </c>
      <c r="AR47" s="55" t="str">
        <f t="shared" si="58"/>
        <v/>
      </c>
      <c r="AS47" s="55" t="str">
        <f t="shared" si="58"/>
        <v/>
      </c>
      <c r="AT47" s="55" t="str">
        <f t="shared" si="58"/>
        <v/>
      </c>
      <c r="AU47" s="55" t="str">
        <f t="shared" si="58"/>
        <v/>
      </c>
      <c r="AV47" s="55" t="str">
        <f t="shared" si="58"/>
        <v/>
      </c>
      <c r="AW47" s="55" t="str">
        <f t="shared" si="58"/>
        <v/>
      </c>
      <c r="AX47" s="55" t="str">
        <f t="shared" si="58"/>
        <v/>
      </c>
      <c r="AY47" s="55" t="str">
        <f t="shared" si="58"/>
        <v/>
      </c>
      <c r="AZ47" s="55" t="str">
        <f t="shared" si="58"/>
        <v/>
      </c>
      <c r="BA47" s="55" t="str">
        <f t="shared" si="58"/>
        <v/>
      </c>
      <c r="BB47" s="55" t="str">
        <f t="shared" si="58"/>
        <v/>
      </c>
      <c r="BC47" s="55" t="str">
        <f t="shared" si="58"/>
        <v/>
      </c>
      <c r="BD47" s="55" t="str">
        <f t="shared" si="58"/>
        <v/>
      </c>
      <c r="BE47" s="55" t="str">
        <f t="shared" si="58"/>
        <v/>
      </c>
      <c r="BF47" s="55" t="str">
        <f t="shared" si="58"/>
        <v/>
      </c>
      <c r="BG47" s="55" t="str">
        <f t="shared" si="58"/>
        <v/>
      </c>
      <c r="BH47" s="55" t="str">
        <f t="shared" si="58"/>
        <v/>
      </c>
      <c r="BI47" s="55" t="str">
        <f t="shared" si="58"/>
        <v/>
      </c>
      <c r="BJ47" s="55" t="str">
        <f t="shared" si="58"/>
        <v/>
      </c>
      <c r="BK47" s="55" t="str">
        <f t="shared" si="58"/>
        <v/>
      </c>
      <c r="BL47" s="55" t="str">
        <f t="shared" si="58"/>
        <v/>
      </c>
      <c r="BM47" s="55" t="str">
        <f t="shared" si="58"/>
        <v/>
      </c>
      <c r="BN47" s="55" t="str">
        <f t="shared" si="58"/>
        <v/>
      </c>
      <c r="BO47" s="55" t="str">
        <f t="shared" si="58"/>
        <v/>
      </c>
      <c r="BP47" s="55" t="str">
        <f t="shared" si="58"/>
        <v/>
      </c>
      <c r="BQ47" s="55" t="str">
        <f t="shared" si="58"/>
        <v/>
      </c>
      <c r="BR47" s="55" t="str">
        <f t="shared" si="58"/>
        <v/>
      </c>
      <c r="BS47" s="55" t="str">
        <f t="shared" si="58"/>
        <v/>
      </c>
      <c r="BT47" s="55" t="str">
        <f t="shared" si="58"/>
        <v/>
      </c>
      <c r="BU47" s="55" t="str">
        <f t="shared" si="58"/>
        <v/>
      </c>
      <c r="BV47" s="55" t="str">
        <f t="shared" si="58"/>
        <v/>
      </c>
      <c r="BW47" s="55" t="str">
        <f t="shared" si="58"/>
        <v/>
      </c>
      <c r="BX47" s="55" t="str">
        <f t="shared" si="58"/>
        <v/>
      </c>
      <c r="BY47" s="55" t="str">
        <f t="shared" si="58"/>
        <v/>
      </c>
      <c r="BZ47" s="55" t="str">
        <f t="shared" si="58"/>
        <v/>
      </c>
      <c r="CA47" s="55" t="str">
        <f t="shared" si="58"/>
        <v/>
      </c>
      <c r="CB47" s="55" t="str">
        <f t="shared" si="58"/>
        <v/>
      </c>
      <c r="CC47" s="55" t="str">
        <f t="shared" si="58"/>
        <v/>
      </c>
      <c r="CD47" s="55" t="str">
        <f t="shared" si="58"/>
        <v/>
      </c>
      <c r="CE47" s="55" t="str">
        <f t="shared" si="58"/>
        <v/>
      </c>
      <c r="CF47" s="55" t="str">
        <f t="shared" si="58"/>
        <v/>
      </c>
      <c r="CG47" s="55" t="str">
        <f t="shared" si="58"/>
        <v/>
      </c>
      <c r="CH47" s="55" t="str">
        <f t="shared" si="58"/>
        <v/>
      </c>
      <c r="CI47" s="55" t="str">
        <f t="shared" si="58"/>
        <v/>
      </c>
      <c r="CJ47" s="55" t="str">
        <f t="shared" ref="CJ47:CY48" si="59">IF($B47=CJ$12,$U47,"")</f>
        <v/>
      </c>
      <c r="CK47" s="55" t="str">
        <f t="shared" si="59"/>
        <v/>
      </c>
      <c r="CL47" s="55" t="str">
        <f t="shared" si="59"/>
        <v/>
      </c>
      <c r="CM47" s="55" t="str">
        <f t="shared" si="59"/>
        <v/>
      </c>
      <c r="CN47" s="55" t="str">
        <f t="shared" si="59"/>
        <v/>
      </c>
      <c r="CO47" s="55" t="str">
        <f t="shared" si="59"/>
        <v/>
      </c>
      <c r="CP47" s="55" t="str">
        <f t="shared" si="59"/>
        <v/>
      </c>
      <c r="CQ47" s="55" t="str">
        <f t="shared" si="59"/>
        <v/>
      </c>
      <c r="CR47" s="55" t="str">
        <f t="shared" si="59"/>
        <v/>
      </c>
      <c r="CS47" s="55" t="str">
        <f t="shared" si="59"/>
        <v/>
      </c>
      <c r="CT47" s="55" t="str">
        <f t="shared" si="59"/>
        <v/>
      </c>
      <c r="CU47" s="55" t="str">
        <f t="shared" si="59"/>
        <v/>
      </c>
      <c r="CV47" s="55" t="str">
        <f t="shared" si="59"/>
        <v/>
      </c>
      <c r="CW47" s="55" t="str">
        <f t="shared" si="59"/>
        <v/>
      </c>
      <c r="CX47" s="55" t="str">
        <f t="shared" si="59"/>
        <v/>
      </c>
      <c r="CY47" s="55" t="str">
        <f t="shared" si="59"/>
        <v/>
      </c>
      <c r="CZ47" s="55" t="str">
        <f t="shared" ref="CZ47:DO48" si="60">IF($B47=CZ$12,$U47,"")</f>
        <v/>
      </c>
      <c r="DA47" s="55" t="str">
        <f t="shared" si="60"/>
        <v/>
      </c>
      <c r="DB47" s="55" t="str">
        <f t="shared" si="60"/>
        <v/>
      </c>
      <c r="DC47" s="55" t="str">
        <f t="shared" si="60"/>
        <v/>
      </c>
      <c r="DD47" s="55" t="str">
        <f t="shared" si="60"/>
        <v/>
      </c>
      <c r="DE47" s="55" t="str">
        <f t="shared" si="60"/>
        <v/>
      </c>
      <c r="DF47" s="55" t="str">
        <f t="shared" si="60"/>
        <v/>
      </c>
      <c r="DG47" s="55" t="str">
        <f t="shared" si="60"/>
        <v/>
      </c>
      <c r="DH47" s="55" t="str">
        <f t="shared" si="60"/>
        <v/>
      </c>
      <c r="DI47" s="55" t="str">
        <f t="shared" si="60"/>
        <v/>
      </c>
      <c r="DJ47" s="55" t="str">
        <f t="shared" si="60"/>
        <v/>
      </c>
      <c r="DK47" s="55" t="str">
        <f t="shared" si="60"/>
        <v/>
      </c>
      <c r="DL47" s="55" t="str">
        <f t="shared" si="60"/>
        <v/>
      </c>
      <c r="DM47" s="55" t="str">
        <f t="shared" si="60"/>
        <v/>
      </c>
      <c r="DN47" s="55" t="str">
        <f t="shared" si="60"/>
        <v/>
      </c>
      <c r="DO47" s="55" t="str">
        <f t="shared" ref="DO47:DT48" si="61">IF($B47=DO$12,$U47,"")</f>
        <v/>
      </c>
      <c r="DP47" s="55" t="str">
        <f t="shared" si="61"/>
        <v/>
      </c>
      <c r="DQ47" s="55" t="str">
        <f t="shared" si="61"/>
        <v/>
      </c>
      <c r="DR47" s="55" t="str">
        <f t="shared" si="61"/>
        <v/>
      </c>
      <c r="DS47" s="55" t="str">
        <f t="shared" si="61"/>
        <v/>
      </c>
      <c r="DT47" s="106" t="str">
        <f t="shared" si="61"/>
        <v/>
      </c>
      <c r="DU47" s="54"/>
      <c r="DV47" s="25"/>
      <c r="DW47" s="61" t="str">
        <f t="shared" ref="DW47:GG48" si="62">IF($B47=DW$12,$O47,"")</f>
        <v/>
      </c>
      <c r="DX47" s="50" t="str">
        <f t="shared" si="62"/>
        <v/>
      </c>
      <c r="DY47" s="50" t="str">
        <f t="shared" si="62"/>
        <v/>
      </c>
      <c r="DZ47" s="50" t="str">
        <f t="shared" si="62"/>
        <v/>
      </c>
      <c r="EA47" s="50" t="str">
        <f t="shared" si="62"/>
        <v/>
      </c>
      <c r="EB47" s="50" t="str">
        <f t="shared" si="62"/>
        <v/>
      </c>
      <c r="EC47" s="50" t="str">
        <f t="shared" si="62"/>
        <v/>
      </c>
      <c r="ED47" s="50" t="str">
        <f t="shared" si="62"/>
        <v/>
      </c>
      <c r="EE47" s="50" t="str">
        <f t="shared" si="62"/>
        <v/>
      </c>
      <c r="EF47" s="50" t="str">
        <f t="shared" si="62"/>
        <v/>
      </c>
      <c r="EG47" s="50" t="str">
        <f t="shared" si="62"/>
        <v/>
      </c>
      <c r="EH47" s="50" t="str">
        <f t="shared" si="62"/>
        <v/>
      </c>
      <c r="EI47" s="50" t="str">
        <f t="shared" si="62"/>
        <v/>
      </c>
      <c r="EJ47" s="50" t="str">
        <f t="shared" si="62"/>
        <v/>
      </c>
      <c r="EK47" s="50" t="str">
        <f t="shared" si="62"/>
        <v/>
      </c>
      <c r="EL47" s="50" t="str">
        <f t="shared" si="62"/>
        <v/>
      </c>
      <c r="EM47" s="50" t="str">
        <f t="shared" si="62"/>
        <v/>
      </c>
      <c r="EN47" s="50" t="str">
        <f t="shared" si="62"/>
        <v/>
      </c>
      <c r="EO47" s="50" t="str">
        <f t="shared" si="62"/>
        <v/>
      </c>
      <c r="EP47" s="50" t="str">
        <f t="shared" si="62"/>
        <v/>
      </c>
      <c r="EQ47" s="50" t="str">
        <f t="shared" si="62"/>
        <v/>
      </c>
      <c r="ER47" s="50" t="str">
        <f t="shared" si="62"/>
        <v/>
      </c>
      <c r="ES47" s="50" t="str">
        <f t="shared" si="62"/>
        <v/>
      </c>
      <c r="ET47" s="50" t="str">
        <f t="shared" si="62"/>
        <v/>
      </c>
      <c r="EU47" s="50" t="str">
        <f t="shared" si="62"/>
        <v/>
      </c>
      <c r="EV47" s="50" t="str">
        <f t="shared" si="62"/>
        <v/>
      </c>
      <c r="EW47" s="50" t="str">
        <f t="shared" si="62"/>
        <v/>
      </c>
      <c r="EX47" s="50" t="str">
        <f t="shared" si="62"/>
        <v/>
      </c>
      <c r="EY47" s="50" t="str">
        <f t="shared" si="62"/>
        <v/>
      </c>
      <c r="EZ47" s="50" t="str">
        <f t="shared" si="62"/>
        <v/>
      </c>
      <c r="FA47" s="50" t="str">
        <f t="shared" si="62"/>
        <v/>
      </c>
      <c r="FB47" s="50" t="str">
        <f t="shared" si="62"/>
        <v/>
      </c>
      <c r="FC47" s="50" t="str">
        <f t="shared" si="62"/>
        <v/>
      </c>
      <c r="FD47" s="50" t="str">
        <f t="shared" si="62"/>
        <v/>
      </c>
      <c r="FE47" s="50" t="str">
        <f t="shared" si="62"/>
        <v/>
      </c>
      <c r="FF47" s="50" t="str">
        <f t="shared" si="62"/>
        <v/>
      </c>
      <c r="FG47" s="50" t="str">
        <f t="shared" si="62"/>
        <v/>
      </c>
      <c r="FH47" s="50" t="str">
        <f t="shared" si="62"/>
        <v/>
      </c>
      <c r="FI47" s="50" t="str">
        <f t="shared" si="62"/>
        <v/>
      </c>
      <c r="FJ47" s="50" t="str">
        <f t="shared" si="62"/>
        <v/>
      </c>
      <c r="FK47" s="50" t="str">
        <f t="shared" si="62"/>
        <v/>
      </c>
      <c r="FL47" s="50" t="str">
        <f t="shared" si="62"/>
        <v/>
      </c>
      <c r="FM47" s="50" t="str">
        <f t="shared" si="62"/>
        <v/>
      </c>
      <c r="FN47" s="50" t="str">
        <f t="shared" si="62"/>
        <v/>
      </c>
      <c r="FO47" s="50" t="str">
        <f t="shared" si="62"/>
        <v/>
      </c>
      <c r="FP47" s="50" t="str">
        <f t="shared" si="62"/>
        <v/>
      </c>
      <c r="FQ47" s="50" t="str">
        <f t="shared" si="62"/>
        <v/>
      </c>
      <c r="FR47" s="50" t="str">
        <f t="shared" si="62"/>
        <v/>
      </c>
      <c r="FS47" s="50" t="str">
        <f t="shared" si="62"/>
        <v/>
      </c>
      <c r="FT47" s="50" t="str">
        <f t="shared" si="62"/>
        <v/>
      </c>
      <c r="FU47" s="50" t="str">
        <f t="shared" si="62"/>
        <v/>
      </c>
      <c r="FV47" s="50" t="str">
        <f t="shared" si="62"/>
        <v/>
      </c>
      <c r="FW47" s="50" t="str">
        <f t="shared" si="62"/>
        <v/>
      </c>
      <c r="FX47" s="50" t="str">
        <f t="shared" si="62"/>
        <v/>
      </c>
      <c r="FY47" s="50" t="str">
        <f t="shared" si="62"/>
        <v/>
      </c>
      <c r="FZ47" s="50" t="str">
        <f t="shared" si="62"/>
        <v/>
      </c>
      <c r="GA47" s="50" t="str">
        <f t="shared" si="62"/>
        <v/>
      </c>
      <c r="GB47" s="50" t="str">
        <f t="shared" si="62"/>
        <v/>
      </c>
      <c r="GC47" s="50" t="str">
        <f t="shared" si="62"/>
        <v/>
      </c>
      <c r="GD47" s="50" t="str">
        <f t="shared" si="62"/>
        <v/>
      </c>
      <c r="GE47" s="50" t="str">
        <f t="shared" si="62"/>
        <v/>
      </c>
      <c r="GF47" s="50" t="str">
        <f t="shared" si="62"/>
        <v/>
      </c>
      <c r="GG47" s="50" t="str">
        <f t="shared" si="62"/>
        <v/>
      </c>
      <c r="GH47" s="50" t="str">
        <f t="shared" ref="GH47:GW48" si="63">IF($B47=GH$12,$O47,"")</f>
        <v/>
      </c>
      <c r="GI47" s="50" t="str">
        <f t="shared" si="63"/>
        <v/>
      </c>
      <c r="GJ47" s="50" t="str">
        <f t="shared" si="63"/>
        <v/>
      </c>
      <c r="GK47" s="50" t="str">
        <f t="shared" si="63"/>
        <v/>
      </c>
      <c r="GL47" s="50" t="str">
        <f t="shared" si="63"/>
        <v/>
      </c>
      <c r="GM47" s="50" t="str">
        <f t="shared" si="63"/>
        <v/>
      </c>
      <c r="GN47" s="50" t="str">
        <f t="shared" si="63"/>
        <v/>
      </c>
      <c r="GO47" s="50" t="str">
        <f t="shared" si="63"/>
        <v/>
      </c>
      <c r="GP47" s="50" t="str">
        <f t="shared" si="63"/>
        <v/>
      </c>
      <c r="GQ47" s="50" t="str">
        <f t="shared" si="63"/>
        <v/>
      </c>
      <c r="GR47" s="50" t="str">
        <f t="shared" si="63"/>
        <v/>
      </c>
      <c r="GS47" s="50" t="str">
        <f t="shared" si="63"/>
        <v/>
      </c>
      <c r="GT47" s="50" t="str">
        <f t="shared" si="63"/>
        <v/>
      </c>
      <c r="GU47" s="50" t="str">
        <f t="shared" si="63"/>
        <v/>
      </c>
      <c r="GV47" s="50" t="str">
        <f t="shared" si="63"/>
        <v/>
      </c>
      <c r="GW47" s="50" t="str">
        <f t="shared" si="63"/>
        <v/>
      </c>
      <c r="GX47" s="50" t="str">
        <f t="shared" ref="GX47:HM48" si="64">IF($B47=GX$12,$O47,"")</f>
        <v/>
      </c>
      <c r="GY47" s="50" t="str">
        <f t="shared" si="64"/>
        <v/>
      </c>
      <c r="GZ47" s="50" t="str">
        <f t="shared" si="64"/>
        <v/>
      </c>
      <c r="HA47" s="50" t="str">
        <f t="shared" si="64"/>
        <v/>
      </c>
      <c r="HB47" s="50" t="str">
        <f t="shared" si="64"/>
        <v/>
      </c>
      <c r="HC47" s="50" t="str">
        <f t="shared" si="64"/>
        <v/>
      </c>
      <c r="HD47" s="50" t="str">
        <f t="shared" si="64"/>
        <v/>
      </c>
      <c r="HE47" s="50" t="str">
        <f t="shared" si="64"/>
        <v/>
      </c>
      <c r="HF47" s="50" t="str">
        <f t="shared" si="64"/>
        <v/>
      </c>
      <c r="HG47" s="50" t="str">
        <f t="shared" si="64"/>
        <v/>
      </c>
      <c r="HH47" s="50" t="str">
        <f t="shared" si="64"/>
        <v/>
      </c>
      <c r="HI47" s="50" t="str">
        <f t="shared" si="64"/>
        <v/>
      </c>
      <c r="HJ47" s="50" t="str">
        <f t="shared" si="64"/>
        <v/>
      </c>
      <c r="HK47" s="50" t="str">
        <f t="shared" si="64"/>
        <v/>
      </c>
      <c r="HL47" s="50" t="str">
        <f t="shared" si="64"/>
        <v/>
      </c>
      <c r="HM47" s="50" t="str">
        <f t="shared" ref="HM47:HR48" si="65">IF($B47=HM$12,$O47,"")</f>
        <v/>
      </c>
      <c r="HN47" s="50" t="str">
        <f t="shared" si="65"/>
        <v/>
      </c>
      <c r="HO47" s="50" t="str">
        <f t="shared" si="65"/>
        <v/>
      </c>
      <c r="HP47" s="50" t="str">
        <f t="shared" si="65"/>
        <v/>
      </c>
      <c r="HQ47" s="50" t="str">
        <f t="shared" si="65"/>
        <v/>
      </c>
      <c r="HR47" s="112" t="str">
        <f t="shared" si="65"/>
        <v/>
      </c>
    </row>
    <row r="48" spans="1:226" ht="11.1" customHeight="1" thickBot="1" x14ac:dyDescent="0.3">
      <c r="A48" s="66"/>
      <c r="B48" s="67"/>
      <c r="C48" s="68" t="str">
        <f>IF(A48=0,"",VLOOKUP(A48,[2]CO!$A$3:$F$5311,2,0))</f>
        <v/>
      </c>
      <c r="D48" s="69"/>
      <c r="E48" s="69"/>
      <c r="F48" s="69"/>
      <c r="G48" s="70" t="str">
        <f>IF(A48=0,"",VLOOKUP(A48,[2]CO!$A$3:$F$5327,3,0))</f>
        <v/>
      </c>
      <c r="H48" s="69"/>
      <c r="I48" s="71"/>
      <c r="J48" s="71"/>
      <c r="K48" s="71"/>
      <c r="L48" s="71"/>
      <c r="M48" s="72" t="str">
        <f t="shared" si="0"/>
        <v/>
      </c>
      <c r="N48" s="72" t="str">
        <f>IF(B48=0,"",IF(H48="M",HLOOKUP(B48,$Y$12:$DT$13,2),IF(A48=0,"",VLOOKUP(A48,[2]CO!$A$3:$F$5327,4,0))))</f>
        <v/>
      </c>
      <c r="O48" s="72" t="str">
        <f t="shared" si="7"/>
        <v/>
      </c>
      <c r="P48" s="73"/>
      <c r="Q48" s="74" t="str">
        <f t="shared" si="1"/>
        <v/>
      </c>
      <c r="R48" s="75" t="str">
        <f>IF(S48=0,"",IF(OR(G48="PEON",G48="OF",G48="JARD",G48="CARP",G48="MAESTRO",G48="SOLD",G48="BGRO",G48="CHOFER",G48="AYTE",G48="S.INTTE.",G48="ASEO",G48="P.PISOS",G48="VELADOR",G48="RESID",G48="PINTOR",G48="ELECT",G48="AZULE",G48="AUX CONT.",G48="SECRETARIA",G48="AUXILIAR ADMTVO.",G48="ARQUITECTO",G48="DIBUJANTE",G48="AUX. DE RESIDENTE"),VLOOKUP(B48,P$14:Q$77,2),"")*S48)</f>
        <v/>
      </c>
      <c r="T48" s="53" t="str">
        <f>IF(A48=0,"",VLOOKUP(A48,[2]CO!$A$3:$F$5318,5,0))</f>
        <v/>
      </c>
      <c r="U48" s="54">
        <f t="shared" si="2"/>
        <v>0</v>
      </c>
      <c r="V48" s="24"/>
      <c r="W48" s="25"/>
      <c r="X48" s="25"/>
      <c r="Y48" s="76" t="str">
        <f t="shared" si="58"/>
        <v/>
      </c>
      <c r="Z48" s="77" t="str">
        <f t="shared" si="58"/>
        <v/>
      </c>
      <c r="AA48" s="77" t="str">
        <f t="shared" si="58"/>
        <v/>
      </c>
      <c r="AB48" s="77" t="str">
        <f t="shared" ref="AB48:CI48" si="66">IF($B48=AB$12,$U48,"")</f>
        <v/>
      </c>
      <c r="AC48" s="77" t="str">
        <f t="shared" si="66"/>
        <v/>
      </c>
      <c r="AD48" s="77" t="str">
        <f t="shared" si="66"/>
        <v/>
      </c>
      <c r="AE48" s="77" t="str">
        <f t="shared" si="66"/>
        <v/>
      </c>
      <c r="AF48" s="77" t="str">
        <f t="shared" si="66"/>
        <v/>
      </c>
      <c r="AG48" s="77" t="str">
        <f t="shared" si="66"/>
        <v/>
      </c>
      <c r="AH48" s="77" t="str">
        <f t="shared" si="66"/>
        <v/>
      </c>
      <c r="AI48" s="77" t="str">
        <f t="shared" si="66"/>
        <v/>
      </c>
      <c r="AJ48" s="77" t="str">
        <f t="shared" si="66"/>
        <v/>
      </c>
      <c r="AK48" s="77" t="str">
        <f t="shared" si="66"/>
        <v/>
      </c>
      <c r="AL48" s="77" t="str">
        <f t="shared" si="66"/>
        <v/>
      </c>
      <c r="AM48" s="77" t="str">
        <f t="shared" si="66"/>
        <v/>
      </c>
      <c r="AN48" s="77" t="str">
        <f t="shared" si="66"/>
        <v/>
      </c>
      <c r="AO48" s="77" t="str">
        <f t="shared" si="66"/>
        <v/>
      </c>
      <c r="AP48" s="77" t="str">
        <f t="shared" si="66"/>
        <v/>
      </c>
      <c r="AQ48" s="77" t="str">
        <f t="shared" si="66"/>
        <v/>
      </c>
      <c r="AR48" s="77" t="str">
        <f t="shared" si="66"/>
        <v/>
      </c>
      <c r="AS48" s="77" t="str">
        <f t="shared" si="66"/>
        <v/>
      </c>
      <c r="AT48" s="77" t="str">
        <f t="shared" si="66"/>
        <v/>
      </c>
      <c r="AU48" s="77" t="str">
        <f t="shared" si="66"/>
        <v/>
      </c>
      <c r="AV48" s="77" t="str">
        <f t="shared" si="66"/>
        <v/>
      </c>
      <c r="AW48" s="77" t="str">
        <f t="shared" si="66"/>
        <v/>
      </c>
      <c r="AX48" s="77" t="str">
        <f t="shared" si="66"/>
        <v/>
      </c>
      <c r="AY48" s="77" t="str">
        <f t="shared" si="66"/>
        <v/>
      </c>
      <c r="AZ48" s="77" t="str">
        <f t="shared" si="66"/>
        <v/>
      </c>
      <c r="BA48" s="77" t="str">
        <f t="shared" si="66"/>
        <v/>
      </c>
      <c r="BB48" s="77" t="str">
        <f t="shared" si="66"/>
        <v/>
      </c>
      <c r="BC48" s="77" t="str">
        <f t="shared" si="66"/>
        <v/>
      </c>
      <c r="BD48" s="77" t="str">
        <f t="shared" si="66"/>
        <v/>
      </c>
      <c r="BE48" s="77" t="str">
        <f t="shared" si="66"/>
        <v/>
      </c>
      <c r="BF48" s="77" t="str">
        <f t="shared" si="66"/>
        <v/>
      </c>
      <c r="BG48" s="77" t="str">
        <f t="shared" si="66"/>
        <v/>
      </c>
      <c r="BH48" s="77" t="str">
        <f t="shared" si="66"/>
        <v/>
      </c>
      <c r="BI48" s="77" t="str">
        <f t="shared" si="66"/>
        <v/>
      </c>
      <c r="BJ48" s="77" t="str">
        <f t="shared" si="66"/>
        <v/>
      </c>
      <c r="BK48" s="77" t="str">
        <f t="shared" si="66"/>
        <v/>
      </c>
      <c r="BL48" s="77" t="str">
        <f t="shared" si="66"/>
        <v/>
      </c>
      <c r="BM48" s="77" t="str">
        <f t="shared" si="66"/>
        <v/>
      </c>
      <c r="BN48" s="77" t="str">
        <f t="shared" si="66"/>
        <v/>
      </c>
      <c r="BO48" s="77" t="str">
        <f t="shared" si="66"/>
        <v/>
      </c>
      <c r="BP48" s="77" t="str">
        <f t="shared" si="66"/>
        <v/>
      </c>
      <c r="BQ48" s="77" t="str">
        <f t="shared" si="66"/>
        <v/>
      </c>
      <c r="BR48" s="77" t="str">
        <f t="shared" si="66"/>
        <v/>
      </c>
      <c r="BS48" s="77" t="str">
        <f t="shared" si="66"/>
        <v/>
      </c>
      <c r="BT48" s="77" t="str">
        <f t="shared" si="66"/>
        <v/>
      </c>
      <c r="BU48" s="77" t="str">
        <f t="shared" si="66"/>
        <v/>
      </c>
      <c r="BV48" s="77" t="str">
        <f t="shared" si="66"/>
        <v/>
      </c>
      <c r="BW48" s="77" t="str">
        <f t="shared" si="66"/>
        <v/>
      </c>
      <c r="BX48" s="77" t="str">
        <f t="shared" si="66"/>
        <v/>
      </c>
      <c r="BY48" s="77" t="str">
        <f t="shared" si="66"/>
        <v/>
      </c>
      <c r="BZ48" s="77" t="str">
        <f t="shared" si="66"/>
        <v/>
      </c>
      <c r="CA48" s="77" t="str">
        <f t="shared" si="66"/>
        <v/>
      </c>
      <c r="CB48" s="77" t="str">
        <f t="shared" si="66"/>
        <v/>
      </c>
      <c r="CC48" s="77" t="str">
        <f t="shared" si="66"/>
        <v/>
      </c>
      <c r="CD48" s="77" t="str">
        <f t="shared" si="66"/>
        <v/>
      </c>
      <c r="CE48" s="77" t="str">
        <f t="shared" si="66"/>
        <v/>
      </c>
      <c r="CF48" s="77" t="str">
        <f t="shared" si="66"/>
        <v/>
      </c>
      <c r="CG48" s="77" t="str">
        <f t="shared" si="66"/>
        <v/>
      </c>
      <c r="CH48" s="77" t="str">
        <f t="shared" si="66"/>
        <v/>
      </c>
      <c r="CI48" s="77" t="str">
        <f t="shared" si="66"/>
        <v/>
      </c>
      <c r="CJ48" s="77" t="str">
        <f t="shared" si="59"/>
        <v/>
      </c>
      <c r="CK48" s="77" t="str">
        <f t="shared" si="59"/>
        <v/>
      </c>
      <c r="CL48" s="77" t="str">
        <f t="shared" si="59"/>
        <v/>
      </c>
      <c r="CM48" s="77" t="str">
        <f t="shared" si="59"/>
        <v/>
      </c>
      <c r="CN48" s="77" t="str">
        <f t="shared" si="59"/>
        <v/>
      </c>
      <c r="CO48" s="77" t="str">
        <f t="shared" si="59"/>
        <v/>
      </c>
      <c r="CP48" s="77" t="str">
        <f t="shared" si="59"/>
        <v/>
      </c>
      <c r="CQ48" s="77" t="str">
        <f t="shared" si="59"/>
        <v/>
      </c>
      <c r="CR48" s="77" t="str">
        <f t="shared" si="59"/>
        <v/>
      </c>
      <c r="CS48" s="77" t="str">
        <f t="shared" si="59"/>
        <v/>
      </c>
      <c r="CT48" s="77" t="str">
        <f t="shared" si="59"/>
        <v/>
      </c>
      <c r="CU48" s="77" t="str">
        <f t="shared" si="59"/>
        <v/>
      </c>
      <c r="CV48" s="77" t="str">
        <f t="shared" si="59"/>
        <v/>
      </c>
      <c r="CW48" s="77" t="str">
        <f t="shared" si="59"/>
        <v/>
      </c>
      <c r="CX48" s="77" t="str">
        <f t="shared" si="59"/>
        <v/>
      </c>
      <c r="CY48" s="77" t="str">
        <f t="shared" si="59"/>
        <v/>
      </c>
      <c r="CZ48" s="77" t="str">
        <f t="shared" si="60"/>
        <v/>
      </c>
      <c r="DA48" s="77" t="str">
        <f t="shared" si="60"/>
        <v/>
      </c>
      <c r="DB48" s="77" t="str">
        <f t="shared" si="60"/>
        <v/>
      </c>
      <c r="DC48" s="77" t="str">
        <f t="shared" si="60"/>
        <v/>
      </c>
      <c r="DD48" s="77" t="str">
        <f t="shared" si="60"/>
        <v/>
      </c>
      <c r="DE48" s="77" t="str">
        <f t="shared" si="60"/>
        <v/>
      </c>
      <c r="DF48" s="77" t="str">
        <f t="shared" si="60"/>
        <v/>
      </c>
      <c r="DG48" s="77" t="str">
        <f t="shared" si="60"/>
        <v/>
      </c>
      <c r="DH48" s="77" t="str">
        <f t="shared" si="60"/>
        <v/>
      </c>
      <c r="DI48" s="77" t="str">
        <f t="shared" si="60"/>
        <v/>
      </c>
      <c r="DJ48" s="77" t="str">
        <f t="shared" si="60"/>
        <v/>
      </c>
      <c r="DK48" s="77" t="str">
        <f t="shared" si="60"/>
        <v/>
      </c>
      <c r="DL48" s="77" t="str">
        <f t="shared" si="60"/>
        <v/>
      </c>
      <c r="DM48" s="77" t="str">
        <f t="shared" si="60"/>
        <v/>
      </c>
      <c r="DN48" s="77" t="str">
        <f t="shared" si="60"/>
        <v/>
      </c>
      <c r="DO48" s="77" t="str">
        <f t="shared" si="60"/>
        <v/>
      </c>
      <c r="DP48" s="77" t="str">
        <f t="shared" si="61"/>
        <v/>
      </c>
      <c r="DQ48" s="77" t="str">
        <f t="shared" si="61"/>
        <v/>
      </c>
      <c r="DR48" s="77" t="str">
        <f t="shared" si="61"/>
        <v/>
      </c>
      <c r="DS48" s="77" t="str">
        <f t="shared" si="61"/>
        <v/>
      </c>
      <c r="DT48" s="107" t="str">
        <f t="shared" si="61"/>
        <v/>
      </c>
      <c r="DU48" s="54"/>
      <c r="DV48" s="25"/>
      <c r="DW48" s="78" t="str">
        <f t="shared" si="62"/>
        <v/>
      </c>
      <c r="DX48" s="79" t="str">
        <f t="shared" si="62"/>
        <v/>
      </c>
      <c r="DY48" s="79" t="str">
        <f t="shared" si="62"/>
        <v/>
      </c>
      <c r="DZ48" s="79" t="str">
        <f t="shared" ref="DZ48:GG48" si="67">IF($B48=DZ$12,$O48,"")</f>
        <v/>
      </c>
      <c r="EA48" s="79" t="str">
        <f t="shared" si="67"/>
        <v/>
      </c>
      <c r="EB48" s="79" t="str">
        <f t="shared" si="67"/>
        <v/>
      </c>
      <c r="EC48" s="79" t="str">
        <f t="shared" si="67"/>
        <v/>
      </c>
      <c r="ED48" s="79" t="str">
        <f t="shared" si="67"/>
        <v/>
      </c>
      <c r="EE48" s="79" t="str">
        <f t="shared" si="67"/>
        <v/>
      </c>
      <c r="EF48" s="79" t="str">
        <f t="shared" si="67"/>
        <v/>
      </c>
      <c r="EG48" s="79" t="str">
        <f t="shared" si="67"/>
        <v/>
      </c>
      <c r="EH48" s="79" t="str">
        <f t="shared" si="67"/>
        <v/>
      </c>
      <c r="EI48" s="79" t="str">
        <f t="shared" si="67"/>
        <v/>
      </c>
      <c r="EJ48" s="79" t="str">
        <f t="shared" si="67"/>
        <v/>
      </c>
      <c r="EK48" s="79" t="str">
        <f t="shared" si="67"/>
        <v/>
      </c>
      <c r="EL48" s="79" t="str">
        <f t="shared" si="67"/>
        <v/>
      </c>
      <c r="EM48" s="79" t="str">
        <f t="shared" si="67"/>
        <v/>
      </c>
      <c r="EN48" s="79" t="str">
        <f t="shared" si="67"/>
        <v/>
      </c>
      <c r="EO48" s="79" t="str">
        <f t="shared" si="67"/>
        <v/>
      </c>
      <c r="EP48" s="79" t="str">
        <f t="shared" si="67"/>
        <v/>
      </c>
      <c r="EQ48" s="79" t="str">
        <f t="shared" si="67"/>
        <v/>
      </c>
      <c r="ER48" s="79" t="str">
        <f t="shared" si="67"/>
        <v/>
      </c>
      <c r="ES48" s="79" t="str">
        <f t="shared" si="67"/>
        <v/>
      </c>
      <c r="ET48" s="79" t="str">
        <f t="shared" si="67"/>
        <v/>
      </c>
      <c r="EU48" s="79" t="str">
        <f t="shared" si="67"/>
        <v/>
      </c>
      <c r="EV48" s="79" t="str">
        <f t="shared" si="67"/>
        <v/>
      </c>
      <c r="EW48" s="79" t="str">
        <f t="shared" si="67"/>
        <v/>
      </c>
      <c r="EX48" s="79" t="str">
        <f t="shared" si="67"/>
        <v/>
      </c>
      <c r="EY48" s="79" t="str">
        <f t="shared" si="67"/>
        <v/>
      </c>
      <c r="EZ48" s="79" t="str">
        <f t="shared" si="67"/>
        <v/>
      </c>
      <c r="FA48" s="79" t="str">
        <f t="shared" si="67"/>
        <v/>
      </c>
      <c r="FB48" s="79" t="str">
        <f t="shared" si="67"/>
        <v/>
      </c>
      <c r="FC48" s="79" t="str">
        <f t="shared" si="67"/>
        <v/>
      </c>
      <c r="FD48" s="79" t="str">
        <f t="shared" si="67"/>
        <v/>
      </c>
      <c r="FE48" s="79" t="str">
        <f t="shared" si="67"/>
        <v/>
      </c>
      <c r="FF48" s="79" t="str">
        <f t="shared" si="67"/>
        <v/>
      </c>
      <c r="FG48" s="79" t="str">
        <f t="shared" si="67"/>
        <v/>
      </c>
      <c r="FH48" s="79" t="str">
        <f t="shared" si="67"/>
        <v/>
      </c>
      <c r="FI48" s="79" t="str">
        <f t="shared" si="67"/>
        <v/>
      </c>
      <c r="FJ48" s="79" t="str">
        <f t="shared" si="67"/>
        <v/>
      </c>
      <c r="FK48" s="79" t="str">
        <f t="shared" si="67"/>
        <v/>
      </c>
      <c r="FL48" s="79" t="str">
        <f t="shared" si="67"/>
        <v/>
      </c>
      <c r="FM48" s="79" t="str">
        <f t="shared" si="67"/>
        <v/>
      </c>
      <c r="FN48" s="79" t="str">
        <f t="shared" si="67"/>
        <v/>
      </c>
      <c r="FO48" s="79" t="str">
        <f t="shared" si="67"/>
        <v/>
      </c>
      <c r="FP48" s="79" t="str">
        <f t="shared" si="67"/>
        <v/>
      </c>
      <c r="FQ48" s="79" t="str">
        <f t="shared" si="67"/>
        <v/>
      </c>
      <c r="FR48" s="79" t="str">
        <f t="shared" si="67"/>
        <v/>
      </c>
      <c r="FS48" s="79" t="str">
        <f t="shared" si="67"/>
        <v/>
      </c>
      <c r="FT48" s="79" t="str">
        <f t="shared" si="67"/>
        <v/>
      </c>
      <c r="FU48" s="79" t="str">
        <f t="shared" si="67"/>
        <v/>
      </c>
      <c r="FV48" s="79" t="str">
        <f t="shared" si="67"/>
        <v/>
      </c>
      <c r="FW48" s="79" t="str">
        <f t="shared" si="67"/>
        <v/>
      </c>
      <c r="FX48" s="79" t="str">
        <f t="shared" si="67"/>
        <v/>
      </c>
      <c r="FY48" s="79" t="str">
        <f t="shared" si="67"/>
        <v/>
      </c>
      <c r="FZ48" s="79" t="str">
        <f t="shared" si="67"/>
        <v/>
      </c>
      <c r="GA48" s="79" t="str">
        <f t="shared" si="67"/>
        <v/>
      </c>
      <c r="GB48" s="79" t="str">
        <f t="shared" si="67"/>
        <v/>
      </c>
      <c r="GC48" s="79" t="str">
        <f t="shared" si="67"/>
        <v/>
      </c>
      <c r="GD48" s="79" t="str">
        <f t="shared" si="67"/>
        <v/>
      </c>
      <c r="GE48" s="79" t="str">
        <f t="shared" si="67"/>
        <v/>
      </c>
      <c r="GF48" s="79" t="str">
        <f t="shared" si="67"/>
        <v/>
      </c>
      <c r="GG48" s="79" t="str">
        <f t="shared" si="67"/>
        <v/>
      </c>
      <c r="GH48" s="79" t="str">
        <f t="shared" si="63"/>
        <v/>
      </c>
      <c r="GI48" s="79" t="str">
        <f t="shared" si="63"/>
        <v/>
      </c>
      <c r="GJ48" s="79" t="str">
        <f t="shared" si="63"/>
        <v/>
      </c>
      <c r="GK48" s="79" t="str">
        <f t="shared" si="63"/>
        <v/>
      </c>
      <c r="GL48" s="79" t="str">
        <f t="shared" si="63"/>
        <v/>
      </c>
      <c r="GM48" s="79" t="str">
        <f t="shared" si="63"/>
        <v/>
      </c>
      <c r="GN48" s="79" t="str">
        <f t="shared" si="63"/>
        <v/>
      </c>
      <c r="GO48" s="79" t="str">
        <f t="shared" si="63"/>
        <v/>
      </c>
      <c r="GP48" s="79" t="str">
        <f t="shared" si="63"/>
        <v/>
      </c>
      <c r="GQ48" s="79" t="str">
        <f t="shared" si="63"/>
        <v/>
      </c>
      <c r="GR48" s="79" t="str">
        <f t="shared" si="63"/>
        <v/>
      </c>
      <c r="GS48" s="79" t="str">
        <f t="shared" si="63"/>
        <v/>
      </c>
      <c r="GT48" s="79" t="str">
        <f t="shared" si="63"/>
        <v/>
      </c>
      <c r="GU48" s="79" t="str">
        <f t="shared" si="63"/>
        <v/>
      </c>
      <c r="GV48" s="79" t="str">
        <f t="shared" si="63"/>
        <v/>
      </c>
      <c r="GW48" s="79" t="str">
        <f t="shared" si="63"/>
        <v/>
      </c>
      <c r="GX48" s="79" t="str">
        <f t="shared" si="64"/>
        <v/>
      </c>
      <c r="GY48" s="79" t="str">
        <f t="shared" si="64"/>
        <v/>
      </c>
      <c r="GZ48" s="79" t="str">
        <f t="shared" si="64"/>
        <v/>
      </c>
      <c r="HA48" s="79" t="str">
        <f t="shared" si="64"/>
        <v/>
      </c>
      <c r="HB48" s="79" t="str">
        <f t="shared" si="64"/>
        <v/>
      </c>
      <c r="HC48" s="79" t="str">
        <f t="shared" si="64"/>
        <v/>
      </c>
      <c r="HD48" s="79" t="str">
        <f t="shared" si="64"/>
        <v/>
      </c>
      <c r="HE48" s="79" t="str">
        <f t="shared" si="64"/>
        <v/>
      </c>
      <c r="HF48" s="79" t="str">
        <f t="shared" si="64"/>
        <v/>
      </c>
      <c r="HG48" s="79" t="str">
        <f t="shared" si="64"/>
        <v/>
      </c>
      <c r="HH48" s="79" t="str">
        <f t="shared" si="64"/>
        <v/>
      </c>
      <c r="HI48" s="79" t="str">
        <f t="shared" si="64"/>
        <v/>
      </c>
      <c r="HJ48" s="79" t="str">
        <f t="shared" si="64"/>
        <v/>
      </c>
      <c r="HK48" s="79" t="str">
        <f t="shared" si="64"/>
        <v/>
      </c>
      <c r="HL48" s="79" t="str">
        <f t="shared" si="64"/>
        <v/>
      </c>
      <c r="HM48" s="79" t="str">
        <f t="shared" si="64"/>
        <v/>
      </c>
      <c r="HN48" s="79" t="str">
        <f t="shared" si="65"/>
        <v/>
      </c>
      <c r="HO48" s="79" t="str">
        <f t="shared" si="65"/>
        <v/>
      </c>
      <c r="HP48" s="79" t="str">
        <f t="shared" si="65"/>
        <v/>
      </c>
      <c r="HQ48" s="79" t="str">
        <f t="shared" si="65"/>
        <v/>
      </c>
      <c r="HR48" s="113" t="str">
        <f t="shared" si="65"/>
        <v/>
      </c>
    </row>
    <row r="49" spans="1:226" ht="11.1" customHeight="1" thickTop="1" x14ac:dyDescent="0.25"/>
    <row r="50" spans="1:226" x14ac:dyDescent="0.25">
      <c r="O50" s="48" t="s">
        <v>17</v>
      </c>
      <c r="P50" s="49"/>
      <c r="Q50" s="104">
        <f>SUM(Q14:Q48)</f>
        <v>18155.334999999999</v>
      </c>
      <c r="R50" s="104">
        <f>SUM(R14:R48)</f>
        <v>18155.334999999999</v>
      </c>
    </row>
    <row r="51" spans="1:226" ht="11.1" customHeight="1" thickBot="1" x14ac:dyDescent="0.3"/>
    <row r="52" spans="1:226" ht="16.2" thickBot="1" x14ac:dyDescent="0.3">
      <c r="A52" s="147"/>
      <c r="B52" s="148"/>
      <c r="C52" s="99"/>
      <c r="D52" s="148"/>
      <c r="E52" s="99"/>
      <c r="F52" s="99"/>
      <c r="G52" s="99" t="s">
        <v>20</v>
      </c>
      <c r="H52" s="99"/>
      <c r="I52" s="99"/>
      <c r="J52" s="125"/>
      <c r="K52" s="99"/>
      <c r="L52" s="99"/>
      <c r="M52" s="99"/>
      <c r="N52" s="99"/>
      <c r="O52" s="99"/>
      <c r="P52" s="99"/>
      <c r="Q52" s="99"/>
      <c r="R52" s="100"/>
    </row>
    <row r="53" spans="1:226" ht="11.1" customHeight="1" thickBot="1" x14ac:dyDescent="0.3"/>
    <row r="54" spans="1:226" ht="11.1" customHeight="1" thickTop="1" x14ac:dyDescent="0.25">
      <c r="A54" s="80"/>
      <c r="B54" s="81"/>
      <c r="C54" s="82" t="str">
        <f>IF(A54=0,"",VLOOKUP(A54,[2]CO!$A$3:$F$5327,2,0))</f>
        <v/>
      </c>
      <c r="D54" s="83"/>
      <c r="E54" s="83"/>
      <c r="F54" s="83"/>
      <c r="G54" s="84" t="str">
        <f>IF(A54=0,"",VLOOKUP(A54,[2]CO!$A$3:$F$5327,3,0))</f>
        <v/>
      </c>
      <c r="H54" s="94"/>
      <c r="I54" s="85"/>
      <c r="J54" s="85"/>
      <c r="K54" s="85"/>
      <c r="L54" s="85"/>
      <c r="M54" s="86" t="str">
        <f t="shared" ref="M54:M65" si="68">IF(H54&gt;0,H54*Q$50/N54,IF(AND(L54&gt;0,I54&gt;0),L54*I54,IF(L54&gt;0,L54,"")))</f>
        <v/>
      </c>
      <c r="N54" s="86" t="str">
        <f>IF(B54=0,"",IF(H54="M",HLOOKUP(B54,$Y$12:$DT$13,2),IF(A54=0,"",VLOOKUP(A54,[2]CO!$A$3:$F$5327,4,0))))</f>
        <v/>
      </c>
      <c r="O54" s="86" t="str">
        <f t="shared" si="7"/>
        <v/>
      </c>
      <c r="P54" s="87"/>
      <c r="Q54" s="88" t="str">
        <f t="shared" ref="Q54:Q65" si="69">IF(P54=0,"",(HLOOKUP(P54,$DW$12:$HR$13,2)))</f>
        <v/>
      </c>
      <c r="R54" s="89" t="str">
        <f>IF(S54=0,"",IF(OR(G54="PEON",G54="OF",G54="JARD",G54="CARP",G54="MAESTRO",G54="SOLD",G54="BGRO",G54="CHOFER",G54="AYTE",G54="S.INTTE.",G54="ASEO",G54="P.PISOS",G54="VELADOR",G54="RESID",G54="PINTOR",G54="ELECT",G54="AZULE",G54="AUX CONT.",G54="SECRETARIA",G54="AUXILIAR ADMTVO.",G54="ARQUITECTO",G54="DIBUJANTE",G54="AUX. DE RESIDENTE",G54="TOPOGRAFIA"),VLOOKUP(B54,P$14:Q$84,2),"")*S54)</f>
        <v/>
      </c>
      <c r="T54" s="53" t="str">
        <f>IF(A54=0,"",VLOOKUP(A54,[2]CO!$A$3:$F$5318,5,0))</f>
        <v/>
      </c>
      <c r="U54" s="54">
        <f t="shared" ref="U54:U77" si="70">IF(T54=1,O54*0.1,)</f>
        <v>0</v>
      </c>
      <c r="V54" s="24"/>
      <c r="W54" s="25"/>
      <c r="X54" s="25"/>
      <c r="Y54" s="90" t="str">
        <f t="shared" ref="Y54:AN65" si="71">IF($B54=Y$12,$U54,"")</f>
        <v/>
      </c>
      <c r="Z54" s="91" t="str">
        <f t="shared" si="71"/>
        <v/>
      </c>
      <c r="AA54" s="91" t="str">
        <f t="shared" si="71"/>
        <v/>
      </c>
      <c r="AB54" s="91" t="str">
        <f t="shared" si="71"/>
        <v/>
      </c>
      <c r="AC54" s="91" t="str">
        <f t="shared" si="71"/>
        <v/>
      </c>
      <c r="AD54" s="91" t="str">
        <f t="shared" si="71"/>
        <v/>
      </c>
      <c r="AE54" s="91" t="str">
        <f t="shared" si="71"/>
        <v/>
      </c>
      <c r="AF54" s="91" t="str">
        <f t="shared" si="71"/>
        <v/>
      </c>
      <c r="AG54" s="91" t="str">
        <f t="shared" si="71"/>
        <v/>
      </c>
      <c r="AH54" s="91" t="str">
        <f t="shared" si="71"/>
        <v/>
      </c>
      <c r="AI54" s="91" t="str">
        <f t="shared" si="71"/>
        <v/>
      </c>
      <c r="AJ54" s="91" t="str">
        <f t="shared" si="71"/>
        <v/>
      </c>
      <c r="AK54" s="91" t="str">
        <f t="shared" si="71"/>
        <v/>
      </c>
      <c r="AL54" s="91" t="str">
        <f t="shared" si="71"/>
        <v/>
      </c>
      <c r="AM54" s="91" t="str">
        <f t="shared" si="71"/>
        <v/>
      </c>
      <c r="AN54" s="91" t="str">
        <f t="shared" si="71"/>
        <v/>
      </c>
      <c r="AO54" s="91" t="str">
        <f t="shared" ref="AO54:CZ57" si="72">IF($B54=AO$12,$U54,"")</f>
        <v/>
      </c>
      <c r="AP54" s="91" t="str">
        <f t="shared" si="72"/>
        <v/>
      </c>
      <c r="AQ54" s="91" t="str">
        <f t="shared" si="72"/>
        <v/>
      </c>
      <c r="AR54" s="91" t="str">
        <f t="shared" si="72"/>
        <v/>
      </c>
      <c r="AS54" s="91" t="str">
        <f t="shared" si="72"/>
        <v/>
      </c>
      <c r="AT54" s="91" t="str">
        <f t="shared" si="72"/>
        <v/>
      </c>
      <c r="AU54" s="91" t="str">
        <f t="shared" si="72"/>
        <v/>
      </c>
      <c r="AV54" s="91" t="str">
        <f t="shared" si="72"/>
        <v/>
      </c>
      <c r="AW54" s="91" t="str">
        <f t="shared" si="72"/>
        <v/>
      </c>
      <c r="AX54" s="91" t="str">
        <f t="shared" si="72"/>
        <v/>
      </c>
      <c r="AY54" s="91" t="str">
        <f t="shared" si="72"/>
        <v/>
      </c>
      <c r="AZ54" s="91" t="str">
        <f t="shared" si="72"/>
        <v/>
      </c>
      <c r="BA54" s="91" t="str">
        <f t="shared" si="72"/>
        <v/>
      </c>
      <c r="BB54" s="91" t="str">
        <f t="shared" si="72"/>
        <v/>
      </c>
      <c r="BC54" s="91" t="str">
        <f t="shared" si="72"/>
        <v/>
      </c>
      <c r="BD54" s="91" t="str">
        <f t="shared" si="72"/>
        <v/>
      </c>
      <c r="BE54" s="91" t="str">
        <f t="shared" si="72"/>
        <v/>
      </c>
      <c r="BF54" s="91" t="str">
        <f t="shared" si="72"/>
        <v/>
      </c>
      <c r="BG54" s="91" t="str">
        <f t="shared" si="72"/>
        <v/>
      </c>
      <c r="BH54" s="91" t="str">
        <f t="shared" si="72"/>
        <v/>
      </c>
      <c r="BI54" s="91" t="str">
        <f t="shared" si="72"/>
        <v/>
      </c>
      <c r="BJ54" s="91" t="str">
        <f t="shared" si="72"/>
        <v/>
      </c>
      <c r="BK54" s="91" t="str">
        <f t="shared" si="72"/>
        <v/>
      </c>
      <c r="BL54" s="91" t="str">
        <f t="shared" si="72"/>
        <v/>
      </c>
      <c r="BM54" s="91" t="str">
        <f t="shared" si="72"/>
        <v/>
      </c>
      <c r="BN54" s="91" t="str">
        <f t="shared" si="72"/>
        <v/>
      </c>
      <c r="BO54" s="91" t="str">
        <f t="shared" si="72"/>
        <v/>
      </c>
      <c r="BP54" s="91" t="str">
        <f t="shared" si="72"/>
        <v/>
      </c>
      <c r="BQ54" s="91" t="str">
        <f t="shared" si="72"/>
        <v/>
      </c>
      <c r="BR54" s="91" t="str">
        <f t="shared" si="72"/>
        <v/>
      </c>
      <c r="BS54" s="91" t="str">
        <f t="shared" si="72"/>
        <v/>
      </c>
      <c r="BT54" s="91" t="str">
        <f t="shared" si="72"/>
        <v/>
      </c>
      <c r="BU54" s="91" t="str">
        <f t="shared" si="72"/>
        <v/>
      </c>
      <c r="BV54" s="91" t="str">
        <f t="shared" si="72"/>
        <v/>
      </c>
      <c r="BW54" s="91" t="str">
        <f t="shared" si="72"/>
        <v/>
      </c>
      <c r="BX54" s="91" t="str">
        <f t="shared" si="72"/>
        <v/>
      </c>
      <c r="BY54" s="91" t="str">
        <f t="shared" si="72"/>
        <v/>
      </c>
      <c r="BZ54" s="91" t="str">
        <f t="shared" si="72"/>
        <v/>
      </c>
      <c r="CA54" s="91" t="str">
        <f t="shared" si="72"/>
        <v/>
      </c>
      <c r="CB54" s="91" t="str">
        <f t="shared" si="72"/>
        <v/>
      </c>
      <c r="CC54" s="91" t="str">
        <f t="shared" si="72"/>
        <v/>
      </c>
      <c r="CD54" s="91" t="str">
        <f t="shared" si="72"/>
        <v/>
      </c>
      <c r="CE54" s="91" t="str">
        <f t="shared" si="72"/>
        <v/>
      </c>
      <c r="CF54" s="91" t="str">
        <f t="shared" si="72"/>
        <v/>
      </c>
      <c r="CG54" s="91" t="str">
        <f t="shared" si="72"/>
        <v/>
      </c>
      <c r="CH54" s="91" t="str">
        <f t="shared" si="72"/>
        <v/>
      </c>
      <c r="CI54" s="91" t="str">
        <f t="shared" si="72"/>
        <v/>
      </c>
      <c r="CJ54" s="91" t="str">
        <f t="shared" si="72"/>
        <v/>
      </c>
      <c r="CK54" s="91" t="str">
        <f t="shared" si="72"/>
        <v/>
      </c>
      <c r="CL54" s="91" t="str">
        <f t="shared" si="72"/>
        <v/>
      </c>
      <c r="CM54" s="91" t="str">
        <f t="shared" si="72"/>
        <v/>
      </c>
      <c r="CN54" s="91" t="str">
        <f t="shared" si="72"/>
        <v/>
      </c>
      <c r="CO54" s="91" t="str">
        <f t="shared" si="72"/>
        <v/>
      </c>
      <c r="CP54" s="91" t="str">
        <f t="shared" si="72"/>
        <v/>
      </c>
      <c r="CQ54" s="91" t="str">
        <f t="shared" si="72"/>
        <v/>
      </c>
      <c r="CR54" s="91" t="str">
        <f t="shared" si="72"/>
        <v/>
      </c>
      <c r="CS54" s="91" t="str">
        <f t="shared" si="72"/>
        <v/>
      </c>
      <c r="CT54" s="91" t="str">
        <f t="shared" si="72"/>
        <v/>
      </c>
      <c r="CU54" s="91" t="str">
        <f t="shared" si="72"/>
        <v/>
      </c>
      <c r="CV54" s="91" t="str">
        <f t="shared" si="72"/>
        <v/>
      </c>
      <c r="CW54" s="91" t="str">
        <f t="shared" si="72"/>
        <v/>
      </c>
      <c r="CX54" s="91" t="str">
        <f t="shared" si="72"/>
        <v/>
      </c>
      <c r="CY54" s="91" t="str">
        <f t="shared" si="72"/>
        <v/>
      </c>
      <c r="CZ54" s="91" t="str">
        <f t="shared" si="72"/>
        <v/>
      </c>
      <c r="DA54" s="91" t="str">
        <f t="shared" ref="DA54:DP65" si="73">IF($B54=DA$12,$U54,"")</f>
        <v/>
      </c>
      <c r="DB54" s="91" t="str">
        <f t="shared" si="73"/>
        <v/>
      </c>
      <c r="DC54" s="91" t="str">
        <f t="shared" si="73"/>
        <v/>
      </c>
      <c r="DD54" s="91" t="str">
        <f t="shared" si="73"/>
        <v/>
      </c>
      <c r="DE54" s="91" t="str">
        <f t="shared" si="73"/>
        <v/>
      </c>
      <c r="DF54" s="91" t="str">
        <f t="shared" si="73"/>
        <v/>
      </c>
      <c r="DG54" s="91" t="str">
        <f t="shared" si="73"/>
        <v/>
      </c>
      <c r="DH54" s="91" t="str">
        <f t="shared" si="73"/>
        <v/>
      </c>
      <c r="DI54" s="91" t="str">
        <f t="shared" si="73"/>
        <v/>
      </c>
      <c r="DJ54" s="91" t="str">
        <f t="shared" si="73"/>
        <v/>
      </c>
      <c r="DK54" s="91" t="str">
        <f t="shared" si="73"/>
        <v/>
      </c>
      <c r="DL54" s="91" t="str">
        <f t="shared" si="73"/>
        <v/>
      </c>
      <c r="DM54" s="91" t="str">
        <f t="shared" si="73"/>
        <v/>
      </c>
      <c r="DN54" s="91" t="str">
        <f t="shared" si="73"/>
        <v/>
      </c>
      <c r="DO54" s="91" t="str">
        <f t="shared" si="73"/>
        <v/>
      </c>
      <c r="DP54" s="91" t="str">
        <f t="shared" si="73"/>
        <v/>
      </c>
      <c r="DQ54" s="91" t="str">
        <f t="shared" ref="DQ54:DT65" si="74">IF($B54=DQ$12,$U54,"")</f>
        <v/>
      </c>
      <c r="DR54" s="91" t="str">
        <f t="shared" si="74"/>
        <v/>
      </c>
      <c r="DS54" s="91" t="str">
        <f t="shared" si="74"/>
        <v/>
      </c>
      <c r="DT54" s="105" t="str">
        <f t="shared" si="74"/>
        <v/>
      </c>
      <c r="DU54" s="54"/>
      <c r="DV54" s="25"/>
      <c r="DW54" s="92" t="str">
        <f t="shared" ref="DW54:EL65" si="75">IF($B54=DW$12,$O54,"")</f>
        <v/>
      </c>
      <c r="DX54" s="93" t="str">
        <f t="shared" si="75"/>
        <v/>
      </c>
      <c r="DY54" s="93" t="str">
        <f t="shared" si="75"/>
        <v/>
      </c>
      <c r="DZ54" s="93" t="str">
        <f t="shared" si="75"/>
        <v/>
      </c>
      <c r="EA54" s="93" t="str">
        <f t="shared" si="75"/>
        <v/>
      </c>
      <c r="EB54" s="93" t="str">
        <f t="shared" si="75"/>
        <v/>
      </c>
      <c r="EC54" s="93" t="str">
        <f t="shared" si="75"/>
        <v/>
      </c>
      <c r="ED54" s="93" t="str">
        <f t="shared" si="75"/>
        <v/>
      </c>
      <c r="EE54" s="93" t="str">
        <f t="shared" si="75"/>
        <v/>
      </c>
      <c r="EF54" s="93" t="str">
        <f t="shared" si="75"/>
        <v/>
      </c>
      <c r="EG54" s="93" t="str">
        <f t="shared" si="75"/>
        <v/>
      </c>
      <c r="EH54" s="93" t="str">
        <f t="shared" si="75"/>
        <v/>
      </c>
      <c r="EI54" s="93" t="str">
        <f t="shared" si="75"/>
        <v/>
      </c>
      <c r="EJ54" s="93" t="str">
        <f t="shared" si="75"/>
        <v/>
      </c>
      <c r="EK54" s="93" t="str">
        <f t="shared" si="75"/>
        <v/>
      </c>
      <c r="EL54" s="93" t="str">
        <f t="shared" si="75"/>
        <v/>
      </c>
      <c r="EM54" s="93" t="str">
        <f t="shared" ref="EM54:GX57" si="76">IF($B54=EM$12,$O54,"")</f>
        <v/>
      </c>
      <c r="EN54" s="93" t="str">
        <f t="shared" si="76"/>
        <v/>
      </c>
      <c r="EO54" s="93" t="str">
        <f t="shared" si="76"/>
        <v/>
      </c>
      <c r="EP54" s="93" t="str">
        <f t="shared" si="76"/>
        <v/>
      </c>
      <c r="EQ54" s="93" t="str">
        <f t="shared" si="76"/>
        <v/>
      </c>
      <c r="ER54" s="93" t="str">
        <f t="shared" si="76"/>
        <v/>
      </c>
      <c r="ES54" s="93" t="str">
        <f t="shared" si="76"/>
        <v/>
      </c>
      <c r="ET54" s="93" t="str">
        <f t="shared" si="76"/>
        <v/>
      </c>
      <c r="EU54" s="93" t="str">
        <f t="shared" si="76"/>
        <v/>
      </c>
      <c r="EV54" s="93" t="str">
        <f t="shared" si="76"/>
        <v/>
      </c>
      <c r="EW54" s="93" t="str">
        <f t="shared" si="76"/>
        <v/>
      </c>
      <c r="EX54" s="93" t="str">
        <f t="shared" si="76"/>
        <v/>
      </c>
      <c r="EY54" s="93" t="str">
        <f t="shared" si="76"/>
        <v/>
      </c>
      <c r="EZ54" s="93" t="str">
        <f t="shared" si="76"/>
        <v/>
      </c>
      <c r="FA54" s="93" t="str">
        <f t="shared" si="76"/>
        <v/>
      </c>
      <c r="FB54" s="93" t="str">
        <f t="shared" si="76"/>
        <v/>
      </c>
      <c r="FC54" s="93" t="str">
        <f t="shared" si="76"/>
        <v/>
      </c>
      <c r="FD54" s="93" t="str">
        <f t="shared" si="76"/>
        <v/>
      </c>
      <c r="FE54" s="93" t="str">
        <f t="shared" si="76"/>
        <v/>
      </c>
      <c r="FF54" s="93" t="str">
        <f t="shared" si="76"/>
        <v/>
      </c>
      <c r="FG54" s="93" t="str">
        <f t="shared" si="76"/>
        <v/>
      </c>
      <c r="FH54" s="93" t="str">
        <f t="shared" si="76"/>
        <v/>
      </c>
      <c r="FI54" s="93" t="str">
        <f t="shared" si="76"/>
        <v/>
      </c>
      <c r="FJ54" s="93" t="str">
        <f t="shared" si="76"/>
        <v/>
      </c>
      <c r="FK54" s="93" t="str">
        <f t="shared" si="76"/>
        <v/>
      </c>
      <c r="FL54" s="93" t="str">
        <f t="shared" si="76"/>
        <v/>
      </c>
      <c r="FM54" s="93" t="str">
        <f t="shared" si="76"/>
        <v/>
      </c>
      <c r="FN54" s="93" t="str">
        <f t="shared" si="76"/>
        <v/>
      </c>
      <c r="FO54" s="93" t="str">
        <f t="shared" si="76"/>
        <v/>
      </c>
      <c r="FP54" s="93" t="str">
        <f t="shared" si="76"/>
        <v/>
      </c>
      <c r="FQ54" s="93" t="str">
        <f t="shared" si="76"/>
        <v/>
      </c>
      <c r="FR54" s="93" t="str">
        <f t="shared" si="76"/>
        <v/>
      </c>
      <c r="FS54" s="93" t="str">
        <f t="shared" si="76"/>
        <v/>
      </c>
      <c r="FT54" s="93" t="str">
        <f t="shared" si="76"/>
        <v/>
      </c>
      <c r="FU54" s="93" t="str">
        <f t="shared" si="76"/>
        <v/>
      </c>
      <c r="FV54" s="93" t="str">
        <f t="shared" si="76"/>
        <v/>
      </c>
      <c r="FW54" s="93" t="str">
        <f t="shared" si="76"/>
        <v/>
      </c>
      <c r="FX54" s="93" t="str">
        <f t="shared" si="76"/>
        <v/>
      </c>
      <c r="FY54" s="93" t="str">
        <f t="shared" si="76"/>
        <v/>
      </c>
      <c r="FZ54" s="93" t="str">
        <f t="shared" si="76"/>
        <v/>
      </c>
      <c r="GA54" s="93" t="str">
        <f t="shared" si="76"/>
        <v/>
      </c>
      <c r="GB54" s="93" t="str">
        <f t="shared" si="76"/>
        <v/>
      </c>
      <c r="GC54" s="93" t="str">
        <f t="shared" si="76"/>
        <v/>
      </c>
      <c r="GD54" s="93" t="str">
        <f t="shared" si="76"/>
        <v/>
      </c>
      <c r="GE54" s="93" t="str">
        <f t="shared" si="76"/>
        <v/>
      </c>
      <c r="GF54" s="93" t="str">
        <f t="shared" si="76"/>
        <v/>
      </c>
      <c r="GG54" s="93" t="str">
        <f t="shared" si="76"/>
        <v/>
      </c>
      <c r="GH54" s="93" t="str">
        <f t="shared" si="76"/>
        <v/>
      </c>
      <c r="GI54" s="93" t="str">
        <f t="shared" si="76"/>
        <v/>
      </c>
      <c r="GJ54" s="93" t="str">
        <f t="shared" si="76"/>
        <v/>
      </c>
      <c r="GK54" s="93" t="str">
        <f t="shared" si="76"/>
        <v/>
      </c>
      <c r="GL54" s="93" t="str">
        <f t="shared" si="76"/>
        <v/>
      </c>
      <c r="GM54" s="93" t="str">
        <f t="shared" si="76"/>
        <v/>
      </c>
      <c r="GN54" s="93" t="str">
        <f t="shared" si="76"/>
        <v/>
      </c>
      <c r="GO54" s="93" t="str">
        <f t="shared" si="76"/>
        <v/>
      </c>
      <c r="GP54" s="93" t="str">
        <f t="shared" si="76"/>
        <v/>
      </c>
      <c r="GQ54" s="93" t="str">
        <f t="shared" si="76"/>
        <v/>
      </c>
      <c r="GR54" s="93" t="str">
        <f t="shared" si="76"/>
        <v/>
      </c>
      <c r="GS54" s="93" t="str">
        <f t="shared" si="76"/>
        <v/>
      </c>
      <c r="GT54" s="93" t="str">
        <f t="shared" si="76"/>
        <v/>
      </c>
      <c r="GU54" s="93" t="str">
        <f t="shared" si="76"/>
        <v/>
      </c>
      <c r="GV54" s="93" t="str">
        <f t="shared" si="76"/>
        <v/>
      </c>
      <c r="GW54" s="93" t="str">
        <f t="shared" si="76"/>
        <v/>
      </c>
      <c r="GX54" s="93" t="str">
        <f t="shared" si="76"/>
        <v/>
      </c>
      <c r="GY54" s="93" t="str">
        <f t="shared" ref="GY54:HN56" si="77">IF($B54=GY$12,$O54,"")</f>
        <v/>
      </c>
      <c r="GZ54" s="93" t="str">
        <f t="shared" si="77"/>
        <v/>
      </c>
      <c r="HA54" s="93" t="str">
        <f t="shared" si="77"/>
        <v/>
      </c>
      <c r="HB54" s="93" t="str">
        <f t="shared" si="77"/>
        <v/>
      </c>
      <c r="HC54" s="93" t="str">
        <f t="shared" si="77"/>
        <v/>
      </c>
      <c r="HD54" s="93" t="str">
        <f t="shared" si="77"/>
        <v/>
      </c>
      <c r="HE54" s="93" t="str">
        <f t="shared" si="77"/>
        <v/>
      </c>
      <c r="HF54" s="93" t="str">
        <f t="shared" si="77"/>
        <v/>
      </c>
      <c r="HG54" s="93" t="str">
        <f t="shared" si="77"/>
        <v/>
      </c>
      <c r="HH54" s="93" t="str">
        <f t="shared" si="77"/>
        <v/>
      </c>
      <c r="HI54" s="93" t="str">
        <f t="shared" si="77"/>
        <v/>
      </c>
      <c r="HJ54" s="93" t="str">
        <f t="shared" si="77"/>
        <v/>
      </c>
      <c r="HK54" s="93" t="str">
        <f t="shared" si="77"/>
        <v/>
      </c>
      <c r="HL54" s="93" t="str">
        <f t="shared" si="77"/>
        <v/>
      </c>
      <c r="HM54" s="93" t="str">
        <f t="shared" si="77"/>
        <v/>
      </c>
      <c r="HN54" s="93" t="str">
        <f t="shared" si="77"/>
        <v/>
      </c>
      <c r="HO54" s="93" t="str">
        <f t="shared" ref="HI54:HR65" si="78">IF($B54=HO$12,$O54,"")</f>
        <v/>
      </c>
      <c r="HP54" s="93" t="str">
        <f t="shared" si="78"/>
        <v/>
      </c>
      <c r="HQ54" s="93" t="str">
        <f t="shared" si="78"/>
        <v/>
      </c>
      <c r="HR54" s="111" t="str">
        <f t="shared" si="78"/>
        <v/>
      </c>
    </row>
    <row r="55" spans="1:226" ht="11.1" customHeight="1" x14ac:dyDescent="0.25">
      <c r="A55" s="26">
        <v>34</v>
      </c>
      <c r="B55" s="27">
        <v>60</v>
      </c>
      <c r="C55" s="28" t="str">
        <f>IF(A55=0,"",VLOOKUP(A55,[2]CO!$A$3:$F$5327,2,0))</f>
        <v>VIDAL OCHOA ROBERTO ENRIQUE</v>
      </c>
      <c r="D55" s="29"/>
      <c r="E55" s="29"/>
      <c r="F55" s="29"/>
      <c r="G55" s="30" t="str">
        <f>IF(A55=0,"",VLOOKUP(A55,[2]CO!$A$3:$F$5327,3,0))</f>
        <v>DESTAJOS</v>
      </c>
      <c r="H55" s="95"/>
      <c r="I55" s="31"/>
      <c r="J55" s="31"/>
      <c r="K55" s="31"/>
      <c r="L55" s="31"/>
      <c r="M55" s="32" t="str">
        <f t="shared" si="68"/>
        <v/>
      </c>
      <c r="N55" s="32">
        <f>IF(B55=0,"",IF(H55="M",HLOOKUP(B55,$Y$12:$DT$13,2),IF(A55=0,"",VLOOKUP(A55,[2]CO!$A$3:$F$5327,4,0))))</f>
        <v>0</v>
      </c>
      <c r="O55" s="32" t="str">
        <f t="shared" si="7"/>
        <v/>
      </c>
      <c r="P55" s="33"/>
      <c r="Q55" s="34" t="str">
        <f t="shared" si="69"/>
        <v/>
      </c>
      <c r="R55" s="35">
        <f>IF(S55=0,"",IF(OR(G55="PEON",G55="OF",G55="JARD",G55="CARP",G55="MAESTRO",G55="SOLD",G55="BGRO",G55="CHOFER",G55="AYTE",G55="S.INTTE.",G55="ASEO",G55="P.PISOS",G55="VELADOR",G55="RESID",G55="PINTOR",G55="ELECT",G55="AZULE",G55="AUX CONT.",G55="SECRETARIA",G55="AUXILIAR ADMTVO.",G55="ARQUITECTO",G55="DIBUJANTE",G55="AUX. DE RESIDENTE",G55="TOPOGRAFIA",G55="DESTAJOS"),VLOOKUP(B55,P$14:Q$77,2),"")*S55)</f>
        <v>726.21339999999998</v>
      </c>
      <c r="S55" s="118">
        <v>1</v>
      </c>
      <c r="T55" s="53">
        <f>IF(A55=0,"",VLOOKUP(A55,[2]CO!$A$3:$F$5318,5,0))</f>
        <v>0</v>
      </c>
      <c r="U55" s="54">
        <f t="shared" si="70"/>
        <v>0</v>
      </c>
      <c r="V55" s="24"/>
      <c r="W55" s="25"/>
      <c r="X55" s="25"/>
      <c r="Y55" s="64" t="str">
        <f t="shared" si="71"/>
        <v/>
      </c>
      <c r="Z55" s="55" t="str">
        <f t="shared" si="71"/>
        <v/>
      </c>
      <c r="AA55" s="55" t="str">
        <f t="shared" si="71"/>
        <v/>
      </c>
      <c r="AB55" s="55" t="str">
        <f t="shared" si="71"/>
        <v/>
      </c>
      <c r="AC55" s="55" t="str">
        <f t="shared" si="71"/>
        <v/>
      </c>
      <c r="AD55" s="55" t="str">
        <f t="shared" si="71"/>
        <v/>
      </c>
      <c r="AE55" s="55" t="str">
        <f t="shared" si="71"/>
        <v/>
      </c>
      <c r="AF55" s="55" t="str">
        <f t="shared" si="71"/>
        <v/>
      </c>
      <c r="AG55" s="55" t="str">
        <f t="shared" si="71"/>
        <v/>
      </c>
      <c r="AH55" s="55" t="str">
        <f t="shared" si="71"/>
        <v/>
      </c>
      <c r="AI55" s="55" t="str">
        <f t="shared" si="71"/>
        <v/>
      </c>
      <c r="AJ55" s="55" t="str">
        <f t="shared" si="71"/>
        <v/>
      </c>
      <c r="AK55" s="55" t="str">
        <f t="shared" si="71"/>
        <v/>
      </c>
      <c r="AL55" s="55" t="str">
        <f t="shared" si="71"/>
        <v/>
      </c>
      <c r="AM55" s="55" t="str">
        <f t="shared" si="71"/>
        <v/>
      </c>
      <c r="AN55" s="55" t="str">
        <f t="shared" si="71"/>
        <v/>
      </c>
      <c r="AO55" s="55" t="str">
        <f t="shared" si="72"/>
        <v/>
      </c>
      <c r="AP55" s="55" t="str">
        <f t="shared" si="72"/>
        <v/>
      </c>
      <c r="AQ55" s="55" t="str">
        <f t="shared" si="72"/>
        <v/>
      </c>
      <c r="AR55" s="55" t="str">
        <f t="shared" si="72"/>
        <v/>
      </c>
      <c r="AS55" s="55" t="str">
        <f t="shared" si="72"/>
        <v/>
      </c>
      <c r="AT55" s="55" t="str">
        <f t="shared" si="72"/>
        <v/>
      </c>
      <c r="AU55" s="55" t="str">
        <f t="shared" si="72"/>
        <v/>
      </c>
      <c r="AV55" s="55" t="str">
        <f t="shared" si="72"/>
        <v/>
      </c>
      <c r="AW55" s="55" t="str">
        <f t="shared" si="72"/>
        <v/>
      </c>
      <c r="AX55" s="55" t="str">
        <f t="shared" si="72"/>
        <v/>
      </c>
      <c r="AY55" s="55" t="str">
        <f t="shared" si="72"/>
        <v/>
      </c>
      <c r="AZ55" s="55" t="str">
        <f t="shared" si="72"/>
        <v/>
      </c>
      <c r="BA55" s="55" t="str">
        <f t="shared" si="72"/>
        <v/>
      </c>
      <c r="BB55" s="55" t="str">
        <f t="shared" si="72"/>
        <v/>
      </c>
      <c r="BC55" s="55" t="str">
        <f t="shared" si="72"/>
        <v/>
      </c>
      <c r="BD55" s="55" t="str">
        <f t="shared" si="72"/>
        <v/>
      </c>
      <c r="BE55" s="55" t="str">
        <f t="shared" si="72"/>
        <v/>
      </c>
      <c r="BF55" s="55" t="str">
        <f t="shared" si="72"/>
        <v/>
      </c>
      <c r="BG55" s="55" t="str">
        <f t="shared" si="72"/>
        <v/>
      </c>
      <c r="BH55" s="55" t="str">
        <f t="shared" si="72"/>
        <v/>
      </c>
      <c r="BI55" s="55" t="str">
        <f t="shared" si="72"/>
        <v/>
      </c>
      <c r="BJ55" s="55" t="str">
        <f t="shared" si="72"/>
        <v/>
      </c>
      <c r="BK55" s="55" t="str">
        <f t="shared" si="72"/>
        <v/>
      </c>
      <c r="BL55" s="55" t="str">
        <f t="shared" si="72"/>
        <v/>
      </c>
      <c r="BM55" s="55" t="str">
        <f t="shared" si="72"/>
        <v/>
      </c>
      <c r="BN55" s="55" t="str">
        <f t="shared" si="72"/>
        <v/>
      </c>
      <c r="BO55" s="55" t="str">
        <f t="shared" si="72"/>
        <v/>
      </c>
      <c r="BP55" s="55" t="str">
        <f t="shared" si="72"/>
        <v/>
      </c>
      <c r="BQ55" s="55" t="str">
        <f t="shared" si="72"/>
        <v/>
      </c>
      <c r="BR55" s="55" t="str">
        <f t="shared" si="72"/>
        <v/>
      </c>
      <c r="BS55" s="55" t="str">
        <f t="shared" si="72"/>
        <v/>
      </c>
      <c r="BT55" s="55" t="str">
        <f t="shared" si="72"/>
        <v/>
      </c>
      <c r="BU55" s="55" t="str">
        <f t="shared" si="72"/>
        <v/>
      </c>
      <c r="BV55" s="55" t="str">
        <f t="shared" si="72"/>
        <v/>
      </c>
      <c r="BW55" s="55" t="str">
        <f t="shared" si="72"/>
        <v/>
      </c>
      <c r="BX55" s="55" t="str">
        <f t="shared" si="72"/>
        <v/>
      </c>
      <c r="BY55" s="55" t="str">
        <f t="shared" si="72"/>
        <v/>
      </c>
      <c r="BZ55" s="55" t="str">
        <f t="shared" si="72"/>
        <v/>
      </c>
      <c r="CA55" s="55" t="str">
        <f t="shared" si="72"/>
        <v/>
      </c>
      <c r="CB55" s="55" t="str">
        <f t="shared" si="72"/>
        <v/>
      </c>
      <c r="CC55" s="55" t="str">
        <f t="shared" si="72"/>
        <v/>
      </c>
      <c r="CD55" s="55" t="str">
        <f t="shared" si="72"/>
        <v/>
      </c>
      <c r="CE55" s="55" t="str">
        <f t="shared" si="72"/>
        <v/>
      </c>
      <c r="CF55" s="55">
        <f t="shared" si="72"/>
        <v>0</v>
      </c>
      <c r="CG55" s="55" t="str">
        <f t="shared" si="72"/>
        <v/>
      </c>
      <c r="CH55" s="55" t="str">
        <f t="shared" si="72"/>
        <v/>
      </c>
      <c r="CI55" s="55" t="str">
        <f t="shared" si="72"/>
        <v/>
      </c>
      <c r="CJ55" s="55" t="str">
        <f t="shared" si="72"/>
        <v/>
      </c>
      <c r="CK55" s="55" t="str">
        <f t="shared" si="72"/>
        <v/>
      </c>
      <c r="CL55" s="55" t="str">
        <f t="shared" si="72"/>
        <v/>
      </c>
      <c r="CM55" s="55" t="str">
        <f t="shared" si="72"/>
        <v/>
      </c>
      <c r="CN55" s="55" t="str">
        <f t="shared" si="72"/>
        <v/>
      </c>
      <c r="CO55" s="55" t="str">
        <f t="shared" si="72"/>
        <v/>
      </c>
      <c r="CP55" s="55" t="str">
        <f t="shared" si="72"/>
        <v/>
      </c>
      <c r="CQ55" s="55" t="str">
        <f t="shared" si="72"/>
        <v/>
      </c>
      <c r="CR55" s="55" t="str">
        <f t="shared" si="72"/>
        <v/>
      </c>
      <c r="CS55" s="55" t="str">
        <f t="shared" si="72"/>
        <v/>
      </c>
      <c r="CT55" s="55" t="str">
        <f t="shared" si="72"/>
        <v/>
      </c>
      <c r="CU55" s="55" t="str">
        <f t="shared" si="72"/>
        <v/>
      </c>
      <c r="CV55" s="55" t="str">
        <f t="shared" si="72"/>
        <v/>
      </c>
      <c r="CW55" s="55" t="str">
        <f t="shared" si="72"/>
        <v/>
      </c>
      <c r="CX55" s="55" t="str">
        <f t="shared" si="72"/>
        <v/>
      </c>
      <c r="CY55" s="55" t="str">
        <f t="shared" si="72"/>
        <v/>
      </c>
      <c r="CZ55" s="55" t="str">
        <f t="shared" si="72"/>
        <v/>
      </c>
      <c r="DA55" s="55" t="str">
        <f t="shared" si="73"/>
        <v/>
      </c>
      <c r="DB55" s="55" t="str">
        <f t="shared" si="73"/>
        <v/>
      </c>
      <c r="DC55" s="55" t="str">
        <f t="shared" si="73"/>
        <v/>
      </c>
      <c r="DD55" s="55" t="str">
        <f t="shared" si="73"/>
        <v/>
      </c>
      <c r="DE55" s="55" t="str">
        <f t="shared" si="73"/>
        <v/>
      </c>
      <c r="DF55" s="55" t="str">
        <f t="shared" si="73"/>
        <v/>
      </c>
      <c r="DG55" s="55" t="str">
        <f t="shared" si="73"/>
        <v/>
      </c>
      <c r="DH55" s="55" t="str">
        <f t="shared" si="73"/>
        <v/>
      </c>
      <c r="DI55" s="55" t="str">
        <f t="shared" si="73"/>
        <v/>
      </c>
      <c r="DJ55" s="55" t="str">
        <f t="shared" si="73"/>
        <v/>
      </c>
      <c r="DK55" s="55" t="str">
        <f t="shared" si="73"/>
        <v/>
      </c>
      <c r="DL55" s="55" t="str">
        <f t="shared" si="73"/>
        <v/>
      </c>
      <c r="DM55" s="55" t="str">
        <f t="shared" si="73"/>
        <v/>
      </c>
      <c r="DN55" s="55" t="str">
        <f t="shared" si="73"/>
        <v/>
      </c>
      <c r="DO55" s="55" t="str">
        <f t="shared" si="73"/>
        <v/>
      </c>
      <c r="DP55" s="55" t="str">
        <f t="shared" si="73"/>
        <v/>
      </c>
      <c r="DQ55" s="55" t="str">
        <f t="shared" si="74"/>
        <v/>
      </c>
      <c r="DR55" s="55" t="str">
        <f t="shared" si="74"/>
        <v/>
      </c>
      <c r="DS55" s="55" t="str">
        <f t="shared" si="74"/>
        <v/>
      </c>
      <c r="DT55" s="106" t="str">
        <f t="shared" si="74"/>
        <v/>
      </c>
      <c r="DU55" s="54"/>
      <c r="DV55" s="25"/>
      <c r="DW55" s="61" t="str">
        <f t="shared" si="75"/>
        <v/>
      </c>
      <c r="DX55" s="50" t="str">
        <f t="shared" si="75"/>
        <v/>
      </c>
      <c r="DY55" s="50" t="str">
        <f t="shared" si="75"/>
        <v/>
      </c>
      <c r="DZ55" s="50" t="str">
        <f t="shared" si="75"/>
        <v/>
      </c>
      <c r="EA55" s="50" t="str">
        <f t="shared" si="75"/>
        <v/>
      </c>
      <c r="EB55" s="50" t="str">
        <f t="shared" si="75"/>
        <v/>
      </c>
      <c r="EC55" s="50" t="str">
        <f t="shared" si="75"/>
        <v/>
      </c>
      <c r="ED55" s="50" t="str">
        <f t="shared" si="75"/>
        <v/>
      </c>
      <c r="EE55" s="50" t="str">
        <f t="shared" si="75"/>
        <v/>
      </c>
      <c r="EF55" s="50" t="str">
        <f t="shared" si="75"/>
        <v/>
      </c>
      <c r="EG55" s="50" t="str">
        <f t="shared" si="75"/>
        <v/>
      </c>
      <c r="EH55" s="50" t="str">
        <f t="shared" si="75"/>
        <v/>
      </c>
      <c r="EI55" s="50" t="str">
        <f t="shared" si="75"/>
        <v/>
      </c>
      <c r="EJ55" s="50" t="str">
        <f t="shared" si="75"/>
        <v/>
      </c>
      <c r="EK55" s="50" t="str">
        <f t="shared" si="75"/>
        <v/>
      </c>
      <c r="EL55" s="50" t="str">
        <f t="shared" si="75"/>
        <v/>
      </c>
      <c r="EM55" s="50" t="str">
        <f t="shared" si="76"/>
        <v/>
      </c>
      <c r="EN55" s="50" t="str">
        <f t="shared" si="76"/>
        <v/>
      </c>
      <c r="EO55" s="50" t="str">
        <f t="shared" si="76"/>
        <v/>
      </c>
      <c r="EP55" s="50" t="str">
        <f t="shared" si="76"/>
        <v/>
      </c>
      <c r="EQ55" s="50" t="str">
        <f t="shared" si="76"/>
        <v/>
      </c>
      <c r="ER55" s="50" t="str">
        <f t="shared" si="76"/>
        <v/>
      </c>
      <c r="ES55" s="50" t="str">
        <f t="shared" si="76"/>
        <v/>
      </c>
      <c r="ET55" s="50" t="str">
        <f t="shared" si="76"/>
        <v/>
      </c>
      <c r="EU55" s="50" t="str">
        <f t="shared" si="76"/>
        <v/>
      </c>
      <c r="EV55" s="50" t="str">
        <f t="shared" si="76"/>
        <v/>
      </c>
      <c r="EW55" s="50" t="str">
        <f t="shared" si="76"/>
        <v/>
      </c>
      <c r="EX55" s="50" t="str">
        <f t="shared" si="76"/>
        <v/>
      </c>
      <c r="EY55" s="50" t="str">
        <f t="shared" si="76"/>
        <v/>
      </c>
      <c r="EZ55" s="50" t="str">
        <f t="shared" si="76"/>
        <v/>
      </c>
      <c r="FA55" s="50" t="str">
        <f t="shared" si="76"/>
        <v/>
      </c>
      <c r="FB55" s="50" t="str">
        <f t="shared" si="76"/>
        <v/>
      </c>
      <c r="FC55" s="50" t="str">
        <f t="shared" si="76"/>
        <v/>
      </c>
      <c r="FD55" s="50" t="str">
        <f t="shared" si="76"/>
        <v/>
      </c>
      <c r="FE55" s="50" t="str">
        <f t="shared" si="76"/>
        <v/>
      </c>
      <c r="FF55" s="50" t="str">
        <f t="shared" si="76"/>
        <v/>
      </c>
      <c r="FG55" s="50" t="str">
        <f t="shared" si="76"/>
        <v/>
      </c>
      <c r="FH55" s="50" t="str">
        <f t="shared" si="76"/>
        <v/>
      </c>
      <c r="FI55" s="50" t="str">
        <f t="shared" si="76"/>
        <v/>
      </c>
      <c r="FJ55" s="50" t="str">
        <f t="shared" si="76"/>
        <v/>
      </c>
      <c r="FK55" s="50" t="str">
        <f t="shared" si="76"/>
        <v/>
      </c>
      <c r="FL55" s="50" t="str">
        <f t="shared" si="76"/>
        <v/>
      </c>
      <c r="FM55" s="50" t="str">
        <f t="shared" si="76"/>
        <v/>
      </c>
      <c r="FN55" s="50" t="str">
        <f t="shared" si="76"/>
        <v/>
      </c>
      <c r="FO55" s="50" t="str">
        <f t="shared" si="76"/>
        <v/>
      </c>
      <c r="FP55" s="50" t="str">
        <f t="shared" si="76"/>
        <v/>
      </c>
      <c r="FQ55" s="50" t="str">
        <f t="shared" si="76"/>
        <v/>
      </c>
      <c r="FR55" s="50" t="str">
        <f t="shared" si="76"/>
        <v/>
      </c>
      <c r="FS55" s="50" t="str">
        <f t="shared" si="76"/>
        <v/>
      </c>
      <c r="FT55" s="50" t="str">
        <f t="shared" si="76"/>
        <v/>
      </c>
      <c r="FU55" s="50" t="str">
        <f t="shared" si="76"/>
        <v/>
      </c>
      <c r="FV55" s="50" t="str">
        <f t="shared" si="76"/>
        <v/>
      </c>
      <c r="FW55" s="50" t="str">
        <f t="shared" si="76"/>
        <v/>
      </c>
      <c r="FX55" s="50" t="str">
        <f t="shared" si="76"/>
        <v/>
      </c>
      <c r="FY55" s="50" t="str">
        <f t="shared" si="76"/>
        <v/>
      </c>
      <c r="FZ55" s="50" t="str">
        <f t="shared" si="76"/>
        <v/>
      </c>
      <c r="GA55" s="50" t="str">
        <f t="shared" si="76"/>
        <v/>
      </c>
      <c r="GB55" s="50" t="str">
        <f t="shared" si="76"/>
        <v/>
      </c>
      <c r="GC55" s="50" t="str">
        <f t="shared" si="76"/>
        <v/>
      </c>
      <c r="GD55" s="50" t="str">
        <f t="shared" si="76"/>
        <v/>
      </c>
      <c r="GE55" s="50" t="str">
        <f t="shared" si="76"/>
        <v/>
      </c>
      <c r="GF55" s="50" t="str">
        <f t="shared" si="76"/>
        <v/>
      </c>
      <c r="GG55" s="50" t="str">
        <f t="shared" si="76"/>
        <v/>
      </c>
      <c r="GH55" s="50" t="str">
        <f t="shared" si="76"/>
        <v/>
      </c>
      <c r="GI55" s="50" t="str">
        <f t="shared" si="76"/>
        <v/>
      </c>
      <c r="GJ55" s="50" t="str">
        <f t="shared" si="76"/>
        <v/>
      </c>
      <c r="GK55" s="50" t="str">
        <f t="shared" si="76"/>
        <v/>
      </c>
      <c r="GL55" s="50" t="str">
        <f t="shared" si="76"/>
        <v/>
      </c>
      <c r="GM55" s="50" t="str">
        <f t="shared" si="76"/>
        <v/>
      </c>
      <c r="GN55" s="50" t="str">
        <f t="shared" si="76"/>
        <v/>
      </c>
      <c r="GO55" s="50" t="str">
        <f t="shared" si="76"/>
        <v/>
      </c>
      <c r="GP55" s="50" t="str">
        <f t="shared" si="76"/>
        <v/>
      </c>
      <c r="GQ55" s="50" t="str">
        <f t="shared" si="76"/>
        <v/>
      </c>
      <c r="GR55" s="50" t="str">
        <f t="shared" si="76"/>
        <v/>
      </c>
      <c r="GS55" s="50" t="str">
        <f t="shared" si="76"/>
        <v/>
      </c>
      <c r="GT55" s="50" t="str">
        <f t="shared" si="76"/>
        <v/>
      </c>
      <c r="GU55" s="50" t="str">
        <f t="shared" si="76"/>
        <v/>
      </c>
      <c r="GV55" s="50" t="str">
        <f t="shared" si="76"/>
        <v/>
      </c>
      <c r="GW55" s="50" t="str">
        <f t="shared" si="76"/>
        <v/>
      </c>
      <c r="GX55" s="50" t="str">
        <f t="shared" si="76"/>
        <v/>
      </c>
      <c r="GY55" s="50" t="str">
        <f t="shared" si="77"/>
        <v/>
      </c>
      <c r="GZ55" s="50" t="str">
        <f t="shared" si="77"/>
        <v/>
      </c>
      <c r="HA55" s="50" t="str">
        <f t="shared" si="77"/>
        <v/>
      </c>
      <c r="HB55" s="50" t="str">
        <f t="shared" si="77"/>
        <v/>
      </c>
      <c r="HC55" s="50" t="str">
        <f t="shared" si="77"/>
        <v/>
      </c>
      <c r="HD55" s="50" t="str">
        <f t="shared" si="77"/>
        <v/>
      </c>
      <c r="HE55" s="50" t="str">
        <f t="shared" si="77"/>
        <v/>
      </c>
      <c r="HF55" s="50" t="str">
        <f t="shared" si="77"/>
        <v/>
      </c>
      <c r="HG55" s="50" t="str">
        <f t="shared" si="77"/>
        <v/>
      </c>
      <c r="HH55" s="50" t="str">
        <f t="shared" si="77"/>
        <v/>
      </c>
      <c r="HI55" s="50" t="str">
        <f t="shared" si="78"/>
        <v/>
      </c>
      <c r="HJ55" s="50" t="str">
        <f t="shared" si="78"/>
        <v/>
      </c>
      <c r="HK55" s="50" t="str">
        <f t="shared" si="78"/>
        <v/>
      </c>
      <c r="HL55" s="50" t="str">
        <f t="shared" si="78"/>
        <v/>
      </c>
      <c r="HM55" s="50" t="str">
        <f t="shared" si="78"/>
        <v/>
      </c>
      <c r="HN55" s="50" t="str">
        <f t="shared" si="78"/>
        <v/>
      </c>
      <c r="HO55" s="50" t="str">
        <f t="shared" si="78"/>
        <v/>
      </c>
      <c r="HP55" s="50" t="str">
        <f t="shared" si="78"/>
        <v/>
      </c>
      <c r="HQ55" s="50" t="str">
        <f t="shared" si="78"/>
        <v/>
      </c>
      <c r="HR55" s="112" t="str">
        <f t="shared" si="78"/>
        <v/>
      </c>
    </row>
    <row r="56" spans="1:226" ht="11.1" customHeight="1" x14ac:dyDescent="0.25">
      <c r="A56" s="26" t="s">
        <v>45</v>
      </c>
      <c r="B56" s="27">
        <v>60</v>
      </c>
      <c r="C56" s="28" t="str">
        <f>IF(A56=0,"",VLOOKUP(A56,[2]CO!$A$3:$F$5327,2,0))</f>
        <v>Destajos y nominas</v>
      </c>
      <c r="D56" s="29"/>
      <c r="E56" s="29"/>
      <c r="F56" s="29"/>
      <c r="G56" s="30" t="str">
        <f>IF(A56=0,"",VLOOKUP(A56,[2]CO!$A$3:$F$5327,3,0))</f>
        <v>LOTE</v>
      </c>
      <c r="H56" s="126">
        <v>0.04</v>
      </c>
      <c r="I56" s="31"/>
      <c r="J56" s="31"/>
      <c r="K56" s="31"/>
      <c r="L56" s="31">
        <v>1</v>
      </c>
      <c r="M56" s="32">
        <f t="shared" si="68"/>
        <v>7.2621339999999996</v>
      </c>
      <c r="N56" s="32">
        <f>IF(B56=0,"",IF(H56="M",HLOOKUP(B56,$Y$12:$DT$13,2),IF(A56=0,"",VLOOKUP(A56,[2]CO!$A$3:$F$5327,4,0))))</f>
        <v>100</v>
      </c>
      <c r="O56" s="32">
        <f t="shared" si="7"/>
        <v>726.21339999999998</v>
      </c>
      <c r="P56" s="33">
        <v>60</v>
      </c>
      <c r="Q56" s="34">
        <f t="shared" si="69"/>
        <v>726.21339999999998</v>
      </c>
      <c r="R56" s="35" t="str">
        <f>IF(S56=0,"",IF(OR(G56="PEON",G56="OF",G56="JARD",G56="CARP",G56="MAESTRO",G56="SOLD",G56="BGRO",G56="CHOFER",G56="AYTE",G56="S.INTTE.",G56="ASEO",G56="P.PISOS",G56="VELADOR",G56="RESID",G56="PINTOR",G56="ELECT",G56="AZULE",G56="AUX CONT.",G56="SECRETARIA",G56="AUXILIAR ADMTVO.",G56="ARQUITECTO",G56="DIBUJANTE",G56="AUX. DE RESIDENTE",G56="TOPOGRAFIA"),VLOOKUP(B56,P$14:Q$84,2),"")*S56)</f>
        <v/>
      </c>
      <c r="T56" s="53">
        <f>IF(A56=0,"",VLOOKUP(A56,[2]CO!$A$3:$F$5318,5,0))</f>
        <v>0</v>
      </c>
      <c r="U56" s="54">
        <f t="shared" si="70"/>
        <v>0</v>
      </c>
      <c r="V56" s="24"/>
      <c r="W56" s="25"/>
      <c r="X56" s="25"/>
      <c r="Y56" s="64" t="str">
        <f t="shared" si="71"/>
        <v/>
      </c>
      <c r="Z56" s="55" t="str">
        <f t="shared" si="71"/>
        <v/>
      </c>
      <c r="AA56" s="55" t="str">
        <f t="shared" si="71"/>
        <v/>
      </c>
      <c r="AB56" s="55" t="str">
        <f t="shared" si="71"/>
        <v/>
      </c>
      <c r="AC56" s="55" t="str">
        <f t="shared" si="71"/>
        <v/>
      </c>
      <c r="AD56" s="55" t="str">
        <f t="shared" si="71"/>
        <v/>
      </c>
      <c r="AE56" s="55" t="str">
        <f t="shared" si="71"/>
        <v/>
      </c>
      <c r="AF56" s="55" t="str">
        <f t="shared" si="71"/>
        <v/>
      </c>
      <c r="AG56" s="55" t="str">
        <f t="shared" si="71"/>
        <v/>
      </c>
      <c r="AH56" s="55" t="str">
        <f t="shared" si="71"/>
        <v/>
      </c>
      <c r="AI56" s="55" t="str">
        <f t="shared" si="71"/>
        <v/>
      </c>
      <c r="AJ56" s="55" t="str">
        <f t="shared" si="71"/>
        <v/>
      </c>
      <c r="AK56" s="55" t="str">
        <f t="shared" si="71"/>
        <v/>
      </c>
      <c r="AL56" s="55" t="str">
        <f t="shared" si="71"/>
        <v/>
      </c>
      <c r="AM56" s="55" t="str">
        <f t="shared" si="71"/>
        <v/>
      </c>
      <c r="AN56" s="55" t="str">
        <f t="shared" si="71"/>
        <v/>
      </c>
      <c r="AO56" s="55" t="str">
        <f t="shared" si="72"/>
        <v/>
      </c>
      <c r="AP56" s="55" t="str">
        <f t="shared" si="72"/>
        <v/>
      </c>
      <c r="AQ56" s="55" t="str">
        <f t="shared" si="72"/>
        <v/>
      </c>
      <c r="AR56" s="55" t="str">
        <f t="shared" si="72"/>
        <v/>
      </c>
      <c r="AS56" s="55" t="str">
        <f t="shared" si="72"/>
        <v/>
      </c>
      <c r="AT56" s="55" t="str">
        <f t="shared" si="72"/>
        <v/>
      </c>
      <c r="AU56" s="55" t="str">
        <f t="shared" si="72"/>
        <v/>
      </c>
      <c r="AV56" s="55" t="str">
        <f t="shared" si="72"/>
        <v/>
      </c>
      <c r="AW56" s="55" t="str">
        <f t="shared" si="72"/>
        <v/>
      </c>
      <c r="AX56" s="55" t="str">
        <f t="shared" si="72"/>
        <v/>
      </c>
      <c r="AY56" s="55" t="str">
        <f t="shared" si="72"/>
        <v/>
      </c>
      <c r="AZ56" s="55" t="str">
        <f t="shared" si="72"/>
        <v/>
      </c>
      <c r="BA56" s="55" t="str">
        <f t="shared" si="72"/>
        <v/>
      </c>
      <c r="BB56" s="55" t="str">
        <f t="shared" si="72"/>
        <v/>
      </c>
      <c r="BC56" s="55" t="str">
        <f t="shared" si="72"/>
        <v/>
      </c>
      <c r="BD56" s="55" t="str">
        <f t="shared" si="72"/>
        <v/>
      </c>
      <c r="BE56" s="55" t="str">
        <f t="shared" si="72"/>
        <v/>
      </c>
      <c r="BF56" s="55" t="str">
        <f t="shared" si="72"/>
        <v/>
      </c>
      <c r="BG56" s="55" t="str">
        <f t="shared" si="72"/>
        <v/>
      </c>
      <c r="BH56" s="55" t="str">
        <f t="shared" si="72"/>
        <v/>
      </c>
      <c r="BI56" s="55" t="str">
        <f t="shared" si="72"/>
        <v/>
      </c>
      <c r="BJ56" s="55" t="str">
        <f t="shared" si="72"/>
        <v/>
      </c>
      <c r="BK56" s="55" t="str">
        <f t="shared" si="72"/>
        <v/>
      </c>
      <c r="BL56" s="55" t="str">
        <f t="shared" si="72"/>
        <v/>
      </c>
      <c r="BM56" s="55" t="str">
        <f t="shared" si="72"/>
        <v/>
      </c>
      <c r="BN56" s="55" t="str">
        <f t="shared" si="72"/>
        <v/>
      </c>
      <c r="BO56" s="55" t="str">
        <f t="shared" si="72"/>
        <v/>
      </c>
      <c r="BP56" s="55" t="str">
        <f t="shared" si="72"/>
        <v/>
      </c>
      <c r="BQ56" s="55" t="str">
        <f t="shared" si="72"/>
        <v/>
      </c>
      <c r="BR56" s="55" t="str">
        <f t="shared" si="72"/>
        <v/>
      </c>
      <c r="BS56" s="55" t="str">
        <f t="shared" si="72"/>
        <v/>
      </c>
      <c r="BT56" s="55" t="str">
        <f t="shared" si="72"/>
        <v/>
      </c>
      <c r="BU56" s="55" t="str">
        <f t="shared" si="72"/>
        <v/>
      </c>
      <c r="BV56" s="55" t="str">
        <f t="shared" si="72"/>
        <v/>
      </c>
      <c r="BW56" s="55" t="str">
        <f t="shared" si="72"/>
        <v/>
      </c>
      <c r="BX56" s="55" t="str">
        <f t="shared" si="72"/>
        <v/>
      </c>
      <c r="BY56" s="55" t="str">
        <f t="shared" si="72"/>
        <v/>
      </c>
      <c r="BZ56" s="55" t="str">
        <f t="shared" si="72"/>
        <v/>
      </c>
      <c r="CA56" s="55" t="str">
        <f t="shared" si="72"/>
        <v/>
      </c>
      <c r="CB56" s="55" t="str">
        <f t="shared" si="72"/>
        <v/>
      </c>
      <c r="CC56" s="55" t="str">
        <f t="shared" si="72"/>
        <v/>
      </c>
      <c r="CD56" s="55" t="str">
        <f t="shared" si="72"/>
        <v/>
      </c>
      <c r="CE56" s="55" t="str">
        <f t="shared" si="72"/>
        <v/>
      </c>
      <c r="CF56" s="55">
        <f t="shared" si="72"/>
        <v>0</v>
      </c>
      <c r="CG56" s="55" t="str">
        <f t="shared" si="72"/>
        <v/>
      </c>
      <c r="CH56" s="55" t="str">
        <f t="shared" si="72"/>
        <v/>
      </c>
      <c r="CI56" s="55" t="str">
        <f t="shared" si="72"/>
        <v/>
      </c>
      <c r="CJ56" s="55" t="str">
        <f t="shared" si="72"/>
        <v/>
      </c>
      <c r="CK56" s="55" t="str">
        <f t="shared" si="72"/>
        <v/>
      </c>
      <c r="CL56" s="55" t="str">
        <f t="shared" si="72"/>
        <v/>
      </c>
      <c r="CM56" s="55" t="str">
        <f t="shared" si="72"/>
        <v/>
      </c>
      <c r="CN56" s="55" t="str">
        <f t="shared" si="72"/>
        <v/>
      </c>
      <c r="CO56" s="55" t="str">
        <f t="shared" si="72"/>
        <v/>
      </c>
      <c r="CP56" s="55" t="str">
        <f t="shared" si="72"/>
        <v/>
      </c>
      <c r="CQ56" s="55" t="str">
        <f t="shared" si="72"/>
        <v/>
      </c>
      <c r="CR56" s="55" t="str">
        <f t="shared" si="72"/>
        <v/>
      </c>
      <c r="CS56" s="55" t="str">
        <f t="shared" si="72"/>
        <v/>
      </c>
      <c r="CT56" s="55" t="str">
        <f t="shared" si="72"/>
        <v/>
      </c>
      <c r="CU56" s="55" t="str">
        <f t="shared" si="72"/>
        <v/>
      </c>
      <c r="CV56" s="55" t="str">
        <f t="shared" si="72"/>
        <v/>
      </c>
      <c r="CW56" s="55" t="str">
        <f t="shared" si="72"/>
        <v/>
      </c>
      <c r="CX56" s="55" t="str">
        <f t="shared" si="72"/>
        <v/>
      </c>
      <c r="CY56" s="55" t="str">
        <f t="shared" si="72"/>
        <v/>
      </c>
      <c r="CZ56" s="55" t="str">
        <f t="shared" si="72"/>
        <v/>
      </c>
      <c r="DA56" s="55" t="str">
        <f t="shared" si="73"/>
        <v/>
      </c>
      <c r="DB56" s="55" t="str">
        <f t="shared" si="73"/>
        <v/>
      </c>
      <c r="DC56" s="55" t="str">
        <f t="shared" si="73"/>
        <v/>
      </c>
      <c r="DD56" s="55" t="str">
        <f t="shared" si="73"/>
        <v/>
      </c>
      <c r="DE56" s="55" t="str">
        <f t="shared" si="73"/>
        <v/>
      </c>
      <c r="DF56" s="55" t="str">
        <f t="shared" si="73"/>
        <v/>
      </c>
      <c r="DG56" s="55" t="str">
        <f t="shared" si="73"/>
        <v/>
      </c>
      <c r="DH56" s="55" t="str">
        <f t="shared" si="73"/>
        <v/>
      </c>
      <c r="DI56" s="55" t="str">
        <f t="shared" si="73"/>
        <v/>
      </c>
      <c r="DJ56" s="55" t="str">
        <f t="shared" si="73"/>
        <v/>
      </c>
      <c r="DK56" s="55" t="str">
        <f t="shared" si="73"/>
        <v/>
      </c>
      <c r="DL56" s="55" t="str">
        <f t="shared" si="73"/>
        <v/>
      </c>
      <c r="DM56" s="55" t="str">
        <f t="shared" si="73"/>
        <v/>
      </c>
      <c r="DN56" s="55" t="str">
        <f t="shared" si="73"/>
        <v/>
      </c>
      <c r="DO56" s="55" t="str">
        <f t="shared" si="73"/>
        <v/>
      </c>
      <c r="DP56" s="55" t="str">
        <f t="shared" si="73"/>
        <v/>
      </c>
      <c r="DQ56" s="55" t="str">
        <f t="shared" si="74"/>
        <v/>
      </c>
      <c r="DR56" s="55" t="str">
        <f t="shared" si="74"/>
        <v/>
      </c>
      <c r="DS56" s="55" t="str">
        <f t="shared" si="74"/>
        <v/>
      </c>
      <c r="DT56" s="106" t="str">
        <f t="shared" si="74"/>
        <v/>
      </c>
      <c r="DU56" s="54"/>
      <c r="DV56" s="25"/>
      <c r="DW56" s="61" t="str">
        <f t="shared" si="75"/>
        <v/>
      </c>
      <c r="DX56" s="50" t="str">
        <f t="shared" si="75"/>
        <v/>
      </c>
      <c r="DY56" s="50" t="str">
        <f t="shared" si="75"/>
        <v/>
      </c>
      <c r="DZ56" s="50" t="str">
        <f t="shared" si="75"/>
        <v/>
      </c>
      <c r="EA56" s="50" t="str">
        <f t="shared" si="75"/>
        <v/>
      </c>
      <c r="EB56" s="50" t="str">
        <f t="shared" si="75"/>
        <v/>
      </c>
      <c r="EC56" s="50" t="str">
        <f t="shared" si="75"/>
        <v/>
      </c>
      <c r="ED56" s="50" t="str">
        <f t="shared" si="75"/>
        <v/>
      </c>
      <c r="EE56" s="50" t="str">
        <f t="shared" si="75"/>
        <v/>
      </c>
      <c r="EF56" s="50" t="str">
        <f t="shared" si="75"/>
        <v/>
      </c>
      <c r="EG56" s="50" t="str">
        <f t="shared" si="75"/>
        <v/>
      </c>
      <c r="EH56" s="50" t="str">
        <f t="shared" si="75"/>
        <v/>
      </c>
      <c r="EI56" s="50" t="str">
        <f t="shared" si="75"/>
        <v/>
      </c>
      <c r="EJ56" s="50" t="str">
        <f t="shared" si="75"/>
        <v/>
      </c>
      <c r="EK56" s="50" t="str">
        <f t="shared" si="75"/>
        <v/>
      </c>
      <c r="EL56" s="50" t="str">
        <f t="shared" si="75"/>
        <v/>
      </c>
      <c r="EM56" s="50" t="str">
        <f t="shared" si="76"/>
        <v/>
      </c>
      <c r="EN56" s="50" t="str">
        <f t="shared" si="76"/>
        <v/>
      </c>
      <c r="EO56" s="50" t="str">
        <f t="shared" si="76"/>
        <v/>
      </c>
      <c r="EP56" s="50" t="str">
        <f t="shared" si="76"/>
        <v/>
      </c>
      <c r="EQ56" s="50" t="str">
        <f t="shared" si="76"/>
        <v/>
      </c>
      <c r="ER56" s="50" t="str">
        <f t="shared" si="76"/>
        <v/>
      </c>
      <c r="ES56" s="50" t="str">
        <f t="shared" si="76"/>
        <v/>
      </c>
      <c r="ET56" s="50" t="str">
        <f t="shared" si="76"/>
        <v/>
      </c>
      <c r="EU56" s="50" t="str">
        <f t="shared" si="76"/>
        <v/>
      </c>
      <c r="EV56" s="50" t="str">
        <f t="shared" si="76"/>
        <v/>
      </c>
      <c r="EW56" s="50" t="str">
        <f t="shared" si="76"/>
        <v/>
      </c>
      <c r="EX56" s="50" t="str">
        <f t="shared" si="76"/>
        <v/>
      </c>
      <c r="EY56" s="50" t="str">
        <f t="shared" si="76"/>
        <v/>
      </c>
      <c r="EZ56" s="50" t="str">
        <f t="shared" si="76"/>
        <v/>
      </c>
      <c r="FA56" s="50" t="str">
        <f t="shared" si="76"/>
        <v/>
      </c>
      <c r="FB56" s="50" t="str">
        <f t="shared" si="76"/>
        <v/>
      </c>
      <c r="FC56" s="50" t="str">
        <f t="shared" si="76"/>
        <v/>
      </c>
      <c r="FD56" s="50" t="str">
        <f t="shared" si="76"/>
        <v/>
      </c>
      <c r="FE56" s="50" t="str">
        <f t="shared" si="76"/>
        <v/>
      </c>
      <c r="FF56" s="50" t="str">
        <f t="shared" si="76"/>
        <v/>
      </c>
      <c r="FG56" s="50" t="str">
        <f t="shared" si="76"/>
        <v/>
      </c>
      <c r="FH56" s="50" t="str">
        <f t="shared" si="76"/>
        <v/>
      </c>
      <c r="FI56" s="50" t="str">
        <f t="shared" si="76"/>
        <v/>
      </c>
      <c r="FJ56" s="50" t="str">
        <f t="shared" si="76"/>
        <v/>
      </c>
      <c r="FK56" s="50" t="str">
        <f t="shared" si="76"/>
        <v/>
      </c>
      <c r="FL56" s="50" t="str">
        <f t="shared" si="76"/>
        <v/>
      </c>
      <c r="FM56" s="50" t="str">
        <f t="shared" si="76"/>
        <v/>
      </c>
      <c r="FN56" s="50" t="str">
        <f t="shared" si="76"/>
        <v/>
      </c>
      <c r="FO56" s="50" t="str">
        <f t="shared" si="76"/>
        <v/>
      </c>
      <c r="FP56" s="50" t="str">
        <f t="shared" si="76"/>
        <v/>
      </c>
      <c r="FQ56" s="50" t="str">
        <f t="shared" si="76"/>
        <v/>
      </c>
      <c r="FR56" s="50" t="str">
        <f t="shared" si="76"/>
        <v/>
      </c>
      <c r="FS56" s="50" t="str">
        <f t="shared" si="76"/>
        <v/>
      </c>
      <c r="FT56" s="50" t="str">
        <f t="shared" si="76"/>
        <v/>
      </c>
      <c r="FU56" s="50" t="str">
        <f t="shared" si="76"/>
        <v/>
      </c>
      <c r="FV56" s="50" t="str">
        <f t="shared" si="76"/>
        <v/>
      </c>
      <c r="FW56" s="50" t="str">
        <f t="shared" si="76"/>
        <v/>
      </c>
      <c r="FX56" s="50" t="str">
        <f t="shared" si="76"/>
        <v/>
      </c>
      <c r="FY56" s="50" t="str">
        <f t="shared" si="76"/>
        <v/>
      </c>
      <c r="FZ56" s="50" t="str">
        <f t="shared" si="76"/>
        <v/>
      </c>
      <c r="GA56" s="50" t="str">
        <f t="shared" si="76"/>
        <v/>
      </c>
      <c r="GB56" s="50" t="str">
        <f t="shared" si="76"/>
        <v/>
      </c>
      <c r="GC56" s="50" t="str">
        <f t="shared" si="76"/>
        <v/>
      </c>
      <c r="GD56" s="50">
        <f t="shared" si="76"/>
        <v>726.21339999999998</v>
      </c>
      <c r="GE56" s="50" t="str">
        <f t="shared" si="76"/>
        <v/>
      </c>
      <c r="GF56" s="50" t="str">
        <f t="shared" si="76"/>
        <v/>
      </c>
      <c r="GG56" s="50" t="str">
        <f t="shared" si="76"/>
        <v/>
      </c>
      <c r="GH56" s="50" t="str">
        <f t="shared" si="76"/>
        <v/>
      </c>
      <c r="GI56" s="50" t="str">
        <f t="shared" si="76"/>
        <v/>
      </c>
      <c r="GJ56" s="50" t="str">
        <f t="shared" si="76"/>
        <v/>
      </c>
      <c r="GK56" s="50" t="str">
        <f t="shared" si="76"/>
        <v/>
      </c>
      <c r="GL56" s="50" t="str">
        <f t="shared" si="76"/>
        <v/>
      </c>
      <c r="GM56" s="50" t="str">
        <f t="shared" si="76"/>
        <v/>
      </c>
      <c r="GN56" s="50" t="str">
        <f t="shared" si="76"/>
        <v/>
      </c>
      <c r="GO56" s="50" t="str">
        <f t="shared" si="76"/>
        <v/>
      </c>
      <c r="GP56" s="50" t="str">
        <f t="shared" si="76"/>
        <v/>
      </c>
      <c r="GQ56" s="50" t="str">
        <f t="shared" si="76"/>
        <v/>
      </c>
      <c r="GR56" s="50" t="str">
        <f t="shared" si="76"/>
        <v/>
      </c>
      <c r="GS56" s="50" t="str">
        <f t="shared" si="76"/>
        <v/>
      </c>
      <c r="GT56" s="50" t="str">
        <f t="shared" si="76"/>
        <v/>
      </c>
      <c r="GU56" s="50" t="str">
        <f t="shared" si="76"/>
        <v/>
      </c>
      <c r="GV56" s="50" t="str">
        <f t="shared" si="76"/>
        <v/>
      </c>
      <c r="GW56" s="50" t="str">
        <f t="shared" si="76"/>
        <v/>
      </c>
      <c r="GX56" s="50" t="str">
        <f t="shared" si="76"/>
        <v/>
      </c>
      <c r="GY56" s="50" t="str">
        <f t="shared" si="77"/>
        <v/>
      </c>
      <c r="GZ56" s="50" t="str">
        <f t="shared" si="77"/>
        <v/>
      </c>
      <c r="HA56" s="50" t="str">
        <f t="shared" si="77"/>
        <v/>
      </c>
      <c r="HB56" s="50" t="str">
        <f t="shared" si="77"/>
        <v/>
      </c>
      <c r="HC56" s="50" t="str">
        <f t="shared" si="77"/>
        <v/>
      </c>
      <c r="HD56" s="50" t="str">
        <f t="shared" si="77"/>
        <v/>
      </c>
      <c r="HE56" s="50" t="str">
        <f t="shared" si="77"/>
        <v/>
      </c>
      <c r="HF56" s="50" t="str">
        <f t="shared" si="77"/>
        <v/>
      </c>
      <c r="HG56" s="50" t="str">
        <f t="shared" si="77"/>
        <v/>
      </c>
      <c r="HH56" s="50" t="str">
        <f t="shared" si="77"/>
        <v/>
      </c>
      <c r="HI56" s="50" t="str">
        <f t="shared" si="78"/>
        <v/>
      </c>
      <c r="HJ56" s="50" t="str">
        <f t="shared" si="78"/>
        <v/>
      </c>
      <c r="HK56" s="50" t="str">
        <f t="shared" si="78"/>
        <v/>
      </c>
      <c r="HL56" s="50" t="str">
        <f t="shared" si="78"/>
        <v/>
      </c>
      <c r="HM56" s="50" t="str">
        <f t="shared" si="78"/>
        <v/>
      </c>
      <c r="HN56" s="50" t="str">
        <f t="shared" si="78"/>
        <v/>
      </c>
      <c r="HO56" s="50" t="str">
        <f t="shared" si="78"/>
        <v/>
      </c>
      <c r="HP56" s="50" t="str">
        <f t="shared" si="78"/>
        <v/>
      </c>
      <c r="HQ56" s="50" t="str">
        <f t="shared" si="78"/>
        <v/>
      </c>
      <c r="HR56" s="112" t="str">
        <f t="shared" si="78"/>
        <v/>
      </c>
    </row>
    <row r="57" spans="1:226" ht="11.1" customHeight="1" x14ac:dyDescent="0.25">
      <c r="A57" s="26"/>
      <c r="B57" s="27"/>
      <c r="C57" s="28" t="str">
        <f>IF(A57=0,"",VLOOKUP(A57,[2]CO!$A$3:$F$5327,2,0))</f>
        <v/>
      </c>
      <c r="D57" s="29"/>
      <c r="E57" s="29"/>
      <c r="F57" s="29"/>
      <c r="G57" s="30" t="str">
        <f>IF(A57=0,"",VLOOKUP(A57,[2]CO!$A$3:$F$5327,3,0))</f>
        <v/>
      </c>
      <c r="H57" s="95"/>
      <c r="I57" s="31"/>
      <c r="J57" s="31"/>
      <c r="K57" s="31"/>
      <c r="L57" s="31"/>
      <c r="M57" s="32" t="str">
        <f t="shared" si="68"/>
        <v/>
      </c>
      <c r="N57" s="32" t="str">
        <f>IF(B57=0,"",IF(H57="M",HLOOKUP(B57,$Y$12:$DT$13,2),IF(A57=0,"",VLOOKUP(A57,[2]CO!$A$3:$F$5327,4,0))))</f>
        <v/>
      </c>
      <c r="O57" s="32" t="str">
        <f t="shared" si="7"/>
        <v/>
      </c>
      <c r="P57" s="33"/>
      <c r="Q57" s="34" t="str">
        <f t="shared" si="69"/>
        <v/>
      </c>
      <c r="R57" s="35" t="str">
        <f>IF(S57=0,"",IF(OR(G57="PEON",G57="OF",G57="JARD",G57="CARP",G57="MAESTRO",G57="SOLD",G57="BGRO",G57="CHOFER",G57="AYTE",G57="S.INTTE.",G57="ASEO",G57="P.PISOS",G57="VELADOR",G57="RESID",G57="PINTOR",G57="ELECT",G57="AZULE",G57="AUX CONT.",G57="SECRETARIA",G57="AUXILIAR ADMTVO.",G57="ARQUITECTO",G57="DIBUJANTE",G57="AUX. DE RESIDENTE",G57="TOPOGRAFIA"),VLOOKUP(B57,P$14:Q$84,2),"")*S57)</f>
        <v/>
      </c>
      <c r="T57" s="53" t="str">
        <f>IF(A57=0,"",VLOOKUP(A57,[2]CO!$A$3:$F$5318,5,0))</f>
        <v/>
      </c>
      <c r="U57" s="54">
        <f t="shared" si="70"/>
        <v>0</v>
      </c>
      <c r="V57" s="24"/>
      <c r="W57" s="25"/>
      <c r="X57" s="25"/>
      <c r="Y57" s="64" t="str">
        <f t="shared" si="71"/>
        <v/>
      </c>
      <c r="Z57" s="55" t="str">
        <f t="shared" si="71"/>
        <v/>
      </c>
      <c r="AA57" s="55" t="str">
        <f t="shared" si="71"/>
        <v/>
      </c>
      <c r="AB57" s="55" t="str">
        <f t="shared" si="71"/>
        <v/>
      </c>
      <c r="AC57" s="55" t="str">
        <f t="shared" si="71"/>
        <v/>
      </c>
      <c r="AD57" s="55" t="str">
        <f t="shared" si="71"/>
        <v/>
      </c>
      <c r="AE57" s="55" t="str">
        <f t="shared" si="71"/>
        <v/>
      </c>
      <c r="AF57" s="55" t="str">
        <f t="shared" si="71"/>
        <v/>
      </c>
      <c r="AG57" s="55" t="str">
        <f t="shared" si="71"/>
        <v/>
      </c>
      <c r="AH57" s="55" t="str">
        <f t="shared" si="71"/>
        <v/>
      </c>
      <c r="AI57" s="55" t="str">
        <f t="shared" si="71"/>
        <v/>
      </c>
      <c r="AJ57" s="55" t="str">
        <f t="shared" si="71"/>
        <v/>
      </c>
      <c r="AK57" s="55" t="str">
        <f t="shared" si="71"/>
        <v/>
      </c>
      <c r="AL57" s="55" t="str">
        <f t="shared" si="71"/>
        <v/>
      </c>
      <c r="AM57" s="55" t="str">
        <f t="shared" si="71"/>
        <v/>
      </c>
      <c r="AN57" s="55" t="str">
        <f t="shared" si="71"/>
        <v/>
      </c>
      <c r="AO57" s="55" t="str">
        <f t="shared" si="72"/>
        <v/>
      </c>
      <c r="AP57" s="55" t="str">
        <f t="shared" si="72"/>
        <v/>
      </c>
      <c r="AQ57" s="55" t="str">
        <f t="shared" si="72"/>
        <v/>
      </c>
      <c r="AR57" s="55" t="str">
        <f t="shared" si="72"/>
        <v/>
      </c>
      <c r="AS57" s="55" t="str">
        <f t="shared" si="72"/>
        <v/>
      </c>
      <c r="AT57" s="55" t="str">
        <f t="shared" si="72"/>
        <v/>
      </c>
      <c r="AU57" s="55" t="str">
        <f t="shared" si="72"/>
        <v/>
      </c>
      <c r="AV57" s="55" t="str">
        <f t="shared" si="72"/>
        <v/>
      </c>
      <c r="AW57" s="55" t="str">
        <f t="shared" si="72"/>
        <v/>
      </c>
      <c r="AX57" s="55" t="str">
        <f t="shared" si="72"/>
        <v/>
      </c>
      <c r="AY57" s="55" t="str">
        <f t="shared" si="72"/>
        <v/>
      </c>
      <c r="AZ57" s="55" t="str">
        <f t="shared" si="72"/>
        <v/>
      </c>
      <c r="BA57" s="55" t="str">
        <f t="shared" si="72"/>
        <v/>
      </c>
      <c r="BB57" s="55" t="str">
        <f t="shared" si="72"/>
        <v/>
      </c>
      <c r="BC57" s="55" t="str">
        <f t="shared" si="72"/>
        <v/>
      </c>
      <c r="BD57" s="55" t="str">
        <f t="shared" si="72"/>
        <v/>
      </c>
      <c r="BE57" s="55" t="str">
        <f t="shared" si="72"/>
        <v/>
      </c>
      <c r="BF57" s="55" t="str">
        <f t="shared" si="72"/>
        <v/>
      </c>
      <c r="BG57" s="55" t="str">
        <f t="shared" si="72"/>
        <v/>
      </c>
      <c r="BH57" s="55" t="str">
        <f t="shared" si="72"/>
        <v/>
      </c>
      <c r="BI57" s="55" t="str">
        <f t="shared" si="72"/>
        <v/>
      </c>
      <c r="BJ57" s="55" t="str">
        <f t="shared" si="72"/>
        <v/>
      </c>
      <c r="BK57" s="55" t="str">
        <f t="shared" si="72"/>
        <v/>
      </c>
      <c r="BL57" s="55" t="str">
        <f t="shared" si="72"/>
        <v/>
      </c>
      <c r="BM57" s="55" t="str">
        <f t="shared" si="72"/>
        <v/>
      </c>
      <c r="BN57" s="55" t="str">
        <f t="shared" si="72"/>
        <v/>
      </c>
      <c r="BO57" s="55" t="str">
        <f t="shared" si="72"/>
        <v/>
      </c>
      <c r="BP57" s="55" t="str">
        <f t="shared" si="72"/>
        <v/>
      </c>
      <c r="BQ57" s="55" t="str">
        <f t="shared" si="72"/>
        <v/>
      </c>
      <c r="BR57" s="55" t="str">
        <f t="shared" si="72"/>
        <v/>
      </c>
      <c r="BS57" s="55" t="str">
        <f t="shared" si="72"/>
        <v/>
      </c>
      <c r="BT57" s="55" t="str">
        <f t="shared" si="72"/>
        <v/>
      </c>
      <c r="BU57" s="55" t="str">
        <f t="shared" si="72"/>
        <v/>
      </c>
      <c r="BV57" s="55" t="str">
        <f t="shared" si="72"/>
        <v/>
      </c>
      <c r="BW57" s="55" t="str">
        <f t="shared" si="72"/>
        <v/>
      </c>
      <c r="BX57" s="55" t="str">
        <f t="shared" si="72"/>
        <v/>
      </c>
      <c r="BY57" s="55" t="str">
        <f t="shared" si="72"/>
        <v/>
      </c>
      <c r="BZ57" s="55" t="str">
        <f t="shared" si="72"/>
        <v/>
      </c>
      <c r="CA57" s="55" t="str">
        <f t="shared" si="72"/>
        <v/>
      </c>
      <c r="CB57" s="55" t="str">
        <f t="shared" si="72"/>
        <v/>
      </c>
      <c r="CC57" s="55" t="str">
        <f t="shared" si="72"/>
        <v/>
      </c>
      <c r="CD57" s="55" t="str">
        <f t="shared" si="72"/>
        <v/>
      </c>
      <c r="CE57" s="55" t="str">
        <f t="shared" si="72"/>
        <v/>
      </c>
      <c r="CF57" s="55" t="str">
        <f t="shared" si="72"/>
        <v/>
      </c>
      <c r="CG57" s="55" t="str">
        <f t="shared" si="72"/>
        <v/>
      </c>
      <c r="CH57" s="55" t="str">
        <f t="shared" si="72"/>
        <v/>
      </c>
      <c r="CI57" s="55" t="str">
        <f t="shared" si="72"/>
        <v/>
      </c>
      <c r="CJ57" s="55" t="str">
        <f t="shared" si="72"/>
        <v/>
      </c>
      <c r="CK57" s="55" t="str">
        <f t="shared" si="72"/>
        <v/>
      </c>
      <c r="CL57" s="55" t="str">
        <f t="shared" si="72"/>
        <v/>
      </c>
      <c r="CM57" s="55" t="str">
        <f t="shared" si="72"/>
        <v/>
      </c>
      <c r="CN57" s="55" t="str">
        <f t="shared" si="72"/>
        <v/>
      </c>
      <c r="CO57" s="55" t="str">
        <f t="shared" si="72"/>
        <v/>
      </c>
      <c r="CP57" s="55" t="str">
        <f t="shared" si="72"/>
        <v/>
      </c>
      <c r="CQ57" s="55" t="str">
        <f t="shared" si="72"/>
        <v/>
      </c>
      <c r="CR57" s="55" t="str">
        <f t="shared" si="72"/>
        <v/>
      </c>
      <c r="CS57" s="55" t="str">
        <f t="shared" si="72"/>
        <v/>
      </c>
      <c r="CT57" s="55" t="str">
        <f t="shared" si="72"/>
        <v/>
      </c>
      <c r="CU57" s="55" t="str">
        <f t="shared" si="72"/>
        <v/>
      </c>
      <c r="CV57" s="55" t="str">
        <f t="shared" si="72"/>
        <v/>
      </c>
      <c r="CW57" s="55" t="str">
        <f t="shared" si="72"/>
        <v/>
      </c>
      <c r="CX57" s="55" t="str">
        <f t="shared" si="72"/>
        <v/>
      </c>
      <c r="CY57" s="55" t="str">
        <f t="shared" si="72"/>
        <v/>
      </c>
      <c r="CZ57" s="55" t="str">
        <f t="shared" ref="CZ57:DJ65" si="79">IF($B57=CZ$12,$U57,"")</f>
        <v/>
      </c>
      <c r="DA57" s="55" t="str">
        <f t="shared" si="79"/>
        <v/>
      </c>
      <c r="DB57" s="55" t="str">
        <f t="shared" si="79"/>
        <v/>
      </c>
      <c r="DC57" s="55" t="str">
        <f t="shared" si="79"/>
        <v/>
      </c>
      <c r="DD57" s="55" t="str">
        <f t="shared" si="79"/>
        <v/>
      </c>
      <c r="DE57" s="55" t="str">
        <f t="shared" si="79"/>
        <v/>
      </c>
      <c r="DF57" s="55" t="str">
        <f t="shared" si="79"/>
        <v/>
      </c>
      <c r="DG57" s="55" t="str">
        <f t="shared" si="79"/>
        <v/>
      </c>
      <c r="DH57" s="55" t="str">
        <f t="shared" si="79"/>
        <v/>
      </c>
      <c r="DI57" s="55" t="str">
        <f t="shared" si="79"/>
        <v/>
      </c>
      <c r="DJ57" s="55" t="str">
        <f t="shared" si="79"/>
        <v/>
      </c>
      <c r="DK57" s="55" t="str">
        <f t="shared" si="73"/>
        <v/>
      </c>
      <c r="DL57" s="55" t="str">
        <f t="shared" si="73"/>
        <v/>
      </c>
      <c r="DM57" s="55" t="str">
        <f t="shared" si="73"/>
        <v/>
      </c>
      <c r="DN57" s="55" t="str">
        <f t="shared" si="73"/>
        <v/>
      </c>
      <c r="DO57" s="55" t="str">
        <f t="shared" si="73"/>
        <v/>
      </c>
      <c r="DP57" s="55" t="str">
        <f t="shared" si="73"/>
        <v/>
      </c>
      <c r="DQ57" s="55" t="str">
        <f t="shared" si="74"/>
        <v/>
      </c>
      <c r="DR57" s="55" t="str">
        <f t="shared" si="74"/>
        <v/>
      </c>
      <c r="DS57" s="55" t="str">
        <f t="shared" si="74"/>
        <v/>
      </c>
      <c r="DT57" s="106" t="str">
        <f t="shared" si="74"/>
        <v/>
      </c>
      <c r="DU57" s="54"/>
      <c r="DV57" s="25"/>
      <c r="DW57" s="61" t="str">
        <f t="shared" si="75"/>
        <v/>
      </c>
      <c r="DX57" s="50" t="str">
        <f t="shared" si="75"/>
        <v/>
      </c>
      <c r="DY57" s="50" t="str">
        <f t="shared" si="75"/>
        <v/>
      </c>
      <c r="DZ57" s="50" t="str">
        <f t="shared" si="75"/>
        <v/>
      </c>
      <c r="EA57" s="50" t="str">
        <f t="shared" si="75"/>
        <v/>
      </c>
      <c r="EB57" s="50" t="str">
        <f t="shared" si="75"/>
        <v/>
      </c>
      <c r="EC57" s="50" t="str">
        <f t="shared" si="75"/>
        <v/>
      </c>
      <c r="ED57" s="50" t="str">
        <f t="shared" si="75"/>
        <v/>
      </c>
      <c r="EE57" s="50" t="str">
        <f t="shared" si="75"/>
        <v/>
      </c>
      <c r="EF57" s="50" t="str">
        <f t="shared" si="75"/>
        <v/>
      </c>
      <c r="EG57" s="50" t="str">
        <f t="shared" si="75"/>
        <v/>
      </c>
      <c r="EH57" s="50" t="str">
        <f t="shared" si="75"/>
        <v/>
      </c>
      <c r="EI57" s="50" t="str">
        <f t="shared" si="75"/>
        <v/>
      </c>
      <c r="EJ57" s="50" t="str">
        <f t="shared" si="75"/>
        <v/>
      </c>
      <c r="EK57" s="50" t="str">
        <f t="shared" si="75"/>
        <v/>
      </c>
      <c r="EL57" s="50" t="str">
        <f t="shared" si="75"/>
        <v/>
      </c>
      <c r="EM57" s="50" t="str">
        <f t="shared" si="76"/>
        <v/>
      </c>
      <c r="EN57" s="50" t="str">
        <f t="shared" si="76"/>
        <v/>
      </c>
      <c r="EO57" s="50" t="str">
        <f t="shared" si="76"/>
        <v/>
      </c>
      <c r="EP57" s="50" t="str">
        <f t="shared" si="76"/>
        <v/>
      </c>
      <c r="EQ57" s="50" t="str">
        <f t="shared" si="76"/>
        <v/>
      </c>
      <c r="ER57" s="50" t="str">
        <f t="shared" si="76"/>
        <v/>
      </c>
      <c r="ES57" s="50" t="str">
        <f t="shared" si="76"/>
        <v/>
      </c>
      <c r="ET57" s="50" t="str">
        <f t="shared" si="76"/>
        <v/>
      </c>
      <c r="EU57" s="50" t="str">
        <f t="shared" si="76"/>
        <v/>
      </c>
      <c r="EV57" s="50" t="str">
        <f t="shared" si="76"/>
        <v/>
      </c>
      <c r="EW57" s="50" t="str">
        <f t="shared" si="76"/>
        <v/>
      </c>
      <c r="EX57" s="50" t="str">
        <f t="shared" si="76"/>
        <v/>
      </c>
      <c r="EY57" s="50" t="str">
        <f t="shared" si="76"/>
        <v/>
      </c>
      <c r="EZ57" s="50" t="str">
        <f t="shared" si="76"/>
        <v/>
      </c>
      <c r="FA57" s="50" t="str">
        <f t="shared" si="76"/>
        <v/>
      </c>
      <c r="FB57" s="50" t="str">
        <f t="shared" si="76"/>
        <v/>
      </c>
      <c r="FC57" s="50" t="str">
        <f t="shared" si="76"/>
        <v/>
      </c>
      <c r="FD57" s="50" t="str">
        <f t="shared" si="76"/>
        <v/>
      </c>
      <c r="FE57" s="50" t="str">
        <f t="shared" si="76"/>
        <v/>
      </c>
      <c r="FF57" s="50" t="str">
        <f t="shared" si="76"/>
        <v/>
      </c>
      <c r="FG57" s="50" t="str">
        <f t="shared" si="76"/>
        <v/>
      </c>
      <c r="FH57" s="50" t="str">
        <f t="shared" si="76"/>
        <v/>
      </c>
      <c r="FI57" s="50" t="str">
        <f t="shared" si="76"/>
        <v/>
      </c>
      <c r="FJ57" s="50" t="str">
        <f t="shared" si="76"/>
        <v/>
      </c>
      <c r="FK57" s="50" t="str">
        <f t="shared" si="76"/>
        <v/>
      </c>
      <c r="FL57" s="50" t="str">
        <f t="shared" si="76"/>
        <v/>
      </c>
      <c r="FM57" s="50" t="str">
        <f t="shared" si="76"/>
        <v/>
      </c>
      <c r="FN57" s="50" t="str">
        <f t="shared" si="76"/>
        <v/>
      </c>
      <c r="FO57" s="50" t="str">
        <f t="shared" si="76"/>
        <v/>
      </c>
      <c r="FP57" s="50" t="str">
        <f t="shared" si="76"/>
        <v/>
      </c>
      <c r="FQ57" s="50" t="str">
        <f t="shared" si="76"/>
        <v/>
      </c>
      <c r="FR57" s="50" t="str">
        <f t="shared" si="76"/>
        <v/>
      </c>
      <c r="FS57" s="50" t="str">
        <f t="shared" si="76"/>
        <v/>
      </c>
      <c r="FT57" s="50" t="str">
        <f t="shared" si="76"/>
        <v/>
      </c>
      <c r="FU57" s="50" t="str">
        <f t="shared" si="76"/>
        <v/>
      </c>
      <c r="FV57" s="50" t="str">
        <f t="shared" si="76"/>
        <v/>
      </c>
      <c r="FW57" s="50" t="str">
        <f t="shared" si="76"/>
        <v/>
      </c>
      <c r="FX57" s="50" t="str">
        <f t="shared" si="76"/>
        <v/>
      </c>
      <c r="FY57" s="50" t="str">
        <f t="shared" si="76"/>
        <v/>
      </c>
      <c r="FZ57" s="50" t="str">
        <f t="shared" si="76"/>
        <v/>
      </c>
      <c r="GA57" s="50" t="str">
        <f t="shared" si="76"/>
        <v/>
      </c>
      <c r="GB57" s="50" t="str">
        <f t="shared" si="76"/>
        <v/>
      </c>
      <c r="GC57" s="50" t="str">
        <f t="shared" si="76"/>
        <v/>
      </c>
      <c r="GD57" s="50" t="str">
        <f t="shared" si="76"/>
        <v/>
      </c>
      <c r="GE57" s="50" t="str">
        <f t="shared" si="76"/>
        <v/>
      </c>
      <c r="GF57" s="50" t="str">
        <f t="shared" si="76"/>
        <v/>
      </c>
      <c r="GG57" s="50" t="str">
        <f t="shared" si="76"/>
        <v/>
      </c>
      <c r="GH57" s="50" t="str">
        <f t="shared" si="76"/>
        <v/>
      </c>
      <c r="GI57" s="50" t="str">
        <f t="shared" si="76"/>
        <v/>
      </c>
      <c r="GJ57" s="50" t="str">
        <f t="shared" si="76"/>
        <v/>
      </c>
      <c r="GK57" s="50" t="str">
        <f t="shared" si="76"/>
        <v/>
      </c>
      <c r="GL57" s="50" t="str">
        <f t="shared" si="76"/>
        <v/>
      </c>
      <c r="GM57" s="50" t="str">
        <f t="shared" si="76"/>
        <v/>
      </c>
      <c r="GN57" s="50" t="str">
        <f t="shared" si="76"/>
        <v/>
      </c>
      <c r="GO57" s="50" t="str">
        <f t="shared" si="76"/>
        <v/>
      </c>
      <c r="GP57" s="50" t="str">
        <f t="shared" si="76"/>
        <v/>
      </c>
      <c r="GQ57" s="50" t="str">
        <f t="shared" si="76"/>
        <v/>
      </c>
      <c r="GR57" s="50" t="str">
        <f t="shared" si="76"/>
        <v/>
      </c>
      <c r="GS57" s="50" t="str">
        <f t="shared" si="76"/>
        <v/>
      </c>
      <c r="GT57" s="50" t="str">
        <f t="shared" si="76"/>
        <v/>
      </c>
      <c r="GU57" s="50" t="str">
        <f t="shared" si="76"/>
        <v/>
      </c>
      <c r="GV57" s="50" t="str">
        <f t="shared" si="76"/>
        <v/>
      </c>
      <c r="GW57" s="50" t="str">
        <f t="shared" si="76"/>
        <v/>
      </c>
      <c r="GX57" s="50" t="str">
        <f t="shared" ref="GX57:HM65" si="80">IF($B57=GX$12,$O57,"")</f>
        <v/>
      </c>
      <c r="GY57" s="50" t="str">
        <f t="shared" si="80"/>
        <v/>
      </c>
      <c r="GZ57" s="50" t="str">
        <f t="shared" si="80"/>
        <v/>
      </c>
      <c r="HA57" s="50" t="str">
        <f t="shared" si="80"/>
        <v/>
      </c>
      <c r="HB57" s="50" t="str">
        <f t="shared" si="80"/>
        <v/>
      </c>
      <c r="HC57" s="50" t="str">
        <f t="shared" si="80"/>
        <v/>
      </c>
      <c r="HD57" s="50" t="str">
        <f t="shared" si="80"/>
        <v/>
      </c>
      <c r="HE57" s="50" t="str">
        <f t="shared" si="80"/>
        <v/>
      </c>
      <c r="HF57" s="50" t="str">
        <f t="shared" si="80"/>
        <v/>
      </c>
      <c r="HG57" s="50" t="str">
        <f t="shared" si="80"/>
        <v/>
      </c>
      <c r="HH57" s="50" t="str">
        <f t="shared" si="80"/>
        <v/>
      </c>
      <c r="HI57" s="50" t="str">
        <f t="shared" si="80"/>
        <v/>
      </c>
      <c r="HJ57" s="50" t="str">
        <f t="shared" si="80"/>
        <v/>
      </c>
      <c r="HK57" s="50" t="str">
        <f t="shared" si="80"/>
        <v/>
      </c>
      <c r="HL57" s="50" t="str">
        <f t="shared" si="80"/>
        <v/>
      </c>
      <c r="HM57" s="50" t="str">
        <f t="shared" si="80"/>
        <v/>
      </c>
      <c r="HN57" s="50" t="str">
        <f t="shared" si="78"/>
        <v/>
      </c>
      <c r="HO57" s="50" t="str">
        <f t="shared" si="78"/>
        <v/>
      </c>
      <c r="HP57" s="50" t="str">
        <f t="shared" si="78"/>
        <v/>
      </c>
      <c r="HQ57" s="50" t="str">
        <f t="shared" si="78"/>
        <v/>
      </c>
      <c r="HR57" s="112" t="str">
        <f t="shared" si="78"/>
        <v/>
      </c>
    </row>
    <row r="58" spans="1:226" ht="11.1" customHeight="1" x14ac:dyDescent="0.25">
      <c r="A58" s="26">
        <v>67</v>
      </c>
      <c r="B58" s="27">
        <v>61</v>
      </c>
      <c r="C58" s="28" t="str">
        <f>IF(A58=0,"",VLOOKUP(A58,[2]CO!$A$3:$F$5327,2,0))</f>
        <v>CERRILLOS LARA JOSÉ</v>
      </c>
      <c r="D58" s="29"/>
      <c r="E58" s="29"/>
      <c r="F58" s="29"/>
      <c r="G58" s="30" t="str">
        <f>IF(A58=0,"",VLOOKUP(A58,[2]CO!$A$3:$F$5327,3,0))</f>
        <v>RESID</v>
      </c>
      <c r="H58" s="95"/>
      <c r="I58" s="31"/>
      <c r="J58" s="31"/>
      <c r="K58" s="31"/>
      <c r="L58" s="31">
        <v>7</v>
      </c>
      <c r="M58" s="32">
        <f t="shared" si="68"/>
        <v>7</v>
      </c>
      <c r="N58" s="32">
        <f>IF(B58=0,"",IF(H58="M",HLOOKUP(B58,$Y$12:$DT$13,2),IF(A58=0,"",VLOOKUP(A58,[2]CO!$A$3:$F$5327,4,0))))</f>
        <v>2991.49</v>
      </c>
      <c r="O58" s="32">
        <f t="shared" si="7"/>
        <v>20940.43</v>
      </c>
      <c r="P58" s="33">
        <v>61</v>
      </c>
      <c r="Q58" s="34">
        <f t="shared" si="69"/>
        <v>20940.43</v>
      </c>
      <c r="R58" s="35">
        <f>IF(S58=0,"",IF(OR(G58="PEON",G58="OF",G58="JARD",G58="CARP",G58="MAESTRO",G58="SOLD",G58="BGRO",G58="CHOFER",G58="AYTE",G58="S.INTTE.",G58="ASEO",G58="P.PISOS",G58="VELADOR",G58="RESID",G58="PINTOR",G58="ELECT",G58="AZULE",G58="AUX CONT.",G58="SECRETARIA",G58="AUXILIAR ADMTVO.",G58="ARQUITECTO",G58="DIBUJANTE",G58="AUX. DE RESIDENTE",G58="TOPOGRAFIA"),VLOOKUP(B58,P$14:Q$84,2),"")*S58)</f>
        <v>20940.43</v>
      </c>
      <c r="S58" s="118">
        <v>1</v>
      </c>
      <c r="T58" s="53">
        <f>IF(A58=0,"",VLOOKUP(A58,[2]CO!$A$3:$F$5318,5,0))</f>
        <v>0</v>
      </c>
      <c r="U58" s="54">
        <f t="shared" si="70"/>
        <v>0</v>
      </c>
      <c r="V58" s="24"/>
      <c r="W58" s="25"/>
      <c r="X58" s="25"/>
      <c r="Y58" s="64" t="str">
        <f t="shared" si="71"/>
        <v/>
      </c>
      <c r="Z58" s="55" t="str">
        <f t="shared" si="71"/>
        <v/>
      </c>
      <c r="AA58" s="55" t="str">
        <f t="shared" si="71"/>
        <v/>
      </c>
      <c r="AB58" s="55" t="str">
        <f t="shared" si="71"/>
        <v/>
      </c>
      <c r="AC58" s="55" t="str">
        <f t="shared" si="71"/>
        <v/>
      </c>
      <c r="AD58" s="55" t="str">
        <f t="shared" si="71"/>
        <v/>
      </c>
      <c r="AE58" s="55" t="str">
        <f t="shared" si="71"/>
        <v/>
      </c>
      <c r="AF58" s="55" t="str">
        <f t="shared" si="71"/>
        <v/>
      </c>
      <c r="AG58" s="55" t="str">
        <f t="shared" si="71"/>
        <v/>
      </c>
      <c r="AH58" s="55" t="str">
        <f t="shared" si="71"/>
        <v/>
      </c>
      <c r="AI58" s="55" t="str">
        <f t="shared" si="71"/>
        <v/>
      </c>
      <c r="AJ58" s="55" t="str">
        <f t="shared" si="71"/>
        <v/>
      </c>
      <c r="AK58" s="55" t="str">
        <f t="shared" si="71"/>
        <v/>
      </c>
      <c r="AL58" s="55" t="str">
        <f t="shared" si="71"/>
        <v/>
      </c>
      <c r="AM58" s="55" t="str">
        <f t="shared" si="71"/>
        <v/>
      </c>
      <c r="AN58" s="55" t="str">
        <f t="shared" si="71"/>
        <v/>
      </c>
      <c r="AO58" s="55" t="str">
        <f t="shared" ref="AO58:BD65" si="81">IF($B58=AO$12,$U58,"")</f>
        <v/>
      </c>
      <c r="AP58" s="55" t="str">
        <f t="shared" si="81"/>
        <v/>
      </c>
      <c r="AQ58" s="55" t="str">
        <f t="shared" si="81"/>
        <v/>
      </c>
      <c r="AR58" s="55" t="str">
        <f t="shared" si="81"/>
        <v/>
      </c>
      <c r="AS58" s="55" t="str">
        <f t="shared" si="81"/>
        <v/>
      </c>
      <c r="AT58" s="55" t="str">
        <f t="shared" si="81"/>
        <v/>
      </c>
      <c r="AU58" s="55" t="str">
        <f t="shared" si="81"/>
        <v/>
      </c>
      <c r="AV58" s="55" t="str">
        <f t="shared" si="81"/>
        <v/>
      </c>
      <c r="AW58" s="55" t="str">
        <f t="shared" si="81"/>
        <v/>
      </c>
      <c r="AX58" s="55" t="str">
        <f t="shared" si="81"/>
        <v/>
      </c>
      <c r="AY58" s="55" t="str">
        <f t="shared" si="81"/>
        <v/>
      </c>
      <c r="AZ58" s="55" t="str">
        <f t="shared" si="81"/>
        <v/>
      </c>
      <c r="BA58" s="55" t="str">
        <f t="shared" si="81"/>
        <v/>
      </c>
      <c r="BB58" s="55" t="str">
        <f t="shared" si="81"/>
        <v/>
      </c>
      <c r="BC58" s="55" t="str">
        <f t="shared" si="81"/>
        <v/>
      </c>
      <c r="BD58" s="55" t="str">
        <f t="shared" si="81"/>
        <v/>
      </c>
      <c r="BE58" s="55" t="str">
        <f t="shared" ref="BE58:CY65" si="82">IF($B58=BE$12,$U58,"")</f>
        <v/>
      </c>
      <c r="BF58" s="55" t="str">
        <f t="shared" si="82"/>
        <v/>
      </c>
      <c r="BG58" s="55" t="str">
        <f t="shared" si="82"/>
        <v/>
      </c>
      <c r="BH58" s="55" t="str">
        <f t="shared" si="82"/>
        <v/>
      </c>
      <c r="BI58" s="55" t="str">
        <f t="shared" si="82"/>
        <v/>
      </c>
      <c r="BJ58" s="55" t="str">
        <f t="shared" si="82"/>
        <v/>
      </c>
      <c r="BK58" s="55" t="str">
        <f t="shared" si="82"/>
        <v/>
      </c>
      <c r="BL58" s="55" t="str">
        <f t="shared" si="82"/>
        <v/>
      </c>
      <c r="BM58" s="55" t="str">
        <f t="shared" si="82"/>
        <v/>
      </c>
      <c r="BN58" s="55" t="str">
        <f t="shared" si="82"/>
        <v/>
      </c>
      <c r="BO58" s="55" t="str">
        <f t="shared" si="82"/>
        <v/>
      </c>
      <c r="BP58" s="55" t="str">
        <f t="shared" si="82"/>
        <v/>
      </c>
      <c r="BQ58" s="55" t="str">
        <f t="shared" si="82"/>
        <v/>
      </c>
      <c r="BR58" s="55" t="str">
        <f t="shared" si="82"/>
        <v/>
      </c>
      <c r="BS58" s="55" t="str">
        <f t="shared" si="82"/>
        <v/>
      </c>
      <c r="BT58" s="55" t="str">
        <f t="shared" si="82"/>
        <v/>
      </c>
      <c r="BU58" s="55" t="str">
        <f t="shared" si="82"/>
        <v/>
      </c>
      <c r="BV58" s="55" t="str">
        <f t="shared" si="82"/>
        <v/>
      </c>
      <c r="BW58" s="55" t="str">
        <f t="shared" si="82"/>
        <v/>
      </c>
      <c r="BX58" s="55" t="str">
        <f t="shared" si="82"/>
        <v/>
      </c>
      <c r="BY58" s="55" t="str">
        <f t="shared" si="82"/>
        <v/>
      </c>
      <c r="BZ58" s="55" t="str">
        <f t="shared" si="82"/>
        <v/>
      </c>
      <c r="CA58" s="55" t="str">
        <f t="shared" si="82"/>
        <v/>
      </c>
      <c r="CB58" s="55" t="str">
        <f t="shared" si="82"/>
        <v/>
      </c>
      <c r="CC58" s="55" t="str">
        <f t="shared" si="82"/>
        <v/>
      </c>
      <c r="CD58" s="55" t="str">
        <f t="shared" si="82"/>
        <v/>
      </c>
      <c r="CE58" s="55" t="str">
        <f t="shared" si="82"/>
        <v/>
      </c>
      <c r="CF58" s="55" t="str">
        <f t="shared" si="82"/>
        <v/>
      </c>
      <c r="CG58" s="55">
        <f t="shared" si="82"/>
        <v>0</v>
      </c>
      <c r="CH58" s="55" t="str">
        <f t="shared" si="82"/>
        <v/>
      </c>
      <c r="CI58" s="55" t="str">
        <f t="shared" si="82"/>
        <v/>
      </c>
      <c r="CJ58" s="55" t="str">
        <f t="shared" si="82"/>
        <v/>
      </c>
      <c r="CK58" s="55" t="str">
        <f t="shared" si="82"/>
        <v/>
      </c>
      <c r="CL58" s="55" t="str">
        <f t="shared" si="82"/>
        <v/>
      </c>
      <c r="CM58" s="55" t="str">
        <f t="shared" si="82"/>
        <v/>
      </c>
      <c r="CN58" s="55" t="str">
        <f t="shared" si="82"/>
        <v/>
      </c>
      <c r="CO58" s="55" t="str">
        <f t="shared" si="82"/>
        <v/>
      </c>
      <c r="CP58" s="55" t="str">
        <f t="shared" si="82"/>
        <v/>
      </c>
      <c r="CQ58" s="55" t="str">
        <f t="shared" si="82"/>
        <v/>
      </c>
      <c r="CR58" s="55" t="str">
        <f t="shared" si="82"/>
        <v/>
      </c>
      <c r="CS58" s="55" t="str">
        <f t="shared" si="82"/>
        <v/>
      </c>
      <c r="CT58" s="55" t="str">
        <f t="shared" si="82"/>
        <v/>
      </c>
      <c r="CU58" s="55" t="str">
        <f t="shared" si="82"/>
        <v/>
      </c>
      <c r="CV58" s="55" t="str">
        <f t="shared" si="82"/>
        <v/>
      </c>
      <c r="CW58" s="55" t="str">
        <f t="shared" si="82"/>
        <v/>
      </c>
      <c r="CX58" s="55" t="str">
        <f t="shared" si="82"/>
        <v/>
      </c>
      <c r="CY58" s="55" t="str">
        <f t="shared" si="82"/>
        <v/>
      </c>
      <c r="CZ58" s="55" t="str">
        <f t="shared" si="79"/>
        <v/>
      </c>
      <c r="DA58" s="55" t="str">
        <f t="shared" si="79"/>
        <v/>
      </c>
      <c r="DB58" s="55" t="str">
        <f t="shared" si="79"/>
        <v/>
      </c>
      <c r="DC58" s="55" t="str">
        <f t="shared" si="79"/>
        <v/>
      </c>
      <c r="DD58" s="55" t="str">
        <f t="shared" si="79"/>
        <v/>
      </c>
      <c r="DE58" s="55" t="str">
        <f t="shared" si="79"/>
        <v/>
      </c>
      <c r="DF58" s="55" t="str">
        <f t="shared" si="79"/>
        <v/>
      </c>
      <c r="DG58" s="55" t="str">
        <f t="shared" si="79"/>
        <v/>
      </c>
      <c r="DH58" s="55" t="str">
        <f t="shared" si="79"/>
        <v/>
      </c>
      <c r="DI58" s="55" t="str">
        <f t="shared" si="79"/>
        <v/>
      </c>
      <c r="DJ58" s="55" t="str">
        <f t="shared" si="79"/>
        <v/>
      </c>
      <c r="DK58" s="55" t="str">
        <f t="shared" si="73"/>
        <v/>
      </c>
      <c r="DL58" s="55" t="str">
        <f t="shared" si="73"/>
        <v/>
      </c>
      <c r="DM58" s="55" t="str">
        <f t="shared" si="73"/>
        <v/>
      </c>
      <c r="DN58" s="55" t="str">
        <f t="shared" si="73"/>
        <v/>
      </c>
      <c r="DO58" s="55" t="str">
        <f t="shared" si="73"/>
        <v/>
      </c>
      <c r="DP58" s="55" t="str">
        <f t="shared" si="73"/>
        <v/>
      </c>
      <c r="DQ58" s="55" t="str">
        <f t="shared" si="74"/>
        <v/>
      </c>
      <c r="DR58" s="55" t="str">
        <f t="shared" si="74"/>
        <v/>
      </c>
      <c r="DS58" s="55" t="str">
        <f t="shared" si="74"/>
        <v/>
      </c>
      <c r="DT58" s="106" t="str">
        <f t="shared" si="74"/>
        <v/>
      </c>
      <c r="DU58" s="54"/>
      <c r="DV58" s="25"/>
      <c r="DW58" s="61" t="str">
        <f t="shared" si="75"/>
        <v/>
      </c>
      <c r="DX58" s="50" t="str">
        <f t="shared" si="75"/>
        <v/>
      </c>
      <c r="DY58" s="50" t="str">
        <f t="shared" si="75"/>
        <v/>
      </c>
      <c r="DZ58" s="50" t="str">
        <f t="shared" si="75"/>
        <v/>
      </c>
      <c r="EA58" s="50" t="str">
        <f t="shared" si="75"/>
        <v/>
      </c>
      <c r="EB58" s="50" t="str">
        <f t="shared" si="75"/>
        <v/>
      </c>
      <c r="EC58" s="50" t="str">
        <f t="shared" si="75"/>
        <v/>
      </c>
      <c r="ED58" s="50" t="str">
        <f t="shared" si="75"/>
        <v/>
      </c>
      <c r="EE58" s="50" t="str">
        <f t="shared" si="75"/>
        <v/>
      </c>
      <c r="EF58" s="50" t="str">
        <f t="shared" si="75"/>
        <v/>
      </c>
      <c r="EG58" s="50" t="str">
        <f t="shared" si="75"/>
        <v/>
      </c>
      <c r="EH58" s="50" t="str">
        <f t="shared" si="75"/>
        <v/>
      </c>
      <c r="EI58" s="50" t="str">
        <f t="shared" si="75"/>
        <v/>
      </c>
      <c r="EJ58" s="50" t="str">
        <f t="shared" si="75"/>
        <v/>
      </c>
      <c r="EK58" s="50" t="str">
        <f t="shared" si="75"/>
        <v/>
      </c>
      <c r="EL58" s="50" t="str">
        <f t="shared" si="75"/>
        <v/>
      </c>
      <c r="EM58" s="50" t="str">
        <f t="shared" ref="EM58:FB65" si="83">IF($B58=EM$12,$O58,"")</f>
        <v/>
      </c>
      <c r="EN58" s="50" t="str">
        <f t="shared" si="83"/>
        <v/>
      </c>
      <c r="EO58" s="50" t="str">
        <f t="shared" si="83"/>
        <v/>
      </c>
      <c r="EP58" s="50" t="str">
        <f t="shared" si="83"/>
        <v/>
      </c>
      <c r="EQ58" s="50" t="str">
        <f t="shared" si="83"/>
        <v/>
      </c>
      <c r="ER58" s="50" t="str">
        <f t="shared" si="83"/>
        <v/>
      </c>
      <c r="ES58" s="50" t="str">
        <f t="shared" si="83"/>
        <v/>
      </c>
      <c r="ET58" s="50" t="str">
        <f t="shared" si="83"/>
        <v/>
      </c>
      <c r="EU58" s="50" t="str">
        <f t="shared" si="83"/>
        <v/>
      </c>
      <c r="EV58" s="50" t="str">
        <f t="shared" si="83"/>
        <v/>
      </c>
      <c r="EW58" s="50" t="str">
        <f t="shared" si="83"/>
        <v/>
      </c>
      <c r="EX58" s="50" t="str">
        <f t="shared" si="83"/>
        <v/>
      </c>
      <c r="EY58" s="50" t="str">
        <f t="shared" si="83"/>
        <v/>
      </c>
      <c r="EZ58" s="50" t="str">
        <f t="shared" si="83"/>
        <v/>
      </c>
      <c r="FA58" s="50" t="str">
        <f t="shared" si="83"/>
        <v/>
      </c>
      <c r="FB58" s="50" t="str">
        <f t="shared" si="83"/>
        <v/>
      </c>
      <c r="FC58" s="50" t="str">
        <f t="shared" ref="FC58:GW65" si="84">IF($B58=FC$12,$O58,"")</f>
        <v/>
      </c>
      <c r="FD58" s="50" t="str">
        <f t="shared" si="84"/>
        <v/>
      </c>
      <c r="FE58" s="50" t="str">
        <f t="shared" si="84"/>
        <v/>
      </c>
      <c r="FF58" s="50" t="str">
        <f t="shared" si="84"/>
        <v/>
      </c>
      <c r="FG58" s="50" t="str">
        <f t="shared" si="84"/>
        <v/>
      </c>
      <c r="FH58" s="50" t="str">
        <f t="shared" si="84"/>
        <v/>
      </c>
      <c r="FI58" s="50" t="str">
        <f t="shared" si="84"/>
        <v/>
      </c>
      <c r="FJ58" s="50" t="str">
        <f t="shared" si="84"/>
        <v/>
      </c>
      <c r="FK58" s="50" t="str">
        <f t="shared" si="84"/>
        <v/>
      </c>
      <c r="FL58" s="50" t="str">
        <f t="shared" si="84"/>
        <v/>
      </c>
      <c r="FM58" s="50" t="str">
        <f t="shared" si="84"/>
        <v/>
      </c>
      <c r="FN58" s="50" t="str">
        <f t="shared" si="84"/>
        <v/>
      </c>
      <c r="FO58" s="50" t="str">
        <f t="shared" si="84"/>
        <v/>
      </c>
      <c r="FP58" s="50" t="str">
        <f t="shared" si="84"/>
        <v/>
      </c>
      <c r="FQ58" s="50" t="str">
        <f t="shared" si="84"/>
        <v/>
      </c>
      <c r="FR58" s="50" t="str">
        <f t="shared" si="84"/>
        <v/>
      </c>
      <c r="FS58" s="50" t="str">
        <f t="shared" si="84"/>
        <v/>
      </c>
      <c r="FT58" s="50" t="str">
        <f t="shared" si="84"/>
        <v/>
      </c>
      <c r="FU58" s="50" t="str">
        <f t="shared" si="84"/>
        <v/>
      </c>
      <c r="FV58" s="50" t="str">
        <f t="shared" si="84"/>
        <v/>
      </c>
      <c r="FW58" s="50" t="str">
        <f t="shared" si="84"/>
        <v/>
      </c>
      <c r="FX58" s="50" t="str">
        <f t="shared" si="84"/>
        <v/>
      </c>
      <c r="FY58" s="50" t="str">
        <f t="shared" si="84"/>
        <v/>
      </c>
      <c r="FZ58" s="50" t="str">
        <f t="shared" si="84"/>
        <v/>
      </c>
      <c r="GA58" s="50" t="str">
        <f t="shared" si="84"/>
        <v/>
      </c>
      <c r="GB58" s="50" t="str">
        <f t="shared" si="84"/>
        <v/>
      </c>
      <c r="GC58" s="50" t="str">
        <f t="shared" si="84"/>
        <v/>
      </c>
      <c r="GD58" s="50" t="str">
        <f t="shared" si="84"/>
        <v/>
      </c>
      <c r="GE58" s="50">
        <f t="shared" si="84"/>
        <v>20940.43</v>
      </c>
      <c r="GF58" s="50" t="str">
        <f t="shared" si="84"/>
        <v/>
      </c>
      <c r="GG58" s="50" t="str">
        <f t="shared" si="84"/>
        <v/>
      </c>
      <c r="GH58" s="50" t="str">
        <f t="shared" si="84"/>
        <v/>
      </c>
      <c r="GI58" s="50" t="str">
        <f t="shared" si="84"/>
        <v/>
      </c>
      <c r="GJ58" s="50" t="str">
        <f t="shared" si="84"/>
        <v/>
      </c>
      <c r="GK58" s="50" t="str">
        <f t="shared" si="84"/>
        <v/>
      </c>
      <c r="GL58" s="50" t="str">
        <f t="shared" si="84"/>
        <v/>
      </c>
      <c r="GM58" s="50" t="str">
        <f t="shared" si="84"/>
        <v/>
      </c>
      <c r="GN58" s="50" t="str">
        <f t="shared" si="84"/>
        <v/>
      </c>
      <c r="GO58" s="50" t="str">
        <f t="shared" si="84"/>
        <v/>
      </c>
      <c r="GP58" s="50" t="str">
        <f t="shared" si="84"/>
        <v/>
      </c>
      <c r="GQ58" s="50" t="str">
        <f t="shared" si="84"/>
        <v/>
      </c>
      <c r="GR58" s="50" t="str">
        <f t="shared" si="84"/>
        <v/>
      </c>
      <c r="GS58" s="50" t="str">
        <f t="shared" si="84"/>
        <v/>
      </c>
      <c r="GT58" s="50" t="str">
        <f t="shared" si="84"/>
        <v/>
      </c>
      <c r="GU58" s="50" t="str">
        <f t="shared" si="84"/>
        <v/>
      </c>
      <c r="GV58" s="50" t="str">
        <f t="shared" si="84"/>
        <v/>
      </c>
      <c r="GW58" s="50" t="str">
        <f t="shared" si="84"/>
        <v/>
      </c>
      <c r="GX58" s="50" t="str">
        <f t="shared" si="80"/>
        <v/>
      </c>
      <c r="GY58" s="50" t="str">
        <f t="shared" si="80"/>
        <v/>
      </c>
      <c r="GZ58" s="50" t="str">
        <f t="shared" si="80"/>
        <v/>
      </c>
      <c r="HA58" s="50" t="str">
        <f t="shared" si="80"/>
        <v/>
      </c>
      <c r="HB58" s="50" t="str">
        <f t="shared" si="80"/>
        <v/>
      </c>
      <c r="HC58" s="50" t="str">
        <f t="shared" si="80"/>
        <v/>
      </c>
      <c r="HD58" s="50" t="str">
        <f t="shared" si="80"/>
        <v/>
      </c>
      <c r="HE58" s="50" t="str">
        <f t="shared" si="80"/>
        <v/>
      </c>
      <c r="HF58" s="50" t="str">
        <f t="shared" si="80"/>
        <v/>
      </c>
      <c r="HG58" s="50" t="str">
        <f t="shared" si="80"/>
        <v/>
      </c>
      <c r="HH58" s="50" t="str">
        <f t="shared" si="80"/>
        <v/>
      </c>
      <c r="HI58" s="50" t="str">
        <f t="shared" si="80"/>
        <v/>
      </c>
      <c r="HJ58" s="50" t="str">
        <f t="shared" si="80"/>
        <v/>
      </c>
      <c r="HK58" s="50" t="str">
        <f t="shared" si="80"/>
        <v/>
      </c>
      <c r="HL58" s="50" t="str">
        <f t="shared" si="80"/>
        <v/>
      </c>
      <c r="HM58" s="50" t="str">
        <f t="shared" si="80"/>
        <v/>
      </c>
      <c r="HN58" s="50" t="str">
        <f t="shared" si="78"/>
        <v/>
      </c>
      <c r="HO58" s="50" t="str">
        <f t="shared" si="78"/>
        <v/>
      </c>
      <c r="HP58" s="50" t="str">
        <f t="shared" si="78"/>
        <v/>
      </c>
      <c r="HQ58" s="50" t="str">
        <f t="shared" si="78"/>
        <v/>
      </c>
      <c r="HR58" s="112" t="str">
        <f t="shared" si="78"/>
        <v/>
      </c>
    </row>
    <row r="59" spans="1:226" ht="11.1" customHeight="1" x14ac:dyDescent="0.25">
      <c r="A59" s="26"/>
      <c r="B59" s="27"/>
      <c r="C59" s="28" t="str">
        <f>IF(A59=0,"",VLOOKUP(A59,[2]CO!$A$3:$F$5327,2,0))</f>
        <v/>
      </c>
      <c r="D59" s="29" t="s">
        <v>46</v>
      </c>
      <c r="E59" s="29"/>
      <c r="F59" s="29"/>
      <c r="G59" s="30" t="str">
        <f>IF(A59=0,"",VLOOKUP(A59,[2]CO!$A$3:$F$5327,3,0))</f>
        <v/>
      </c>
      <c r="H59" s="95"/>
      <c r="I59" s="31"/>
      <c r="J59" s="31"/>
      <c r="K59" s="31"/>
      <c r="L59" s="31"/>
      <c r="M59" s="32" t="str">
        <f t="shared" si="68"/>
        <v/>
      </c>
      <c r="N59" s="32" t="str">
        <f>IF(B59=0,"",IF(H59="M",HLOOKUP(B59,$Y$12:$DT$13,2),IF(A59=0,"",VLOOKUP(A59,[2]CO!$A$3:$F$5327,4,0))))</f>
        <v/>
      </c>
      <c r="O59" s="32" t="str">
        <f t="shared" si="7"/>
        <v/>
      </c>
      <c r="P59" s="33"/>
      <c r="Q59" s="34" t="str">
        <f t="shared" si="69"/>
        <v/>
      </c>
      <c r="R59" s="35" t="str">
        <f>IF(S59=0,"",IF(OR(G59="PEON",G59="OF",G59="JARD",G59="CARP",G59="MAESTRO",G59="SOLD",G59="BGRO",G59="CHOFER",G59="AYTE",G59="S.INTTE.",G59="ASEO",G59="P.PISOS",G59="VELADOR",G59="RESID",G59="PINTOR",G59="ELECT",G59="AZULE",G59="AUX CONT.",G59="SECRETARIA",G59="AUXILIAR ADMTVO.",G59="ARQUITECTO",G59="DIBUJANTE",G59="AUX. DE RESIDENTE",G59="TOPOGRAFIA"),VLOOKUP(B59,P$14:Q$84,2),"")*S59)</f>
        <v/>
      </c>
      <c r="T59" s="53" t="str">
        <f>IF(A59=0,"",VLOOKUP(A59,[2]CO!$A$3:$F$5318,5,0))</f>
        <v/>
      </c>
      <c r="U59" s="54">
        <f t="shared" si="70"/>
        <v>0</v>
      </c>
      <c r="V59" s="24"/>
      <c r="W59" s="25"/>
      <c r="X59" s="25"/>
      <c r="Y59" s="64" t="str">
        <f t="shared" si="71"/>
        <v/>
      </c>
      <c r="Z59" s="55" t="str">
        <f t="shared" si="71"/>
        <v/>
      </c>
      <c r="AA59" s="55" t="str">
        <f t="shared" si="71"/>
        <v/>
      </c>
      <c r="AB59" s="55" t="str">
        <f t="shared" si="71"/>
        <v/>
      </c>
      <c r="AC59" s="55" t="str">
        <f t="shared" si="71"/>
        <v/>
      </c>
      <c r="AD59" s="55" t="str">
        <f t="shared" si="71"/>
        <v/>
      </c>
      <c r="AE59" s="55" t="str">
        <f t="shared" si="71"/>
        <v/>
      </c>
      <c r="AF59" s="55" t="str">
        <f t="shared" si="71"/>
        <v/>
      </c>
      <c r="AG59" s="55" t="str">
        <f t="shared" si="71"/>
        <v/>
      </c>
      <c r="AH59" s="55" t="str">
        <f t="shared" si="71"/>
        <v/>
      </c>
      <c r="AI59" s="55" t="str">
        <f t="shared" si="71"/>
        <v/>
      </c>
      <c r="AJ59" s="55" t="str">
        <f t="shared" si="71"/>
        <v/>
      </c>
      <c r="AK59" s="55" t="str">
        <f t="shared" si="71"/>
        <v/>
      </c>
      <c r="AL59" s="55" t="str">
        <f t="shared" si="71"/>
        <v/>
      </c>
      <c r="AM59" s="55" t="str">
        <f t="shared" si="71"/>
        <v/>
      </c>
      <c r="AN59" s="55" t="str">
        <f t="shared" si="71"/>
        <v/>
      </c>
      <c r="AO59" s="55" t="str">
        <f t="shared" si="81"/>
        <v/>
      </c>
      <c r="AP59" s="55" t="str">
        <f t="shared" si="81"/>
        <v/>
      </c>
      <c r="AQ59" s="55" t="str">
        <f t="shared" si="81"/>
        <v/>
      </c>
      <c r="AR59" s="55" t="str">
        <f t="shared" si="81"/>
        <v/>
      </c>
      <c r="AS59" s="55" t="str">
        <f t="shared" si="81"/>
        <v/>
      </c>
      <c r="AT59" s="55" t="str">
        <f t="shared" si="81"/>
        <v/>
      </c>
      <c r="AU59" s="55" t="str">
        <f t="shared" si="81"/>
        <v/>
      </c>
      <c r="AV59" s="55" t="str">
        <f t="shared" si="81"/>
        <v/>
      </c>
      <c r="AW59" s="55" t="str">
        <f t="shared" si="81"/>
        <v/>
      </c>
      <c r="AX59" s="55" t="str">
        <f t="shared" si="81"/>
        <v/>
      </c>
      <c r="AY59" s="55" t="str">
        <f t="shared" si="81"/>
        <v/>
      </c>
      <c r="AZ59" s="55" t="str">
        <f t="shared" si="81"/>
        <v/>
      </c>
      <c r="BA59" s="55" t="str">
        <f t="shared" si="81"/>
        <v/>
      </c>
      <c r="BB59" s="55" t="str">
        <f t="shared" si="81"/>
        <v/>
      </c>
      <c r="BC59" s="55" t="str">
        <f t="shared" si="81"/>
        <v/>
      </c>
      <c r="BD59" s="55" t="str">
        <f t="shared" si="81"/>
        <v/>
      </c>
      <c r="BE59" s="55" t="str">
        <f t="shared" si="82"/>
        <v/>
      </c>
      <c r="BF59" s="55" t="str">
        <f t="shared" si="82"/>
        <v/>
      </c>
      <c r="BG59" s="55" t="str">
        <f t="shared" si="82"/>
        <v/>
      </c>
      <c r="BH59" s="55" t="str">
        <f t="shared" si="82"/>
        <v/>
      </c>
      <c r="BI59" s="55" t="str">
        <f t="shared" si="82"/>
        <v/>
      </c>
      <c r="BJ59" s="55" t="str">
        <f t="shared" si="82"/>
        <v/>
      </c>
      <c r="BK59" s="55" t="str">
        <f t="shared" si="82"/>
        <v/>
      </c>
      <c r="BL59" s="55" t="str">
        <f t="shared" si="82"/>
        <v/>
      </c>
      <c r="BM59" s="55" t="str">
        <f t="shared" si="82"/>
        <v/>
      </c>
      <c r="BN59" s="55" t="str">
        <f t="shared" si="82"/>
        <v/>
      </c>
      <c r="BO59" s="55" t="str">
        <f t="shared" si="82"/>
        <v/>
      </c>
      <c r="BP59" s="55" t="str">
        <f t="shared" si="82"/>
        <v/>
      </c>
      <c r="BQ59" s="55" t="str">
        <f t="shared" si="82"/>
        <v/>
      </c>
      <c r="BR59" s="55" t="str">
        <f t="shared" si="82"/>
        <v/>
      </c>
      <c r="BS59" s="55" t="str">
        <f t="shared" si="82"/>
        <v/>
      </c>
      <c r="BT59" s="55" t="str">
        <f t="shared" si="82"/>
        <v/>
      </c>
      <c r="BU59" s="55" t="str">
        <f t="shared" si="82"/>
        <v/>
      </c>
      <c r="BV59" s="55" t="str">
        <f t="shared" si="82"/>
        <v/>
      </c>
      <c r="BW59" s="55" t="str">
        <f t="shared" si="82"/>
        <v/>
      </c>
      <c r="BX59" s="55" t="str">
        <f t="shared" si="82"/>
        <v/>
      </c>
      <c r="BY59" s="55" t="str">
        <f t="shared" si="82"/>
        <v/>
      </c>
      <c r="BZ59" s="55" t="str">
        <f t="shared" si="82"/>
        <v/>
      </c>
      <c r="CA59" s="55" t="str">
        <f t="shared" si="82"/>
        <v/>
      </c>
      <c r="CB59" s="55" t="str">
        <f t="shared" si="82"/>
        <v/>
      </c>
      <c r="CC59" s="55" t="str">
        <f t="shared" si="82"/>
        <v/>
      </c>
      <c r="CD59" s="55" t="str">
        <f t="shared" si="82"/>
        <v/>
      </c>
      <c r="CE59" s="55" t="str">
        <f t="shared" si="82"/>
        <v/>
      </c>
      <c r="CF59" s="55" t="str">
        <f t="shared" si="82"/>
        <v/>
      </c>
      <c r="CG59" s="55" t="str">
        <f t="shared" si="82"/>
        <v/>
      </c>
      <c r="CH59" s="55" t="str">
        <f t="shared" si="82"/>
        <v/>
      </c>
      <c r="CI59" s="55" t="str">
        <f t="shared" si="82"/>
        <v/>
      </c>
      <c r="CJ59" s="55" t="str">
        <f t="shared" si="82"/>
        <v/>
      </c>
      <c r="CK59" s="55" t="str">
        <f t="shared" si="82"/>
        <v/>
      </c>
      <c r="CL59" s="55" t="str">
        <f t="shared" si="82"/>
        <v/>
      </c>
      <c r="CM59" s="55" t="str">
        <f t="shared" si="82"/>
        <v/>
      </c>
      <c r="CN59" s="55" t="str">
        <f t="shared" si="82"/>
        <v/>
      </c>
      <c r="CO59" s="55" t="str">
        <f t="shared" si="82"/>
        <v/>
      </c>
      <c r="CP59" s="55" t="str">
        <f t="shared" si="82"/>
        <v/>
      </c>
      <c r="CQ59" s="55" t="str">
        <f t="shared" si="82"/>
        <v/>
      </c>
      <c r="CR59" s="55" t="str">
        <f t="shared" si="82"/>
        <v/>
      </c>
      <c r="CS59" s="55" t="str">
        <f t="shared" si="82"/>
        <v/>
      </c>
      <c r="CT59" s="55" t="str">
        <f t="shared" si="82"/>
        <v/>
      </c>
      <c r="CU59" s="55" t="str">
        <f t="shared" si="82"/>
        <v/>
      </c>
      <c r="CV59" s="55" t="str">
        <f t="shared" si="82"/>
        <v/>
      </c>
      <c r="CW59" s="55" t="str">
        <f t="shared" si="82"/>
        <v/>
      </c>
      <c r="CX59" s="55" t="str">
        <f t="shared" si="82"/>
        <v/>
      </c>
      <c r="CY59" s="55" t="str">
        <f t="shared" si="82"/>
        <v/>
      </c>
      <c r="CZ59" s="55" t="str">
        <f t="shared" si="79"/>
        <v/>
      </c>
      <c r="DA59" s="55" t="str">
        <f t="shared" si="79"/>
        <v/>
      </c>
      <c r="DB59" s="55" t="str">
        <f t="shared" si="79"/>
        <v/>
      </c>
      <c r="DC59" s="55" t="str">
        <f t="shared" si="79"/>
        <v/>
      </c>
      <c r="DD59" s="55" t="str">
        <f t="shared" si="79"/>
        <v/>
      </c>
      <c r="DE59" s="55" t="str">
        <f t="shared" si="79"/>
        <v/>
      </c>
      <c r="DF59" s="55" t="str">
        <f t="shared" si="79"/>
        <v/>
      </c>
      <c r="DG59" s="55" t="str">
        <f t="shared" si="79"/>
        <v/>
      </c>
      <c r="DH59" s="55" t="str">
        <f t="shared" si="79"/>
        <v/>
      </c>
      <c r="DI59" s="55" t="str">
        <f t="shared" si="79"/>
        <v/>
      </c>
      <c r="DJ59" s="55" t="str">
        <f t="shared" si="79"/>
        <v/>
      </c>
      <c r="DK59" s="55" t="str">
        <f t="shared" si="73"/>
        <v/>
      </c>
      <c r="DL59" s="55" t="str">
        <f t="shared" si="73"/>
        <v/>
      </c>
      <c r="DM59" s="55" t="str">
        <f t="shared" si="73"/>
        <v/>
      </c>
      <c r="DN59" s="55" t="str">
        <f t="shared" si="73"/>
        <v/>
      </c>
      <c r="DO59" s="55" t="str">
        <f t="shared" si="73"/>
        <v/>
      </c>
      <c r="DP59" s="55" t="str">
        <f t="shared" si="73"/>
        <v/>
      </c>
      <c r="DQ59" s="55" t="str">
        <f t="shared" si="74"/>
        <v/>
      </c>
      <c r="DR59" s="55" t="str">
        <f t="shared" si="74"/>
        <v/>
      </c>
      <c r="DS59" s="55" t="str">
        <f t="shared" si="74"/>
        <v/>
      </c>
      <c r="DT59" s="106" t="str">
        <f t="shared" si="74"/>
        <v/>
      </c>
      <c r="DU59" s="54"/>
      <c r="DV59" s="25"/>
      <c r="DW59" s="61" t="str">
        <f t="shared" si="75"/>
        <v/>
      </c>
      <c r="DX59" s="50" t="str">
        <f t="shared" si="75"/>
        <v/>
      </c>
      <c r="DY59" s="50" t="str">
        <f t="shared" si="75"/>
        <v/>
      </c>
      <c r="DZ59" s="50" t="str">
        <f t="shared" si="75"/>
        <v/>
      </c>
      <c r="EA59" s="50" t="str">
        <f t="shared" si="75"/>
        <v/>
      </c>
      <c r="EB59" s="50" t="str">
        <f t="shared" si="75"/>
        <v/>
      </c>
      <c r="EC59" s="50" t="str">
        <f t="shared" si="75"/>
        <v/>
      </c>
      <c r="ED59" s="50" t="str">
        <f t="shared" si="75"/>
        <v/>
      </c>
      <c r="EE59" s="50" t="str">
        <f t="shared" si="75"/>
        <v/>
      </c>
      <c r="EF59" s="50" t="str">
        <f t="shared" si="75"/>
        <v/>
      </c>
      <c r="EG59" s="50" t="str">
        <f t="shared" si="75"/>
        <v/>
      </c>
      <c r="EH59" s="50" t="str">
        <f t="shared" si="75"/>
        <v/>
      </c>
      <c r="EI59" s="50" t="str">
        <f t="shared" si="75"/>
        <v/>
      </c>
      <c r="EJ59" s="50" t="str">
        <f t="shared" si="75"/>
        <v/>
      </c>
      <c r="EK59" s="50" t="str">
        <f t="shared" si="75"/>
        <v/>
      </c>
      <c r="EL59" s="50" t="str">
        <f t="shared" si="75"/>
        <v/>
      </c>
      <c r="EM59" s="50" t="str">
        <f t="shared" si="83"/>
        <v/>
      </c>
      <c r="EN59" s="50" t="str">
        <f t="shared" si="83"/>
        <v/>
      </c>
      <c r="EO59" s="50" t="str">
        <f t="shared" si="83"/>
        <v/>
      </c>
      <c r="EP59" s="50" t="str">
        <f t="shared" si="83"/>
        <v/>
      </c>
      <c r="EQ59" s="50" t="str">
        <f t="shared" si="83"/>
        <v/>
      </c>
      <c r="ER59" s="50" t="str">
        <f t="shared" si="83"/>
        <v/>
      </c>
      <c r="ES59" s="50" t="str">
        <f t="shared" si="83"/>
        <v/>
      </c>
      <c r="ET59" s="50" t="str">
        <f t="shared" si="83"/>
        <v/>
      </c>
      <c r="EU59" s="50" t="str">
        <f t="shared" si="83"/>
        <v/>
      </c>
      <c r="EV59" s="50" t="str">
        <f t="shared" si="83"/>
        <v/>
      </c>
      <c r="EW59" s="50" t="str">
        <f t="shared" si="83"/>
        <v/>
      </c>
      <c r="EX59" s="50" t="str">
        <f t="shared" si="83"/>
        <v/>
      </c>
      <c r="EY59" s="50" t="str">
        <f t="shared" si="83"/>
        <v/>
      </c>
      <c r="EZ59" s="50" t="str">
        <f t="shared" si="83"/>
        <v/>
      </c>
      <c r="FA59" s="50" t="str">
        <f t="shared" si="83"/>
        <v/>
      </c>
      <c r="FB59" s="50" t="str">
        <f t="shared" si="83"/>
        <v/>
      </c>
      <c r="FC59" s="50" t="str">
        <f t="shared" si="84"/>
        <v/>
      </c>
      <c r="FD59" s="50" t="str">
        <f t="shared" si="84"/>
        <v/>
      </c>
      <c r="FE59" s="50" t="str">
        <f t="shared" si="84"/>
        <v/>
      </c>
      <c r="FF59" s="50" t="str">
        <f t="shared" si="84"/>
        <v/>
      </c>
      <c r="FG59" s="50" t="str">
        <f t="shared" si="84"/>
        <v/>
      </c>
      <c r="FH59" s="50" t="str">
        <f t="shared" si="84"/>
        <v/>
      </c>
      <c r="FI59" s="50" t="str">
        <f t="shared" si="84"/>
        <v/>
      </c>
      <c r="FJ59" s="50" t="str">
        <f t="shared" si="84"/>
        <v/>
      </c>
      <c r="FK59" s="50" t="str">
        <f t="shared" si="84"/>
        <v/>
      </c>
      <c r="FL59" s="50" t="str">
        <f t="shared" si="84"/>
        <v/>
      </c>
      <c r="FM59" s="50" t="str">
        <f t="shared" si="84"/>
        <v/>
      </c>
      <c r="FN59" s="50" t="str">
        <f t="shared" si="84"/>
        <v/>
      </c>
      <c r="FO59" s="50" t="str">
        <f t="shared" si="84"/>
        <v/>
      </c>
      <c r="FP59" s="50" t="str">
        <f t="shared" si="84"/>
        <v/>
      </c>
      <c r="FQ59" s="50" t="str">
        <f t="shared" si="84"/>
        <v/>
      </c>
      <c r="FR59" s="50" t="str">
        <f t="shared" si="84"/>
        <v/>
      </c>
      <c r="FS59" s="50" t="str">
        <f t="shared" si="84"/>
        <v/>
      </c>
      <c r="FT59" s="50" t="str">
        <f t="shared" si="84"/>
        <v/>
      </c>
      <c r="FU59" s="50" t="str">
        <f t="shared" si="84"/>
        <v/>
      </c>
      <c r="FV59" s="50" t="str">
        <f t="shared" si="84"/>
        <v/>
      </c>
      <c r="FW59" s="50" t="str">
        <f t="shared" si="84"/>
        <v/>
      </c>
      <c r="FX59" s="50" t="str">
        <f t="shared" si="84"/>
        <v/>
      </c>
      <c r="FY59" s="50" t="str">
        <f t="shared" si="84"/>
        <v/>
      </c>
      <c r="FZ59" s="50" t="str">
        <f t="shared" si="84"/>
        <v/>
      </c>
      <c r="GA59" s="50" t="str">
        <f t="shared" si="84"/>
        <v/>
      </c>
      <c r="GB59" s="50" t="str">
        <f t="shared" si="84"/>
        <v/>
      </c>
      <c r="GC59" s="50" t="str">
        <f t="shared" si="84"/>
        <v/>
      </c>
      <c r="GD59" s="50" t="str">
        <f t="shared" si="84"/>
        <v/>
      </c>
      <c r="GE59" s="50" t="str">
        <f t="shared" si="84"/>
        <v/>
      </c>
      <c r="GF59" s="50" t="str">
        <f t="shared" si="84"/>
        <v/>
      </c>
      <c r="GG59" s="50" t="str">
        <f t="shared" si="84"/>
        <v/>
      </c>
      <c r="GH59" s="50" t="str">
        <f t="shared" si="84"/>
        <v/>
      </c>
      <c r="GI59" s="50" t="str">
        <f t="shared" si="84"/>
        <v/>
      </c>
      <c r="GJ59" s="50" t="str">
        <f t="shared" si="84"/>
        <v/>
      </c>
      <c r="GK59" s="50" t="str">
        <f t="shared" si="84"/>
        <v/>
      </c>
      <c r="GL59" s="50" t="str">
        <f t="shared" si="84"/>
        <v/>
      </c>
      <c r="GM59" s="50" t="str">
        <f t="shared" si="84"/>
        <v/>
      </c>
      <c r="GN59" s="50" t="str">
        <f t="shared" si="84"/>
        <v/>
      </c>
      <c r="GO59" s="50" t="str">
        <f t="shared" si="84"/>
        <v/>
      </c>
      <c r="GP59" s="50" t="str">
        <f t="shared" si="84"/>
        <v/>
      </c>
      <c r="GQ59" s="50" t="str">
        <f t="shared" si="84"/>
        <v/>
      </c>
      <c r="GR59" s="50" t="str">
        <f t="shared" si="84"/>
        <v/>
      </c>
      <c r="GS59" s="50" t="str">
        <f t="shared" si="84"/>
        <v/>
      </c>
      <c r="GT59" s="50" t="str">
        <f t="shared" si="84"/>
        <v/>
      </c>
      <c r="GU59" s="50" t="str">
        <f t="shared" si="84"/>
        <v/>
      </c>
      <c r="GV59" s="50" t="str">
        <f t="shared" si="84"/>
        <v/>
      </c>
      <c r="GW59" s="50" t="str">
        <f t="shared" si="84"/>
        <v/>
      </c>
      <c r="GX59" s="50" t="str">
        <f t="shared" si="80"/>
        <v/>
      </c>
      <c r="GY59" s="50" t="str">
        <f t="shared" si="80"/>
        <v/>
      </c>
      <c r="GZ59" s="50" t="str">
        <f t="shared" si="80"/>
        <v/>
      </c>
      <c r="HA59" s="50" t="str">
        <f t="shared" si="80"/>
        <v/>
      </c>
      <c r="HB59" s="50" t="str">
        <f t="shared" si="80"/>
        <v/>
      </c>
      <c r="HC59" s="50" t="str">
        <f t="shared" si="80"/>
        <v/>
      </c>
      <c r="HD59" s="50" t="str">
        <f t="shared" si="80"/>
        <v/>
      </c>
      <c r="HE59" s="50" t="str">
        <f t="shared" si="80"/>
        <v/>
      </c>
      <c r="HF59" s="50" t="str">
        <f t="shared" si="80"/>
        <v/>
      </c>
      <c r="HG59" s="50" t="str">
        <f t="shared" si="80"/>
        <v/>
      </c>
      <c r="HH59" s="50" t="str">
        <f t="shared" si="80"/>
        <v/>
      </c>
      <c r="HI59" s="50" t="str">
        <f t="shared" si="80"/>
        <v/>
      </c>
      <c r="HJ59" s="50" t="str">
        <f t="shared" si="80"/>
        <v/>
      </c>
      <c r="HK59" s="50" t="str">
        <f t="shared" si="80"/>
        <v/>
      </c>
      <c r="HL59" s="50" t="str">
        <f t="shared" si="80"/>
        <v/>
      </c>
      <c r="HM59" s="50" t="str">
        <f t="shared" si="80"/>
        <v/>
      </c>
      <c r="HN59" s="50" t="str">
        <f t="shared" si="78"/>
        <v/>
      </c>
      <c r="HO59" s="50" t="str">
        <f t="shared" si="78"/>
        <v/>
      </c>
      <c r="HP59" s="50" t="str">
        <f t="shared" si="78"/>
        <v/>
      </c>
      <c r="HQ59" s="50" t="str">
        <f t="shared" si="78"/>
        <v/>
      </c>
      <c r="HR59" s="112" t="str">
        <f t="shared" si="78"/>
        <v/>
      </c>
    </row>
    <row r="60" spans="1:226" ht="11.1" customHeight="1" x14ac:dyDescent="0.25">
      <c r="A60" s="26"/>
      <c r="B60" s="27"/>
      <c r="C60" s="28" t="str">
        <f>IF(A60=0,"",VLOOKUP(A60,[2]CO!$A$3:$F$5327,2,0))</f>
        <v/>
      </c>
      <c r="D60" s="29" t="s">
        <v>47</v>
      </c>
      <c r="E60" s="29"/>
      <c r="F60" s="29"/>
      <c r="G60" s="30" t="str">
        <f>IF(A60=0,"",VLOOKUP(A60,[2]CO!$A$3:$F$5327,3,0))</f>
        <v/>
      </c>
      <c r="H60" s="95"/>
      <c r="I60" s="31"/>
      <c r="J60" s="31"/>
      <c r="K60" s="31"/>
      <c r="L60" s="31"/>
      <c r="M60" s="32" t="str">
        <f t="shared" si="68"/>
        <v/>
      </c>
      <c r="N60" s="32" t="str">
        <f>IF(B60=0,"",IF(H60="M",HLOOKUP(B60,$Y$12:$DT$13,2),IF(A60=0,"",VLOOKUP(A60,[2]CO!$A$3:$F$5327,4,0))))</f>
        <v/>
      </c>
      <c r="O60" s="32" t="str">
        <f t="shared" si="7"/>
        <v/>
      </c>
      <c r="P60" s="33"/>
      <c r="Q60" s="34" t="str">
        <f t="shared" si="69"/>
        <v/>
      </c>
      <c r="R60" s="35" t="str">
        <f>IF(S60=0,"",IF(OR(G60="PEON",G60="OF",G60="JARD",G60="CARP",G60="MAESTRO",G60="SOLD",G60="BGRO",G60="CHOFER",G60="AYTE",G60="S.INTTE.",G60="ASEO",G60="P.PISOS",G60="VELADOR",G60="RESID",G60="PINTOR",G60="ELECT",G60="AZULE",G60="AUX CONT.",G60="SECRETARIA",G60="AUXILIAR ADMTVO.",G60="ARQUITECTO",G60="DIBUJANTE",G60="AUX. DE RESIDENTE",G60="TOPOGRAFIA"),VLOOKUP(B60,P$14:Q$84,2),"")*S60)</f>
        <v/>
      </c>
      <c r="T60" s="53" t="str">
        <f>IF(A60=0,"",VLOOKUP(A60,[2]CO!$A$3:$F$5318,5,0))</f>
        <v/>
      </c>
      <c r="U60" s="54">
        <f t="shared" si="70"/>
        <v>0</v>
      </c>
      <c r="V60" s="24"/>
      <c r="W60" s="25"/>
      <c r="X60" s="25"/>
      <c r="Y60" s="64" t="str">
        <f t="shared" si="71"/>
        <v/>
      </c>
      <c r="Z60" s="55" t="str">
        <f t="shared" si="71"/>
        <v/>
      </c>
      <c r="AA60" s="55" t="str">
        <f t="shared" si="71"/>
        <v/>
      </c>
      <c r="AB60" s="55" t="str">
        <f t="shared" si="71"/>
        <v/>
      </c>
      <c r="AC60" s="55" t="str">
        <f t="shared" si="71"/>
        <v/>
      </c>
      <c r="AD60" s="55" t="str">
        <f t="shared" si="71"/>
        <v/>
      </c>
      <c r="AE60" s="55" t="str">
        <f t="shared" si="71"/>
        <v/>
      </c>
      <c r="AF60" s="55" t="str">
        <f t="shared" si="71"/>
        <v/>
      </c>
      <c r="AG60" s="55" t="str">
        <f t="shared" si="71"/>
        <v/>
      </c>
      <c r="AH60" s="55" t="str">
        <f t="shared" si="71"/>
        <v/>
      </c>
      <c r="AI60" s="55" t="str">
        <f t="shared" si="71"/>
        <v/>
      </c>
      <c r="AJ60" s="55" t="str">
        <f t="shared" si="71"/>
        <v/>
      </c>
      <c r="AK60" s="55" t="str">
        <f t="shared" si="71"/>
        <v/>
      </c>
      <c r="AL60" s="55" t="str">
        <f t="shared" si="71"/>
        <v/>
      </c>
      <c r="AM60" s="55" t="str">
        <f t="shared" si="71"/>
        <v/>
      </c>
      <c r="AN60" s="55" t="str">
        <f t="shared" si="71"/>
        <v/>
      </c>
      <c r="AO60" s="55" t="str">
        <f t="shared" si="81"/>
        <v/>
      </c>
      <c r="AP60" s="55" t="str">
        <f t="shared" si="81"/>
        <v/>
      </c>
      <c r="AQ60" s="55" t="str">
        <f t="shared" si="81"/>
        <v/>
      </c>
      <c r="AR60" s="55" t="str">
        <f t="shared" si="81"/>
        <v/>
      </c>
      <c r="AS60" s="55" t="str">
        <f t="shared" si="81"/>
        <v/>
      </c>
      <c r="AT60" s="55" t="str">
        <f t="shared" si="81"/>
        <v/>
      </c>
      <c r="AU60" s="55" t="str">
        <f t="shared" si="81"/>
        <v/>
      </c>
      <c r="AV60" s="55" t="str">
        <f t="shared" si="81"/>
        <v/>
      </c>
      <c r="AW60" s="55" t="str">
        <f t="shared" si="81"/>
        <v/>
      </c>
      <c r="AX60" s="55" t="str">
        <f t="shared" si="81"/>
        <v/>
      </c>
      <c r="AY60" s="55" t="str">
        <f t="shared" si="81"/>
        <v/>
      </c>
      <c r="AZ60" s="55" t="str">
        <f t="shared" si="81"/>
        <v/>
      </c>
      <c r="BA60" s="55" t="str">
        <f t="shared" si="81"/>
        <v/>
      </c>
      <c r="BB60" s="55" t="str">
        <f t="shared" si="81"/>
        <v/>
      </c>
      <c r="BC60" s="55" t="str">
        <f t="shared" si="81"/>
        <v/>
      </c>
      <c r="BD60" s="55" t="str">
        <f t="shared" si="81"/>
        <v/>
      </c>
      <c r="BE60" s="55" t="str">
        <f t="shared" si="82"/>
        <v/>
      </c>
      <c r="BF60" s="55" t="str">
        <f t="shared" si="82"/>
        <v/>
      </c>
      <c r="BG60" s="55" t="str">
        <f t="shared" si="82"/>
        <v/>
      </c>
      <c r="BH60" s="55" t="str">
        <f t="shared" si="82"/>
        <v/>
      </c>
      <c r="BI60" s="55" t="str">
        <f t="shared" si="82"/>
        <v/>
      </c>
      <c r="BJ60" s="55" t="str">
        <f t="shared" si="82"/>
        <v/>
      </c>
      <c r="BK60" s="55" t="str">
        <f t="shared" si="82"/>
        <v/>
      </c>
      <c r="BL60" s="55" t="str">
        <f t="shared" si="82"/>
        <v/>
      </c>
      <c r="BM60" s="55" t="str">
        <f t="shared" si="82"/>
        <v/>
      </c>
      <c r="BN60" s="55" t="str">
        <f t="shared" si="82"/>
        <v/>
      </c>
      <c r="BO60" s="55" t="str">
        <f t="shared" si="82"/>
        <v/>
      </c>
      <c r="BP60" s="55" t="str">
        <f t="shared" si="82"/>
        <v/>
      </c>
      <c r="BQ60" s="55" t="str">
        <f t="shared" si="82"/>
        <v/>
      </c>
      <c r="BR60" s="55" t="str">
        <f t="shared" si="82"/>
        <v/>
      </c>
      <c r="BS60" s="55" t="str">
        <f t="shared" si="82"/>
        <v/>
      </c>
      <c r="BT60" s="55" t="str">
        <f t="shared" si="82"/>
        <v/>
      </c>
      <c r="BU60" s="55" t="str">
        <f t="shared" si="82"/>
        <v/>
      </c>
      <c r="BV60" s="55" t="str">
        <f t="shared" si="82"/>
        <v/>
      </c>
      <c r="BW60" s="55" t="str">
        <f t="shared" si="82"/>
        <v/>
      </c>
      <c r="BX60" s="55" t="str">
        <f t="shared" si="82"/>
        <v/>
      </c>
      <c r="BY60" s="55" t="str">
        <f t="shared" si="82"/>
        <v/>
      </c>
      <c r="BZ60" s="55" t="str">
        <f t="shared" si="82"/>
        <v/>
      </c>
      <c r="CA60" s="55" t="str">
        <f t="shared" si="82"/>
        <v/>
      </c>
      <c r="CB60" s="55" t="str">
        <f t="shared" si="82"/>
        <v/>
      </c>
      <c r="CC60" s="55" t="str">
        <f t="shared" si="82"/>
        <v/>
      </c>
      <c r="CD60" s="55" t="str">
        <f t="shared" si="82"/>
        <v/>
      </c>
      <c r="CE60" s="55" t="str">
        <f t="shared" si="82"/>
        <v/>
      </c>
      <c r="CF60" s="55" t="str">
        <f t="shared" si="82"/>
        <v/>
      </c>
      <c r="CG60" s="55" t="str">
        <f t="shared" si="82"/>
        <v/>
      </c>
      <c r="CH60" s="55" t="str">
        <f t="shared" si="82"/>
        <v/>
      </c>
      <c r="CI60" s="55" t="str">
        <f t="shared" si="82"/>
        <v/>
      </c>
      <c r="CJ60" s="55" t="str">
        <f t="shared" si="82"/>
        <v/>
      </c>
      <c r="CK60" s="55" t="str">
        <f t="shared" si="82"/>
        <v/>
      </c>
      <c r="CL60" s="55" t="str">
        <f t="shared" si="82"/>
        <v/>
      </c>
      <c r="CM60" s="55" t="str">
        <f t="shared" si="82"/>
        <v/>
      </c>
      <c r="CN60" s="55" t="str">
        <f t="shared" si="82"/>
        <v/>
      </c>
      <c r="CO60" s="55" t="str">
        <f t="shared" si="82"/>
        <v/>
      </c>
      <c r="CP60" s="55" t="str">
        <f t="shared" si="82"/>
        <v/>
      </c>
      <c r="CQ60" s="55" t="str">
        <f t="shared" si="82"/>
        <v/>
      </c>
      <c r="CR60" s="55" t="str">
        <f t="shared" si="82"/>
        <v/>
      </c>
      <c r="CS60" s="55" t="str">
        <f t="shared" si="82"/>
        <v/>
      </c>
      <c r="CT60" s="55" t="str">
        <f t="shared" si="82"/>
        <v/>
      </c>
      <c r="CU60" s="55" t="str">
        <f t="shared" si="82"/>
        <v/>
      </c>
      <c r="CV60" s="55" t="str">
        <f t="shared" si="82"/>
        <v/>
      </c>
      <c r="CW60" s="55" t="str">
        <f t="shared" si="82"/>
        <v/>
      </c>
      <c r="CX60" s="55" t="str">
        <f t="shared" si="82"/>
        <v/>
      </c>
      <c r="CY60" s="55" t="str">
        <f t="shared" si="82"/>
        <v/>
      </c>
      <c r="CZ60" s="55" t="str">
        <f t="shared" si="79"/>
        <v/>
      </c>
      <c r="DA60" s="55" t="str">
        <f t="shared" si="79"/>
        <v/>
      </c>
      <c r="DB60" s="55" t="str">
        <f t="shared" si="79"/>
        <v/>
      </c>
      <c r="DC60" s="55" t="str">
        <f t="shared" si="79"/>
        <v/>
      </c>
      <c r="DD60" s="55" t="str">
        <f t="shared" si="79"/>
        <v/>
      </c>
      <c r="DE60" s="55" t="str">
        <f t="shared" si="79"/>
        <v/>
      </c>
      <c r="DF60" s="55" t="str">
        <f t="shared" si="79"/>
        <v/>
      </c>
      <c r="DG60" s="55" t="str">
        <f t="shared" si="79"/>
        <v/>
      </c>
      <c r="DH60" s="55" t="str">
        <f t="shared" si="79"/>
        <v/>
      </c>
      <c r="DI60" s="55" t="str">
        <f t="shared" si="79"/>
        <v/>
      </c>
      <c r="DJ60" s="55" t="str">
        <f t="shared" si="79"/>
        <v/>
      </c>
      <c r="DK60" s="55" t="str">
        <f t="shared" si="73"/>
        <v/>
      </c>
      <c r="DL60" s="55" t="str">
        <f t="shared" si="73"/>
        <v/>
      </c>
      <c r="DM60" s="55" t="str">
        <f t="shared" si="73"/>
        <v/>
      </c>
      <c r="DN60" s="55" t="str">
        <f t="shared" si="73"/>
        <v/>
      </c>
      <c r="DO60" s="55" t="str">
        <f t="shared" si="73"/>
        <v/>
      </c>
      <c r="DP60" s="55" t="str">
        <f t="shared" si="73"/>
        <v/>
      </c>
      <c r="DQ60" s="55" t="str">
        <f t="shared" si="74"/>
        <v/>
      </c>
      <c r="DR60" s="55" t="str">
        <f t="shared" si="74"/>
        <v/>
      </c>
      <c r="DS60" s="55" t="str">
        <f t="shared" si="74"/>
        <v/>
      </c>
      <c r="DT60" s="106" t="str">
        <f t="shared" si="74"/>
        <v/>
      </c>
      <c r="DU60" s="54"/>
      <c r="DV60" s="25"/>
      <c r="DW60" s="61" t="str">
        <f t="shared" si="75"/>
        <v/>
      </c>
      <c r="DX60" s="50" t="str">
        <f t="shared" si="75"/>
        <v/>
      </c>
      <c r="DY60" s="50" t="str">
        <f t="shared" si="75"/>
        <v/>
      </c>
      <c r="DZ60" s="50" t="str">
        <f t="shared" si="75"/>
        <v/>
      </c>
      <c r="EA60" s="50" t="str">
        <f t="shared" si="75"/>
        <v/>
      </c>
      <c r="EB60" s="50" t="str">
        <f t="shared" si="75"/>
        <v/>
      </c>
      <c r="EC60" s="50" t="str">
        <f t="shared" si="75"/>
        <v/>
      </c>
      <c r="ED60" s="50" t="str">
        <f t="shared" si="75"/>
        <v/>
      </c>
      <c r="EE60" s="50" t="str">
        <f t="shared" si="75"/>
        <v/>
      </c>
      <c r="EF60" s="50" t="str">
        <f t="shared" si="75"/>
        <v/>
      </c>
      <c r="EG60" s="50" t="str">
        <f t="shared" si="75"/>
        <v/>
      </c>
      <c r="EH60" s="50" t="str">
        <f t="shared" si="75"/>
        <v/>
      </c>
      <c r="EI60" s="50" t="str">
        <f t="shared" si="75"/>
        <v/>
      </c>
      <c r="EJ60" s="50" t="str">
        <f t="shared" si="75"/>
        <v/>
      </c>
      <c r="EK60" s="50" t="str">
        <f t="shared" si="75"/>
        <v/>
      </c>
      <c r="EL60" s="50" t="str">
        <f t="shared" si="75"/>
        <v/>
      </c>
      <c r="EM60" s="50" t="str">
        <f t="shared" si="83"/>
        <v/>
      </c>
      <c r="EN60" s="50" t="str">
        <f t="shared" si="83"/>
        <v/>
      </c>
      <c r="EO60" s="50" t="str">
        <f t="shared" si="83"/>
        <v/>
      </c>
      <c r="EP60" s="50" t="str">
        <f t="shared" si="83"/>
        <v/>
      </c>
      <c r="EQ60" s="50" t="str">
        <f t="shared" si="83"/>
        <v/>
      </c>
      <c r="ER60" s="50" t="str">
        <f t="shared" si="83"/>
        <v/>
      </c>
      <c r="ES60" s="50" t="str">
        <f t="shared" si="83"/>
        <v/>
      </c>
      <c r="ET60" s="50" t="str">
        <f t="shared" si="83"/>
        <v/>
      </c>
      <c r="EU60" s="50" t="str">
        <f t="shared" si="83"/>
        <v/>
      </c>
      <c r="EV60" s="50" t="str">
        <f t="shared" si="83"/>
        <v/>
      </c>
      <c r="EW60" s="50" t="str">
        <f t="shared" si="83"/>
        <v/>
      </c>
      <c r="EX60" s="50" t="str">
        <f t="shared" si="83"/>
        <v/>
      </c>
      <c r="EY60" s="50" t="str">
        <f t="shared" si="83"/>
        <v/>
      </c>
      <c r="EZ60" s="50" t="str">
        <f t="shared" si="83"/>
        <v/>
      </c>
      <c r="FA60" s="50" t="str">
        <f t="shared" si="83"/>
        <v/>
      </c>
      <c r="FB60" s="50" t="str">
        <f t="shared" si="83"/>
        <v/>
      </c>
      <c r="FC60" s="50" t="str">
        <f t="shared" si="84"/>
        <v/>
      </c>
      <c r="FD60" s="50" t="str">
        <f t="shared" si="84"/>
        <v/>
      </c>
      <c r="FE60" s="50" t="str">
        <f t="shared" si="84"/>
        <v/>
      </c>
      <c r="FF60" s="50" t="str">
        <f t="shared" si="84"/>
        <v/>
      </c>
      <c r="FG60" s="50" t="str">
        <f t="shared" si="84"/>
        <v/>
      </c>
      <c r="FH60" s="50" t="str">
        <f t="shared" si="84"/>
        <v/>
      </c>
      <c r="FI60" s="50" t="str">
        <f t="shared" si="84"/>
        <v/>
      </c>
      <c r="FJ60" s="50" t="str">
        <f t="shared" si="84"/>
        <v/>
      </c>
      <c r="FK60" s="50" t="str">
        <f t="shared" si="84"/>
        <v/>
      </c>
      <c r="FL60" s="50" t="str">
        <f t="shared" si="84"/>
        <v/>
      </c>
      <c r="FM60" s="50" t="str">
        <f t="shared" si="84"/>
        <v/>
      </c>
      <c r="FN60" s="50" t="str">
        <f t="shared" si="84"/>
        <v/>
      </c>
      <c r="FO60" s="50" t="str">
        <f t="shared" si="84"/>
        <v/>
      </c>
      <c r="FP60" s="50" t="str">
        <f t="shared" si="84"/>
        <v/>
      </c>
      <c r="FQ60" s="50" t="str">
        <f t="shared" si="84"/>
        <v/>
      </c>
      <c r="FR60" s="50" t="str">
        <f t="shared" si="84"/>
        <v/>
      </c>
      <c r="FS60" s="50" t="str">
        <f t="shared" si="84"/>
        <v/>
      </c>
      <c r="FT60" s="50" t="str">
        <f t="shared" si="84"/>
        <v/>
      </c>
      <c r="FU60" s="50" t="str">
        <f t="shared" si="84"/>
        <v/>
      </c>
      <c r="FV60" s="50" t="str">
        <f t="shared" si="84"/>
        <v/>
      </c>
      <c r="FW60" s="50" t="str">
        <f t="shared" si="84"/>
        <v/>
      </c>
      <c r="FX60" s="50" t="str">
        <f t="shared" si="84"/>
        <v/>
      </c>
      <c r="FY60" s="50" t="str">
        <f t="shared" si="84"/>
        <v/>
      </c>
      <c r="FZ60" s="50" t="str">
        <f t="shared" si="84"/>
        <v/>
      </c>
      <c r="GA60" s="50" t="str">
        <f t="shared" si="84"/>
        <v/>
      </c>
      <c r="GB60" s="50" t="str">
        <f t="shared" si="84"/>
        <v/>
      </c>
      <c r="GC60" s="50" t="str">
        <f t="shared" si="84"/>
        <v/>
      </c>
      <c r="GD60" s="50" t="str">
        <f t="shared" si="84"/>
        <v/>
      </c>
      <c r="GE60" s="50" t="str">
        <f t="shared" si="84"/>
        <v/>
      </c>
      <c r="GF60" s="50" t="str">
        <f t="shared" si="84"/>
        <v/>
      </c>
      <c r="GG60" s="50" t="str">
        <f t="shared" si="84"/>
        <v/>
      </c>
      <c r="GH60" s="50" t="str">
        <f t="shared" si="84"/>
        <v/>
      </c>
      <c r="GI60" s="50" t="str">
        <f t="shared" si="84"/>
        <v/>
      </c>
      <c r="GJ60" s="50" t="str">
        <f t="shared" si="84"/>
        <v/>
      </c>
      <c r="GK60" s="50" t="str">
        <f t="shared" si="84"/>
        <v/>
      </c>
      <c r="GL60" s="50" t="str">
        <f t="shared" si="84"/>
        <v/>
      </c>
      <c r="GM60" s="50" t="str">
        <f t="shared" si="84"/>
        <v/>
      </c>
      <c r="GN60" s="50" t="str">
        <f t="shared" si="84"/>
        <v/>
      </c>
      <c r="GO60" s="50" t="str">
        <f t="shared" si="84"/>
        <v/>
      </c>
      <c r="GP60" s="50" t="str">
        <f t="shared" si="84"/>
        <v/>
      </c>
      <c r="GQ60" s="50" t="str">
        <f t="shared" si="84"/>
        <v/>
      </c>
      <c r="GR60" s="50" t="str">
        <f t="shared" si="84"/>
        <v/>
      </c>
      <c r="GS60" s="50" t="str">
        <f t="shared" si="84"/>
        <v/>
      </c>
      <c r="GT60" s="50" t="str">
        <f t="shared" si="84"/>
        <v/>
      </c>
      <c r="GU60" s="50" t="str">
        <f t="shared" si="84"/>
        <v/>
      </c>
      <c r="GV60" s="50" t="str">
        <f t="shared" si="84"/>
        <v/>
      </c>
      <c r="GW60" s="50" t="str">
        <f t="shared" si="84"/>
        <v/>
      </c>
      <c r="GX60" s="50" t="str">
        <f t="shared" si="80"/>
        <v/>
      </c>
      <c r="GY60" s="50" t="str">
        <f t="shared" si="80"/>
        <v/>
      </c>
      <c r="GZ60" s="50" t="str">
        <f t="shared" si="80"/>
        <v/>
      </c>
      <c r="HA60" s="50" t="str">
        <f t="shared" si="80"/>
        <v/>
      </c>
      <c r="HB60" s="50" t="str">
        <f t="shared" si="80"/>
        <v/>
      </c>
      <c r="HC60" s="50" t="str">
        <f t="shared" si="80"/>
        <v/>
      </c>
      <c r="HD60" s="50" t="str">
        <f t="shared" si="80"/>
        <v/>
      </c>
      <c r="HE60" s="50" t="str">
        <f t="shared" si="80"/>
        <v/>
      </c>
      <c r="HF60" s="50" t="str">
        <f t="shared" si="80"/>
        <v/>
      </c>
      <c r="HG60" s="50" t="str">
        <f t="shared" si="80"/>
        <v/>
      </c>
      <c r="HH60" s="50" t="str">
        <f t="shared" si="80"/>
        <v/>
      </c>
      <c r="HI60" s="50" t="str">
        <f t="shared" si="80"/>
        <v/>
      </c>
      <c r="HJ60" s="50" t="str">
        <f t="shared" si="80"/>
        <v/>
      </c>
      <c r="HK60" s="50" t="str">
        <f t="shared" si="80"/>
        <v/>
      </c>
      <c r="HL60" s="50" t="str">
        <f t="shared" si="80"/>
        <v/>
      </c>
      <c r="HM60" s="50" t="str">
        <f t="shared" si="80"/>
        <v/>
      </c>
      <c r="HN60" s="50" t="str">
        <f t="shared" si="78"/>
        <v/>
      </c>
      <c r="HO60" s="50" t="str">
        <f t="shared" si="78"/>
        <v/>
      </c>
      <c r="HP60" s="50" t="str">
        <f t="shared" si="78"/>
        <v/>
      </c>
      <c r="HQ60" s="50" t="str">
        <f t="shared" si="78"/>
        <v/>
      </c>
      <c r="HR60" s="112" t="str">
        <f t="shared" si="78"/>
        <v/>
      </c>
    </row>
    <row r="61" spans="1:226" ht="11.1" customHeight="1" x14ac:dyDescent="0.25">
      <c r="A61" s="26"/>
      <c r="B61" s="27"/>
      <c r="C61" s="28" t="str">
        <f>IF(A61=0,"",VLOOKUP(A61,[2]CO!$A$3:$F$5327,2,0))</f>
        <v/>
      </c>
      <c r="D61" s="29"/>
      <c r="E61" s="29"/>
      <c r="F61" s="29"/>
      <c r="G61" s="30" t="str">
        <f>IF(A61=0,"",VLOOKUP(A61,[2]CO!$A$3:$F$5327,3,0))</f>
        <v/>
      </c>
      <c r="H61" s="95"/>
      <c r="I61" s="31"/>
      <c r="J61" s="31"/>
      <c r="K61" s="31"/>
      <c r="L61" s="31"/>
      <c r="M61" s="32" t="str">
        <f t="shared" ref="M61:M63" si="85">IF(H61&gt;0,H61*Q$50/N61,IF(AND(L61&gt;0,I61&gt;0),L61*I61,IF(L61&gt;0,L61,"")))</f>
        <v/>
      </c>
      <c r="N61" s="32" t="str">
        <f>IF(B61=0,"",IF(H61="M",HLOOKUP(B61,$Y$12:$DT$13,2),IF(A61=0,"",VLOOKUP(A61,[2]CO!$A$3:$F$5327,4,0))))</f>
        <v/>
      </c>
      <c r="O61" s="32" t="str">
        <f t="shared" ref="O61:O63" si="86">IF(L61=0,"",PRODUCT(M61:N61))</f>
        <v/>
      </c>
      <c r="P61" s="33"/>
      <c r="Q61" s="34" t="str">
        <f t="shared" ref="Q61:Q63" si="87">IF(P61=0,"",(HLOOKUP(P61,$DW$12:$HR$13,2)))</f>
        <v/>
      </c>
      <c r="R61" s="35" t="str">
        <f>IF(S61=0,"",IF(OR(G61="PEON",G61="OF",G61="JARD",G61="CARP",G61="MAESTRO",G61="SOLD",G61="BGRO",G61="CHOFER",G61="AYTE",G61="S.INTTE.",G61="ASEO",G61="P.PISOS",G61="VELADOR",G61="RESID",G61="PINTOR",G61="ELECT",G61="AZULE",G61="AUX CONT.",G61="SECRETARIA",G61="AUXILIAR ADMTVO.",G61="ARQUITECTO",G61="DIBUJANTE",G61="AUX. DE RESIDENTE",G61="TOPOGRAFIA"),VLOOKUP(B61,P$14:Q$84,2),"")*S61)</f>
        <v/>
      </c>
      <c r="T61" s="53" t="str">
        <f>IF(A61=0,"",VLOOKUP(A61,[2]CO!$A$3:$F$5318,5,0))</f>
        <v/>
      </c>
      <c r="U61" s="54">
        <f t="shared" ref="U61:U63" si="88">IF(T61=1,O61*0.1,)</f>
        <v>0</v>
      </c>
      <c r="V61" s="24"/>
      <c r="W61" s="25"/>
      <c r="X61" s="25"/>
      <c r="Y61" s="64" t="str">
        <f t="shared" ref="Y61:AN62" si="89">IF($B61=Y$12,$U61,"")</f>
        <v/>
      </c>
      <c r="Z61" s="55" t="str">
        <f t="shared" si="89"/>
        <v/>
      </c>
      <c r="AA61" s="55" t="str">
        <f t="shared" si="89"/>
        <v/>
      </c>
      <c r="AB61" s="55" t="str">
        <f t="shared" si="89"/>
        <v/>
      </c>
      <c r="AC61" s="55" t="str">
        <f t="shared" si="89"/>
        <v/>
      </c>
      <c r="AD61" s="55" t="str">
        <f t="shared" si="89"/>
        <v/>
      </c>
      <c r="AE61" s="55" t="str">
        <f t="shared" si="89"/>
        <v/>
      </c>
      <c r="AF61" s="55" t="str">
        <f t="shared" si="89"/>
        <v/>
      </c>
      <c r="AG61" s="55" t="str">
        <f t="shared" si="89"/>
        <v/>
      </c>
      <c r="AH61" s="55" t="str">
        <f t="shared" si="89"/>
        <v/>
      </c>
      <c r="AI61" s="55" t="str">
        <f t="shared" si="89"/>
        <v/>
      </c>
      <c r="AJ61" s="55" t="str">
        <f t="shared" si="89"/>
        <v/>
      </c>
      <c r="AK61" s="55" t="str">
        <f t="shared" si="89"/>
        <v/>
      </c>
      <c r="AL61" s="55" t="str">
        <f t="shared" si="89"/>
        <v/>
      </c>
      <c r="AM61" s="55" t="str">
        <f t="shared" si="89"/>
        <v/>
      </c>
      <c r="AN61" s="55" t="str">
        <f t="shared" si="89"/>
        <v/>
      </c>
      <c r="AO61" s="55" t="str">
        <f t="shared" ref="AO61:BD62" si="90">IF($B61=AO$12,$U61,"")</f>
        <v/>
      </c>
      <c r="AP61" s="55" t="str">
        <f t="shared" si="90"/>
        <v/>
      </c>
      <c r="AQ61" s="55" t="str">
        <f t="shared" si="90"/>
        <v/>
      </c>
      <c r="AR61" s="55" t="str">
        <f t="shared" si="90"/>
        <v/>
      </c>
      <c r="AS61" s="55" t="str">
        <f t="shared" si="90"/>
        <v/>
      </c>
      <c r="AT61" s="55" t="str">
        <f t="shared" si="90"/>
        <v/>
      </c>
      <c r="AU61" s="55" t="str">
        <f t="shared" si="90"/>
        <v/>
      </c>
      <c r="AV61" s="55" t="str">
        <f t="shared" si="90"/>
        <v/>
      </c>
      <c r="AW61" s="55" t="str">
        <f t="shared" si="90"/>
        <v/>
      </c>
      <c r="AX61" s="55" t="str">
        <f t="shared" si="90"/>
        <v/>
      </c>
      <c r="AY61" s="55" t="str">
        <f t="shared" si="90"/>
        <v/>
      </c>
      <c r="AZ61" s="55" t="str">
        <f t="shared" si="90"/>
        <v/>
      </c>
      <c r="BA61" s="55" t="str">
        <f t="shared" si="90"/>
        <v/>
      </c>
      <c r="BB61" s="55" t="str">
        <f t="shared" si="90"/>
        <v/>
      </c>
      <c r="BC61" s="55" t="str">
        <f t="shared" si="90"/>
        <v/>
      </c>
      <c r="BD61" s="55" t="str">
        <f t="shared" si="90"/>
        <v/>
      </c>
      <c r="BE61" s="55" t="str">
        <f t="shared" ref="BE61:BX61" si="91">IF($B61=BE$12,$U61,"")</f>
        <v/>
      </c>
      <c r="BF61" s="55" t="str">
        <f t="shared" si="91"/>
        <v/>
      </c>
      <c r="BG61" s="55" t="str">
        <f t="shared" si="91"/>
        <v/>
      </c>
      <c r="BH61" s="55" t="str">
        <f t="shared" si="91"/>
        <v/>
      </c>
      <c r="BI61" s="55" t="str">
        <f t="shared" si="91"/>
        <v/>
      </c>
      <c r="BJ61" s="55" t="str">
        <f t="shared" si="91"/>
        <v/>
      </c>
      <c r="BK61" s="55" t="str">
        <f t="shared" si="91"/>
        <v/>
      </c>
      <c r="BL61" s="55" t="str">
        <f t="shared" si="91"/>
        <v/>
      </c>
      <c r="BM61" s="55" t="str">
        <f t="shared" si="91"/>
        <v/>
      </c>
      <c r="BN61" s="55" t="str">
        <f t="shared" si="91"/>
        <v/>
      </c>
      <c r="BO61" s="55" t="str">
        <f t="shared" si="91"/>
        <v/>
      </c>
      <c r="BP61" s="55" t="str">
        <f t="shared" si="91"/>
        <v/>
      </c>
      <c r="BQ61" s="55" t="str">
        <f t="shared" si="91"/>
        <v/>
      </c>
      <c r="BR61" s="55" t="str">
        <f t="shared" si="91"/>
        <v/>
      </c>
      <c r="BS61" s="55" t="str">
        <f t="shared" si="91"/>
        <v/>
      </c>
      <c r="BT61" s="55" t="str">
        <f t="shared" si="91"/>
        <v/>
      </c>
      <c r="BU61" s="55" t="str">
        <f t="shared" si="91"/>
        <v/>
      </c>
      <c r="BV61" s="55" t="str">
        <f t="shared" si="91"/>
        <v/>
      </c>
      <c r="BW61" s="55" t="str">
        <f t="shared" si="91"/>
        <v/>
      </c>
      <c r="BX61" s="55" t="str">
        <f t="shared" si="91"/>
        <v/>
      </c>
      <c r="BY61" s="55" t="str">
        <f t="shared" ref="BY61:CY61" si="92">IF($B61=BY$12,$U61,"")</f>
        <v/>
      </c>
      <c r="BZ61" s="55" t="str">
        <f t="shared" si="92"/>
        <v/>
      </c>
      <c r="CA61" s="55" t="str">
        <f t="shared" si="92"/>
        <v/>
      </c>
      <c r="CB61" s="55" t="str">
        <f t="shared" si="92"/>
        <v/>
      </c>
      <c r="CC61" s="55" t="str">
        <f t="shared" si="92"/>
        <v/>
      </c>
      <c r="CD61" s="55" t="str">
        <f t="shared" si="92"/>
        <v/>
      </c>
      <c r="CE61" s="55" t="str">
        <f t="shared" si="92"/>
        <v/>
      </c>
      <c r="CF61" s="55" t="str">
        <f t="shared" si="92"/>
        <v/>
      </c>
      <c r="CG61" s="55" t="str">
        <f t="shared" si="92"/>
        <v/>
      </c>
      <c r="CH61" s="55" t="str">
        <f t="shared" si="92"/>
        <v/>
      </c>
      <c r="CI61" s="55" t="str">
        <f t="shared" si="92"/>
        <v/>
      </c>
      <c r="CJ61" s="55" t="str">
        <f t="shared" si="92"/>
        <v/>
      </c>
      <c r="CK61" s="55" t="str">
        <f t="shared" si="92"/>
        <v/>
      </c>
      <c r="CL61" s="55" t="str">
        <f t="shared" si="92"/>
        <v/>
      </c>
      <c r="CM61" s="55" t="str">
        <f t="shared" si="92"/>
        <v/>
      </c>
      <c r="CN61" s="55" t="str">
        <f t="shared" si="92"/>
        <v/>
      </c>
      <c r="CO61" s="55" t="str">
        <f t="shared" si="92"/>
        <v/>
      </c>
      <c r="CP61" s="55" t="str">
        <f t="shared" si="92"/>
        <v/>
      </c>
      <c r="CQ61" s="55" t="str">
        <f t="shared" si="92"/>
        <v/>
      </c>
      <c r="CR61" s="55" t="str">
        <f t="shared" si="92"/>
        <v/>
      </c>
      <c r="CS61" s="55" t="str">
        <f t="shared" si="92"/>
        <v/>
      </c>
      <c r="CT61" s="55" t="str">
        <f t="shared" si="92"/>
        <v/>
      </c>
      <c r="CU61" s="55" t="str">
        <f t="shared" si="92"/>
        <v/>
      </c>
      <c r="CV61" s="55" t="str">
        <f t="shared" si="92"/>
        <v/>
      </c>
      <c r="CW61" s="55" t="str">
        <f t="shared" si="92"/>
        <v/>
      </c>
      <c r="CX61" s="55" t="str">
        <f t="shared" si="92"/>
        <v/>
      </c>
      <c r="CY61" s="55" t="str">
        <f t="shared" si="92"/>
        <v/>
      </c>
      <c r="CZ61" s="55" t="str">
        <f t="shared" ref="CZ61:DJ62" si="93">IF($B61=CZ$12,$U61,"")</f>
        <v/>
      </c>
      <c r="DA61" s="55" t="str">
        <f t="shared" si="93"/>
        <v/>
      </c>
      <c r="DB61" s="55" t="str">
        <f t="shared" si="93"/>
        <v/>
      </c>
      <c r="DC61" s="55" t="str">
        <f t="shared" si="93"/>
        <v/>
      </c>
      <c r="DD61" s="55" t="str">
        <f t="shared" si="93"/>
        <v/>
      </c>
      <c r="DE61" s="55" t="str">
        <f t="shared" si="93"/>
        <v/>
      </c>
      <c r="DF61" s="55" t="str">
        <f t="shared" si="93"/>
        <v/>
      </c>
      <c r="DG61" s="55" t="str">
        <f t="shared" si="93"/>
        <v/>
      </c>
      <c r="DH61" s="55" t="str">
        <f t="shared" si="93"/>
        <v/>
      </c>
      <c r="DI61" s="55" t="str">
        <f t="shared" si="93"/>
        <v/>
      </c>
      <c r="DJ61" s="55" t="str">
        <f t="shared" si="93"/>
        <v/>
      </c>
      <c r="DK61" s="55" t="str">
        <f t="shared" si="73"/>
        <v/>
      </c>
      <c r="DL61" s="55" t="str">
        <f t="shared" si="73"/>
        <v/>
      </c>
      <c r="DM61" s="55" t="str">
        <f t="shared" si="73"/>
        <v/>
      </c>
      <c r="DN61" s="55" t="str">
        <f t="shared" si="73"/>
        <v/>
      </c>
      <c r="DO61" s="55" t="str">
        <f t="shared" si="73"/>
        <v/>
      </c>
      <c r="DP61" s="55" t="str">
        <f t="shared" si="73"/>
        <v/>
      </c>
      <c r="DQ61" s="55" t="str">
        <f t="shared" si="74"/>
        <v/>
      </c>
      <c r="DR61" s="55" t="str">
        <f t="shared" si="74"/>
        <v/>
      </c>
      <c r="DS61" s="55" t="str">
        <f t="shared" si="74"/>
        <v/>
      </c>
      <c r="DT61" s="106" t="str">
        <f t="shared" si="74"/>
        <v/>
      </c>
      <c r="DU61" s="54"/>
      <c r="DV61" s="25"/>
      <c r="DW61" s="61" t="str">
        <f t="shared" ref="DW61:EL62" si="94">IF($B61=DW$12,$O61,"")</f>
        <v/>
      </c>
      <c r="DX61" s="50" t="str">
        <f t="shared" si="94"/>
        <v/>
      </c>
      <c r="DY61" s="50" t="str">
        <f t="shared" si="94"/>
        <v/>
      </c>
      <c r="DZ61" s="50" t="str">
        <f t="shared" si="94"/>
        <v/>
      </c>
      <c r="EA61" s="50" t="str">
        <f t="shared" si="94"/>
        <v/>
      </c>
      <c r="EB61" s="50" t="str">
        <f t="shared" si="94"/>
        <v/>
      </c>
      <c r="EC61" s="50" t="str">
        <f t="shared" si="94"/>
        <v/>
      </c>
      <c r="ED61" s="50" t="str">
        <f t="shared" si="94"/>
        <v/>
      </c>
      <c r="EE61" s="50" t="str">
        <f t="shared" si="94"/>
        <v/>
      </c>
      <c r="EF61" s="50" t="str">
        <f t="shared" si="94"/>
        <v/>
      </c>
      <c r="EG61" s="50" t="str">
        <f t="shared" si="94"/>
        <v/>
      </c>
      <c r="EH61" s="50" t="str">
        <f t="shared" si="94"/>
        <v/>
      </c>
      <c r="EI61" s="50" t="str">
        <f t="shared" si="94"/>
        <v/>
      </c>
      <c r="EJ61" s="50" t="str">
        <f t="shared" si="94"/>
        <v/>
      </c>
      <c r="EK61" s="50" t="str">
        <f t="shared" si="94"/>
        <v/>
      </c>
      <c r="EL61" s="50" t="str">
        <f t="shared" si="94"/>
        <v/>
      </c>
      <c r="EM61" s="50" t="str">
        <f t="shared" ref="EM61:FB62" si="95">IF($B61=EM$12,$O61,"")</f>
        <v/>
      </c>
      <c r="EN61" s="50" t="str">
        <f t="shared" si="95"/>
        <v/>
      </c>
      <c r="EO61" s="50" t="str">
        <f t="shared" si="95"/>
        <v/>
      </c>
      <c r="EP61" s="50" t="str">
        <f t="shared" si="95"/>
        <v/>
      </c>
      <c r="EQ61" s="50" t="str">
        <f t="shared" si="95"/>
        <v/>
      </c>
      <c r="ER61" s="50" t="str">
        <f t="shared" si="95"/>
        <v/>
      </c>
      <c r="ES61" s="50" t="str">
        <f t="shared" si="95"/>
        <v/>
      </c>
      <c r="ET61" s="50" t="str">
        <f t="shared" si="95"/>
        <v/>
      </c>
      <c r="EU61" s="50" t="str">
        <f t="shared" si="95"/>
        <v/>
      </c>
      <c r="EV61" s="50" t="str">
        <f t="shared" si="95"/>
        <v/>
      </c>
      <c r="EW61" s="50" t="str">
        <f t="shared" si="95"/>
        <v/>
      </c>
      <c r="EX61" s="50" t="str">
        <f t="shared" si="95"/>
        <v/>
      </c>
      <c r="EY61" s="50" t="str">
        <f t="shared" si="95"/>
        <v/>
      </c>
      <c r="EZ61" s="50" t="str">
        <f t="shared" si="95"/>
        <v/>
      </c>
      <c r="FA61" s="50" t="str">
        <f t="shared" si="95"/>
        <v/>
      </c>
      <c r="FB61" s="50" t="str">
        <f t="shared" si="95"/>
        <v/>
      </c>
      <c r="FC61" s="50" t="str">
        <f t="shared" ref="FC61:FV61" si="96">IF($B61=FC$12,$O61,"")</f>
        <v/>
      </c>
      <c r="FD61" s="50" t="str">
        <f t="shared" si="96"/>
        <v/>
      </c>
      <c r="FE61" s="50" t="str">
        <f t="shared" si="96"/>
        <v/>
      </c>
      <c r="FF61" s="50" t="str">
        <f t="shared" si="96"/>
        <v/>
      </c>
      <c r="FG61" s="50" t="str">
        <f t="shared" si="96"/>
        <v/>
      </c>
      <c r="FH61" s="50" t="str">
        <f t="shared" si="96"/>
        <v/>
      </c>
      <c r="FI61" s="50" t="str">
        <f t="shared" si="96"/>
        <v/>
      </c>
      <c r="FJ61" s="50" t="str">
        <f t="shared" si="96"/>
        <v/>
      </c>
      <c r="FK61" s="50" t="str">
        <f t="shared" si="96"/>
        <v/>
      </c>
      <c r="FL61" s="50" t="str">
        <f t="shared" si="96"/>
        <v/>
      </c>
      <c r="FM61" s="50" t="str">
        <f t="shared" si="96"/>
        <v/>
      </c>
      <c r="FN61" s="50" t="str">
        <f t="shared" si="96"/>
        <v/>
      </c>
      <c r="FO61" s="50" t="str">
        <f t="shared" si="96"/>
        <v/>
      </c>
      <c r="FP61" s="50" t="str">
        <f t="shared" si="96"/>
        <v/>
      </c>
      <c r="FQ61" s="50" t="str">
        <f t="shared" si="96"/>
        <v/>
      </c>
      <c r="FR61" s="50" t="str">
        <f t="shared" si="96"/>
        <v/>
      </c>
      <c r="FS61" s="50" t="str">
        <f t="shared" si="96"/>
        <v/>
      </c>
      <c r="FT61" s="50" t="str">
        <f t="shared" si="96"/>
        <v/>
      </c>
      <c r="FU61" s="50" t="str">
        <f t="shared" si="96"/>
        <v/>
      </c>
      <c r="FV61" s="50" t="str">
        <f t="shared" si="96"/>
        <v/>
      </c>
      <c r="FW61" s="50" t="str">
        <f t="shared" ref="FW61:GW61" si="97">IF($B61=FW$12,$O61,"")</f>
        <v/>
      </c>
      <c r="FX61" s="50" t="str">
        <f t="shared" si="97"/>
        <v/>
      </c>
      <c r="FY61" s="50" t="str">
        <f t="shared" si="97"/>
        <v/>
      </c>
      <c r="FZ61" s="50" t="str">
        <f t="shared" si="97"/>
        <v/>
      </c>
      <c r="GA61" s="50" t="str">
        <f t="shared" si="97"/>
        <v/>
      </c>
      <c r="GB61" s="50" t="str">
        <f t="shared" si="97"/>
        <v/>
      </c>
      <c r="GC61" s="50" t="str">
        <f t="shared" si="97"/>
        <v/>
      </c>
      <c r="GD61" s="50" t="str">
        <f t="shared" si="97"/>
        <v/>
      </c>
      <c r="GE61" s="50" t="str">
        <f t="shared" si="97"/>
        <v/>
      </c>
      <c r="GF61" s="50" t="str">
        <f t="shared" si="97"/>
        <v/>
      </c>
      <c r="GG61" s="50" t="str">
        <f t="shared" si="97"/>
        <v/>
      </c>
      <c r="GH61" s="50" t="str">
        <f t="shared" si="97"/>
        <v/>
      </c>
      <c r="GI61" s="50" t="str">
        <f t="shared" si="97"/>
        <v/>
      </c>
      <c r="GJ61" s="50" t="str">
        <f t="shared" si="97"/>
        <v/>
      </c>
      <c r="GK61" s="50" t="str">
        <f t="shared" si="97"/>
        <v/>
      </c>
      <c r="GL61" s="50" t="str">
        <f t="shared" si="97"/>
        <v/>
      </c>
      <c r="GM61" s="50" t="str">
        <f t="shared" si="97"/>
        <v/>
      </c>
      <c r="GN61" s="50" t="str">
        <f t="shared" si="97"/>
        <v/>
      </c>
      <c r="GO61" s="50" t="str">
        <f t="shared" si="97"/>
        <v/>
      </c>
      <c r="GP61" s="50" t="str">
        <f t="shared" si="97"/>
        <v/>
      </c>
      <c r="GQ61" s="50" t="str">
        <f t="shared" si="97"/>
        <v/>
      </c>
      <c r="GR61" s="50" t="str">
        <f t="shared" si="97"/>
        <v/>
      </c>
      <c r="GS61" s="50" t="str">
        <f t="shared" si="97"/>
        <v/>
      </c>
      <c r="GT61" s="50" t="str">
        <f t="shared" si="97"/>
        <v/>
      </c>
      <c r="GU61" s="50" t="str">
        <f t="shared" si="97"/>
        <v/>
      </c>
      <c r="GV61" s="50" t="str">
        <f t="shared" si="97"/>
        <v/>
      </c>
      <c r="GW61" s="50" t="str">
        <f t="shared" si="97"/>
        <v/>
      </c>
      <c r="GX61" s="50" t="str">
        <f t="shared" ref="GX61:HM62" si="98">IF($B61=GX$12,$O61,"")</f>
        <v/>
      </c>
      <c r="GY61" s="50" t="str">
        <f t="shared" si="98"/>
        <v/>
      </c>
      <c r="GZ61" s="50" t="str">
        <f t="shared" si="98"/>
        <v/>
      </c>
      <c r="HA61" s="50" t="str">
        <f t="shared" si="98"/>
        <v/>
      </c>
      <c r="HB61" s="50" t="str">
        <f t="shared" si="98"/>
        <v/>
      </c>
      <c r="HC61" s="50" t="str">
        <f t="shared" si="98"/>
        <v/>
      </c>
      <c r="HD61" s="50" t="str">
        <f t="shared" si="98"/>
        <v/>
      </c>
      <c r="HE61" s="50" t="str">
        <f t="shared" si="98"/>
        <v/>
      </c>
      <c r="HF61" s="50" t="str">
        <f t="shared" si="98"/>
        <v/>
      </c>
      <c r="HG61" s="50" t="str">
        <f t="shared" si="98"/>
        <v/>
      </c>
      <c r="HH61" s="50" t="str">
        <f t="shared" si="98"/>
        <v/>
      </c>
      <c r="HI61" s="50" t="str">
        <f t="shared" si="98"/>
        <v/>
      </c>
      <c r="HJ61" s="50" t="str">
        <f t="shared" si="98"/>
        <v/>
      </c>
      <c r="HK61" s="50" t="str">
        <f t="shared" si="98"/>
        <v/>
      </c>
      <c r="HL61" s="50" t="str">
        <f t="shared" si="98"/>
        <v/>
      </c>
      <c r="HM61" s="50" t="str">
        <f t="shared" si="98"/>
        <v/>
      </c>
      <c r="HN61" s="50" t="str">
        <f t="shared" si="78"/>
        <v/>
      </c>
      <c r="HO61" s="50" t="str">
        <f t="shared" si="78"/>
        <v/>
      </c>
      <c r="HP61" s="50" t="str">
        <f t="shared" si="78"/>
        <v/>
      </c>
      <c r="HQ61" s="50" t="str">
        <f t="shared" si="78"/>
        <v/>
      </c>
      <c r="HR61" s="112" t="str">
        <f t="shared" si="78"/>
        <v/>
      </c>
    </row>
    <row r="62" spans="1:226" ht="11.1" customHeight="1" x14ac:dyDescent="0.25">
      <c r="A62" s="26"/>
      <c r="B62" s="27"/>
      <c r="C62" s="28" t="str">
        <f>IF(A62=0,"",VLOOKUP(A62,[2]CO!$A$3:$F$5327,2,0))</f>
        <v/>
      </c>
      <c r="D62" s="29"/>
      <c r="E62" s="29"/>
      <c r="F62" s="29"/>
      <c r="G62" s="30" t="str">
        <f>IF(A62=0,"",VLOOKUP(A62,[2]CO!$A$3:$F$5327,3,0))</f>
        <v/>
      </c>
      <c r="H62" s="95"/>
      <c r="I62" s="31"/>
      <c r="J62" s="31"/>
      <c r="K62" s="31"/>
      <c r="L62" s="31"/>
      <c r="M62" s="32" t="str">
        <f t="shared" si="85"/>
        <v/>
      </c>
      <c r="N62" s="32" t="str">
        <f>IF(B62=0,"",IF(H62="M",HLOOKUP(B62,$Y$12:$DT$13,2),IF(A62=0,"",VLOOKUP(A62,[2]CO!$A$3:$F$5327,4,0))))</f>
        <v/>
      </c>
      <c r="O62" s="32" t="str">
        <f t="shared" si="86"/>
        <v/>
      </c>
      <c r="P62" s="33"/>
      <c r="Q62" s="34" t="str">
        <f t="shared" si="87"/>
        <v/>
      </c>
      <c r="R62" s="35" t="str">
        <f>IF(S62=0,"",IF(OR(G62="PEON",G62="OF",G62="JARD",G62="CARP",G62="MAESTRO",G62="SOLD",G62="BGRO",G62="CHOFER",G62="AYTE",G62="S.INTTE.",G62="ASEO",G62="P.PISOS",G62="VELADOR",G62="RESID",G62="PINTOR",G62="ELECT",G62="AZULE",G62="AUX CONT.",G62="SECRETARIA",G62="AUXILIAR ADMTVO.",G62="ARQUITECTO",G62="DIBUJANTE",G62="AUX. DE RESIDENTE",G62="TOPOGRAFIA"),VLOOKUP(B62,P$14:Q$84,2),"")*S62)</f>
        <v/>
      </c>
      <c r="T62" s="53" t="str">
        <f>IF(A62=0,"",VLOOKUP(A62,[2]CO!$A$3:$F$5318,5,0))</f>
        <v/>
      </c>
      <c r="U62" s="54">
        <f t="shared" si="88"/>
        <v>0</v>
      </c>
      <c r="V62" s="24"/>
      <c r="W62" s="25"/>
      <c r="X62" s="25"/>
      <c r="Y62" s="64" t="str">
        <f t="shared" si="89"/>
        <v/>
      </c>
      <c r="Z62" s="55" t="str">
        <f t="shared" si="89"/>
        <v/>
      </c>
      <c r="AA62" s="55" t="str">
        <f t="shared" si="89"/>
        <v/>
      </c>
      <c r="AB62" s="55" t="str">
        <f t="shared" si="89"/>
        <v/>
      </c>
      <c r="AC62" s="55" t="str">
        <f t="shared" si="89"/>
        <v/>
      </c>
      <c r="AD62" s="55" t="str">
        <f t="shared" si="89"/>
        <v/>
      </c>
      <c r="AE62" s="55" t="str">
        <f t="shared" si="89"/>
        <v/>
      </c>
      <c r="AF62" s="55" t="str">
        <f t="shared" si="89"/>
        <v/>
      </c>
      <c r="AG62" s="55" t="str">
        <f t="shared" si="89"/>
        <v/>
      </c>
      <c r="AH62" s="55" t="str">
        <f t="shared" si="89"/>
        <v/>
      </c>
      <c r="AI62" s="55" t="str">
        <f t="shared" si="89"/>
        <v/>
      </c>
      <c r="AJ62" s="55" t="str">
        <f t="shared" si="89"/>
        <v/>
      </c>
      <c r="AK62" s="55" t="str">
        <f t="shared" si="89"/>
        <v/>
      </c>
      <c r="AL62" s="55" t="str">
        <f t="shared" si="89"/>
        <v/>
      </c>
      <c r="AM62" s="55" t="str">
        <f t="shared" si="89"/>
        <v/>
      </c>
      <c r="AN62" s="55" t="str">
        <f t="shared" si="89"/>
        <v/>
      </c>
      <c r="AO62" s="55" t="str">
        <f t="shared" si="90"/>
        <v/>
      </c>
      <c r="AP62" s="55" t="str">
        <f t="shared" si="90"/>
        <v/>
      </c>
      <c r="AQ62" s="55" t="str">
        <f t="shared" si="90"/>
        <v/>
      </c>
      <c r="AR62" s="55" t="str">
        <f t="shared" si="90"/>
        <v/>
      </c>
      <c r="AS62" s="55" t="str">
        <f t="shared" si="90"/>
        <v/>
      </c>
      <c r="AT62" s="55" t="str">
        <f t="shared" si="90"/>
        <v/>
      </c>
      <c r="AU62" s="55" t="str">
        <f t="shared" si="90"/>
        <v/>
      </c>
      <c r="AV62" s="55" t="str">
        <f t="shared" si="90"/>
        <v/>
      </c>
      <c r="AW62" s="55" t="str">
        <f t="shared" si="90"/>
        <v/>
      </c>
      <c r="AX62" s="55" t="str">
        <f t="shared" si="90"/>
        <v/>
      </c>
      <c r="AY62" s="55" t="str">
        <f t="shared" si="90"/>
        <v/>
      </c>
      <c r="AZ62" s="55" t="str">
        <f t="shared" si="90"/>
        <v/>
      </c>
      <c r="BA62" s="55" t="str">
        <f t="shared" si="90"/>
        <v/>
      </c>
      <c r="BB62" s="55" t="str">
        <f t="shared" si="90"/>
        <v/>
      </c>
      <c r="BC62" s="55" t="str">
        <f t="shared" si="90"/>
        <v/>
      </c>
      <c r="BD62" s="55" t="str">
        <f t="shared" si="90"/>
        <v/>
      </c>
      <c r="BE62" s="55" t="str">
        <f t="shared" ref="BE62:CY62" si="99">IF($B62=BE$12,$U62,"")</f>
        <v/>
      </c>
      <c r="BF62" s="55" t="str">
        <f t="shared" si="99"/>
        <v/>
      </c>
      <c r="BG62" s="55" t="str">
        <f t="shared" si="99"/>
        <v/>
      </c>
      <c r="BH62" s="55" t="str">
        <f t="shared" si="99"/>
        <v/>
      </c>
      <c r="BI62" s="55" t="str">
        <f t="shared" si="99"/>
        <v/>
      </c>
      <c r="BJ62" s="55" t="str">
        <f t="shared" si="99"/>
        <v/>
      </c>
      <c r="BK62" s="55" t="str">
        <f t="shared" si="99"/>
        <v/>
      </c>
      <c r="BL62" s="55" t="str">
        <f t="shared" si="99"/>
        <v/>
      </c>
      <c r="BM62" s="55" t="str">
        <f t="shared" si="99"/>
        <v/>
      </c>
      <c r="BN62" s="55" t="str">
        <f t="shared" si="99"/>
        <v/>
      </c>
      <c r="BO62" s="55" t="str">
        <f t="shared" si="99"/>
        <v/>
      </c>
      <c r="BP62" s="55" t="str">
        <f t="shared" si="99"/>
        <v/>
      </c>
      <c r="BQ62" s="55" t="str">
        <f t="shared" si="99"/>
        <v/>
      </c>
      <c r="BR62" s="55" t="str">
        <f t="shared" si="99"/>
        <v/>
      </c>
      <c r="BS62" s="55" t="str">
        <f t="shared" si="99"/>
        <v/>
      </c>
      <c r="BT62" s="55" t="str">
        <f t="shared" si="99"/>
        <v/>
      </c>
      <c r="BU62" s="55" t="str">
        <f t="shared" si="99"/>
        <v/>
      </c>
      <c r="BV62" s="55" t="str">
        <f t="shared" si="99"/>
        <v/>
      </c>
      <c r="BW62" s="55" t="str">
        <f t="shared" si="99"/>
        <v/>
      </c>
      <c r="BX62" s="55" t="str">
        <f t="shared" si="99"/>
        <v/>
      </c>
      <c r="BY62" s="55" t="str">
        <f t="shared" si="99"/>
        <v/>
      </c>
      <c r="BZ62" s="55" t="str">
        <f t="shared" si="99"/>
        <v/>
      </c>
      <c r="CA62" s="55" t="str">
        <f t="shared" si="99"/>
        <v/>
      </c>
      <c r="CB62" s="55" t="str">
        <f t="shared" si="99"/>
        <v/>
      </c>
      <c r="CC62" s="55" t="str">
        <f t="shared" si="99"/>
        <v/>
      </c>
      <c r="CD62" s="55" t="str">
        <f t="shared" si="99"/>
        <v/>
      </c>
      <c r="CE62" s="55" t="str">
        <f t="shared" si="99"/>
        <v/>
      </c>
      <c r="CF62" s="55" t="str">
        <f t="shared" si="99"/>
        <v/>
      </c>
      <c r="CG62" s="55" t="str">
        <f t="shared" si="99"/>
        <v/>
      </c>
      <c r="CH62" s="55" t="str">
        <f t="shared" si="99"/>
        <v/>
      </c>
      <c r="CI62" s="55" t="str">
        <f t="shared" si="99"/>
        <v/>
      </c>
      <c r="CJ62" s="55" t="str">
        <f t="shared" si="99"/>
        <v/>
      </c>
      <c r="CK62" s="55" t="str">
        <f t="shared" si="99"/>
        <v/>
      </c>
      <c r="CL62" s="55" t="str">
        <f t="shared" si="99"/>
        <v/>
      </c>
      <c r="CM62" s="55" t="str">
        <f t="shared" si="99"/>
        <v/>
      </c>
      <c r="CN62" s="55" t="str">
        <f t="shared" si="99"/>
        <v/>
      </c>
      <c r="CO62" s="55" t="str">
        <f t="shared" si="99"/>
        <v/>
      </c>
      <c r="CP62" s="55" t="str">
        <f t="shared" si="99"/>
        <v/>
      </c>
      <c r="CQ62" s="55" t="str">
        <f t="shared" si="99"/>
        <v/>
      </c>
      <c r="CR62" s="55" t="str">
        <f t="shared" si="99"/>
        <v/>
      </c>
      <c r="CS62" s="55" t="str">
        <f t="shared" si="99"/>
        <v/>
      </c>
      <c r="CT62" s="55" t="str">
        <f t="shared" si="99"/>
        <v/>
      </c>
      <c r="CU62" s="55" t="str">
        <f t="shared" si="99"/>
        <v/>
      </c>
      <c r="CV62" s="55" t="str">
        <f t="shared" si="99"/>
        <v/>
      </c>
      <c r="CW62" s="55" t="str">
        <f t="shared" si="99"/>
        <v/>
      </c>
      <c r="CX62" s="55" t="str">
        <f t="shared" si="99"/>
        <v/>
      </c>
      <c r="CY62" s="55" t="str">
        <f t="shared" si="99"/>
        <v/>
      </c>
      <c r="CZ62" s="55" t="str">
        <f t="shared" si="93"/>
        <v/>
      </c>
      <c r="DA62" s="55" t="str">
        <f t="shared" si="93"/>
        <v/>
      </c>
      <c r="DB62" s="55" t="str">
        <f t="shared" si="93"/>
        <v/>
      </c>
      <c r="DC62" s="55" t="str">
        <f t="shared" si="93"/>
        <v/>
      </c>
      <c r="DD62" s="55" t="str">
        <f t="shared" si="93"/>
        <v/>
      </c>
      <c r="DE62" s="55" t="str">
        <f t="shared" si="93"/>
        <v/>
      </c>
      <c r="DF62" s="55" t="str">
        <f t="shared" si="93"/>
        <v/>
      </c>
      <c r="DG62" s="55" t="str">
        <f t="shared" si="93"/>
        <v/>
      </c>
      <c r="DH62" s="55" t="str">
        <f t="shared" si="93"/>
        <v/>
      </c>
      <c r="DI62" s="55" t="str">
        <f t="shared" si="93"/>
        <v/>
      </c>
      <c r="DJ62" s="55" t="str">
        <f t="shared" si="93"/>
        <v/>
      </c>
      <c r="DK62" s="55" t="str">
        <f t="shared" si="73"/>
        <v/>
      </c>
      <c r="DL62" s="55" t="str">
        <f t="shared" si="73"/>
        <v/>
      </c>
      <c r="DM62" s="55" t="str">
        <f t="shared" si="73"/>
        <v/>
      </c>
      <c r="DN62" s="55" t="str">
        <f t="shared" si="73"/>
        <v/>
      </c>
      <c r="DO62" s="55" t="str">
        <f t="shared" si="73"/>
        <v/>
      </c>
      <c r="DP62" s="55" t="str">
        <f t="shared" si="73"/>
        <v/>
      </c>
      <c r="DQ62" s="55" t="str">
        <f t="shared" si="74"/>
        <v/>
      </c>
      <c r="DR62" s="55" t="str">
        <f t="shared" si="74"/>
        <v/>
      </c>
      <c r="DS62" s="55" t="str">
        <f t="shared" si="74"/>
        <v/>
      </c>
      <c r="DT62" s="106" t="str">
        <f t="shared" si="74"/>
        <v/>
      </c>
      <c r="DU62" s="54"/>
      <c r="DV62" s="25"/>
      <c r="DW62" s="61" t="str">
        <f t="shared" si="94"/>
        <v/>
      </c>
      <c r="DX62" s="50" t="str">
        <f t="shared" si="94"/>
        <v/>
      </c>
      <c r="DY62" s="50" t="str">
        <f t="shared" si="94"/>
        <v/>
      </c>
      <c r="DZ62" s="50" t="str">
        <f t="shared" si="94"/>
        <v/>
      </c>
      <c r="EA62" s="50" t="str">
        <f t="shared" si="94"/>
        <v/>
      </c>
      <c r="EB62" s="50" t="str">
        <f t="shared" si="94"/>
        <v/>
      </c>
      <c r="EC62" s="50" t="str">
        <f t="shared" si="94"/>
        <v/>
      </c>
      <c r="ED62" s="50" t="str">
        <f t="shared" si="94"/>
        <v/>
      </c>
      <c r="EE62" s="50" t="str">
        <f t="shared" si="94"/>
        <v/>
      </c>
      <c r="EF62" s="50" t="str">
        <f t="shared" si="94"/>
        <v/>
      </c>
      <c r="EG62" s="50" t="str">
        <f t="shared" si="94"/>
        <v/>
      </c>
      <c r="EH62" s="50" t="str">
        <f t="shared" si="94"/>
        <v/>
      </c>
      <c r="EI62" s="50" t="str">
        <f t="shared" si="94"/>
        <v/>
      </c>
      <c r="EJ62" s="50" t="str">
        <f t="shared" si="94"/>
        <v/>
      </c>
      <c r="EK62" s="50" t="str">
        <f t="shared" si="94"/>
        <v/>
      </c>
      <c r="EL62" s="50" t="str">
        <f t="shared" si="94"/>
        <v/>
      </c>
      <c r="EM62" s="50" t="str">
        <f t="shared" si="95"/>
        <v/>
      </c>
      <c r="EN62" s="50" t="str">
        <f t="shared" si="95"/>
        <v/>
      </c>
      <c r="EO62" s="50" t="str">
        <f t="shared" si="95"/>
        <v/>
      </c>
      <c r="EP62" s="50" t="str">
        <f t="shared" si="95"/>
        <v/>
      </c>
      <c r="EQ62" s="50" t="str">
        <f t="shared" si="95"/>
        <v/>
      </c>
      <c r="ER62" s="50" t="str">
        <f t="shared" si="95"/>
        <v/>
      </c>
      <c r="ES62" s="50" t="str">
        <f t="shared" si="95"/>
        <v/>
      </c>
      <c r="ET62" s="50" t="str">
        <f t="shared" si="95"/>
        <v/>
      </c>
      <c r="EU62" s="50" t="str">
        <f t="shared" si="95"/>
        <v/>
      </c>
      <c r="EV62" s="50" t="str">
        <f t="shared" si="95"/>
        <v/>
      </c>
      <c r="EW62" s="50" t="str">
        <f t="shared" si="95"/>
        <v/>
      </c>
      <c r="EX62" s="50" t="str">
        <f t="shared" si="95"/>
        <v/>
      </c>
      <c r="EY62" s="50" t="str">
        <f t="shared" si="95"/>
        <v/>
      </c>
      <c r="EZ62" s="50" t="str">
        <f t="shared" si="95"/>
        <v/>
      </c>
      <c r="FA62" s="50" t="str">
        <f t="shared" si="95"/>
        <v/>
      </c>
      <c r="FB62" s="50" t="str">
        <f t="shared" si="95"/>
        <v/>
      </c>
      <c r="FC62" s="50" t="str">
        <f t="shared" ref="FC62:GW62" si="100">IF($B62=FC$12,$O62,"")</f>
        <v/>
      </c>
      <c r="FD62" s="50" t="str">
        <f t="shared" si="100"/>
        <v/>
      </c>
      <c r="FE62" s="50" t="str">
        <f t="shared" si="100"/>
        <v/>
      </c>
      <c r="FF62" s="50" t="str">
        <f t="shared" si="100"/>
        <v/>
      </c>
      <c r="FG62" s="50" t="str">
        <f t="shared" si="100"/>
        <v/>
      </c>
      <c r="FH62" s="50" t="str">
        <f t="shared" si="100"/>
        <v/>
      </c>
      <c r="FI62" s="50" t="str">
        <f t="shared" si="100"/>
        <v/>
      </c>
      <c r="FJ62" s="50" t="str">
        <f t="shared" si="100"/>
        <v/>
      </c>
      <c r="FK62" s="50" t="str">
        <f t="shared" si="100"/>
        <v/>
      </c>
      <c r="FL62" s="50" t="str">
        <f t="shared" si="100"/>
        <v/>
      </c>
      <c r="FM62" s="50" t="str">
        <f t="shared" si="100"/>
        <v/>
      </c>
      <c r="FN62" s="50" t="str">
        <f t="shared" si="100"/>
        <v/>
      </c>
      <c r="FO62" s="50" t="str">
        <f t="shared" si="100"/>
        <v/>
      </c>
      <c r="FP62" s="50" t="str">
        <f t="shared" si="100"/>
        <v/>
      </c>
      <c r="FQ62" s="50" t="str">
        <f t="shared" si="100"/>
        <v/>
      </c>
      <c r="FR62" s="50" t="str">
        <f t="shared" si="100"/>
        <v/>
      </c>
      <c r="FS62" s="50" t="str">
        <f t="shared" si="100"/>
        <v/>
      </c>
      <c r="FT62" s="50" t="str">
        <f t="shared" si="100"/>
        <v/>
      </c>
      <c r="FU62" s="50" t="str">
        <f t="shared" si="100"/>
        <v/>
      </c>
      <c r="FV62" s="50" t="str">
        <f t="shared" si="100"/>
        <v/>
      </c>
      <c r="FW62" s="50" t="str">
        <f t="shared" si="100"/>
        <v/>
      </c>
      <c r="FX62" s="50" t="str">
        <f t="shared" si="100"/>
        <v/>
      </c>
      <c r="FY62" s="50" t="str">
        <f t="shared" si="100"/>
        <v/>
      </c>
      <c r="FZ62" s="50" t="str">
        <f t="shared" si="100"/>
        <v/>
      </c>
      <c r="GA62" s="50" t="str">
        <f t="shared" si="100"/>
        <v/>
      </c>
      <c r="GB62" s="50" t="str">
        <f t="shared" si="100"/>
        <v/>
      </c>
      <c r="GC62" s="50" t="str">
        <f t="shared" si="100"/>
        <v/>
      </c>
      <c r="GD62" s="50" t="str">
        <f t="shared" si="100"/>
        <v/>
      </c>
      <c r="GE62" s="50" t="str">
        <f t="shared" si="100"/>
        <v/>
      </c>
      <c r="GF62" s="50" t="str">
        <f t="shared" si="100"/>
        <v/>
      </c>
      <c r="GG62" s="50" t="str">
        <f t="shared" si="100"/>
        <v/>
      </c>
      <c r="GH62" s="50" t="str">
        <f t="shared" si="100"/>
        <v/>
      </c>
      <c r="GI62" s="50" t="str">
        <f t="shared" si="100"/>
        <v/>
      </c>
      <c r="GJ62" s="50" t="str">
        <f t="shared" si="100"/>
        <v/>
      </c>
      <c r="GK62" s="50" t="str">
        <f t="shared" si="100"/>
        <v/>
      </c>
      <c r="GL62" s="50" t="str">
        <f t="shared" si="100"/>
        <v/>
      </c>
      <c r="GM62" s="50" t="str">
        <f t="shared" si="100"/>
        <v/>
      </c>
      <c r="GN62" s="50" t="str">
        <f t="shared" si="100"/>
        <v/>
      </c>
      <c r="GO62" s="50" t="str">
        <f t="shared" si="100"/>
        <v/>
      </c>
      <c r="GP62" s="50" t="str">
        <f t="shared" si="100"/>
        <v/>
      </c>
      <c r="GQ62" s="50" t="str">
        <f t="shared" si="100"/>
        <v/>
      </c>
      <c r="GR62" s="50" t="str">
        <f t="shared" si="100"/>
        <v/>
      </c>
      <c r="GS62" s="50" t="str">
        <f t="shared" si="100"/>
        <v/>
      </c>
      <c r="GT62" s="50" t="str">
        <f t="shared" si="100"/>
        <v/>
      </c>
      <c r="GU62" s="50" t="str">
        <f t="shared" si="100"/>
        <v/>
      </c>
      <c r="GV62" s="50" t="str">
        <f t="shared" si="100"/>
        <v/>
      </c>
      <c r="GW62" s="50" t="str">
        <f t="shared" si="100"/>
        <v/>
      </c>
      <c r="GX62" s="50" t="str">
        <f t="shared" si="98"/>
        <v/>
      </c>
      <c r="GY62" s="50" t="str">
        <f t="shared" si="98"/>
        <v/>
      </c>
      <c r="GZ62" s="50" t="str">
        <f t="shared" si="98"/>
        <v/>
      </c>
      <c r="HA62" s="50" t="str">
        <f t="shared" si="98"/>
        <v/>
      </c>
      <c r="HB62" s="50" t="str">
        <f t="shared" si="98"/>
        <v/>
      </c>
      <c r="HC62" s="50" t="str">
        <f t="shared" si="98"/>
        <v/>
      </c>
      <c r="HD62" s="50" t="str">
        <f t="shared" si="98"/>
        <v/>
      </c>
      <c r="HE62" s="50" t="str">
        <f t="shared" si="98"/>
        <v/>
      </c>
      <c r="HF62" s="50" t="str">
        <f t="shared" si="98"/>
        <v/>
      </c>
      <c r="HG62" s="50" t="str">
        <f t="shared" si="98"/>
        <v/>
      </c>
      <c r="HH62" s="50" t="str">
        <f t="shared" si="98"/>
        <v/>
      </c>
      <c r="HI62" s="50" t="str">
        <f t="shared" si="98"/>
        <v/>
      </c>
      <c r="HJ62" s="50" t="str">
        <f t="shared" si="98"/>
        <v/>
      </c>
      <c r="HK62" s="50" t="str">
        <f t="shared" si="98"/>
        <v/>
      </c>
      <c r="HL62" s="50" t="str">
        <f t="shared" si="98"/>
        <v/>
      </c>
      <c r="HM62" s="50" t="str">
        <f t="shared" ref="HM62" si="101">IF($B62=HM$12,$O62,"")</f>
        <v/>
      </c>
      <c r="HN62" s="50" t="str">
        <f t="shared" si="78"/>
        <v/>
      </c>
      <c r="HO62" s="50" t="str">
        <f t="shared" si="78"/>
        <v/>
      </c>
      <c r="HP62" s="50" t="str">
        <f t="shared" si="78"/>
        <v/>
      </c>
      <c r="HQ62" s="50" t="str">
        <f t="shared" si="78"/>
        <v/>
      </c>
      <c r="HR62" s="112" t="str">
        <f t="shared" si="78"/>
        <v/>
      </c>
    </row>
    <row r="63" spans="1:226" ht="11.1" customHeight="1" x14ac:dyDescent="0.25">
      <c r="A63" s="26"/>
      <c r="B63" s="27"/>
      <c r="C63" s="28" t="str">
        <f>IF(A63=0,"",VLOOKUP(A63,[2]CO!$A$3:$F$5327,2,0))</f>
        <v/>
      </c>
      <c r="D63" s="29"/>
      <c r="E63" s="29"/>
      <c r="F63" s="29"/>
      <c r="G63" s="30" t="str">
        <f>IF(A63=0,"",VLOOKUP(A63,[2]CO!$A$3:$F$5327,3,0))</f>
        <v/>
      </c>
      <c r="H63" s="95"/>
      <c r="I63" s="31"/>
      <c r="J63" s="31"/>
      <c r="K63" s="31"/>
      <c r="L63" s="31"/>
      <c r="M63" s="32" t="str">
        <f t="shared" si="85"/>
        <v/>
      </c>
      <c r="N63" s="32" t="str">
        <f>IF(B63=0,"",IF(H63="M",HLOOKUP(B63,$Y$12:$DT$13,2),IF(A63=0,"",VLOOKUP(A63,[2]CO!$A$3:$F$5327,4,0))))</f>
        <v/>
      </c>
      <c r="O63" s="32" t="str">
        <f t="shared" si="86"/>
        <v/>
      </c>
      <c r="P63" s="33"/>
      <c r="Q63" s="34" t="str">
        <f t="shared" si="87"/>
        <v/>
      </c>
      <c r="R63" s="35" t="str">
        <f>IF(S63=0,"",IF(OR(G63="PEON",G63="OF",G63="JARD",G63="CARP",G63="MAESTRO",G63="SOLD",G63="BGRO",G63="CHOFER",G63="AYTE",G63="S.INTTE.",G63="ASEO",G63="P.PISOS",G63="VELADOR",G63="RESID",G63="PINTOR",G63="ELECT",G63="AZULE",G63="AUX CONT.",G63="SECRETARIA",G63="AUXILIAR ADMTVO.",G63="ARQUITECTO",G63="DIBUJANTE",G63="AUX. DE RESIDENTE",G63="TOPOGRAFIA"),VLOOKUP(B63,P$14:Q$84,2),"")*S63)</f>
        <v/>
      </c>
      <c r="T63" s="53" t="str">
        <f>IF(A63=0,"",VLOOKUP(A63,[2]CO!$A$3:$F$5318,5,0))</f>
        <v/>
      </c>
      <c r="U63" s="54">
        <f t="shared" si="88"/>
        <v>0</v>
      </c>
      <c r="V63" s="24"/>
      <c r="W63" s="25"/>
      <c r="X63" s="25"/>
      <c r="Y63" s="64" t="str">
        <f t="shared" si="71"/>
        <v/>
      </c>
      <c r="Z63" s="55" t="str">
        <f t="shared" si="71"/>
        <v/>
      </c>
      <c r="AA63" s="55" t="str">
        <f t="shared" si="71"/>
        <v/>
      </c>
      <c r="AB63" s="55" t="str">
        <f t="shared" si="71"/>
        <v/>
      </c>
      <c r="AC63" s="55" t="str">
        <f t="shared" si="71"/>
        <v/>
      </c>
      <c r="AD63" s="55" t="str">
        <f t="shared" si="71"/>
        <v/>
      </c>
      <c r="AE63" s="55" t="str">
        <f t="shared" si="71"/>
        <v/>
      </c>
      <c r="AF63" s="55" t="str">
        <f t="shared" si="71"/>
        <v/>
      </c>
      <c r="AG63" s="55" t="str">
        <f t="shared" si="71"/>
        <v/>
      </c>
      <c r="AH63" s="55" t="str">
        <f t="shared" si="71"/>
        <v/>
      </c>
      <c r="AI63" s="55" t="str">
        <f t="shared" si="71"/>
        <v/>
      </c>
      <c r="AJ63" s="55" t="str">
        <f t="shared" si="71"/>
        <v/>
      </c>
      <c r="AK63" s="55" t="str">
        <f t="shared" si="71"/>
        <v/>
      </c>
      <c r="AL63" s="55" t="str">
        <f t="shared" si="71"/>
        <v/>
      </c>
      <c r="AM63" s="55" t="str">
        <f t="shared" si="71"/>
        <v/>
      </c>
      <c r="AN63" s="55" t="str">
        <f t="shared" si="71"/>
        <v/>
      </c>
      <c r="AO63" s="55" t="str">
        <f t="shared" si="81"/>
        <v/>
      </c>
      <c r="AP63" s="55" t="str">
        <f t="shared" si="81"/>
        <v/>
      </c>
      <c r="AQ63" s="55" t="str">
        <f t="shared" si="81"/>
        <v/>
      </c>
      <c r="AR63" s="55" t="str">
        <f t="shared" si="81"/>
        <v/>
      </c>
      <c r="AS63" s="55" t="str">
        <f t="shared" si="81"/>
        <v/>
      </c>
      <c r="AT63" s="55" t="str">
        <f t="shared" si="81"/>
        <v/>
      </c>
      <c r="AU63" s="55" t="str">
        <f t="shared" si="81"/>
        <v/>
      </c>
      <c r="AV63" s="55" t="str">
        <f t="shared" si="81"/>
        <v/>
      </c>
      <c r="AW63" s="55" t="str">
        <f t="shared" si="81"/>
        <v/>
      </c>
      <c r="AX63" s="55" t="str">
        <f t="shared" si="81"/>
        <v/>
      </c>
      <c r="AY63" s="55" t="str">
        <f t="shared" si="81"/>
        <v/>
      </c>
      <c r="AZ63" s="55" t="str">
        <f t="shared" si="81"/>
        <v/>
      </c>
      <c r="BA63" s="55" t="str">
        <f t="shared" si="81"/>
        <v/>
      </c>
      <c r="BB63" s="55" t="str">
        <f t="shared" si="81"/>
        <v/>
      </c>
      <c r="BC63" s="55" t="str">
        <f t="shared" si="81"/>
        <v/>
      </c>
      <c r="BD63" s="55" t="str">
        <f t="shared" si="81"/>
        <v/>
      </c>
      <c r="BE63" s="55" t="str">
        <f t="shared" si="82"/>
        <v/>
      </c>
      <c r="BF63" s="55" t="str">
        <f t="shared" si="82"/>
        <v/>
      </c>
      <c r="BG63" s="55" t="str">
        <f t="shared" si="82"/>
        <v/>
      </c>
      <c r="BH63" s="55" t="str">
        <f t="shared" si="82"/>
        <v/>
      </c>
      <c r="BI63" s="55" t="str">
        <f t="shared" si="82"/>
        <v/>
      </c>
      <c r="BJ63" s="55" t="str">
        <f t="shared" si="82"/>
        <v/>
      </c>
      <c r="BK63" s="55" t="str">
        <f t="shared" si="82"/>
        <v/>
      </c>
      <c r="BL63" s="55" t="str">
        <f t="shared" si="82"/>
        <v/>
      </c>
      <c r="BM63" s="55" t="str">
        <f t="shared" si="82"/>
        <v/>
      </c>
      <c r="BN63" s="55" t="str">
        <f t="shared" si="82"/>
        <v/>
      </c>
      <c r="BO63" s="55" t="str">
        <f t="shared" si="82"/>
        <v/>
      </c>
      <c r="BP63" s="55" t="str">
        <f t="shared" si="82"/>
        <v/>
      </c>
      <c r="BQ63" s="55" t="str">
        <f t="shared" si="82"/>
        <v/>
      </c>
      <c r="BR63" s="55" t="str">
        <f t="shared" si="82"/>
        <v/>
      </c>
      <c r="BS63" s="55" t="str">
        <f t="shared" si="82"/>
        <v/>
      </c>
      <c r="BT63" s="55" t="str">
        <f t="shared" si="82"/>
        <v/>
      </c>
      <c r="BU63" s="55" t="str">
        <f t="shared" si="82"/>
        <v/>
      </c>
      <c r="BV63" s="55" t="str">
        <f t="shared" si="82"/>
        <v/>
      </c>
      <c r="BW63" s="55" t="str">
        <f t="shared" si="82"/>
        <v/>
      </c>
      <c r="BX63" s="55" t="str">
        <f t="shared" si="82"/>
        <v/>
      </c>
      <c r="BY63" s="55" t="str">
        <f t="shared" si="82"/>
        <v/>
      </c>
      <c r="BZ63" s="55" t="str">
        <f t="shared" si="82"/>
        <v/>
      </c>
      <c r="CA63" s="55" t="str">
        <f t="shared" si="82"/>
        <v/>
      </c>
      <c r="CB63" s="55" t="str">
        <f t="shared" si="82"/>
        <v/>
      </c>
      <c r="CC63" s="55" t="str">
        <f t="shared" si="82"/>
        <v/>
      </c>
      <c r="CD63" s="55" t="str">
        <f t="shared" si="82"/>
        <v/>
      </c>
      <c r="CE63" s="55" t="str">
        <f t="shared" si="82"/>
        <v/>
      </c>
      <c r="CF63" s="55" t="str">
        <f t="shared" si="82"/>
        <v/>
      </c>
      <c r="CG63" s="55" t="str">
        <f t="shared" si="82"/>
        <v/>
      </c>
      <c r="CH63" s="55" t="str">
        <f t="shared" si="82"/>
        <v/>
      </c>
      <c r="CI63" s="55" t="str">
        <f t="shared" si="82"/>
        <v/>
      </c>
      <c r="CJ63" s="55" t="str">
        <f t="shared" si="82"/>
        <v/>
      </c>
      <c r="CK63" s="55" t="str">
        <f t="shared" si="82"/>
        <v/>
      </c>
      <c r="CL63" s="55" t="str">
        <f t="shared" si="82"/>
        <v/>
      </c>
      <c r="CM63" s="55" t="str">
        <f t="shared" si="82"/>
        <v/>
      </c>
      <c r="CN63" s="55" t="str">
        <f t="shared" si="82"/>
        <v/>
      </c>
      <c r="CO63" s="55" t="str">
        <f t="shared" si="82"/>
        <v/>
      </c>
      <c r="CP63" s="55" t="str">
        <f t="shared" si="82"/>
        <v/>
      </c>
      <c r="CQ63" s="55" t="str">
        <f t="shared" si="82"/>
        <v/>
      </c>
      <c r="CR63" s="55" t="str">
        <f t="shared" si="82"/>
        <v/>
      </c>
      <c r="CS63" s="55" t="str">
        <f t="shared" si="82"/>
        <v/>
      </c>
      <c r="CT63" s="55" t="str">
        <f t="shared" si="82"/>
        <v/>
      </c>
      <c r="CU63" s="55" t="str">
        <f t="shared" si="82"/>
        <v/>
      </c>
      <c r="CV63" s="55" t="str">
        <f t="shared" si="82"/>
        <v/>
      </c>
      <c r="CW63" s="55" t="str">
        <f t="shared" si="82"/>
        <v/>
      </c>
      <c r="CX63" s="55" t="str">
        <f t="shared" si="82"/>
        <v/>
      </c>
      <c r="CY63" s="55" t="str">
        <f t="shared" si="82"/>
        <v/>
      </c>
      <c r="CZ63" s="55" t="str">
        <f t="shared" si="79"/>
        <v/>
      </c>
      <c r="DA63" s="55" t="str">
        <f t="shared" si="79"/>
        <v/>
      </c>
      <c r="DB63" s="55" t="str">
        <f t="shared" si="79"/>
        <v/>
      </c>
      <c r="DC63" s="55" t="str">
        <f t="shared" si="79"/>
        <v/>
      </c>
      <c r="DD63" s="55" t="str">
        <f t="shared" si="79"/>
        <v/>
      </c>
      <c r="DE63" s="55" t="str">
        <f t="shared" si="79"/>
        <v/>
      </c>
      <c r="DF63" s="55" t="str">
        <f t="shared" si="79"/>
        <v/>
      </c>
      <c r="DG63" s="55" t="str">
        <f t="shared" si="79"/>
        <v/>
      </c>
      <c r="DH63" s="55" t="str">
        <f t="shared" si="79"/>
        <v/>
      </c>
      <c r="DI63" s="55" t="str">
        <f t="shared" si="79"/>
        <v/>
      </c>
      <c r="DJ63" s="55" t="str">
        <f t="shared" si="79"/>
        <v/>
      </c>
      <c r="DK63" s="55" t="str">
        <f t="shared" si="73"/>
        <v/>
      </c>
      <c r="DL63" s="55" t="str">
        <f t="shared" si="73"/>
        <v/>
      </c>
      <c r="DM63" s="55" t="str">
        <f t="shared" si="73"/>
        <v/>
      </c>
      <c r="DN63" s="55" t="str">
        <f t="shared" si="73"/>
        <v/>
      </c>
      <c r="DO63" s="55" t="str">
        <f t="shared" si="73"/>
        <v/>
      </c>
      <c r="DP63" s="55" t="str">
        <f t="shared" si="73"/>
        <v/>
      </c>
      <c r="DQ63" s="55" t="str">
        <f t="shared" si="74"/>
        <v/>
      </c>
      <c r="DR63" s="55" t="str">
        <f t="shared" si="74"/>
        <v/>
      </c>
      <c r="DS63" s="55" t="str">
        <f t="shared" si="74"/>
        <v/>
      </c>
      <c r="DT63" s="106" t="str">
        <f t="shared" si="74"/>
        <v/>
      </c>
      <c r="DU63" s="54"/>
      <c r="DV63" s="25"/>
      <c r="DW63" s="61" t="str">
        <f t="shared" si="75"/>
        <v/>
      </c>
      <c r="DX63" s="50" t="str">
        <f t="shared" si="75"/>
        <v/>
      </c>
      <c r="DY63" s="50" t="str">
        <f t="shared" si="75"/>
        <v/>
      </c>
      <c r="DZ63" s="50" t="str">
        <f t="shared" si="75"/>
        <v/>
      </c>
      <c r="EA63" s="50" t="str">
        <f t="shared" si="75"/>
        <v/>
      </c>
      <c r="EB63" s="50" t="str">
        <f t="shared" si="75"/>
        <v/>
      </c>
      <c r="EC63" s="50" t="str">
        <f t="shared" si="75"/>
        <v/>
      </c>
      <c r="ED63" s="50" t="str">
        <f t="shared" si="75"/>
        <v/>
      </c>
      <c r="EE63" s="50" t="str">
        <f t="shared" si="75"/>
        <v/>
      </c>
      <c r="EF63" s="50" t="str">
        <f t="shared" si="75"/>
        <v/>
      </c>
      <c r="EG63" s="50" t="str">
        <f t="shared" si="75"/>
        <v/>
      </c>
      <c r="EH63" s="50" t="str">
        <f t="shared" si="75"/>
        <v/>
      </c>
      <c r="EI63" s="50" t="str">
        <f t="shared" si="75"/>
        <v/>
      </c>
      <c r="EJ63" s="50" t="str">
        <f t="shared" si="75"/>
        <v/>
      </c>
      <c r="EK63" s="50" t="str">
        <f t="shared" si="75"/>
        <v/>
      </c>
      <c r="EL63" s="50" t="str">
        <f t="shared" si="75"/>
        <v/>
      </c>
      <c r="EM63" s="50" t="str">
        <f t="shared" si="83"/>
        <v/>
      </c>
      <c r="EN63" s="50" t="str">
        <f t="shared" si="83"/>
        <v/>
      </c>
      <c r="EO63" s="50" t="str">
        <f t="shared" si="83"/>
        <v/>
      </c>
      <c r="EP63" s="50" t="str">
        <f t="shared" si="83"/>
        <v/>
      </c>
      <c r="EQ63" s="50" t="str">
        <f t="shared" si="83"/>
        <v/>
      </c>
      <c r="ER63" s="50" t="str">
        <f t="shared" si="83"/>
        <v/>
      </c>
      <c r="ES63" s="50" t="str">
        <f t="shared" si="83"/>
        <v/>
      </c>
      <c r="ET63" s="50" t="str">
        <f t="shared" si="83"/>
        <v/>
      </c>
      <c r="EU63" s="50" t="str">
        <f t="shared" si="83"/>
        <v/>
      </c>
      <c r="EV63" s="50" t="str">
        <f t="shared" si="83"/>
        <v/>
      </c>
      <c r="EW63" s="50" t="str">
        <f t="shared" si="83"/>
        <v/>
      </c>
      <c r="EX63" s="50" t="str">
        <f t="shared" si="83"/>
        <v/>
      </c>
      <c r="EY63" s="50" t="str">
        <f t="shared" si="83"/>
        <v/>
      </c>
      <c r="EZ63" s="50" t="str">
        <f t="shared" si="83"/>
        <v/>
      </c>
      <c r="FA63" s="50" t="str">
        <f t="shared" si="83"/>
        <v/>
      </c>
      <c r="FB63" s="50" t="str">
        <f t="shared" si="83"/>
        <v/>
      </c>
      <c r="FC63" s="50" t="str">
        <f t="shared" si="84"/>
        <v/>
      </c>
      <c r="FD63" s="50" t="str">
        <f t="shared" si="84"/>
        <v/>
      </c>
      <c r="FE63" s="50" t="str">
        <f t="shared" si="84"/>
        <v/>
      </c>
      <c r="FF63" s="50" t="str">
        <f t="shared" si="84"/>
        <v/>
      </c>
      <c r="FG63" s="50" t="str">
        <f t="shared" si="84"/>
        <v/>
      </c>
      <c r="FH63" s="50" t="str">
        <f t="shared" si="84"/>
        <v/>
      </c>
      <c r="FI63" s="50" t="str">
        <f t="shared" si="84"/>
        <v/>
      </c>
      <c r="FJ63" s="50" t="str">
        <f t="shared" si="84"/>
        <v/>
      </c>
      <c r="FK63" s="50" t="str">
        <f t="shared" si="84"/>
        <v/>
      </c>
      <c r="FL63" s="50" t="str">
        <f t="shared" si="84"/>
        <v/>
      </c>
      <c r="FM63" s="50" t="str">
        <f t="shared" si="84"/>
        <v/>
      </c>
      <c r="FN63" s="50" t="str">
        <f t="shared" si="84"/>
        <v/>
      </c>
      <c r="FO63" s="50" t="str">
        <f t="shared" si="84"/>
        <v/>
      </c>
      <c r="FP63" s="50" t="str">
        <f t="shared" si="84"/>
        <v/>
      </c>
      <c r="FQ63" s="50" t="str">
        <f t="shared" si="84"/>
        <v/>
      </c>
      <c r="FR63" s="50" t="str">
        <f t="shared" si="84"/>
        <v/>
      </c>
      <c r="FS63" s="50" t="str">
        <f t="shared" si="84"/>
        <v/>
      </c>
      <c r="FT63" s="50" t="str">
        <f t="shared" si="84"/>
        <v/>
      </c>
      <c r="FU63" s="50" t="str">
        <f t="shared" si="84"/>
        <v/>
      </c>
      <c r="FV63" s="50" t="str">
        <f t="shared" si="84"/>
        <v/>
      </c>
      <c r="FW63" s="50" t="str">
        <f t="shared" si="84"/>
        <v/>
      </c>
      <c r="FX63" s="50" t="str">
        <f t="shared" si="84"/>
        <v/>
      </c>
      <c r="FY63" s="50" t="str">
        <f t="shared" si="84"/>
        <v/>
      </c>
      <c r="FZ63" s="50" t="str">
        <f t="shared" si="84"/>
        <v/>
      </c>
      <c r="GA63" s="50" t="str">
        <f t="shared" si="84"/>
        <v/>
      </c>
      <c r="GB63" s="50" t="str">
        <f t="shared" si="84"/>
        <v/>
      </c>
      <c r="GC63" s="50" t="str">
        <f t="shared" si="84"/>
        <v/>
      </c>
      <c r="GD63" s="50" t="str">
        <f t="shared" si="84"/>
        <v/>
      </c>
      <c r="GE63" s="50" t="str">
        <f t="shared" si="84"/>
        <v/>
      </c>
      <c r="GF63" s="50" t="str">
        <f t="shared" si="84"/>
        <v/>
      </c>
      <c r="GG63" s="50" t="str">
        <f t="shared" si="84"/>
        <v/>
      </c>
      <c r="GH63" s="50" t="str">
        <f t="shared" si="84"/>
        <v/>
      </c>
      <c r="GI63" s="50" t="str">
        <f t="shared" si="84"/>
        <v/>
      </c>
      <c r="GJ63" s="50" t="str">
        <f t="shared" si="84"/>
        <v/>
      </c>
      <c r="GK63" s="50" t="str">
        <f t="shared" si="84"/>
        <v/>
      </c>
      <c r="GL63" s="50" t="str">
        <f t="shared" si="84"/>
        <v/>
      </c>
      <c r="GM63" s="50" t="str">
        <f t="shared" si="84"/>
        <v/>
      </c>
      <c r="GN63" s="50" t="str">
        <f t="shared" si="84"/>
        <v/>
      </c>
      <c r="GO63" s="50" t="str">
        <f t="shared" si="84"/>
        <v/>
      </c>
      <c r="GP63" s="50" t="str">
        <f t="shared" si="84"/>
        <v/>
      </c>
      <c r="GQ63" s="50" t="str">
        <f t="shared" si="84"/>
        <v/>
      </c>
      <c r="GR63" s="50" t="str">
        <f t="shared" si="84"/>
        <v/>
      </c>
      <c r="GS63" s="50" t="str">
        <f t="shared" si="84"/>
        <v/>
      </c>
      <c r="GT63" s="50" t="str">
        <f t="shared" si="84"/>
        <v/>
      </c>
      <c r="GU63" s="50" t="str">
        <f t="shared" si="84"/>
        <v/>
      </c>
      <c r="GV63" s="50" t="str">
        <f t="shared" si="84"/>
        <v/>
      </c>
      <c r="GW63" s="50" t="str">
        <f t="shared" si="84"/>
        <v/>
      </c>
      <c r="GX63" s="50" t="str">
        <f t="shared" si="80"/>
        <v/>
      </c>
      <c r="GY63" s="50" t="str">
        <f t="shared" si="80"/>
        <v/>
      </c>
      <c r="GZ63" s="50" t="str">
        <f t="shared" si="80"/>
        <v/>
      </c>
      <c r="HA63" s="50" t="str">
        <f t="shared" si="80"/>
        <v/>
      </c>
      <c r="HB63" s="50" t="str">
        <f t="shared" si="80"/>
        <v/>
      </c>
      <c r="HC63" s="50" t="str">
        <f t="shared" si="80"/>
        <v/>
      </c>
      <c r="HD63" s="50" t="str">
        <f t="shared" si="80"/>
        <v/>
      </c>
      <c r="HE63" s="50" t="str">
        <f t="shared" si="80"/>
        <v/>
      </c>
      <c r="HF63" s="50" t="str">
        <f t="shared" si="80"/>
        <v/>
      </c>
      <c r="HG63" s="50" t="str">
        <f t="shared" si="80"/>
        <v/>
      </c>
      <c r="HH63" s="50" t="str">
        <f t="shared" si="80"/>
        <v/>
      </c>
      <c r="HI63" s="50" t="str">
        <f t="shared" si="80"/>
        <v/>
      </c>
      <c r="HJ63" s="50" t="str">
        <f t="shared" si="80"/>
        <v/>
      </c>
      <c r="HK63" s="50" t="str">
        <f t="shared" si="80"/>
        <v/>
      </c>
      <c r="HL63" s="50" t="str">
        <f t="shared" si="80"/>
        <v/>
      </c>
      <c r="HM63" s="50" t="str">
        <f t="shared" si="80"/>
        <v/>
      </c>
      <c r="HN63" s="50" t="str">
        <f t="shared" si="78"/>
        <v/>
      </c>
      <c r="HO63" s="50" t="str">
        <f t="shared" si="78"/>
        <v/>
      </c>
      <c r="HP63" s="50" t="str">
        <f t="shared" si="78"/>
        <v/>
      </c>
      <c r="HQ63" s="50" t="str">
        <f t="shared" si="78"/>
        <v/>
      </c>
      <c r="HR63" s="112" t="str">
        <f t="shared" si="78"/>
        <v/>
      </c>
    </row>
    <row r="64" spans="1:226" ht="11.1" customHeight="1" x14ac:dyDescent="0.25">
      <c r="A64" s="26"/>
      <c r="B64" s="27"/>
      <c r="C64" s="28" t="str">
        <f>IF(A64=0,"",VLOOKUP(A64,[2]CO!$A$3:$F$5327,2,0))</f>
        <v/>
      </c>
      <c r="D64" s="29"/>
      <c r="E64" s="29"/>
      <c r="F64" s="29"/>
      <c r="G64" s="30" t="str">
        <f>IF(A64=0,"",VLOOKUP(A64,[2]CO!$A$3:$F$5327,3,0))</f>
        <v/>
      </c>
      <c r="H64" s="95"/>
      <c r="I64" s="31"/>
      <c r="J64" s="31"/>
      <c r="K64" s="31"/>
      <c r="L64" s="31"/>
      <c r="M64" s="32" t="str">
        <f t="shared" si="68"/>
        <v/>
      </c>
      <c r="N64" s="32" t="str">
        <f>IF(B64=0,"",IF(H64="M",HLOOKUP(B64,$Y$12:$DT$13,2),IF(A64=0,"",VLOOKUP(A64,[2]CO!$A$3:$F$5327,4,0))))</f>
        <v/>
      </c>
      <c r="O64" s="32" t="str">
        <f t="shared" si="7"/>
        <v/>
      </c>
      <c r="P64" s="33"/>
      <c r="Q64" s="34" t="str">
        <f t="shared" si="69"/>
        <v/>
      </c>
      <c r="R64" s="35" t="str">
        <f>IF(S64=0,"",IF(OR(G64="PEON",G64="OF",G64="JARD",G64="CARP",G64="MAESTRO",G64="SOLD",G64="BGRO",G64="CHOFER",G64="AYTE",G64="S.INTTE.",G64="ASEO",G64="P.PISOS",G64="VELADOR",G64="RESID",G64="PINTOR",G64="ELECT",G64="AZULE",G64="AUX CONT.",G64="SECRETARIA",G64="AUXILIAR ADMTVO.",G64="ARQUITECTO",G64="DIBUJANTE",G64="AUX. DE RESIDENTE",G64="TOPOGRAFIA"),VLOOKUP(B64,P$14:Q$84,2),"")*S64)</f>
        <v/>
      </c>
      <c r="T64" s="53" t="str">
        <f>IF(A64=0,"",VLOOKUP(A64,[2]CO!$A$3:$F$5318,5,0))</f>
        <v/>
      </c>
      <c r="U64" s="54">
        <f t="shared" si="70"/>
        <v>0</v>
      </c>
      <c r="V64" s="24"/>
      <c r="W64" s="25"/>
      <c r="X64" s="25"/>
      <c r="Y64" s="64" t="str">
        <f t="shared" si="71"/>
        <v/>
      </c>
      <c r="Z64" s="55" t="str">
        <f t="shared" si="71"/>
        <v/>
      </c>
      <c r="AA64" s="55" t="str">
        <f t="shared" si="71"/>
        <v/>
      </c>
      <c r="AB64" s="55" t="str">
        <f t="shared" si="71"/>
        <v/>
      </c>
      <c r="AC64" s="55" t="str">
        <f t="shared" si="71"/>
        <v/>
      </c>
      <c r="AD64" s="55" t="str">
        <f t="shared" si="71"/>
        <v/>
      </c>
      <c r="AE64" s="55" t="str">
        <f t="shared" si="71"/>
        <v/>
      </c>
      <c r="AF64" s="55" t="str">
        <f t="shared" si="71"/>
        <v/>
      </c>
      <c r="AG64" s="55" t="str">
        <f t="shared" si="71"/>
        <v/>
      </c>
      <c r="AH64" s="55" t="str">
        <f t="shared" si="71"/>
        <v/>
      </c>
      <c r="AI64" s="55" t="str">
        <f t="shared" si="71"/>
        <v/>
      </c>
      <c r="AJ64" s="55" t="str">
        <f t="shared" si="71"/>
        <v/>
      </c>
      <c r="AK64" s="55" t="str">
        <f t="shared" si="71"/>
        <v/>
      </c>
      <c r="AL64" s="55" t="str">
        <f t="shared" si="71"/>
        <v/>
      </c>
      <c r="AM64" s="55" t="str">
        <f t="shared" si="71"/>
        <v/>
      </c>
      <c r="AN64" s="55" t="str">
        <f t="shared" si="71"/>
        <v/>
      </c>
      <c r="AO64" s="55" t="str">
        <f t="shared" si="81"/>
        <v/>
      </c>
      <c r="AP64" s="55" t="str">
        <f t="shared" si="81"/>
        <v/>
      </c>
      <c r="AQ64" s="55" t="str">
        <f t="shared" si="81"/>
        <v/>
      </c>
      <c r="AR64" s="55" t="str">
        <f t="shared" si="81"/>
        <v/>
      </c>
      <c r="AS64" s="55" t="str">
        <f t="shared" si="81"/>
        <v/>
      </c>
      <c r="AT64" s="55" t="str">
        <f t="shared" si="81"/>
        <v/>
      </c>
      <c r="AU64" s="55" t="str">
        <f t="shared" si="81"/>
        <v/>
      </c>
      <c r="AV64" s="55" t="str">
        <f t="shared" si="81"/>
        <v/>
      </c>
      <c r="AW64" s="55" t="str">
        <f t="shared" si="81"/>
        <v/>
      </c>
      <c r="AX64" s="55" t="str">
        <f t="shared" si="81"/>
        <v/>
      </c>
      <c r="AY64" s="55" t="str">
        <f t="shared" si="81"/>
        <v/>
      </c>
      <c r="AZ64" s="55" t="str">
        <f t="shared" si="81"/>
        <v/>
      </c>
      <c r="BA64" s="55" t="str">
        <f t="shared" si="81"/>
        <v/>
      </c>
      <c r="BB64" s="55" t="str">
        <f t="shared" si="81"/>
        <v/>
      </c>
      <c r="BC64" s="55" t="str">
        <f t="shared" si="81"/>
        <v/>
      </c>
      <c r="BD64" s="55" t="str">
        <f t="shared" si="81"/>
        <v/>
      </c>
      <c r="BE64" s="55" t="str">
        <f t="shared" si="82"/>
        <v/>
      </c>
      <c r="BF64" s="55" t="str">
        <f t="shared" si="82"/>
        <v/>
      </c>
      <c r="BG64" s="55" t="str">
        <f t="shared" si="82"/>
        <v/>
      </c>
      <c r="BH64" s="55" t="str">
        <f t="shared" si="82"/>
        <v/>
      </c>
      <c r="BI64" s="55" t="str">
        <f t="shared" si="82"/>
        <v/>
      </c>
      <c r="BJ64" s="55" t="str">
        <f t="shared" si="82"/>
        <v/>
      </c>
      <c r="BK64" s="55" t="str">
        <f t="shared" si="82"/>
        <v/>
      </c>
      <c r="BL64" s="55" t="str">
        <f t="shared" si="82"/>
        <v/>
      </c>
      <c r="BM64" s="55" t="str">
        <f t="shared" si="82"/>
        <v/>
      </c>
      <c r="BN64" s="55" t="str">
        <f t="shared" si="82"/>
        <v/>
      </c>
      <c r="BO64" s="55" t="str">
        <f t="shared" si="82"/>
        <v/>
      </c>
      <c r="BP64" s="55" t="str">
        <f t="shared" si="82"/>
        <v/>
      </c>
      <c r="BQ64" s="55" t="str">
        <f t="shared" si="82"/>
        <v/>
      </c>
      <c r="BR64" s="55" t="str">
        <f t="shared" si="82"/>
        <v/>
      </c>
      <c r="BS64" s="55" t="str">
        <f t="shared" si="82"/>
        <v/>
      </c>
      <c r="BT64" s="55" t="str">
        <f t="shared" si="82"/>
        <v/>
      </c>
      <c r="BU64" s="55" t="str">
        <f t="shared" si="82"/>
        <v/>
      </c>
      <c r="BV64" s="55" t="str">
        <f t="shared" si="82"/>
        <v/>
      </c>
      <c r="BW64" s="55" t="str">
        <f t="shared" si="82"/>
        <v/>
      </c>
      <c r="BX64" s="55" t="str">
        <f t="shared" si="82"/>
        <v/>
      </c>
      <c r="BY64" s="55" t="str">
        <f t="shared" si="82"/>
        <v/>
      </c>
      <c r="BZ64" s="55" t="str">
        <f t="shared" si="82"/>
        <v/>
      </c>
      <c r="CA64" s="55" t="str">
        <f t="shared" si="82"/>
        <v/>
      </c>
      <c r="CB64" s="55" t="str">
        <f t="shared" si="82"/>
        <v/>
      </c>
      <c r="CC64" s="55" t="str">
        <f t="shared" si="82"/>
        <v/>
      </c>
      <c r="CD64" s="55" t="str">
        <f t="shared" si="82"/>
        <v/>
      </c>
      <c r="CE64" s="55" t="str">
        <f t="shared" si="82"/>
        <v/>
      </c>
      <c r="CF64" s="55" t="str">
        <f t="shared" si="82"/>
        <v/>
      </c>
      <c r="CG64" s="55" t="str">
        <f t="shared" si="82"/>
        <v/>
      </c>
      <c r="CH64" s="55" t="str">
        <f t="shared" si="82"/>
        <v/>
      </c>
      <c r="CI64" s="55" t="str">
        <f t="shared" si="82"/>
        <v/>
      </c>
      <c r="CJ64" s="55" t="str">
        <f t="shared" si="82"/>
        <v/>
      </c>
      <c r="CK64" s="55" t="str">
        <f t="shared" si="82"/>
        <v/>
      </c>
      <c r="CL64" s="55" t="str">
        <f t="shared" si="82"/>
        <v/>
      </c>
      <c r="CM64" s="55" t="str">
        <f t="shared" si="82"/>
        <v/>
      </c>
      <c r="CN64" s="55" t="str">
        <f t="shared" si="82"/>
        <v/>
      </c>
      <c r="CO64" s="55" t="str">
        <f t="shared" si="82"/>
        <v/>
      </c>
      <c r="CP64" s="55" t="str">
        <f t="shared" si="82"/>
        <v/>
      </c>
      <c r="CQ64" s="55" t="str">
        <f t="shared" si="82"/>
        <v/>
      </c>
      <c r="CR64" s="55" t="str">
        <f t="shared" si="82"/>
        <v/>
      </c>
      <c r="CS64" s="55" t="str">
        <f t="shared" si="82"/>
        <v/>
      </c>
      <c r="CT64" s="55" t="str">
        <f t="shared" si="82"/>
        <v/>
      </c>
      <c r="CU64" s="55" t="str">
        <f t="shared" si="82"/>
        <v/>
      </c>
      <c r="CV64" s="55" t="str">
        <f t="shared" si="82"/>
        <v/>
      </c>
      <c r="CW64" s="55" t="str">
        <f t="shared" si="82"/>
        <v/>
      </c>
      <c r="CX64" s="55" t="str">
        <f t="shared" si="82"/>
        <v/>
      </c>
      <c r="CY64" s="55" t="str">
        <f t="shared" si="82"/>
        <v/>
      </c>
      <c r="CZ64" s="55" t="str">
        <f t="shared" si="79"/>
        <v/>
      </c>
      <c r="DA64" s="55" t="str">
        <f t="shared" si="79"/>
        <v/>
      </c>
      <c r="DB64" s="55" t="str">
        <f t="shared" si="79"/>
        <v/>
      </c>
      <c r="DC64" s="55" t="str">
        <f t="shared" si="79"/>
        <v/>
      </c>
      <c r="DD64" s="55" t="str">
        <f t="shared" si="79"/>
        <v/>
      </c>
      <c r="DE64" s="55" t="str">
        <f t="shared" si="79"/>
        <v/>
      </c>
      <c r="DF64" s="55" t="str">
        <f t="shared" si="79"/>
        <v/>
      </c>
      <c r="DG64" s="55" t="str">
        <f t="shared" si="79"/>
        <v/>
      </c>
      <c r="DH64" s="55" t="str">
        <f t="shared" si="79"/>
        <v/>
      </c>
      <c r="DI64" s="55" t="str">
        <f t="shared" si="79"/>
        <v/>
      </c>
      <c r="DJ64" s="55" t="str">
        <f t="shared" si="79"/>
        <v/>
      </c>
      <c r="DK64" s="55" t="str">
        <f t="shared" si="73"/>
        <v/>
      </c>
      <c r="DL64" s="55" t="str">
        <f t="shared" si="73"/>
        <v/>
      </c>
      <c r="DM64" s="55" t="str">
        <f t="shared" si="73"/>
        <v/>
      </c>
      <c r="DN64" s="55" t="str">
        <f t="shared" si="73"/>
        <v/>
      </c>
      <c r="DO64" s="55" t="str">
        <f t="shared" si="73"/>
        <v/>
      </c>
      <c r="DP64" s="55" t="str">
        <f t="shared" si="73"/>
        <v/>
      </c>
      <c r="DQ64" s="55" t="str">
        <f t="shared" si="74"/>
        <v/>
      </c>
      <c r="DR64" s="55" t="str">
        <f t="shared" si="74"/>
        <v/>
      </c>
      <c r="DS64" s="55" t="str">
        <f t="shared" si="74"/>
        <v/>
      </c>
      <c r="DT64" s="106" t="str">
        <f t="shared" si="74"/>
        <v/>
      </c>
      <c r="DU64" s="54"/>
      <c r="DV64" s="25"/>
      <c r="DW64" s="61" t="str">
        <f t="shared" si="75"/>
        <v/>
      </c>
      <c r="DX64" s="50" t="str">
        <f t="shared" si="75"/>
        <v/>
      </c>
      <c r="DY64" s="50" t="str">
        <f t="shared" si="75"/>
        <v/>
      </c>
      <c r="DZ64" s="50" t="str">
        <f t="shared" si="75"/>
        <v/>
      </c>
      <c r="EA64" s="50" t="str">
        <f t="shared" si="75"/>
        <v/>
      </c>
      <c r="EB64" s="50" t="str">
        <f t="shared" si="75"/>
        <v/>
      </c>
      <c r="EC64" s="50" t="str">
        <f t="shared" si="75"/>
        <v/>
      </c>
      <c r="ED64" s="50" t="str">
        <f t="shared" si="75"/>
        <v/>
      </c>
      <c r="EE64" s="50" t="str">
        <f t="shared" si="75"/>
        <v/>
      </c>
      <c r="EF64" s="50" t="str">
        <f t="shared" si="75"/>
        <v/>
      </c>
      <c r="EG64" s="50" t="str">
        <f t="shared" si="75"/>
        <v/>
      </c>
      <c r="EH64" s="50" t="str">
        <f t="shared" si="75"/>
        <v/>
      </c>
      <c r="EI64" s="50" t="str">
        <f t="shared" si="75"/>
        <v/>
      </c>
      <c r="EJ64" s="50" t="str">
        <f t="shared" si="75"/>
        <v/>
      </c>
      <c r="EK64" s="50" t="str">
        <f t="shared" si="75"/>
        <v/>
      </c>
      <c r="EL64" s="50" t="str">
        <f t="shared" si="75"/>
        <v/>
      </c>
      <c r="EM64" s="50" t="str">
        <f t="shared" si="83"/>
        <v/>
      </c>
      <c r="EN64" s="50" t="str">
        <f t="shared" si="83"/>
        <v/>
      </c>
      <c r="EO64" s="50" t="str">
        <f t="shared" si="83"/>
        <v/>
      </c>
      <c r="EP64" s="50" t="str">
        <f t="shared" si="83"/>
        <v/>
      </c>
      <c r="EQ64" s="50" t="str">
        <f t="shared" si="83"/>
        <v/>
      </c>
      <c r="ER64" s="50" t="str">
        <f t="shared" si="83"/>
        <v/>
      </c>
      <c r="ES64" s="50" t="str">
        <f t="shared" si="83"/>
        <v/>
      </c>
      <c r="ET64" s="50" t="str">
        <f t="shared" si="83"/>
        <v/>
      </c>
      <c r="EU64" s="50" t="str">
        <f t="shared" si="83"/>
        <v/>
      </c>
      <c r="EV64" s="50" t="str">
        <f t="shared" si="83"/>
        <v/>
      </c>
      <c r="EW64" s="50" t="str">
        <f t="shared" si="83"/>
        <v/>
      </c>
      <c r="EX64" s="50" t="str">
        <f t="shared" si="83"/>
        <v/>
      </c>
      <c r="EY64" s="50" t="str">
        <f t="shared" si="83"/>
        <v/>
      </c>
      <c r="EZ64" s="50" t="str">
        <f t="shared" si="83"/>
        <v/>
      </c>
      <c r="FA64" s="50" t="str">
        <f t="shared" si="83"/>
        <v/>
      </c>
      <c r="FB64" s="50" t="str">
        <f t="shared" si="83"/>
        <v/>
      </c>
      <c r="FC64" s="50" t="str">
        <f t="shared" si="84"/>
        <v/>
      </c>
      <c r="FD64" s="50" t="str">
        <f t="shared" si="84"/>
        <v/>
      </c>
      <c r="FE64" s="50" t="str">
        <f t="shared" si="84"/>
        <v/>
      </c>
      <c r="FF64" s="50" t="str">
        <f t="shared" si="84"/>
        <v/>
      </c>
      <c r="FG64" s="50" t="str">
        <f t="shared" si="84"/>
        <v/>
      </c>
      <c r="FH64" s="50" t="str">
        <f t="shared" si="84"/>
        <v/>
      </c>
      <c r="FI64" s="50" t="str">
        <f t="shared" si="84"/>
        <v/>
      </c>
      <c r="FJ64" s="50" t="str">
        <f t="shared" si="84"/>
        <v/>
      </c>
      <c r="FK64" s="50" t="str">
        <f t="shared" si="84"/>
        <v/>
      </c>
      <c r="FL64" s="50" t="str">
        <f t="shared" si="84"/>
        <v/>
      </c>
      <c r="FM64" s="50" t="str">
        <f t="shared" si="84"/>
        <v/>
      </c>
      <c r="FN64" s="50" t="str">
        <f t="shared" si="84"/>
        <v/>
      </c>
      <c r="FO64" s="50" t="str">
        <f t="shared" si="84"/>
        <v/>
      </c>
      <c r="FP64" s="50" t="str">
        <f t="shared" si="84"/>
        <v/>
      </c>
      <c r="FQ64" s="50" t="str">
        <f t="shared" si="84"/>
        <v/>
      </c>
      <c r="FR64" s="50" t="str">
        <f t="shared" si="84"/>
        <v/>
      </c>
      <c r="FS64" s="50" t="str">
        <f t="shared" si="84"/>
        <v/>
      </c>
      <c r="FT64" s="50" t="str">
        <f t="shared" si="84"/>
        <v/>
      </c>
      <c r="FU64" s="50" t="str">
        <f t="shared" si="84"/>
        <v/>
      </c>
      <c r="FV64" s="50" t="str">
        <f t="shared" si="84"/>
        <v/>
      </c>
      <c r="FW64" s="50" t="str">
        <f t="shared" si="84"/>
        <v/>
      </c>
      <c r="FX64" s="50" t="str">
        <f t="shared" si="84"/>
        <v/>
      </c>
      <c r="FY64" s="50" t="str">
        <f t="shared" si="84"/>
        <v/>
      </c>
      <c r="FZ64" s="50" t="str">
        <f t="shared" si="84"/>
        <v/>
      </c>
      <c r="GA64" s="50" t="str">
        <f t="shared" si="84"/>
        <v/>
      </c>
      <c r="GB64" s="50" t="str">
        <f t="shared" si="84"/>
        <v/>
      </c>
      <c r="GC64" s="50" t="str">
        <f t="shared" si="84"/>
        <v/>
      </c>
      <c r="GD64" s="50" t="str">
        <f t="shared" si="84"/>
        <v/>
      </c>
      <c r="GE64" s="50" t="str">
        <f t="shared" si="84"/>
        <v/>
      </c>
      <c r="GF64" s="50" t="str">
        <f t="shared" si="84"/>
        <v/>
      </c>
      <c r="GG64" s="50" t="str">
        <f t="shared" si="84"/>
        <v/>
      </c>
      <c r="GH64" s="50" t="str">
        <f t="shared" si="84"/>
        <v/>
      </c>
      <c r="GI64" s="50" t="str">
        <f t="shared" si="84"/>
        <v/>
      </c>
      <c r="GJ64" s="50" t="str">
        <f t="shared" si="84"/>
        <v/>
      </c>
      <c r="GK64" s="50" t="str">
        <f t="shared" si="84"/>
        <v/>
      </c>
      <c r="GL64" s="50" t="str">
        <f t="shared" si="84"/>
        <v/>
      </c>
      <c r="GM64" s="50" t="str">
        <f t="shared" si="84"/>
        <v/>
      </c>
      <c r="GN64" s="50" t="str">
        <f t="shared" si="84"/>
        <v/>
      </c>
      <c r="GO64" s="50" t="str">
        <f t="shared" si="84"/>
        <v/>
      </c>
      <c r="GP64" s="50" t="str">
        <f t="shared" si="84"/>
        <v/>
      </c>
      <c r="GQ64" s="50" t="str">
        <f t="shared" si="84"/>
        <v/>
      </c>
      <c r="GR64" s="50" t="str">
        <f t="shared" si="84"/>
        <v/>
      </c>
      <c r="GS64" s="50" t="str">
        <f t="shared" si="84"/>
        <v/>
      </c>
      <c r="GT64" s="50" t="str">
        <f t="shared" si="84"/>
        <v/>
      </c>
      <c r="GU64" s="50" t="str">
        <f t="shared" si="84"/>
        <v/>
      </c>
      <c r="GV64" s="50" t="str">
        <f t="shared" si="84"/>
        <v/>
      </c>
      <c r="GW64" s="50" t="str">
        <f t="shared" si="84"/>
        <v/>
      </c>
      <c r="GX64" s="50" t="str">
        <f t="shared" si="80"/>
        <v/>
      </c>
      <c r="GY64" s="50" t="str">
        <f t="shared" si="80"/>
        <v/>
      </c>
      <c r="GZ64" s="50" t="str">
        <f t="shared" si="80"/>
        <v/>
      </c>
      <c r="HA64" s="50" t="str">
        <f t="shared" si="80"/>
        <v/>
      </c>
      <c r="HB64" s="50" t="str">
        <f t="shared" si="80"/>
        <v/>
      </c>
      <c r="HC64" s="50" t="str">
        <f t="shared" si="80"/>
        <v/>
      </c>
      <c r="HD64" s="50" t="str">
        <f t="shared" si="80"/>
        <v/>
      </c>
      <c r="HE64" s="50" t="str">
        <f t="shared" si="80"/>
        <v/>
      </c>
      <c r="HF64" s="50" t="str">
        <f t="shared" si="80"/>
        <v/>
      </c>
      <c r="HG64" s="50" t="str">
        <f t="shared" si="80"/>
        <v/>
      </c>
      <c r="HH64" s="50" t="str">
        <f t="shared" si="80"/>
        <v/>
      </c>
      <c r="HI64" s="50" t="str">
        <f t="shared" si="80"/>
        <v/>
      </c>
      <c r="HJ64" s="50" t="str">
        <f t="shared" si="80"/>
        <v/>
      </c>
      <c r="HK64" s="50" t="str">
        <f t="shared" si="80"/>
        <v/>
      </c>
      <c r="HL64" s="50" t="str">
        <f t="shared" si="80"/>
        <v/>
      </c>
      <c r="HM64" s="50" t="str">
        <f t="shared" si="80"/>
        <v/>
      </c>
      <c r="HN64" s="50" t="str">
        <f t="shared" si="78"/>
        <v/>
      </c>
      <c r="HO64" s="50" t="str">
        <f t="shared" si="78"/>
        <v/>
      </c>
      <c r="HP64" s="50" t="str">
        <f t="shared" si="78"/>
        <v/>
      </c>
      <c r="HQ64" s="50" t="str">
        <f t="shared" si="78"/>
        <v/>
      </c>
      <c r="HR64" s="112" t="str">
        <f t="shared" si="78"/>
        <v/>
      </c>
    </row>
    <row r="65" spans="1:226" ht="11.1" customHeight="1" thickBot="1" x14ac:dyDescent="0.3">
      <c r="A65" s="66"/>
      <c r="B65" s="67"/>
      <c r="C65" s="68" t="str">
        <f>IF(A65=0,"",VLOOKUP(A65,[2]CO!$A$3:$F$5327,2,0))</f>
        <v/>
      </c>
      <c r="D65" s="69"/>
      <c r="E65" s="69"/>
      <c r="F65" s="69"/>
      <c r="G65" s="70" t="str">
        <f>IF(A65=0,"",VLOOKUP(A65,[2]CO!$A$3:$F$5327,3,0))</f>
        <v/>
      </c>
      <c r="H65" s="96"/>
      <c r="I65" s="71"/>
      <c r="J65" s="71"/>
      <c r="K65" s="71"/>
      <c r="L65" s="71"/>
      <c r="M65" s="72" t="str">
        <f t="shared" si="68"/>
        <v/>
      </c>
      <c r="N65" s="72" t="str">
        <f>IF(B65=0,"",IF(H65="M",HLOOKUP(B65,$Y$12:$DT$13,2),IF(A65=0,"",VLOOKUP(A65,[2]CO!$A$3:$F$5327,4,0))))</f>
        <v/>
      </c>
      <c r="O65" s="72" t="str">
        <f t="shared" si="7"/>
        <v/>
      </c>
      <c r="P65" s="73"/>
      <c r="Q65" s="74" t="str">
        <f t="shared" si="69"/>
        <v/>
      </c>
      <c r="R65" s="75" t="str">
        <f>IF(S65=0,"",IF(OR(G65="PEON",G65="OF",G65="JARD",G65="CARP",G65="MAESTRO",G65="SOLD",G65="BGRO",G65="CHOFER",G65="AYTE",G65="S.INTTE.",G65="ASEO",G65="P.PISOS",G65="VELADOR",G65="RESID",G65="PINTOR",G65="ELECT",G65="AZULE",G65="AUX CONT.",G65="SECRETARIA",G65="AUXILIAR ADMTVO.",G65="ARQUITECTO",G65="DIBUJANTE",G65="AUX. DE RESIDENTE",G65="TOPOGRAFIA"),VLOOKUP(B65,P$14:Q$84,2),"")*S65)</f>
        <v/>
      </c>
      <c r="T65" s="53" t="str">
        <f>IF(A65=0,"",VLOOKUP(A65,[2]CO!$A$3:$F$5318,5,0))</f>
        <v/>
      </c>
      <c r="U65" s="54">
        <f t="shared" si="70"/>
        <v>0</v>
      </c>
      <c r="V65" s="24"/>
      <c r="W65" s="25"/>
      <c r="X65" s="25"/>
      <c r="Y65" s="76" t="str">
        <f t="shared" si="71"/>
        <v/>
      </c>
      <c r="Z65" s="77" t="str">
        <f t="shared" si="71"/>
        <v/>
      </c>
      <c r="AA65" s="77" t="str">
        <f t="shared" si="71"/>
        <v/>
      </c>
      <c r="AB65" s="77" t="str">
        <f t="shared" si="71"/>
        <v/>
      </c>
      <c r="AC65" s="77" t="str">
        <f t="shared" si="71"/>
        <v/>
      </c>
      <c r="AD65" s="77" t="str">
        <f t="shared" si="71"/>
        <v/>
      </c>
      <c r="AE65" s="77" t="str">
        <f t="shared" si="71"/>
        <v/>
      </c>
      <c r="AF65" s="77" t="str">
        <f t="shared" si="71"/>
        <v/>
      </c>
      <c r="AG65" s="77" t="str">
        <f t="shared" si="71"/>
        <v/>
      </c>
      <c r="AH65" s="77" t="str">
        <f t="shared" si="71"/>
        <v/>
      </c>
      <c r="AI65" s="77" t="str">
        <f t="shared" si="71"/>
        <v/>
      </c>
      <c r="AJ65" s="77" t="str">
        <f t="shared" si="71"/>
        <v/>
      </c>
      <c r="AK65" s="77" t="str">
        <f t="shared" si="71"/>
        <v/>
      </c>
      <c r="AL65" s="77" t="str">
        <f t="shared" si="71"/>
        <v/>
      </c>
      <c r="AM65" s="77" t="str">
        <f t="shared" si="71"/>
        <v/>
      </c>
      <c r="AN65" s="77" t="str">
        <f t="shared" si="71"/>
        <v/>
      </c>
      <c r="AO65" s="77" t="str">
        <f t="shared" si="81"/>
        <v/>
      </c>
      <c r="AP65" s="77" t="str">
        <f t="shared" si="81"/>
        <v/>
      </c>
      <c r="AQ65" s="77" t="str">
        <f t="shared" si="81"/>
        <v/>
      </c>
      <c r="AR65" s="77" t="str">
        <f t="shared" si="81"/>
        <v/>
      </c>
      <c r="AS65" s="77" t="str">
        <f t="shared" si="81"/>
        <v/>
      </c>
      <c r="AT65" s="77" t="str">
        <f t="shared" si="81"/>
        <v/>
      </c>
      <c r="AU65" s="77" t="str">
        <f t="shared" si="81"/>
        <v/>
      </c>
      <c r="AV65" s="77" t="str">
        <f t="shared" si="81"/>
        <v/>
      </c>
      <c r="AW65" s="77" t="str">
        <f t="shared" si="81"/>
        <v/>
      </c>
      <c r="AX65" s="77" t="str">
        <f t="shared" si="81"/>
        <v/>
      </c>
      <c r="AY65" s="77" t="str">
        <f t="shared" si="81"/>
        <v/>
      </c>
      <c r="AZ65" s="77" t="str">
        <f t="shared" si="81"/>
        <v/>
      </c>
      <c r="BA65" s="77" t="str">
        <f t="shared" si="81"/>
        <v/>
      </c>
      <c r="BB65" s="77" t="str">
        <f t="shared" si="81"/>
        <v/>
      </c>
      <c r="BC65" s="77" t="str">
        <f t="shared" si="81"/>
        <v/>
      </c>
      <c r="BD65" s="77" t="str">
        <f t="shared" si="81"/>
        <v/>
      </c>
      <c r="BE65" s="77" t="str">
        <f t="shared" si="82"/>
        <v/>
      </c>
      <c r="BF65" s="77" t="str">
        <f t="shared" si="82"/>
        <v/>
      </c>
      <c r="BG65" s="77" t="str">
        <f t="shared" si="82"/>
        <v/>
      </c>
      <c r="BH65" s="77" t="str">
        <f t="shared" si="82"/>
        <v/>
      </c>
      <c r="BI65" s="77" t="str">
        <f t="shared" si="82"/>
        <v/>
      </c>
      <c r="BJ65" s="77" t="str">
        <f t="shared" si="82"/>
        <v/>
      </c>
      <c r="BK65" s="77" t="str">
        <f t="shared" si="82"/>
        <v/>
      </c>
      <c r="BL65" s="77" t="str">
        <f t="shared" si="82"/>
        <v/>
      </c>
      <c r="BM65" s="77" t="str">
        <f t="shared" si="82"/>
        <v/>
      </c>
      <c r="BN65" s="77" t="str">
        <f t="shared" si="82"/>
        <v/>
      </c>
      <c r="BO65" s="77" t="str">
        <f t="shared" si="82"/>
        <v/>
      </c>
      <c r="BP65" s="77" t="str">
        <f t="shared" si="82"/>
        <v/>
      </c>
      <c r="BQ65" s="77" t="str">
        <f t="shared" si="82"/>
        <v/>
      </c>
      <c r="BR65" s="77" t="str">
        <f t="shared" si="82"/>
        <v/>
      </c>
      <c r="BS65" s="77" t="str">
        <f t="shared" si="82"/>
        <v/>
      </c>
      <c r="BT65" s="77" t="str">
        <f t="shared" si="82"/>
        <v/>
      </c>
      <c r="BU65" s="77" t="str">
        <f t="shared" si="82"/>
        <v/>
      </c>
      <c r="BV65" s="77" t="str">
        <f t="shared" si="82"/>
        <v/>
      </c>
      <c r="BW65" s="77" t="str">
        <f t="shared" si="82"/>
        <v/>
      </c>
      <c r="BX65" s="77" t="str">
        <f t="shared" si="82"/>
        <v/>
      </c>
      <c r="BY65" s="77" t="str">
        <f t="shared" ref="BY65:CY65" si="102">IF($B65=BY$12,$U65,"")</f>
        <v/>
      </c>
      <c r="BZ65" s="77" t="str">
        <f t="shared" si="102"/>
        <v/>
      </c>
      <c r="CA65" s="77" t="str">
        <f t="shared" si="102"/>
        <v/>
      </c>
      <c r="CB65" s="77" t="str">
        <f t="shared" si="102"/>
        <v/>
      </c>
      <c r="CC65" s="77" t="str">
        <f t="shared" si="102"/>
        <v/>
      </c>
      <c r="CD65" s="77" t="str">
        <f t="shared" si="102"/>
        <v/>
      </c>
      <c r="CE65" s="77" t="str">
        <f t="shared" si="102"/>
        <v/>
      </c>
      <c r="CF65" s="77" t="str">
        <f t="shared" si="102"/>
        <v/>
      </c>
      <c r="CG65" s="77" t="str">
        <f t="shared" si="102"/>
        <v/>
      </c>
      <c r="CH65" s="77" t="str">
        <f t="shared" si="102"/>
        <v/>
      </c>
      <c r="CI65" s="77" t="str">
        <f t="shared" si="102"/>
        <v/>
      </c>
      <c r="CJ65" s="77" t="str">
        <f t="shared" si="102"/>
        <v/>
      </c>
      <c r="CK65" s="77" t="str">
        <f t="shared" si="102"/>
        <v/>
      </c>
      <c r="CL65" s="77" t="str">
        <f t="shared" si="102"/>
        <v/>
      </c>
      <c r="CM65" s="77" t="str">
        <f t="shared" si="102"/>
        <v/>
      </c>
      <c r="CN65" s="77" t="str">
        <f t="shared" si="102"/>
        <v/>
      </c>
      <c r="CO65" s="77" t="str">
        <f t="shared" si="102"/>
        <v/>
      </c>
      <c r="CP65" s="77" t="str">
        <f t="shared" si="102"/>
        <v/>
      </c>
      <c r="CQ65" s="77" t="str">
        <f t="shared" si="102"/>
        <v/>
      </c>
      <c r="CR65" s="77" t="str">
        <f t="shared" si="102"/>
        <v/>
      </c>
      <c r="CS65" s="77" t="str">
        <f t="shared" si="102"/>
        <v/>
      </c>
      <c r="CT65" s="77" t="str">
        <f t="shared" si="102"/>
        <v/>
      </c>
      <c r="CU65" s="77" t="str">
        <f t="shared" si="102"/>
        <v/>
      </c>
      <c r="CV65" s="77" t="str">
        <f t="shared" si="102"/>
        <v/>
      </c>
      <c r="CW65" s="77" t="str">
        <f t="shared" si="102"/>
        <v/>
      </c>
      <c r="CX65" s="77" t="str">
        <f t="shared" si="102"/>
        <v/>
      </c>
      <c r="CY65" s="77" t="str">
        <f t="shared" si="102"/>
        <v/>
      </c>
      <c r="CZ65" s="77" t="str">
        <f t="shared" si="79"/>
        <v/>
      </c>
      <c r="DA65" s="77" t="str">
        <f t="shared" si="79"/>
        <v/>
      </c>
      <c r="DB65" s="77" t="str">
        <f t="shared" si="79"/>
        <v/>
      </c>
      <c r="DC65" s="77" t="str">
        <f t="shared" si="79"/>
        <v/>
      </c>
      <c r="DD65" s="77" t="str">
        <f t="shared" si="79"/>
        <v/>
      </c>
      <c r="DE65" s="77" t="str">
        <f t="shared" si="79"/>
        <v/>
      </c>
      <c r="DF65" s="77" t="str">
        <f t="shared" si="79"/>
        <v/>
      </c>
      <c r="DG65" s="77" t="str">
        <f t="shared" si="79"/>
        <v/>
      </c>
      <c r="DH65" s="77" t="str">
        <f t="shared" si="79"/>
        <v/>
      </c>
      <c r="DI65" s="77" t="str">
        <f t="shared" si="79"/>
        <v/>
      </c>
      <c r="DJ65" s="77" t="str">
        <f t="shared" si="79"/>
        <v/>
      </c>
      <c r="DK65" s="77" t="str">
        <f t="shared" si="73"/>
        <v/>
      </c>
      <c r="DL65" s="77" t="str">
        <f t="shared" si="73"/>
        <v/>
      </c>
      <c r="DM65" s="77" t="str">
        <f t="shared" si="73"/>
        <v/>
      </c>
      <c r="DN65" s="77" t="str">
        <f t="shared" si="73"/>
        <v/>
      </c>
      <c r="DO65" s="77" t="str">
        <f t="shared" si="73"/>
        <v/>
      </c>
      <c r="DP65" s="77" t="str">
        <f t="shared" si="73"/>
        <v/>
      </c>
      <c r="DQ65" s="77" t="str">
        <f t="shared" si="74"/>
        <v/>
      </c>
      <c r="DR65" s="77" t="str">
        <f t="shared" si="74"/>
        <v/>
      </c>
      <c r="DS65" s="77" t="str">
        <f t="shared" si="74"/>
        <v/>
      </c>
      <c r="DT65" s="107" t="str">
        <f t="shared" si="74"/>
        <v/>
      </c>
      <c r="DU65" s="54"/>
      <c r="DV65" s="25"/>
      <c r="DW65" s="78" t="str">
        <f t="shared" si="75"/>
        <v/>
      </c>
      <c r="DX65" s="79" t="str">
        <f t="shared" si="75"/>
        <v/>
      </c>
      <c r="DY65" s="79" t="str">
        <f t="shared" si="75"/>
        <v/>
      </c>
      <c r="DZ65" s="79" t="str">
        <f t="shared" si="75"/>
        <v/>
      </c>
      <c r="EA65" s="79" t="str">
        <f t="shared" si="75"/>
        <v/>
      </c>
      <c r="EB65" s="79" t="str">
        <f t="shared" si="75"/>
        <v/>
      </c>
      <c r="EC65" s="79" t="str">
        <f t="shared" si="75"/>
        <v/>
      </c>
      <c r="ED65" s="79" t="str">
        <f t="shared" si="75"/>
        <v/>
      </c>
      <c r="EE65" s="79" t="str">
        <f t="shared" si="75"/>
        <v/>
      </c>
      <c r="EF65" s="79" t="str">
        <f t="shared" si="75"/>
        <v/>
      </c>
      <c r="EG65" s="79" t="str">
        <f t="shared" si="75"/>
        <v/>
      </c>
      <c r="EH65" s="79" t="str">
        <f t="shared" si="75"/>
        <v/>
      </c>
      <c r="EI65" s="79" t="str">
        <f t="shared" si="75"/>
        <v/>
      </c>
      <c r="EJ65" s="79" t="str">
        <f t="shared" si="75"/>
        <v/>
      </c>
      <c r="EK65" s="79" t="str">
        <f t="shared" si="75"/>
        <v/>
      </c>
      <c r="EL65" s="79" t="str">
        <f t="shared" si="75"/>
        <v/>
      </c>
      <c r="EM65" s="79" t="str">
        <f t="shared" si="83"/>
        <v/>
      </c>
      <c r="EN65" s="79" t="str">
        <f t="shared" si="83"/>
        <v/>
      </c>
      <c r="EO65" s="79" t="str">
        <f t="shared" si="83"/>
        <v/>
      </c>
      <c r="EP65" s="79" t="str">
        <f t="shared" si="83"/>
        <v/>
      </c>
      <c r="EQ65" s="79" t="str">
        <f t="shared" si="83"/>
        <v/>
      </c>
      <c r="ER65" s="79" t="str">
        <f t="shared" si="83"/>
        <v/>
      </c>
      <c r="ES65" s="79" t="str">
        <f t="shared" si="83"/>
        <v/>
      </c>
      <c r="ET65" s="79" t="str">
        <f t="shared" si="83"/>
        <v/>
      </c>
      <c r="EU65" s="79" t="str">
        <f t="shared" si="83"/>
        <v/>
      </c>
      <c r="EV65" s="79" t="str">
        <f t="shared" si="83"/>
        <v/>
      </c>
      <c r="EW65" s="79" t="str">
        <f t="shared" si="83"/>
        <v/>
      </c>
      <c r="EX65" s="79" t="str">
        <f t="shared" si="83"/>
        <v/>
      </c>
      <c r="EY65" s="79" t="str">
        <f t="shared" si="83"/>
        <v/>
      </c>
      <c r="EZ65" s="79" t="str">
        <f t="shared" si="83"/>
        <v/>
      </c>
      <c r="FA65" s="79" t="str">
        <f t="shared" si="83"/>
        <v/>
      </c>
      <c r="FB65" s="79" t="str">
        <f t="shared" si="83"/>
        <v/>
      </c>
      <c r="FC65" s="79" t="str">
        <f t="shared" si="84"/>
        <v/>
      </c>
      <c r="FD65" s="79" t="str">
        <f t="shared" si="84"/>
        <v/>
      </c>
      <c r="FE65" s="79" t="str">
        <f t="shared" si="84"/>
        <v/>
      </c>
      <c r="FF65" s="79" t="str">
        <f t="shared" si="84"/>
        <v/>
      </c>
      <c r="FG65" s="79" t="str">
        <f t="shared" si="84"/>
        <v/>
      </c>
      <c r="FH65" s="79" t="str">
        <f t="shared" si="84"/>
        <v/>
      </c>
      <c r="FI65" s="79" t="str">
        <f t="shared" si="84"/>
        <v/>
      </c>
      <c r="FJ65" s="79" t="str">
        <f t="shared" si="84"/>
        <v/>
      </c>
      <c r="FK65" s="79" t="str">
        <f t="shared" si="84"/>
        <v/>
      </c>
      <c r="FL65" s="79" t="str">
        <f t="shared" si="84"/>
        <v/>
      </c>
      <c r="FM65" s="79" t="str">
        <f t="shared" si="84"/>
        <v/>
      </c>
      <c r="FN65" s="79" t="str">
        <f t="shared" si="84"/>
        <v/>
      </c>
      <c r="FO65" s="79" t="str">
        <f t="shared" si="84"/>
        <v/>
      </c>
      <c r="FP65" s="79" t="str">
        <f t="shared" si="84"/>
        <v/>
      </c>
      <c r="FQ65" s="79" t="str">
        <f t="shared" si="84"/>
        <v/>
      </c>
      <c r="FR65" s="79" t="str">
        <f t="shared" si="84"/>
        <v/>
      </c>
      <c r="FS65" s="79" t="str">
        <f t="shared" si="84"/>
        <v/>
      </c>
      <c r="FT65" s="79" t="str">
        <f t="shared" si="84"/>
        <v/>
      </c>
      <c r="FU65" s="79" t="str">
        <f t="shared" si="84"/>
        <v/>
      </c>
      <c r="FV65" s="79" t="str">
        <f t="shared" si="84"/>
        <v/>
      </c>
      <c r="FW65" s="79" t="str">
        <f t="shared" ref="FW65:GW65" si="103">IF($B65=FW$12,$O65,"")</f>
        <v/>
      </c>
      <c r="FX65" s="79" t="str">
        <f t="shared" si="103"/>
        <v/>
      </c>
      <c r="FY65" s="79" t="str">
        <f t="shared" si="103"/>
        <v/>
      </c>
      <c r="FZ65" s="79" t="str">
        <f t="shared" si="103"/>
        <v/>
      </c>
      <c r="GA65" s="79" t="str">
        <f t="shared" si="103"/>
        <v/>
      </c>
      <c r="GB65" s="79" t="str">
        <f t="shared" si="103"/>
        <v/>
      </c>
      <c r="GC65" s="79" t="str">
        <f t="shared" si="103"/>
        <v/>
      </c>
      <c r="GD65" s="79" t="str">
        <f t="shared" si="103"/>
        <v/>
      </c>
      <c r="GE65" s="79" t="str">
        <f t="shared" si="103"/>
        <v/>
      </c>
      <c r="GF65" s="79" t="str">
        <f t="shared" si="103"/>
        <v/>
      </c>
      <c r="GG65" s="79" t="str">
        <f t="shared" si="103"/>
        <v/>
      </c>
      <c r="GH65" s="79" t="str">
        <f t="shared" si="103"/>
        <v/>
      </c>
      <c r="GI65" s="79" t="str">
        <f t="shared" si="103"/>
        <v/>
      </c>
      <c r="GJ65" s="79" t="str">
        <f t="shared" si="103"/>
        <v/>
      </c>
      <c r="GK65" s="79" t="str">
        <f t="shared" si="103"/>
        <v/>
      </c>
      <c r="GL65" s="79" t="str">
        <f t="shared" si="103"/>
        <v/>
      </c>
      <c r="GM65" s="79" t="str">
        <f t="shared" si="103"/>
        <v/>
      </c>
      <c r="GN65" s="79" t="str">
        <f t="shared" si="103"/>
        <v/>
      </c>
      <c r="GO65" s="79" t="str">
        <f t="shared" si="103"/>
        <v/>
      </c>
      <c r="GP65" s="79" t="str">
        <f t="shared" si="103"/>
        <v/>
      </c>
      <c r="GQ65" s="79" t="str">
        <f t="shared" si="103"/>
        <v/>
      </c>
      <c r="GR65" s="79" t="str">
        <f t="shared" si="103"/>
        <v/>
      </c>
      <c r="GS65" s="79" t="str">
        <f t="shared" si="103"/>
        <v/>
      </c>
      <c r="GT65" s="79" t="str">
        <f t="shared" si="103"/>
        <v/>
      </c>
      <c r="GU65" s="79" t="str">
        <f t="shared" si="103"/>
        <v/>
      </c>
      <c r="GV65" s="79" t="str">
        <f t="shared" si="103"/>
        <v/>
      </c>
      <c r="GW65" s="79" t="str">
        <f t="shared" si="103"/>
        <v/>
      </c>
      <c r="GX65" s="79" t="str">
        <f t="shared" si="80"/>
        <v/>
      </c>
      <c r="GY65" s="79" t="str">
        <f t="shared" si="80"/>
        <v/>
      </c>
      <c r="GZ65" s="79" t="str">
        <f t="shared" si="80"/>
        <v/>
      </c>
      <c r="HA65" s="79" t="str">
        <f t="shared" si="80"/>
        <v/>
      </c>
      <c r="HB65" s="79" t="str">
        <f t="shared" si="80"/>
        <v/>
      </c>
      <c r="HC65" s="79" t="str">
        <f t="shared" si="80"/>
        <v/>
      </c>
      <c r="HD65" s="79" t="str">
        <f t="shared" si="80"/>
        <v/>
      </c>
      <c r="HE65" s="79" t="str">
        <f t="shared" si="80"/>
        <v/>
      </c>
      <c r="HF65" s="79" t="str">
        <f t="shared" si="80"/>
        <v/>
      </c>
      <c r="HG65" s="79" t="str">
        <f t="shared" si="80"/>
        <v/>
      </c>
      <c r="HH65" s="79" t="str">
        <f t="shared" si="80"/>
        <v/>
      </c>
      <c r="HI65" s="79" t="str">
        <f t="shared" si="80"/>
        <v/>
      </c>
      <c r="HJ65" s="79" t="str">
        <f t="shared" si="80"/>
        <v/>
      </c>
      <c r="HK65" s="79" t="str">
        <f t="shared" si="80"/>
        <v/>
      </c>
      <c r="HL65" s="79" t="str">
        <f t="shared" si="80"/>
        <v/>
      </c>
      <c r="HM65" s="79" t="str">
        <f t="shared" si="80"/>
        <v/>
      </c>
      <c r="HN65" s="79" t="str">
        <f t="shared" si="78"/>
        <v/>
      </c>
      <c r="HO65" s="79" t="str">
        <f t="shared" si="78"/>
        <v/>
      </c>
      <c r="HP65" s="79" t="str">
        <f t="shared" si="78"/>
        <v/>
      </c>
      <c r="HQ65" s="79" t="str">
        <f t="shared" si="78"/>
        <v/>
      </c>
      <c r="HR65" s="113" t="str">
        <f t="shared" si="78"/>
        <v/>
      </c>
    </row>
    <row r="66" spans="1:226" ht="11.1" customHeight="1" thickTop="1" x14ac:dyDescent="0.25"/>
    <row r="67" spans="1:226" x14ac:dyDescent="0.25">
      <c r="L67" s="119"/>
      <c r="O67" s="48" t="s">
        <v>17</v>
      </c>
      <c r="P67" s="49"/>
      <c r="Q67" s="104">
        <f>SUM(Q54:Q65)</f>
        <v>21666.643400000001</v>
      </c>
      <c r="R67" s="104">
        <f>SUM(R54:R65)</f>
        <v>21666.643400000001</v>
      </c>
    </row>
    <row r="68" spans="1:226" ht="11.1" customHeight="1" thickBot="1" x14ac:dyDescent="0.3"/>
    <row r="69" spans="1:226" ht="16.2" thickBot="1" x14ac:dyDescent="0.3">
      <c r="A69" s="147"/>
      <c r="B69" s="148"/>
      <c r="C69" s="99"/>
      <c r="D69" s="148"/>
      <c r="E69" s="99"/>
      <c r="F69" s="99"/>
      <c r="G69" s="99" t="s">
        <v>19</v>
      </c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100"/>
    </row>
    <row r="70" spans="1:226" ht="11.1" customHeight="1" thickBot="1" x14ac:dyDescent="0.3"/>
    <row r="71" spans="1:226" ht="11.1" customHeight="1" thickTop="1" x14ac:dyDescent="0.25">
      <c r="A71" s="80"/>
      <c r="B71" s="81"/>
      <c r="C71" s="82" t="str">
        <f>IF(A71=0,"",VLOOKUP(A71,[2]CO!$A$3:$F$5327,2,0))</f>
        <v/>
      </c>
      <c r="D71" s="83"/>
      <c r="E71" s="83"/>
      <c r="F71" s="102" t="str">
        <f t="shared" ref="F71:F77" si="104">IF(AND(B71&gt;0,H71&gt;0),(H71*100) &amp; "% DE $" &amp;$Q$50,"")</f>
        <v/>
      </c>
      <c r="G71" s="84" t="str">
        <f>IF(A71=0,"",VLOOKUP(A71,[2]CO!$A$3:$F$5327,3,0))</f>
        <v/>
      </c>
      <c r="H71" s="94"/>
      <c r="I71" s="85"/>
      <c r="J71" s="85"/>
      <c r="K71" s="85"/>
      <c r="L71" s="85"/>
      <c r="M71" s="86" t="str">
        <f t="shared" ref="M71:M76" si="105">IF(L71=0,"",H71*Q$50/N71)</f>
        <v/>
      </c>
      <c r="N71" s="86" t="str">
        <f>IF(B71=0,"",IF(H71="M",HLOOKUP(B71,$Y$12:$DT$13,2),IF(A71=0,"",VLOOKUP(A71,[2]CO!$A$3:$F$5327,4,0))))</f>
        <v/>
      </c>
      <c r="O71" s="86" t="str">
        <f t="shared" si="7"/>
        <v/>
      </c>
      <c r="P71" s="87"/>
      <c r="Q71" s="88" t="str">
        <f t="shared" ref="Q71:Q77" si="106">IF(P71=0,"",(HLOOKUP(P71,$DW$12:$HR$13,2)))</f>
        <v/>
      </c>
      <c r="R71" s="89"/>
      <c r="T71" s="53" t="str">
        <f>IF(A71=0,"",VLOOKUP(A71,[2]CO!$A$3:$F$5318,5,0))</f>
        <v/>
      </c>
      <c r="U71" s="54">
        <f t="shared" si="70"/>
        <v>0</v>
      </c>
      <c r="V71" s="24"/>
      <c r="W71" s="25"/>
      <c r="X71" s="25"/>
      <c r="Y71" s="90" t="str">
        <f t="shared" ref="Y71:AN77" si="107">IF($B71=Y$12,$U71,"")</f>
        <v/>
      </c>
      <c r="Z71" s="91" t="str">
        <f t="shared" si="107"/>
        <v/>
      </c>
      <c r="AA71" s="91" t="str">
        <f t="shared" si="107"/>
        <v/>
      </c>
      <c r="AB71" s="91" t="str">
        <f t="shared" si="107"/>
        <v/>
      </c>
      <c r="AC71" s="91" t="str">
        <f t="shared" si="107"/>
        <v/>
      </c>
      <c r="AD71" s="91" t="str">
        <f t="shared" si="107"/>
        <v/>
      </c>
      <c r="AE71" s="91" t="str">
        <f t="shared" si="107"/>
        <v/>
      </c>
      <c r="AF71" s="91" t="str">
        <f t="shared" si="107"/>
        <v/>
      </c>
      <c r="AG71" s="91" t="str">
        <f t="shared" si="107"/>
        <v/>
      </c>
      <c r="AH71" s="91" t="str">
        <f t="shared" si="107"/>
        <v/>
      </c>
      <c r="AI71" s="91" t="str">
        <f t="shared" si="107"/>
        <v/>
      </c>
      <c r="AJ71" s="91" t="str">
        <f t="shared" si="107"/>
        <v/>
      </c>
      <c r="AK71" s="91" t="str">
        <f t="shared" si="107"/>
        <v/>
      </c>
      <c r="AL71" s="91" t="str">
        <f t="shared" si="107"/>
        <v/>
      </c>
      <c r="AM71" s="91" t="str">
        <f t="shared" si="107"/>
        <v/>
      </c>
      <c r="AN71" s="91" t="str">
        <f t="shared" si="107"/>
        <v/>
      </c>
      <c r="AO71" s="91" t="str">
        <f t="shared" ref="AO71:BD77" si="108">IF($B71=AO$12,$U71,"")</f>
        <v/>
      </c>
      <c r="AP71" s="91" t="str">
        <f t="shared" si="108"/>
        <v/>
      </c>
      <c r="AQ71" s="91" t="str">
        <f t="shared" si="108"/>
        <v/>
      </c>
      <c r="AR71" s="91" t="str">
        <f t="shared" si="108"/>
        <v/>
      </c>
      <c r="AS71" s="91" t="str">
        <f t="shared" si="108"/>
        <v/>
      </c>
      <c r="AT71" s="91" t="str">
        <f t="shared" si="108"/>
        <v/>
      </c>
      <c r="AU71" s="91" t="str">
        <f t="shared" si="108"/>
        <v/>
      </c>
      <c r="AV71" s="91" t="str">
        <f t="shared" si="108"/>
        <v/>
      </c>
      <c r="AW71" s="91" t="str">
        <f t="shared" si="108"/>
        <v/>
      </c>
      <c r="AX71" s="91" t="str">
        <f t="shared" si="108"/>
        <v/>
      </c>
      <c r="AY71" s="91" t="str">
        <f t="shared" si="108"/>
        <v/>
      </c>
      <c r="AZ71" s="91" t="str">
        <f t="shared" si="108"/>
        <v/>
      </c>
      <c r="BA71" s="91" t="str">
        <f t="shared" si="108"/>
        <v/>
      </c>
      <c r="BB71" s="91" t="str">
        <f t="shared" si="108"/>
        <v/>
      </c>
      <c r="BC71" s="91" t="str">
        <f t="shared" si="108"/>
        <v/>
      </c>
      <c r="BD71" s="91" t="str">
        <f t="shared" si="108"/>
        <v/>
      </c>
      <c r="BE71" s="91" t="str">
        <f t="shared" ref="BE71:BT77" si="109">IF($B71=BE$12,$U71,"")</f>
        <v/>
      </c>
      <c r="BF71" s="91" t="str">
        <f t="shared" si="109"/>
        <v/>
      </c>
      <c r="BG71" s="91" t="str">
        <f t="shared" si="109"/>
        <v/>
      </c>
      <c r="BH71" s="91" t="str">
        <f t="shared" si="109"/>
        <v/>
      </c>
      <c r="BI71" s="91" t="str">
        <f t="shared" si="109"/>
        <v/>
      </c>
      <c r="BJ71" s="91" t="str">
        <f t="shared" si="109"/>
        <v/>
      </c>
      <c r="BK71" s="91" t="str">
        <f t="shared" si="109"/>
        <v/>
      </c>
      <c r="BL71" s="91" t="str">
        <f t="shared" si="109"/>
        <v/>
      </c>
      <c r="BM71" s="91" t="str">
        <f t="shared" si="109"/>
        <v/>
      </c>
      <c r="BN71" s="91" t="str">
        <f t="shared" si="109"/>
        <v/>
      </c>
      <c r="BO71" s="91" t="str">
        <f t="shared" si="109"/>
        <v/>
      </c>
      <c r="BP71" s="91" t="str">
        <f t="shared" si="109"/>
        <v/>
      </c>
      <c r="BQ71" s="91" t="str">
        <f t="shared" si="109"/>
        <v/>
      </c>
      <c r="BR71" s="91" t="str">
        <f t="shared" si="109"/>
        <v/>
      </c>
      <c r="BS71" s="91" t="str">
        <f t="shared" si="109"/>
        <v/>
      </c>
      <c r="BT71" s="91" t="str">
        <f t="shared" si="109"/>
        <v/>
      </c>
      <c r="BU71" s="91" t="str">
        <f t="shared" ref="BU71:DT75" si="110">IF($B71=BU$12,$U71,"")</f>
        <v/>
      </c>
      <c r="BV71" s="91" t="str">
        <f t="shared" si="110"/>
        <v/>
      </c>
      <c r="BW71" s="91" t="str">
        <f t="shared" si="110"/>
        <v/>
      </c>
      <c r="BX71" s="91" t="str">
        <f t="shared" si="110"/>
        <v/>
      </c>
      <c r="BY71" s="91" t="str">
        <f t="shared" si="110"/>
        <v/>
      </c>
      <c r="BZ71" s="91" t="str">
        <f t="shared" si="110"/>
        <v/>
      </c>
      <c r="CA71" s="91" t="str">
        <f t="shared" si="110"/>
        <v/>
      </c>
      <c r="CB71" s="91" t="str">
        <f t="shared" si="110"/>
        <v/>
      </c>
      <c r="CC71" s="91" t="str">
        <f t="shared" si="110"/>
        <v/>
      </c>
      <c r="CD71" s="91" t="str">
        <f t="shared" si="110"/>
        <v/>
      </c>
      <c r="CE71" s="91" t="str">
        <f t="shared" si="110"/>
        <v/>
      </c>
      <c r="CF71" s="91" t="str">
        <f t="shared" si="110"/>
        <v/>
      </c>
      <c r="CG71" s="91" t="str">
        <f t="shared" si="110"/>
        <v/>
      </c>
      <c r="CH71" s="91" t="str">
        <f t="shared" si="110"/>
        <v/>
      </c>
      <c r="CI71" s="91" t="str">
        <f t="shared" si="110"/>
        <v/>
      </c>
      <c r="CJ71" s="91" t="str">
        <f t="shared" si="110"/>
        <v/>
      </c>
      <c r="CK71" s="91" t="str">
        <f t="shared" si="110"/>
        <v/>
      </c>
      <c r="CL71" s="91" t="str">
        <f t="shared" si="110"/>
        <v/>
      </c>
      <c r="CM71" s="91" t="str">
        <f t="shared" si="110"/>
        <v/>
      </c>
      <c r="CN71" s="91" t="str">
        <f t="shared" si="110"/>
        <v/>
      </c>
      <c r="CO71" s="91" t="str">
        <f t="shared" si="110"/>
        <v/>
      </c>
      <c r="CP71" s="91" t="str">
        <f t="shared" si="110"/>
        <v/>
      </c>
      <c r="CQ71" s="91" t="str">
        <f t="shared" si="110"/>
        <v/>
      </c>
      <c r="CR71" s="91" t="str">
        <f t="shared" si="110"/>
        <v/>
      </c>
      <c r="CS71" s="91" t="str">
        <f t="shared" si="110"/>
        <v/>
      </c>
      <c r="CT71" s="91" t="str">
        <f t="shared" si="110"/>
        <v/>
      </c>
      <c r="CU71" s="91" t="str">
        <f t="shared" si="110"/>
        <v/>
      </c>
      <c r="CV71" s="91" t="str">
        <f t="shared" si="110"/>
        <v/>
      </c>
      <c r="CW71" s="91" t="str">
        <f t="shared" si="110"/>
        <v/>
      </c>
      <c r="CX71" s="91" t="str">
        <f t="shared" si="110"/>
        <v/>
      </c>
      <c r="CY71" s="91" t="str">
        <f t="shared" si="110"/>
        <v/>
      </c>
      <c r="CZ71" s="91" t="str">
        <f t="shared" si="110"/>
        <v/>
      </c>
      <c r="DA71" s="91" t="str">
        <f t="shared" si="110"/>
        <v/>
      </c>
      <c r="DB71" s="91" t="str">
        <f t="shared" si="110"/>
        <v/>
      </c>
      <c r="DC71" s="91" t="str">
        <f t="shared" si="110"/>
        <v/>
      </c>
      <c r="DD71" s="91" t="str">
        <f t="shared" si="110"/>
        <v/>
      </c>
      <c r="DE71" s="91" t="str">
        <f t="shared" si="110"/>
        <v/>
      </c>
      <c r="DF71" s="91" t="str">
        <f t="shared" si="110"/>
        <v/>
      </c>
      <c r="DG71" s="91" t="str">
        <f t="shared" si="110"/>
        <v/>
      </c>
      <c r="DH71" s="91" t="str">
        <f t="shared" si="110"/>
        <v/>
      </c>
      <c r="DI71" s="91" t="str">
        <f t="shared" si="110"/>
        <v/>
      </c>
      <c r="DJ71" s="91" t="str">
        <f t="shared" si="110"/>
        <v/>
      </c>
      <c r="DK71" s="91" t="str">
        <f t="shared" si="110"/>
        <v/>
      </c>
      <c r="DL71" s="91" t="str">
        <f t="shared" si="110"/>
        <v/>
      </c>
      <c r="DM71" s="91" t="str">
        <f t="shared" si="110"/>
        <v/>
      </c>
      <c r="DN71" s="91" t="str">
        <f t="shared" si="110"/>
        <v/>
      </c>
      <c r="DO71" s="91" t="str">
        <f t="shared" si="110"/>
        <v/>
      </c>
      <c r="DP71" s="91" t="str">
        <f t="shared" si="110"/>
        <v/>
      </c>
      <c r="DQ71" s="91" t="str">
        <f t="shared" si="110"/>
        <v/>
      </c>
      <c r="DR71" s="91" t="str">
        <f t="shared" si="110"/>
        <v/>
      </c>
      <c r="DS71" s="91" t="str">
        <f t="shared" si="110"/>
        <v/>
      </c>
      <c r="DT71" s="105" t="str">
        <f t="shared" si="110"/>
        <v/>
      </c>
      <c r="DU71" s="54"/>
      <c r="DV71" s="25"/>
      <c r="DW71" s="92" t="str">
        <f t="shared" ref="DW71:EL77" si="111">IF($B71=DW$12,$O71,"")</f>
        <v/>
      </c>
      <c r="DX71" s="93" t="str">
        <f t="shared" si="111"/>
        <v/>
      </c>
      <c r="DY71" s="93" t="str">
        <f t="shared" si="111"/>
        <v/>
      </c>
      <c r="DZ71" s="93" t="str">
        <f t="shared" si="111"/>
        <v/>
      </c>
      <c r="EA71" s="93" t="str">
        <f t="shared" si="111"/>
        <v/>
      </c>
      <c r="EB71" s="93" t="str">
        <f t="shared" si="111"/>
        <v/>
      </c>
      <c r="EC71" s="93" t="str">
        <f t="shared" si="111"/>
        <v/>
      </c>
      <c r="ED71" s="93" t="str">
        <f t="shared" si="111"/>
        <v/>
      </c>
      <c r="EE71" s="93" t="str">
        <f t="shared" si="111"/>
        <v/>
      </c>
      <c r="EF71" s="93" t="str">
        <f t="shared" si="111"/>
        <v/>
      </c>
      <c r="EG71" s="93" t="str">
        <f t="shared" si="111"/>
        <v/>
      </c>
      <c r="EH71" s="93" t="str">
        <f t="shared" si="111"/>
        <v/>
      </c>
      <c r="EI71" s="93" t="str">
        <f t="shared" si="111"/>
        <v/>
      </c>
      <c r="EJ71" s="93" t="str">
        <f t="shared" si="111"/>
        <v/>
      </c>
      <c r="EK71" s="93" t="str">
        <f t="shared" si="111"/>
        <v/>
      </c>
      <c r="EL71" s="93" t="str">
        <f t="shared" si="111"/>
        <v/>
      </c>
      <c r="EM71" s="93" t="str">
        <f t="shared" ref="EM71:FB77" si="112">IF($B71=EM$12,$O71,"")</f>
        <v/>
      </c>
      <c r="EN71" s="93" t="str">
        <f t="shared" si="112"/>
        <v/>
      </c>
      <c r="EO71" s="93" t="str">
        <f t="shared" si="112"/>
        <v/>
      </c>
      <c r="EP71" s="93" t="str">
        <f t="shared" si="112"/>
        <v/>
      </c>
      <c r="EQ71" s="93" t="str">
        <f t="shared" si="112"/>
        <v/>
      </c>
      <c r="ER71" s="93" t="str">
        <f t="shared" si="112"/>
        <v/>
      </c>
      <c r="ES71" s="93" t="str">
        <f t="shared" si="112"/>
        <v/>
      </c>
      <c r="ET71" s="93" t="str">
        <f t="shared" si="112"/>
        <v/>
      </c>
      <c r="EU71" s="93" t="str">
        <f t="shared" si="112"/>
        <v/>
      </c>
      <c r="EV71" s="93" t="str">
        <f t="shared" si="112"/>
        <v/>
      </c>
      <c r="EW71" s="93" t="str">
        <f t="shared" si="112"/>
        <v/>
      </c>
      <c r="EX71" s="93" t="str">
        <f t="shared" si="112"/>
        <v/>
      </c>
      <c r="EY71" s="93" t="str">
        <f t="shared" si="112"/>
        <v/>
      </c>
      <c r="EZ71" s="93" t="str">
        <f t="shared" si="112"/>
        <v/>
      </c>
      <c r="FA71" s="93" t="str">
        <f t="shared" si="112"/>
        <v/>
      </c>
      <c r="FB71" s="93" t="str">
        <f t="shared" si="112"/>
        <v/>
      </c>
      <c r="FC71" s="93" t="str">
        <f t="shared" ref="FC71:FR77" si="113">IF($B71=FC$12,$O71,"")</f>
        <v/>
      </c>
      <c r="FD71" s="93" t="str">
        <f t="shared" si="113"/>
        <v/>
      </c>
      <c r="FE71" s="93" t="str">
        <f t="shared" si="113"/>
        <v/>
      </c>
      <c r="FF71" s="93" t="str">
        <f t="shared" si="113"/>
        <v/>
      </c>
      <c r="FG71" s="93" t="str">
        <f t="shared" si="113"/>
        <v/>
      </c>
      <c r="FH71" s="93" t="str">
        <f t="shared" si="113"/>
        <v/>
      </c>
      <c r="FI71" s="93" t="str">
        <f t="shared" si="113"/>
        <v/>
      </c>
      <c r="FJ71" s="93" t="str">
        <f t="shared" si="113"/>
        <v/>
      </c>
      <c r="FK71" s="93" t="str">
        <f t="shared" si="113"/>
        <v/>
      </c>
      <c r="FL71" s="93" t="str">
        <f t="shared" si="113"/>
        <v/>
      </c>
      <c r="FM71" s="93" t="str">
        <f t="shared" si="113"/>
        <v/>
      </c>
      <c r="FN71" s="93" t="str">
        <f t="shared" si="113"/>
        <v/>
      </c>
      <c r="FO71" s="93" t="str">
        <f t="shared" si="113"/>
        <v/>
      </c>
      <c r="FP71" s="93" t="str">
        <f t="shared" si="113"/>
        <v/>
      </c>
      <c r="FQ71" s="93" t="str">
        <f t="shared" si="113"/>
        <v/>
      </c>
      <c r="FR71" s="93" t="str">
        <f t="shared" si="113"/>
        <v/>
      </c>
      <c r="FS71" s="93" t="str">
        <f t="shared" ref="FS71:HR75" si="114">IF($B71=FS$12,$O71,"")</f>
        <v/>
      </c>
      <c r="FT71" s="93" t="str">
        <f t="shared" si="114"/>
        <v/>
      </c>
      <c r="FU71" s="93" t="str">
        <f t="shared" si="114"/>
        <v/>
      </c>
      <c r="FV71" s="93" t="str">
        <f t="shared" si="114"/>
        <v/>
      </c>
      <c r="FW71" s="93" t="str">
        <f t="shared" si="114"/>
        <v/>
      </c>
      <c r="FX71" s="93" t="str">
        <f t="shared" si="114"/>
        <v/>
      </c>
      <c r="FY71" s="93" t="str">
        <f t="shared" si="114"/>
        <v/>
      </c>
      <c r="FZ71" s="93" t="str">
        <f t="shared" si="114"/>
        <v/>
      </c>
      <c r="GA71" s="93" t="str">
        <f t="shared" si="114"/>
        <v/>
      </c>
      <c r="GB71" s="93" t="str">
        <f t="shared" si="114"/>
        <v/>
      </c>
      <c r="GC71" s="93" t="str">
        <f t="shared" si="114"/>
        <v/>
      </c>
      <c r="GD71" s="93" t="str">
        <f t="shared" si="114"/>
        <v/>
      </c>
      <c r="GE71" s="93" t="str">
        <f t="shared" si="114"/>
        <v/>
      </c>
      <c r="GF71" s="93" t="str">
        <f t="shared" si="114"/>
        <v/>
      </c>
      <c r="GG71" s="93" t="str">
        <f t="shared" si="114"/>
        <v/>
      </c>
      <c r="GH71" s="93" t="str">
        <f t="shared" si="114"/>
        <v/>
      </c>
      <c r="GI71" s="93" t="str">
        <f t="shared" si="114"/>
        <v/>
      </c>
      <c r="GJ71" s="93" t="str">
        <f t="shared" si="114"/>
        <v/>
      </c>
      <c r="GK71" s="93" t="str">
        <f t="shared" si="114"/>
        <v/>
      </c>
      <c r="GL71" s="93" t="str">
        <f t="shared" si="114"/>
        <v/>
      </c>
      <c r="GM71" s="93" t="str">
        <f t="shared" si="114"/>
        <v/>
      </c>
      <c r="GN71" s="93" t="str">
        <f t="shared" si="114"/>
        <v/>
      </c>
      <c r="GO71" s="93" t="str">
        <f t="shared" si="114"/>
        <v/>
      </c>
      <c r="GP71" s="93" t="str">
        <f t="shared" si="114"/>
        <v/>
      </c>
      <c r="GQ71" s="93" t="str">
        <f t="shared" si="114"/>
        <v/>
      </c>
      <c r="GR71" s="93" t="str">
        <f t="shared" si="114"/>
        <v/>
      </c>
      <c r="GS71" s="93" t="str">
        <f t="shared" si="114"/>
        <v/>
      </c>
      <c r="GT71" s="93" t="str">
        <f t="shared" si="114"/>
        <v/>
      </c>
      <c r="GU71" s="93" t="str">
        <f t="shared" si="114"/>
        <v/>
      </c>
      <c r="GV71" s="93" t="str">
        <f t="shared" si="114"/>
        <v/>
      </c>
      <c r="GW71" s="93" t="str">
        <f t="shared" si="114"/>
        <v/>
      </c>
      <c r="GX71" s="93" t="str">
        <f t="shared" si="114"/>
        <v/>
      </c>
      <c r="GY71" s="93" t="str">
        <f t="shared" si="114"/>
        <v/>
      </c>
      <c r="GZ71" s="93" t="str">
        <f t="shared" si="114"/>
        <v/>
      </c>
      <c r="HA71" s="93" t="str">
        <f t="shared" si="114"/>
        <v/>
      </c>
      <c r="HB71" s="93" t="str">
        <f t="shared" si="114"/>
        <v/>
      </c>
      <c r="HC71" s="93" t="str">
        <f t="shared" si="114"/>
        <v/>
      </c>
      <c r="HD71" s="93" t="str">
        <f t="shared" si="114"/>
        <v/>
      </c>
      <c r="HE71" s="93" t="str">
        <f t="shared" si="114"/>
        <v/>
      </c>
      <c r="HF71" s="93" t="str">
        <f t="shared" si="114"/>
        <v/>
      </c>
      <c r="HG71" s="93" t="str">
        <f t="shared" si="114"/>
        <v/>
      </c>
      <c r="HH71" s="93" t="str">
        <f t="shared" si="114"/>
        <v/>
      </c>
      <c r="HI71" s="93" t="str">
        <f t="shared" si="114"/>
        <v/>
      </c>
      <c r="HJ71" s="93" t="str">
        <f t="shared" si="114"/>
        <v/>
      </c>
      <c r="HK71" s="93" t="str">
        <f t="shared" si="114"/>
        <v/>
      </c>
      <c r="HL71" s="93" t="str">
        <f t="shared" si="114"/>
        <v/>
      </c>
      <c r="HM71" s="93" t="str">
        <f t="shared" si="114"/>
        <v/>
      </c>
      <c r="HN71" s="93" t="str">
        <f t="shared" si="114"/>
        <v/>
      </c>
      <c r="HO71" s="93" t="str">
        <f t="shared" si="114"/>
        <v/>
      </c>
      <c r="HP71" s="93" t="str">
        <f t="shared" si="114"/>
        <v/>
      </c>
      <c r="HQ71" s="93" t="str">
        <f t="shared" si="114"/>
        <v/>
      </c>
      <c r="HR71" s="111" t="str">
        <f t="shared" si="114"/>
        <v/>
      </c>
    </row>
    <row r="72" spans="1:226" ht="11.1" customHeight="1" x14ac:dyDescent="0.25">
      <c r="A72" s="26" t="s">
        <v>30</v>
      </c>
      <c r="B72" s="27">
        <v>75</v>
      </c>
      <c r="C72" s="28" t="str">
        <f>IF(A72=0,"",VLOOKUP(A72,[2]CO!$A$3:$F$5327,2,0))</f>
        <v>Lote</v>
      </c>
      <c r="D72" s="29" t="s">
        <v>19</v>
      </c>
      <c r="E72" s="29"/>
      <c r="F72" s="101" t="str">
        <f t="shared" si="104"/>
        <v>12% DE $18155.335</v>
      </c>
      <c r="G72" s="30" t="str">
        <f>IF(A72=0,"",VLOOKUP(A72,[2]CO!$A$3:$F$5327,3,0))</f>
        <v>LOTE</v>
      </c>
      <c r="H72" s="95">
        <v>0.12</v>
      </c>
      <c r="I72" s="31"/>
      <c r="J72" s="31"/>
      <c r="K72" s="31"/>
      <c r="L72" s="31">
        <v>1</v>
      </c>
      <c r="M72" s="32">
        <f t="shared" si="105"/>
        <v>21.786401999999999</v>
      </c>
      <c r="N72" s="32">
        <f>IF(B72=0,"",IF(H72="M",HLOOKUP(B72,$Y$12:$DT$13,2),IF(A72=0,"",VLOOKUP(A72,[2]CO!$A$3:$F$5327,4,0))))</f>
        <v>100</v>
      </c>
      <c r="O72" s="32">
        <f t="shared" si="7"/>
        <v>2178.6401999999998</v>
      </c>
      <c r="P72" s="33">
        <v>75</v>
      </c>
      <c r="Q72" s="34">
        <f t="shared" si="106"/>
        <v>2178.6401999999998</v>
      </c>
      <c r="R72" s="35"/>
      <c r="T72" s="53">
        <f>IF(A72=0,"",VLOOKUP(A72,[2]CO!$A$3:$F$5318,5,0))</f>
        <v>0</v>
      </c>
      <c r="U72" s="54">
        <f t="shared" si="70"/>
        <v>0</v>
      </c>
      <c r="V72" s="24"/>
      <c r="W72" s="25"/>
      <c r="X72" s="25"/>
      <c r="Y72" s="64" t="str">
        <f t="shared" si="107"/>
        <v/>
      </c>
      <c r="Z72" s="55" t="str">
        <f t="shared" si="107"/>
        <v/>
      </c>
      <c r="AA72" s="55" t="str">
        <f t="shared" si="107"/>
        <v/>
      </c>
      <c r="AB72" s="55" t="str">
        <f t="shared" si="107"/>
        <v/>
      </c>
      <c r="AC72" s="55" t="str">
        <f t="shared" si="107"/>
        <v/>
      </c>
      <c r="AD72" s="55" t="str">
        <f t="shared" si="107"/>
        <v/>
      </c>
      <c r="AE72" s="55" t="str">
        <f t="shared" si="107"/>
        <v/>
      </c>
      <c r="AF72" s="55" t="str">
        <f t="shared" si="107"/>
        <v/>
      </c>
      <c r="AG72" s="55" t="str">
        <f t="shared" si="107"/>
        <v/>
      </c>
      <c r="AH72" s="55" t="str">
        <f t="shared" si="107"/>
        <v/>
      </c>
      <c r="AI72" s="55" t="str">
        <f t="shared" si="107"/>
        <v/>
      </c>
      <c r="AJ72" s="55" t="str">
        <f t="shared" si="107"/>
        <v/>
      </c>
      <c r="AK72" s="55" t="str">
        <f t="shared" si="107"/>
        <v/>
      </c>
      <c r="AL72" s="55" t="str">
        <f t="shared" si="107"/>
        <v/>
      </c>
      <c r="AM72" s="55" t="str">
        <f t="shared" si="107"/>
        <v/>
      </c>
      <c r="AN72" s="55" t="str">
        <f t="shared" si="107"/>
        <v/>
      </c>
      <c r="AO72" s="55" t="str">
        <f t="shared" si="108"/>
        <v/>
      </c>
      <c r="AP72" s="55" t="str">
        <f t="shared" si="108"/>
        <v/>
      </c>
      <c r="AQ72" s="55" t="str">
        <f t="shared" si="108"/>
        <v/>
      </c>
      <c r="AR72" s="55" t="str">
        <f t="shared" si="108"/>
        <v/>
      </c>
      <c r="AS72" s="55" t="str">
        <f t="shared" si="108"/>
        <v/>
      </c>
      <c r="AT72" s="55" t="str">
        <f t="shared" si="108"/>
        <v/>
      </c>
      <c r="AU72" s="55" t="str">
        <f t="shared" si="108"/>
        <v/>
      </c>
      <c r="AV72" s="55" t="str">
        <f t="shared" si="108"/>
        <v/>
      </c>
      <c r="AW72" s="55" t="str">
        <f t="shared" si="108"/>
        <v/>
      </c>
      <c r="AX72" s="55" t="str">
        <f t="shared" si="108"/>
        <v/>
      </c>
      <c r="AY72" s="55" t="str">
        <f t="shared" si="108"/>
        <v/>
      </c>
      <c r="AZ72" s="55" t="str">
        <f t="shared" si="108"/>
        <v/>
      </c>
      <c r="BA72" s="55" t="str">
        <f t="shared" si="108"/>
        <v/>
      </c>
      <c r="BB72" s="55" t="str">
        <f t="shared" si="108"/>
        <v/>
      </c>
      <c r="BC72" s="55" t="str">
        <f t="shared" si="108"/>
        <v/>
      </c>
      <c r="BD72" s="55" t="str">
        <f t="shared" si="108"/>
        <v/>
      </c>
      <c r="BE72" s="55" t="str">
        <f t="shared" si="109"/>
        <v/>
      </c>
      <c r="BF72" s="55" t="str">
        <f t="shared" si="109"/>
        <v/>
      </c>
      <c r="BG72" s="55" t="str">
        <f t="shared" si="109"/>
        <v/>
      </c>
      <c r="BH72" s="55" t="str">
        <f t="shared" si="109"/>
        <v/>
      </c>
      <c r="BI72" s="55" t="str">
        <f t="shared" si="109"/>
        <v/>
      </c>
      <c r="BJ72" s="55" t="str">
        <f t="shared" si="109"/>
        <v/>
      </c>
      <c r="BK72" s="55" t="str">
        <f t="shared" si="109"/>
        <v/>
      </c>
      <c r="BL72" s="55" t="str">
        <f t="shared" si="109"/>
        <v/>
      </c>
      <c r="BM72" s="55" t="str">
        <f t="shared" si="109"/>
        <v/>
      </c>
      <c r="BN72" s="55" t="str">
        <f t="shared" si="109"/>
        <v/>
      </c>
      <c r="BO72" s="55" t="str">
        <f t="shared" si="109"/>
        <v/>
      </c>
      <c r="BP72" s="55" t="str">
        <f t="shared" si="109"/>
        <v/>
      </c>
      <c r="BQ72" s="55" t="str">
        <f t="shared" si="109"/>
        <v/>
      </c>
      <c r="BR72" s="55" t="str">
        <f t="shared" si="109"/>
        <v/>
      </c>
      <c r="BS72" s="55" t="str">
        <f t="shared" si="109"/>
        <v/>
      </c>
      <c r="BT72" s="55" t="str">
        <f t="shared" si="109"/>
        <v/>
      </c>
      <c r="BU72" s="55" t="str">
        <f t="shared" si="110"/>
        <v/>
      </c>
      <c r="BV72" s="55" t="str">
        <f t="shared" si="110"/>
        <v/>
      </c>
      <c r="BW72" s="55" t="str">
        <f t="shared" si="110"/>
        <v/>
      </c>
      <c r="BX72" s="55" t="str">
        <f t="shared" si="110"/>
        <v/>
      </c>
      <c r="BY72" s="55" t="str">
        <f t="shared" si="110"/>
        <v/>
      </c>
      <c r="BZ72" s="55" t="str">
        <f t="shared" si="110"/>
        <v/>
      </c>
      <c r="CA72" s="55" t="str">
        <f t="shared" si="110"/>
        <v/>
      </c>
      <c r="CB72" s="55" t="str">
        <f t="shared" si="110"/>
        <v/>
      </c>
      <c r="CC72" s="55" t="str">
        <f t="shared" si="110"/>
        <v/>
      </c>
      <c r="CD72" s="55" t="str">
        <f t="shared" si="110"/>
        <v/>
      </c>
      <c r="CE72" s="55" t="str">
        <f t="shared" si="110"/>
        <v/>
      </c>
      <c r="CF72" s="55" t="str">
        <f t="shared" si="110"/>
        <v/>
      </c>
      <c r="CG72" s="55" t="str">
        <f t="shared" si="110"/>
        <v/>
      </c>
      <c r="CH72" s="55" t="str">
        <f t="shared" si="110"/>
        <v/>
      </c>
      <c r="CI72" s="55" t="str">
        <f t="shared" si="110"/>
        <v/>
      </c>
      <c r="CJ72" s="55" t="str">
        <f t="shared" si="110"/>
        <v/>
      </c>
      <c r="CK72" s="55" t="str">
        <f t="shared" si="110"/>
        <v/>
      </c>
      <c r="CL72" s="55" t="str">
        <f t="shared" si="110"/>
        <v/>
      </c>
      <c r="CM72" s="55" t="str">
        <f t="shared" si="110"/>
        <v/>
      </c>
      <c r="CN72" s="55" t="str">
        <f t="shared" si="110"/>
        <v/>
      </c>
      <c r="CO72" s="55" t="str">
        <f t="shared" si="110"/>
        <v/>
      </c>
      <c r="CP72" s="55" t="str">
        <f t="shared" si="110"/>
        <v/>
      </c>
      <c r="CQ72" s="55" t="str">
        <f t="shared" si="110"/>
        <v/>
      </c>
      <c r="CR72" s="55" t="str">
        <f t="shared" si="110"/>
        <v/>
      </c>
      <c r="CS72" s="55" t="str">
        <f t="shared" si="110"/>
        <v/>
      </c>
      <c r="CT72" s="55" t="str">
        <f t="shared" si="110"/>
        <v/>
      </c>
      <c r="CU72" s="55">
        <f t="shared" si="110"/>
        <v>0</v>
      </c>
      <c r="CV72" s="55" t="str">
        <f t="shared" si="110"/>
        <v/>
      </c>
      <c r="CW72" s="55" t="str">
        <f t="shared" si="110"/>
        <v/>
      </c>
      <c r="CX72" s="55" t="str">
        <f t="shared" si="110"/>
        <v/>
      </c>
      <c r="CY72" s="55" t="str">
        <f t="shared" si="110"/>
        <v/>
      </c>
      <c r="CZ72" s="55" t="str">
        <f t="shared" si="110"/>
        <v/>
      </c>
      <c r="DA72" s="55" t="str">
        <f t="shared" si="110"/>
        <v/>
      </c>
      <c r="DB72" s="55" t="str">
        <f t="shared" si="110"/>
        <v/>
      </c>
      <c r="DC72" s="55" t="str">
        <f t="shared" si="110"/>
        <v/>
      </c>
      <c r="DD72" s="55" t="str">
        <f t="shared" si="110"/>
        <v/>
      </c>
      <c r="DE72" s="55" t="str">
        <f t="shared" si="110"/>
        <v/>
      </c>
      <c r="DF72" s="55" t="str">
        <f t="shared" si="110"/>
        <v/>
      </c>
      <c r="DG72" s="55" t="str">
        <f t="shared" si="110"/>
        <v/>
      </c>
      <c r="DH72" s="55" t="str">
        <f t="shared" si="110"/>
        <v/>
      </c>
      <c r="DI72" s="55" t="str">
        <f t="shared" si="110"/>
        <v/>
      </c>
      <c r="DJ72" s="55" t="str">
        <f t="shared" si="110"/>
        <v/>
      </c>
      <c r="DK72" s="55" t="str">
        <f t="shared" si="110"/>
        <v/>
      </c>
      <c r="DL72" s="55" t="str">
        <f t="shared" si="110"/>
        <v/>
      </c>
      <c r="DM72" s="55" t="str">
        <f t="shared" si="110"/>
        <v/>
      </c>
      <c r="DN72" s="55" t="str">
        <f t="shared" si="110"/>
        <v/>
      </c>
      <c r="DO72" s="55" t="str">
        <f t="shared" si="110"/>
        <v/>
      </c>
      <c r="DP72" s="55" t="str">
        <f t="shared" si="110"/>
        <v/>
      </c>
      <c r="DQ72" s="55" t="str">
        <f t="shared" si="110"/>
        <v/>
      </c>
      <c r="DR72" s="55" t="str">
        <f t="shared" si="110"/>
        <v/>
      </c>
      <c r="DS72" s="55" t="str">
        <f t="shared" si="110"/>
        <v/>
      </c>
      <c r="DT72" s="106" t="str">
        <f t="shared" si="110"/>
        <v/>
      </c>
      <c r="DU72" s="54"/>
      <c r="DV72" s="25"/>
      <c r="DW72" s="61" t="str">
        <f t="shared" si="111"/>
        <v/>
      </c>
      <c r="DX72" s="50" t="str">
        <f t="shared" si="111"/>
        <v/>
      </c>
      <c r="DY72" s="50" t="str">
        <f t="shared" si="111"/>
        <v/>
      </c>
      <c r="DZ72" s="50" t="str">
        <f t="shared" si="111"/>
        <v/>
      </c>
      <c r="EA72" s="50" t="str">
        <f t="shared" si="111"/>
        <v/>
      </c>
      <c r="EB72" s="50" t="str">
        <f t="shared" si="111"/>
        <v/>
      </c>
      <c r="EC72" s="50" t="str">
        <f t="shared" si="111"/>
        <v/>
      </c>
      <c r="ED72" s="50" t="str">
        <f t="shared" si="111"/>
        <v/>
      </c>
      <c r="EE72" s="50" t="str">
        <f t="shared" si="111"/>
        <v/>
      </c>
      <c r="EF72" s="50" t="str">
        <f t="shared" si="111"/>
        <v/>
      </c>
      <c r="EG72" s="50" t="str">
        <f t="shared" si="111"/>
        <v/>
      </c>
      <c r="EH72" s="50" t="str">
        <f t="shared" si="111"/>
        <v/>
      </c>
      <c r="EI72" s="50" t="str">
        <f t="shared" si="111"/>
        <v/>
      </c>
      <c r="EJ72" s="50" t="str">
        <f t="shared" si="111"/>
        <v/>
      </c>
      <c r="EK72" s="50" t="str">
        <f t="shared" si="111"/>
        <v/>
      </c>
      <c r="EL72" s="50" t="str">
        <f t="shared" si="111"/>
        <v/>
      </c>
      <c r="EM72" s="50" t="str">
        <f t="shared" si="112"/>
        <v/>
      </c>
      <c r="EN72" s="50" t="str">
        <f t="shared" si="112"/>
        <v/>
      </c>
      <c r="EO72" s="50" t="str">
        <f t="shared" si="112"/>
        <v/>
      </c>
      <c r="EP72" s="50" t="str">
        <f t="shared" si="112"/>
        <v/>
      </c>
      <c r="EQ72" s="50" t="str">
        <f t="shared" si="112"/>
        <v/>
      </c>
      <c r="ER72" s="50" t="str">
        <f t="shared" si="112"/>
        <v/>
      </c>
      <c r="ES72" s="50" t="str">
        <f t="shared" si="112"/>
        <v/>
      </c>
      <c r="ET72" s="50" t="str">
        <f t="shared" si="112"/>
        <v/>
      </c>
      <c r="EU72" s="50" t="str">
        <f t="shared" si="112"/>
        <v/>
      </c>
      <c r="EV72" s="50" t="str">
        <f t="shared" si="112"/>
        <v/>
      </c>
      <c r="EW72" s="50" t="str">
        <f t="shared" si="112"/>
        <v/>
      </c>
      <c r="EX72" s="50" t="str">
        <f t="shared" si="112"/>
        <v/>
      </c>
      <c r="EY72" s="50" t="str">
        <f t="shared" si="112"/>
        <v/>
      </c>
      <c r="EZ72" s="50" t="str">
        <f t="shared" si="112"/>
        <v/>
      </c>
      <c r="FA72" s="50" t="str">
        <f t="shared" si="112"/>
        <v/>
      </c>
      <c r="FB72" s="50" t="str">
        <f t="shared" si="112"/>
        <v/>
      </c>
      <c r="FC72" s="50" t="str">
        <f t="shared" si="113"/>
        <v/>
      </c>
      <c r="FD72" s="50" t="str">
        <f t="shared" si="113"/>
        <v/>
      </c>
      <c r="FE72" s="50" t="str">
        <f t="shared" si="113"/>
        <v/>
      </c>
      <c r="FF72" s="50" t="str">
        <f t="shared" si="113"/>
        <v/>
      </c>
      <c r="FG72" s="50" t="str">
        <f t="shared" si="113"/>
        <v/>
      </c>
      <c r="FH72" s="50" t="str">
        <f t="shared" si="113"/>
        <v/>
      </c>
      <c r="FI72" s="50" t="str">
        <f t="shared" si="113"/>
        <v/>
      </c>
      <c r="FJ72" s="50" t="str">
        <f t="shared" si="113"/>
        <v/>
      </c>
      <c r="FK72" s="50" t="str">
        <f t="shared" si="113"/>
        <v/>
      </c>
      <c r="FL72" s="50" t="str">
        <f t="shared" si="113"/>
        <v/>
      </c>
      <c r="FM72" s="50" t="str">
        <f t="shared" si="113"/>
        <v/>
      </c>
      <c r="FN72" s="50" t="str">
        <f t="shared" si="113"/>
        <v/>
      </c>
      <c r="FO72" s="50" t="str">
        <f t="shared" si="113"/>
        <v/>
      </c>
      <c r="FP72" s="50" t="str">
        <f t="shared" si="113"/>
        <v/>
      </c>
      <c r="FQ72" s="50" t="str">
        <f t="shared" si="113"/>
        <v/>
      </c>
      <c r="FR72" s="50" t="str">
        <f t="shared" si="113"/>
        <v/>
      </c>
      <c r="FS72" s="50" t="str">
        <f t="shared" si="114"/>
        <v/>
      </c>
      <c r="FT72" s="50" t="str">
        <f t="shared" si="114"/>
        <v/>
      </c>
      <c r="FU72" s="50" t="str">
        <f t="shared" si="114"/>
        <v/>
      </c>
      <c r="FV72" s="50" t="str">
        <f t="shared" si="114"/>
        <v/>
      </c>
      <c r="FW72" s="50" t="str">
        <f t="shared" si="114"/>
        <v/>
      </c>
      <c r="FX72" s="50" t="str">
        <f t="shared" si="114"/>
        <v/>
      </c>
      <c r="FY72" s="50" t="str">
        <f t="shared" si="114"/>
        <v/>
      </c>
      <c r="FZ72" s="50" t="str">
        <f t="shared" si="114"/>
        <v/>
      </c>
      <c r="GA72" s="50" t="str">
        <f t="shared" si="114"/>
        <v/>
      </c>
      <c r="GB72" s="50" t="str">
        <f t="shared" si="114"/>
        <v/>
      </c>
      <c r="GC72" s="50" t="str">
        <f t="shared" si="114"/>
        <v/>
      </c>
      <c r="GD72" s="50" t="str">
        <f t="shared" si="114"/>
        <v/>
      </c>
      <c r="GE72" s="50" t="str">
        <f t="shared" si="114"/>
        <v/>
      </c>
      <c r="GF72" s="50" t="str">
        <f t="shared" si="114"/>
        <v/>
      </c>
      <c r="GG72" s="50" t="str">
        <f t="shared" si="114"/>
        <v/>
      </c>
      <c r="GH72" s="50" t="str">
        <f t="shared" si="114"/>
        <v/>
      </c>
      <c r="GI72" s="50" t="str">
        <f t="shared" si="114"/>
        <v/>
      </c>
      <c r="GJ72" s="50" t="str">
        <f t="shared" si="114"/>
        <v/>
      </c>
      <c r="GK72" s="50" t="str">
        <f t="shared" si="114"/>
        <v/>
      </c>
      <c r="GL72" s="50" t="str">
        <f t="shared" si="114"/>
        <v/>
      </c>
      <c r="GM72" s="50" t="str">
        <f t="shared" si="114"/>
        <v/>
      </c>
      <c r="GN72" s="50" t="str">
        <f t="shared" si="114"/>
        <v/>
      </c>
      <c r="GO72" s="50" t="str">
        <f t="shared" si="114"/>
        <v/>
      </c>
      <c r="GP72" s="50" t="str">
        <f t="shared" si="114"/>
        <v/>
      </c>
      <c r="GQ72" s="50" t="str">
        <f t="shared" si="114"/>
        <v/>
      </c>
      <c r="GR72" s="50" t="str">
        <f t="shared" si="114"/>
        <v/>
      </c>
      <c r="GS72" s="50">
        <f t="shared" si="114"/>
        <v>2178.6401999999998</v>
      </c>
      <c r="GT72" s="50" t="str">
        <f t="shared" si="114"/>
        <v/>
      </c>
      <c r="GU72" s="50" t="str">
        <f t="shared" si="114"/>
        <v/>
      </c>
      <c r="GV72" s="50" t="str">
        <f t="shared" si="114"/>
        <v/>
      </c>
      <c r="GW72" s="50" t="str">
        <f t="shared" si="114"/>
        <v/>
      </c>
      <c r="GX72" s="50" t="str">
        <f t="shared" si="114"/>
        <v/>
      </c>
      <c r="GY72" s="50" t="str">
        <f t="shared" si="114"/>
        <v/>
      </c>
      <c r="GZ72" s="50" t="str">
        <f t="shared" si="114"/>
        <v/>
      </c>
      <c r="HA72" s="50" t="str">
        <f t="shared" si="114"/>
        <v/>
      </c>
      <c r="HB72" s="50" t="str">
        <f t="shared" si="114"/>
        <v/>
      </c>
      <c r="HC72" s="50" t="str">
        <f t="shared" si="114"/>
        <v/>
      </c>
      <c r="HD72" s="50" t="str">
        <f t="shared" si="114"/>
        <v/>
      </c>
      <c r="HE72" s="50" t="str">
        <f t="shared" si="114"/>
        <v/>
      </c>
      <c r="HF72" s="50" t="str">
        <f t="shared" si="114"/>
        <v/>
      </c>
      <c r="HG72" s="50" t="str">
        <f t="shared" si="114"/>
        <v/>
      </c>
      <c r="HH72" s="50" t="str">
        <f t="shared" si="114"/>
        <v/>
      </c>
      <c r="HI72" s="50" t="str">
        <f t="shared" si="114"/>
        <v/>
      </c>
      <c r="HJ72" s="50" t="str">
        <f t="shared" si="114"/>
        <v/>
      </c>
      <c r="HK72" s="50" t="str">
        <f t="shared" si="114"/>
        <v/>
      </c>
      <c r="HL72" s="50" t="str">
        <f t="shared" si="114"/>
        <v/>
      </c>
      <c r="HM72" s="50" t="str">
        <f t="shared" si="114"/>
        <v/>
      </c>
      <c r="HN72" s="50" t="str">
        <f t="shared" si="114"/>
        <v/>
      </c>
      <c r="HO72" s="50" t="str">
        <f t="shared" si="114"/>
        <v/>
      </c>
      <c r="HP72" s="50" t="str">
        <f t="shared" si="114"/>
        <v/>
      </c>
      <c r="HQ72" s="50" t="str">
        <f t="shared" si="114"/>
        <v/>
      </c>
      <c r="HR72" s="112" t="str">
        <f t="shared" si="114"/>
        <v/>
      </c>
    </row>
    <row r="73" spans="1:226" ht="11.1" customHeight="1" x14ac:dyDescent="0.25">
      <c r="A73" s="26"/>
      <c r="B73" s="27"/>
      <c r="C73" s="28" t="str">
        <f>IF(A73=0,"",VLOOKUP(A73,[2]CO!$A$3:$F$5327,2,0))</f>
        <v/>
      </c>
      <c r="D73" s="29"/>
      <c r="E73" s="29"/>
      <c r="F73" s="101" t="str">
        <f t="shared" si="104"/>
        <v/>
      </c>
      <c r="G73" s="30" t="str">
        <f>IF(A73=0,"",VLOOKUP(A73,[2]CO!$A$3:$F$5327,3,0))</f>
        <v/>
      </c>
      <c r="H73" s="95"/>
      <c r="I73" s="31"/>
      <c r="J73" s="31"/>
      <c r="K73" s="31"/>
      <c r="L73" s="31"/>
      <c r="M73" s="32" t="str">
        <f t="shared" si="105"/>
        <v/>
      </c>
      <c r="N73" s="32" t="str">
        <f>IF(B73=0,"",IF(H73="M",HLOOKUP(B73,$Y$12:$DT$13,2),IF(A73=0,"",VLOOKUP(A73,[2]CO!$A$3:$F$5327,4,0))))</f>
        <v/>
      </c>
      <c r="O73" s="32" t="str">
        <f t="shared" si="7"/>
        <v/>
      </c>
      <c r="P73" s="33"/>
      <c r="Q73" s="34" t="str">
        <f t="shared" si="106"/>
        <v/>
      </c>
      <c r="R73" s="35"/>
      <c r="T73" s="53" t="str">
        <f>IF(A73=0,"",VLOOKUP(A73,[2]CO!$A$3:$F$5318,5,0))</f>
        <v/>
      </c>
      <c r="U73" s="54">
        <f t="shared" si="70"/>
        <v>0</v>
      </c>
      <c r="V73" s="24"/>
      <c r="W73" s="25"/>
      <c r="X73" s="25"/>
      <c r="Y73" s="64" t="str">
        <f t="shared" si="107"/>
        <v/>
      </c>
      <c r="Z73" s="55" t="str">
        <f t="shared" si="107"/>
        <v/>
      </c>
      <c r="AA73" s="55" t="str">
        <f t="shared" si="107"/>
        <v/>
      </c>
      <c r="AB73" s="55" t="str">
        <f t="shared" si="107"/>
        <v/>
      </c>
      <c r="AC73" s="55" t="str">
        <f t="shared" si="107"/>
        <v/>
      </c>
      <c r="AD73" s="55" t="str">
        <f t="shared" si="107"/>
        <v/>
      </c>
      <c r="AE73" s="55" t="str">
        <f t="shared" si="107"/>
        <v/>
      </c>
      <c r="AF73" s="55" t="str">
        <f t="shared" si="107"/>
        <v/>
      </c>
      <c r="AG73" s="55" t="str">
        <f t="shared" si="107"/>
        <v/>
      </c>
      <c r="AH73" s="55" t="str">
        <f t="shared" si="107"/>
        <v/>
      </c>
      <c r="AI73" s="55" t="str">
        <f t="shared" si="107"/>
        <v/>
      </c>
      <c r="AJ73" s="55" t="str">
        <f t="shared" si="107"/>
        <v/>
      </c>
      <c r="AK73" s="55" t="str">
        <f t="shared" si="107"/>
        <v/>
      </c>
      <c r="AL73" s="55" t="str">
        <f t="shared" si="107"/>
        <v/>
      </c>
      <c r="AM73" s="55" t="str">
        <f t="shared" si="107"/>
        <v/>
      </c>
      <c r="AN73" s="55" t="str">
        <f t="shared" si="107"/>
        <v/>
      </c>
      <c r="AO73" s="55" t="str">
        <f t="shared" si="108"/>
        <v/>
      </c>
      <c r="AP73" s="55" t="str">
        <f t="shared" si="108"/>
        <v/>
      </c>
      <c r="AQ73" s="55" t="str">
        <f t="shared" si="108"/>
        <v/>
      </c>
      <c r="AR73" s="55" t="str">
        <f t="shared" si="108"/>
        <v/>
      </c>
      <c r="AS73" s="55" t="str">
        <f t="shared" si="108"/>
        <v/>
      </c>
      <c r="AT73" s="55" t="str">
        <f t="shared" si="108"/>
        <v/>
      </c>
      <c r="AU73" s="55" t="str">
        <f t="shared" si="108"/>
        <v/>
      </c>
      <c r="AV73" s="55" t="str">
        <f t="shared" si="108"/>
        <v/>
      </c>
      <c r="AW73" s="55" t="str">
        <f t="shared" si="108"/>
        <v/>
      </c>
      <c r="AX73" s="55" t="str">
        <f t="shared" si="108"/>
        <v/>
      </c>
      <c r="AY73" s="55" t="str">
        <f t="shared" si="108"/>
        <v/>
      </c>
      <c r="AZ73" s="55" t="str">
        <f t="shared" si="108"/>
        <v/>
      </c>
      <c r="BA73" s="55" t="str">
        <f t="shared" si="108"/>
        <v/>
      </c>
      <c r="BB73" s="55" t="str">
        <f t="shared" si="108"/>
        <v/>
      </c>
      <c r="BC73" s="55" t="str">
        <f t="shared" si="108"/>
        <v/>
      </c>
      <c r="BD73" s="55" t="str">
        <f t="shared" si="108"/>
        <v/>
      </c>
      <c r="BE73" s="55" t="str">
        <f t="shared" si="109"/>
        <v/>
      </c>
      <c r="BF73" s="55" t="str">
        <f t="shared" si="109"/>
        <v/>
      </c>
      <c r="BG73" s="55" t="str">
        <f t="shared" si="109"/>
        <v/>
      </c>
      <c r="BH73" s="55" t="str">
        <f t="shared" si="109"/>
        <v/>
      </c>
      <c r="BI73" s="55" t="str">
        <f t="shared" si="109"/>
        <v/>
      </c>
      <c r="BJ73" s="55" t="str">
        <f t="shared" si="109"/>
        <v/>
      </c>
      <c r="BK73" s="55" t="str">
        <f t="shared" si="109"/>
        <v/>
      </c>
      <c r="BL73" s="55" t="str">
        <f t="shared" si="109"/>
        <v/>
      </c>
      <c r="BM73" s="55" t="str">
        <f t="shared" si="109"/>
        <v/>
      </c>
      <c r="BN73" s="55" t="str">
        <f t="shared" si="109"/>
        <v/>
      </c>
      <c r="BO73" s="55" t="str">
        <f t="shared" si="109"/>
        <v/>
      </c>
      <c r="BP73" s="55" t="str">
        <f t="shared" si="109"/>
        <v/>
      </c>
      <c r="BQ73" s="55" t="str">
        <f t="shared" si="109"/>
        <v/>
      </c>
      <c r="BR73" s="55" t="str">
        <f t="shared" si="109"/>
        <v/>
      </c>
      <c r="BS73" s="55" t="str">
        <f t="shared" si="109"/>
        <v/>
      </c>
      <c r="BT73" s="55" t="str">
        <f t="shared" si="109"/>
        <v/>
      </c>
      <c r="BU73" s="55" t="str">
        <f t="shared" si="110"/>
        <v/>
      </c>
      <c r="BV73" s="55" t="str">
        <f t="shared" si="110"/>
        <v/>
      </c>
      <c r="BW73" s="55" t="str">
        <f t="shared" si="110"/>
        <v/>
      </c>
      <c r="BX73" s="55" t="str">
        <f t="shared" si="110"/>
        <v/>
      </c>
      <c r="BY73" s="55" t="str">
        <f t="shared" si="110"/>
        <v/>
      </c>
      <c r="BZ73" s="55" t="str">
        <f t="shared" si="110"/>
        <v/>
      </c>
      <c r="CA73" s="55" t="str">
        <f t="shared" si="110"/>
        <v/>
      </c>
      <c r="CB73" s="55" t="str">
        <f t="shared" si="110"/>
        <v/>
      </c>
      <c r="CC73" s="55" t="str">
        <f t="shared" si="110"/>
        <v/>
      </c>
      <c r="CD73" s="55" t="str">
        <f t="shared" si="110"/>
        <v/>
      </c>
      <c r="CE73" s="55" t="str">
        <f t="shared" si="110"/>
        <v/>
      </c>
      <c r="CF73" s="55" t="str">
        <f t="shared" si="110"/>
        <v/>
      </c>
      <c r="CG73" s="55" t="str">
        <f t="shared" si="110"/>
        <v/>
      </c>
      <c r="CH73" s="55" t="str">
        <f t="shared" si="110"/>
        <v/>
      </c>
      <c r="CI73" s="55" t="str">
        <f t="shared" si="110"/>
        <v/>
      </c>
      <c r="CJ73" s="55" t="str">
        <f t="shared" si="110"/>
        <v/>
      </c>
      <c r="CK73" s="55" t="str">
        <f t="shared" si="110"/>
        <v/>
      </c>
      <c r="CL73" s="55" t="str">
        <f t="shared" si="110"/>
        <v/>
      </c>
      <c r="CM73" s="55" t="str">
        <f t="shared" si="110"/>
        <v/>
      </c>
      <c r="CN73" s="55" t="str">
        <f t="shared" si="110"/>
        <v/>
      </c>
      <c r="CO73" s="55" t="str">
        <f t="shared" si="110"/>
        <v/>
      </c>
      <c r="CP73" s="55" t="str">
        <f t="shared" si="110"/>
        <v/>
      </c>
      <c r="CQ73" s="55" t="str">
        <f t="shared" si="110"/>
        <v/>
      </c>
      <c r="CR73" s="55" t="str">
        <f t="shared" si="110"/>
        <v/>
      </c>
      <c r="CS73" s="55" t="str">
        <f t="shared" si="110"/>
        <v/>
      </c>
      <c r="CT73" s="55" t="str">
        <f t="shared" si="110"/>
        <v/>
      </c>
      <c r="CU73" s="55" t="str">
        <f t="shared" si="110"/>
        <v/>
      </c>
      <c r="CV73" s="55" t="str">
        <f t="shared" si="110"/>
        <v/>
      </c>
      <c r="CW73" s="55" t="str">
        <f t="shared" si="110"/>
        <v/>
      </c>
      <c r="CX73" s="55" t="str">
        <f t="shared" si="110"/>
        <v/>
      </c>
      <c r="CY73" s="55" t="str">
        <f t="shared" si="110"/>
        <v/>
      </c>
      <c r="CZ73" s="55" t="str">
        <f t="shared" si="110"/>
        <v/>
      </c>
      <c r="DA73" s="55" t="str">
        <f t="shared" si="110"/>
        <v/>
      </c>
      <c r="DB73" s="55" t="str">
        <f t="shared" si="110"/>
        <v/>
      </c>
      <c r="DC73" s="55" t="str">
        <f t="shared" si="110"/>
        <v/>
      </c>
      <c r="DD73" s="55" t="str">
        <f t="shared" si="110"/>
        <v/>
      </c>
      <c r="DE73" s="55" t="str">
        <f t="shared" si="110"/>
        <v/>
      </c>
      <c r="DF73" s="55" t="str">
        <f t="shared" si="110"/>
        <v/>
      </c>
      <c r="DG73" s="55" t="str">
        <f t="shared" si="110"/>
        <v/>
      </c>
      <c r="DH73" s="55" t="str">
        <f t="shared" si="110"/>
        <v/>
      </c>
      <c r="DI73" s="55" t="str">
        <f t="shared" si="110"/>
        <v/>
      </c>
      <c r="DJ73" s="55" t="str">
        <f t="shared" si="110"/>
        <v/>
      </c>
      <c r="DK73" s="55" t="str">
        <f t="shared" si="110"/>
        <v/>
      </c>
      <c r="DL73" s="55" t="str">
        <f t="shared" si="110"/>
        <v/>
      </c>
      <c r="DM73" s="55" t="str">
        <f t="shared" si="110"/>
        <v/>
      </c>
      <c r="DN73" s="55" t="str">
        <f t="shared" si="110"/>
        <v/>
      </c>
      <c r="DO73" s="55" t="str">
        <f t="shared" si="110"/>
        <v/>
      </c>
      <c r="DP73" s="55" t="str">
        <f t="shared" si="110"/>
        <v/>
      </c>
      <c r="DQ73" s="55" t="str">
        <f t="shared" si="110"/>
        <v/>
      </c>
      <c r="DR73" s="55" t="str">
        <f t="shared" si="110"/>
        <v/>
      </c>
      <c r="DS73" s="55" t="str">
        <f t="shared" si="110"/>
        <v/>
      </c>
      <c r="DT73" s="106" t="str">
        <f t="shared" si="110"/>
        <v/>
      </c>
      <c r="DU73" s="54"/>
      <c r="DV73" s="25"/>
      <c r="DW73" s="61" t="str">
        <f t="shared" si="111"/>
        <v/>
      </c>
      <c r="DX73" s="50" t="str">
        <f t="shared" si="111"/>
        <v/>
      </c>
      <c r="DY73" s="50" t="str">
        <f t="shared" si="111"/>
        <v/>
      </c>
      <c r="DZ73" s="50" t="str">
        <f t="shared" si="111"/>
        <v/>
      </c>
      <c r="EA73" s="50" t="str">
        <f t="shared" si="111"/>
        <v/>
      </c>
      <c r="EB73" s="50" t="str">
        <f t="shared" si="111"/>
        <v/>
      </c>
      <c r="EC73" s="50" t="str">
        <f t="shared" si="111"/>
        <v/>
      </c>
      <c r="ED73" s="50" t="str">
        <f t="shared" si="111"/>
        <v/>
      </c>
      <c r="EE73" s="50" t="str">
        <f t="shared" si="111"/>
        <v/>
      </c>
      <c r="EF73" s="50" t="str">
        <f t="shared" si="111"/>
        <v/>
      </c>
      <c r="EG73" s="50" t="str">
        <f t="shared" si="111"/>
        <v/>
      </c>
      <c r="EH73" s="50" t="str">
        <f t="shared" si="111"/>
        <v/>
      </c>
      <c r="EI73" s="50" t="str">
        <f t="shared" si="111"/>
        <v/>
      </c>
      <c r="EJ73" s="50" t="str">
        <f t="shared" si="111"/>
        <v/>
      </c>
      <c r="EK73" s="50" t="str">
        <f t="shared" si="111"/>
        <v/>
      </c>
      <c r="EL73" s="50" t="str">
        <f t="shared" si="111"/>
        <v/>
      </c>
      <c r="EM73" s="50" t="str">
        <f t="shared" si="112"/>
        <v/>
      </c>
      <c r="EN73" s="50" t="str">
        <f t="shared" si="112"/>
        <v/>
      </c>
      <c r="EO73" s="50" t="str">
        <f t="shared" si="112"/>
        <v/>
      </c>
      <c r="EP73" s="50" t="str">
        <f t="shared" si="112"/>
        <v/>
      </c>
      <c r="EQ73" s="50" t="str">
        <f t="shared" si="112"/>
        <v/>
      </c>
      <c r="ER73" s="50" t="str">
        <f t="shared" si="112"/>
        <v/>
      </c>
      <c r="ES73" s="50" t="str">
        <f t="shared" si="112"/>
        <v/>
      </c>
      <c r="ET73" s="50" t="str">
        <f t="shared" si="112"/>
        <v/>
      </c>
      <c r="EU73" s="50" t="str">
        <f t="shared" si="112"/>
        <v/>
      </c>
      <c r="EV73" s="50" t="str">
        <f t="shared" si="112"/>
        <v/>
      </c>
      <c r="EW73" s="50" t="str">
        <f t="shared" si="112"/>
        <v/>
      </c>
      <c r="EX73" s="50" t="str">
        <f t="shared" si="112"/>
        <v/>
      </c>
      <c r="EY73" s="50" t="str">
        <f t="shared" si="112"/>
        <v/>
      </c>
      <c r="EZ73" s="50" t="str">
        <f t="shared" si="112"/>
        <v/>
      </c>
      <c r="FA73" s="50" t="str">
        <f t="shared" si="112"/>
        <v/>
      </c>
      <c r="FB73" s="50" t="str">
        <f t="shared" si="112"/>
        <v/>
      </c>
      <c r="FC73" s="50" t="str">
        <f t="shared" si="113"/>
        <v/>
      </c>
      <c r="FD73" s="50" t="str">
        <f t="shared" si="113"/>
        <v/>
      </c>
      <c r="FE73" s="50" t="str">
        <f t="shared" si="113"/>
        <v/>
      </c>
      <c r="FF73" s="50" t="str">
        <f t="shared" si="113"/>
        <v/>
      </c>
      <c r="FG73" s="50" t="str">
        <f t="shared" si="113"/>
        <v/>
      </c>
      <c r="FH73" s="50" t="str">
        <f t="shared" si="113"/>
        <v/>
      </c>
      <c r="FI73" s="50" t="str">
        <f t="shared" si="113"/>
        <v/>
      </c>
      <c r="FJ73" s="50" t="str">
        <f t="shared" si="113"/>
        <v/>
      </c>
      <c r="FK73" s="50" t="str">
        <f t="shared" si="113"/>
        <v/>
      </c>
      <c r="FL73" s="50" t="str">
        <f t="shared" si="113"/>
        <v/>
      </c>
      <c r="FM73" s="50" t="str">
        <f t="shared" si="113"/>
        <v/>
      </c>
      <c r="FN73" s="50" t="str">
        <f t="shared" si="113"/>
        <v/>
      </c>
      <c r="FO73" s="50" t="str">
        <f t="shared" si="113"/>
        <v/>
      </c>
      <c r="FP73" s="50" t="str">
        <f t="shared" si="113"/>
        <v/>
      </c>
      <c r="FQ73" s="50" t="str">
        <f t="shared" si="113"/>
        <v/>
      </c>
      <c r="FR73" s="50" t="str">
        <f t="shared" si="113"/>
        <v/>
      </c>
      <c r="FS73" s="50" t="str">
        <f t="shared" si="114"/>
        <v/>
      </c>
      <c r="FT73" s="50" t="str">
        <f t="shared" si="114"/>
        <v/>
      </c>
      <c r="FU73" s="50" t="str">
        <f t="shared" si="114"/>
        <v/>
      </c>
      <c r="FV73" s="50" t="str">
        <f t="shared" si="114"/>
        <v/>
      </c>
      <c r="FW73" s="50" t="str">
        <f t="shared" si="114"/>
        <v/>
      </c>
      <c r="FX73" s="50" t="str">
        <f t="shared" si="114"/>
        <v/>
      </c>
      <c r="FY73" s="50" t="str">
        <f t="shared" si="114"/>
        <v/>
      </c>
      <c r="FZ73" s="50" t="str">
        <f t="shared" si="114"/>
        <v/>
      </c>
      <c r="GA73" s="50" t="str">
        <f t="shared" si="114"/>
        <v/>
      </c>
      <c r="GB73" s="50" t="str">
        <f t="shared" si="114"/>
        <v/>
      </c>
      <c r="GC73" s="50" t="str">
        <f t="shared" si="114"/>
        <v/>
      </c>
      <c r="GD73" s="50" t="str">
        <f t="shared" si="114"/>
        <v/>
      </c>
      <c r="GE73" s="50" t="str">
        <f t="shared" si="114"/>
        <v/>
      </c>
      <c r="GF73" s="50" t="str">
        <f t="shared" si="114"/>
        <v/>
      </c>
      <c r="GG73" s="50" t="str">
        <f t="shared" si="114"/>
        <v/>
      </c>
      <c r="GH73" s="50" t="str">
        <f t="shared" si="114"/>
        <v/>
      </c>
      <c r="GI73" s="50" t="str">
        <f t="shared" si="114"/>
        <v/>
      </c>
      <c r="GJ73" s="50" t="str">
        <f t="shared" si="114"/>
        <v/>
      </c>
      <c r="GK73" s="50" t="str">
        <f t="shared" si="114"/>
        <v/>
      </c>
      <c r="GL73" s="50" t="str">
        <f t="shared" si="114"/>
        <v/>
      </c>
      <c r="GM73" s="50" t="str">
        <f t="shared" si="114"/>
        <v/>
      </c>
      <c r="GN73" s="50" t="str">
        <f t="shared" si="114"/>
        <v/>
      </c>
      <c r="GO73" s="50" t="str">
        <f t="shared" si="114"/>
        <v/>
      </c>
      <c r="GP73" s="50" t="str">
        <f t="shared" si="114"/>
        <v/>
      </c>
      <c r="GQ73" s="50" t="str">
        <f t="shared" si="114"/>
        <v/>
      </c>
      <c r="GR73" s="50" t="str">
        <f t="shared" si="114"/>
        <v/>
      </c>
      <c r="GS73" s="50" t="str">
        <f t="shared" si="114"/>
        <v/>
      </c>
      <c r="GT73" s="50" t="str">
        <f t="shared" si="114"/>
        <v/>
      </c>
      <c r="GU73" s="50" t="str">
        <f t="shared" si="114"/>
        <v/>
      </c>
      <c r="GV73" s="50" t="str">
        <f t="shared" si="114"/>
        <v/>
      </c>
      <c r="GW73" s="50" t="str">
        <f t="shared" si="114"/>
        <v/>
      </c>
      <c r="GX73" s="50" t="str">
        <f t="shared" si="114"/>
        <v/>
      </c>
      <c r="GY73" s="50" t="str">
        <f t="shared" si="114"/>
        <v/>
      </c>
      <c r="GZ73" s="50" t="str">
        <f t="shared" si="114"/>
        <v/>
      </c>
      <c r="HA73" s="50" t="str">
        <f t="shared" si="114"/>
        <v/>
      </c>
      <c r="HB73" s="50" t="str">
        <f t="shared" si="114"/>
        <v/>
      </c>
      <c r="HC73" s="50" t="str">
        <f t="shared" si="114"/>
        <v/>
      </c>
      <c r="HD73" s="50" t="str">
        <f t="shared" si="114"/>
        <v/>
      </c>
      <c r="HE73" s="50" t="str">
        <f t="shared" si="114"/>
        <v/>
      </c>
      <c r="HF73" s="50" t="str">
        <f t="shared" si="114"/>
        <v/>
      </c>
      <c r="HG73" s="50" t="str">
        <f t="shared" si="114"/>
        <v/>
      </c>
      <c r="HH73" s="50" t="str">
        <f t="shared" si="114"/>
        <v/>
      </c>
      <c r="HI73" s="50" t="str">
        <f t="shared" si="114"/>
        <v/>
      </c>
      <c r="HJ73" s="50" t="str">
        <f t="shared" si="114"/>
        <v/>
      </c>
      <c r="HK73" s="50" t="str">
        <f t="shared" si="114"/>
        <v/>
      </c>
      <c r="HL73" s="50" t="str">
        <f t="shared" si="114"/>
        <v/>
      </c>
      <c r="HM73" s="50" t="str">
        <f t="shared" si="114"/>
        <v/>
      </c>
      <c r="HN73" s="50" t="str">
        <f t="shared" si="114"/>
        <v/>
      </c>
      <c r="HO73" s="50" t="str">
        <f t="shared" si="114"/>
        <v/>
      </c>
      <c r="HP73" s="50" t="str">
        <f t="shared" si="114"/>
        <v/>
      </c>
      <c r="HQ73" s="50" t="str">
        <f t="shared" si="114"/>
        <v/>
      </c>
      <c r="HR73" s="112" t="str">
        <f t="shared" si="114"/>
        <v/>
      </c>
    </row>
    <row r="74" spans="1:226" ht="11.1" customHeight="1" x14ac:dyDescent="0.25">
      <c r="A74" s="26"/>
      <c r="B74" s="27"/>
      <c r="C74" s="28" t="str">
        <f>IF(A74=0,"",VLOOKUP(A74,[2]CO!$A$3:$F$5327,2,0))</f>
        <v/>
      </c>
      <c r="D74" s="29"/>
      <c r="E74" s="29"/>
      <c r="F74" s="101" t="str">
        <f t="shared" si="104"/>
        <v/>
      </c>
      <c r="G74" s="30" t="str">
        <f>IF(A74=0,"",VLOOKUP(A74,[2]CO!$A$3:$F$5327,3,0))</f>
        <v/>
      </c>
      <c r="H74" s="95"/>
      <c r="I74" s="31"/>
      <c r="J74" s="31"/>
      <c r="K74" s="31"/>
      <c r="L74" s="31"/>
      <c r="M74" s="32" t="str">
        <f t="shared" si="105"/>
        <v/>
      </c>
      <c r="N74" s="32" t="str">
        <f>IF(B74=0,"",IF(H74="M",HLOOKUP(B74,$Y$12:$DT$13,2),IF(A74=0,"",VLOOKUP(A74,[2]CO!$A$3:$F$5327,4,0))))</f>
        <v/>
      </c>
      <c r="O74" s="32" t="str">
        <f t="shared" si="7"/>
        <v/>
      </c>
      <c r="P74" s="33"/>
      <c r="Q74" s="34" t="str">
        <f t="shared" si="106"/>
        <v/>
      </c>
      <c r="R74" s="35"/>
      <c r="T74" s="53" t="str">
        <f>IF(A74=0,"",VLOOKUP(A74,[2]CO!$A$3:$F$5318,5,0))</f>
        <v/>
      </c>
      <c r="U74" s="54">
        <f t="shared" si="70"/>
        <v>0</v>
      </c>
      <c r="V74" s="24"/>
      <c r="W74" s="25"/>
      <c r="X74" s="25"/>
      <c r="Y74" s="64" t="str">
        <f t="shared" si="107"/>
        <v/>
      </c>
      <c r="Z74" s="55" t="str">
        <f t="shared" si="107"/>
        <v/>
      </c>
      <c r="AA74" s="55" t="str">
        <f t="shared" si="107"/>
        <v/>
      </c>
      <c r="AB74" s="55" t="str">
        <f t="shared" si="107"/>
        <v/>
      </c>
      <c r="AC74" s="55" t="str">
        <f t="shared" si="107"/>
        <v/>
      </c>
      <c r="AD74" s="55" t="str">
        <f t="shared" si="107"/>
        <v/>
      </c>
      <c r="AE74" s="55" t="str">
        <f t="shared" si="107"/>
        <v/>
      </c>
      <c r="AF74" s="55" t="str">
        <f t="shared" si="107"/>
        <v/>
      </c>
      <c r="AG74" s="55" t="str">
        <f t="shared" si="107"/>
        <v/>
      </c>
      <c r="AH74" s="55" t="str">
        <f t="shared" si="107"/>
        <v/>
      </c>
      <c r="AI74" s="55" t="str">
        <f t="shared" si="107"/>
        <v/>
      </c>
      <c r="AJ74" s="55" t="str">
        <f t="shared" si="107"/>
        <v/>
      </c>
      <c r="AK74" s="55" t="str">
        <f t="shared" si="107"/>
        <v/>
      </c>
      <c r="AL74" s="55" t="str">
        <f t="shared" si="107"/>
        <v/>
      </c>
      <c r="AM74" s="55" t="str">
        <f t="shared" si="107"/>
        <v/>
      </c>
      <c r="AN74" s="55" t="str">
        <f t="shared" si="107"/>
        <v/>
      </c>
      <c r="AO74" s="55" t="str">
        <f t="shared" si="108"/>
        <v/>
      </c>
      <c r="AP74" s="55" t="str">
        <f t="shared" si="108"/>
        <v/>
      </c>
      <c r="AQ74" s="55" t="str">
        <f t="shared" si="108"/>
        <v/>
      </c>
      <c r="AR74" s="55" t="str">
        <f t="shared" si="108"/>
        <v/>
      </c>
      <c r="AS74" s="55" t="str">
        <f t="shared" si="108"/>
        <v/>
      </c>
      <c r="AT74" s="55" t="str">
        <f t="shared" si="108"/>
        <v/>
      </c>
      <c r="AU74" s="55" t="str">
        <f t="shared" si="108"/>
        <v/>
      </c>
      <c r="AV74" s="55" t="str">
        <f t="shared" si="108"/>
        <v/>
      </c>
      <c r="AW74" s="55" t="str">
        <f t="shared" si="108"/>
        <v/>
      </c>
      <c r="AX74" s="55" t="str">
        <f t="shared" si="108"/>
        <v/>
      </c>
      <c r="AY74" s="55" t="str">
        <f t="shared" si="108"/>
        <v/>
      </c>
      <c r="AZ74" s="55" t="str">
        <f t="shared" si="108"/>
        <v/>
      </c>
      <c r="BA74" s="55" t="str">
        <f t="shared" si="108"/>
        <v/>
      </c>
      <c r="BB74" s="55" t="str">
        <f t="shared" si="108"/>
        <v/>
      </c>
      <c r="BC74" s="55" t="str">
        <f t="shared" si="108"/>
        <v/>
      </c>
      <c r="BD74" s="55" t="str">
        <f t="shared" si="108"/>
        <v/>
      </c>
      <c r="BE74" s="55" t="str">
        <f t="shared" si="109"/>
        <v/>
      </c>
      <c r="BF74" s="55" t="str">
        <f t="shared" si="109"/>
        <v/>
      </c>
      <c r="BG74" s="55" t="str">
        <f t="shared" si="109"/>
        <v/>
      </c>
      <c r="BH74" s="55" t="str">
        <f t="shared" si="109"/>
        <v/>
      </c>
      <c r="BI74" s="55" t="str">
        <f t="shared" si="109"/>
        <v/>
      </c>
      <c r="BJ74" s="55" t="str">
        <f t="shared" si="109"/>
        <v/>
      </c>
      <c r="BK74" s="55" t="str">
        <f t="shared" si="109"/>
        <v/>
      </c>
      <c r="BL74" s="55" t="str">
        <f t="shared" si="109"/>
        <v/>
      </c>
      <c r="BM74" s="55" t="str">
        <f t="shared" si="109"/>
        <v/>
      </c>
      <c r="BN74" s="55" t="str">
        <f t="shared" si="109"/>
        <v/>
      </c>
      <c r="BO74" s="55" t="str">
        <f t="shared" si="109"/>
        <v/>
      </c>
      <c r="BP74" s="55" t="str">
        <f t="shared" si="109"/>
        <v/>
      </c>
      <c r="BQ74" s="55" t="str">
        <f t="shared" si="109"/>
        <v/>
      </c>
      <c r="BR74" s="55" t="str">
        <f t="shared" si="109"/>
        <v/>
      </c>
      <c r="BS74" s="55" t="str">
        <f t="shared" si="109"/>
        <v/>
      </c>
      <c r="BT74" s="55" t="str">
        <f t="shared" si="109"/>
        <v/>
      </c>
      <c r="BU74" s="55" t="str">
        <f t="shared" si="110"/>
        <v/>
      </c>
      <c r="BV74" s="55" t="str">
        <f t="shared" si="110"/>
        <v/>
      </c>
      <c r="BW74" s="55" t="str">
        <f t="shared" si="110"/>
        <v/>
      </c>
      <c r="BX74" s="55" t="str">
        <f t="shared" si="110"/>
        <v/>
      </c>
      <c r="BY74" s="55" t="str">
        <f t="shared" si="110"/>
        <v/>
      </c>
      <c r="BZ74" s="55" t="str">
        <f t="shared" si="110"/>
        <v/>
      </c>
      <c r="CA74" s="55" t="str">
        <f t="shared" si="110"/>
        <v/>
      </c>
      <c r="CB74" s="55" t="str">
        <f t="shared" si="110"/>
        <v/>
      </c>
      <c r="CC74" s="55" t="str">
        <f t="shared" si="110"/>
        <v/>
      </c>
      <c r="CD74" s="55" t="str">
        <f t="shared" si="110"/>
        <v/>
      </c>
      <c r="CE74" s="55" t="str">
        <f t="shared" si="110"/>
        <v/>
      </c>
      <c r="CF74" s="55" t="str">
        <f t="shared" si="110"/>
        <v/>
      </c>
      <c r="CG74" s="55" t="str">
        <f t="shared" si="110"/>
        <v/>
      </c>
      <c r="CH74" s="55" t="str">
        <f t="shared" si="110"/>
        <v/>
      </c>
      <c r="CI74" s="55" t="str">
        <f t="shared" si="110"/>
        <v/>
      </c>
      <c r="CJ74" s="55" t="str">
        <f t="shared" si="110"/>
        <v/>
      </c>
      <c r="CK74" s="55" t="str">
        <f t="shared" si="110"/>
        <v/>
      </c>
      <c r="CL74" s="55" t="str">
        <f t="shared" si="110"/>
        <v/>
      </c>
      <c r="CM74" s="55" t="str">
        <f t="shared" si="110"/>
        <v/>
      </c>
      <c r="CN74" s="55" t="str">
        <f t="shared" si="110"/>
        <v/>
      </c>
      <c r="CO74" s="55" t="str">
        <f t="shared" si="110"/>
        <v/>
      </c>
      <c r="CP74" s="55" t="str">
        <f t="shared" si="110"/>
        <v/>
      </c>
      <c r="CQ74" s="55" t="str">
        <f t="shared" si="110"/>
        <v/>
      </c>
      <c r="CR74" s="55" t="str">
        <f t="shared" si="110"/>
        <v/>
      </c>
      <c r="CS74" s="55" t="str">
        <f t="shared" si="110"/>
        <v/>
      </c>
      <c r="CT74" s="55" t="str">
        <f t="shared" si="110"/>
        <v/>
      </c>
      <c r="CU74" s="55" t="str">
        <f t="shared" si="110"/>
        <v/>
      </c>
      <c r="CV74" s="55" t="str">
        <f t="shared" si="110"/>
        <v/>
      </c>
      <c r="CW74" s="55" t="str">
        <f t="shared" si="110"/>
        <v/>
      </c>
      <c r="CX74" s="55" t="str">
        <f t="shared" si="110"/>
        <v/>
      </c>
      <c r="CY74" s="55" t="str">
        <f t="shared" si="110"/>
        <v/>
      </c>
      <c r="CZ74" s="55" t="str">
        <f t="shared" si="110"/>
        <v/>
      </c>
      <c r="DA74" s="55" t="str">
        <f t="shared" si="110"/>
        <v/>
      </c>
      <c r="DB74" s="55" t="str">
        <f t="shared" si="110"/>
        <v/>
      </c>
      <c r="DC74" s="55" t="str">
        <f t="shared" si="110"/>
        <v/>
      </c>
      <c r="DD74" s="55" t="str">
        <f t="shared" si="110"/>
        <v/>
      </c>
      <c r="DE74" s="55" t="str">
        <f t="shared" si="110"/>
        <v/>
      </c>
      <c r="DF74" s="55" t="str">
        <f t="shared" si="110"/>
        <v/>
      </c>
      <c r="DG74" s="55" t="str">
        <f t="shared" si="110"/>
        <v/>
      </c>
      <c r="DH74" s="55" t="str">
        <f t="shared" si="110"/>
        <v/>
      </c>
      <c r="DI74" s="55" t="str">
        <f t="shared" si="110"/>
        <v/>
      </c>
      <c r="DJ74" s="55" t="str">
        <f t="shared" si="110"/>
        <v/>
      </c>
      <c r="DK74" s="55" t="str">
        <f t="shared" si="110"/>
        <v/>
      </c>
      <c r="DL74" s="55" t="str">
        <f t="shared" si="110"/>
        <v/>
      </c>
      <c r="DM74" s="55" t="str">
        <f t="shared" si="110"/>
        <v/>
      </c>
      <c r="DN74" s="55" t="str">
        <f t="shared" si="110"/>
        <v/>
      </c>
      <c r="DO74" s="55" t="str">
        <f t="shared" si="110"/>
        <v/>
      </c>
      <c r="DP74" s="55" t="str">
        <f t="shared" si="110"/>
        <v/>
      </c>
      <c r="DQ74" s="55" t="str">
        <f t="shared" si="110"/>
        <v/>
      </c>
      <c r="DR74" s="55" t="str">
        <f t="shared" si="110"/>
        <v/>
      </c>
      <c r="DS74" s="55" t="str">
        <f t="shared" si="110"/>
        <v/>
      </c>
      <c r="DT74" s="106" t="str">
        <f t="shared" si="110"/>
        <v/>
      </c>
      <c r="DU74" s="54"/>
      <c r="DV74" s="25"/>
      <c r="DW74" s="61" t="str">
        <f t="shared" si="111"/>
        <v/>
      </c>
      <c r="DX74" s="50" t="str">
        <f t="shared" si="111"/>
        <v/>
      </c>
      <c r="DY74" s="50" t="str">
        <f t="shared" si="111"/>
        <v/>
      </c>
      <c r="DZ74" s="50" t="str">
        <f t="shared" si="111"/>
        <v/>
      </c>
      <c r="EA74" s="50" t="str">
        <f t="shared" si="111"/>
        <v/>
      </c>
      <c r="EB74" s="50" t="str">
        <f t="shared" si="111"/>
        <v/>
      </c>
      <c r="EC74" s="50" t="str">
        <f t="shared" si="111"/>
        <v/>
      </c>
      <c r="ED74" s="50" t="str">
        <f t="shared" si="111"/>
        <v/>
      </c>
      <c r="EE74" s="50" t="str">
        <f t="shared" si="111"/>
        <v/>
      </c>
      <c r="EF74" s="50" t="str">
        <f t="shared" si="111"/>
        <v/>
      </c>
      <c r="EG74" s="50" t="str">
        <f t="shared" si="111"/>
        <v/>
      </c>
      <c r="EH74" s="50" t="str">
        <f t="shared" si="111"/>
        <v/>
      </c>
      <c r="EI74" s="50" t="str">
        <f t="shared" si="111"/>
        <v/>
      </c>
      <c r="EJ74" s="50" t="str">
        <f t="shared" si="111"/>
        <v/>
      </c>
      <c r="EK74" s="50" t="str">
        <f t="shared" si="111"/>
        <v/>
      </c>
      <c r="EL74" s="50" t="str">
        <f t="shared" si="111"/>
        <v/>
      </c>
      <c r="EM74" s="50" t="str">
        <f t="shared" si="112"/>
        <v/>
      </c>
      <c r="EN74" s="50" t="str">
        <f t="shared" si="112"/>
        <v/>
      </c>
      <c r="EO74" s="50" t="str">
        <f t="shared" si="112"/>
        <v/>
      </c>
      <c r="EP74" s="50" t="str">
        <f t="shared" si="112"/>
        <v/>
      </c>
      <c r="EQ74" s="50" t="str">
        <f t="shared" si="112"/>
        <v/>
      </c>
      <c r="ER74" s="50" t="str">
        <f t="shared" si="112"/>
        <v/>
      </c>
      <c r="ES74" s="50" t="str">
        <f t="shared" si="112"/>
        <v/>
      </c>
      <c r="ET74" s="50" t="str">
        <f t="shared" si="112"/>
        <v/>
      </c>
      <c r="EU74" s="50" t="str">
        <f t="shared" si="112"/>
        <v/>
      </c>
      <c r="EV74" s="50" t="str">
        <f t="shared" si="112"/>
        <v/>
      </c>
      <c r="EW74" s="50" t="str">
        <f t="shared" si="112"/>
        <v/>
      </c>
      <c r="EX74" s="50" t="str">
        <f t="shared" si="112"/>
        <v/>
      </c>
      <c r="EY74" s="50" t="str">
        <f t="shared" si="112"/>
        <v/>
      </c>
      <c r="EZ74" s="50" t="str">
        <f t="shared" si="112"/>
        <v/>
      </c>
      <c r="FA74" s="50" t="str">
        <f t="shared" si="112"/>
        <v/>
      </c>
      <c r="FB74" s="50" t="str">
        <f t="shared" si="112"/>
        <v/>
      </c>
      <c r="FC74" s="50" t="str">
        <f t="shared" si="113"/>
        <v/>
      </c>
      <c r="FD74" s="50" t="str">
        <f t="shared" si="113"/>
        <v/>
      </c>
      <c r="FE74" s="50" t="str">
        <f t="shared" si="113"/>
        <v/>
      </c>
      <c r="FF74" s="50" t="str">
        <f t="shared" si="113"/>
        <v/>
      </c>
      <c r="FG74" s="50" t="str">
        <f t="shared" si="113"/>
        <v/>
      </c>
      <c r="FH74" s="50" t="str">
        <f t="shared" si="113"/>
        <v/>
      </c>
      <c r="FI74" s="50" t="str">
        <f t="shared" si="113"/>
        <v/>
      </c>
      <c r="FJ74" s="50" t="str">
        <f t="shared" si="113"/>
        <v/>
      </c>
      <c r="FK74" s="50" t="str">
        <f t="shared" si="113"/>
        <v/>
      </c>
      <c r="FL74" s="50" t="str">
        <f t="shared" si="113"/>
        <v/>
      </c>
      <c r="FM74" s="50" t="str">
        <f t="shared" si="113"/>
        <v/>
      </c>
      <c r="FN74" s="50" t="str">
        <f t="shared" si="113"/>
        <v/>
      </c>
      <c r="FO74" s="50" t="str">
        <f t="shared" si="113"/>
        <v/>
      </c>
      <c r="FP74" s="50" t="str">
        <f t="shared" si="113"/>
        <v/>
      </c>
      <c r="FQ74" s="50" t="str">
        <f t="shared" si="113"/>
        <v/>
      </c>
      <c r="FR74" s="50" t="str">
        <f t="shared" si="113"/>
        <v/>
      </c>
      <c r="FS74" s="50" t="str">
        <f t="shared" si="114"/>
        <v/>
      </c>
      <c r="FT74" s="50" t="str">
        <f t="shared" si="114"/>
        <v/>
      </c>
      <c r="FU74" s="50" t="str">
        <f t="shared" si="114"/>
        <v/>
      </c>
      <c r="FV74" s="50" t="str">
        <f t="shared" si="114"/>
        <v/>
      </c>
      <c r="FW74" s="50" t="str">
        <f t="shared" si="114"/>
        <v/>
      </c>
      <c r="FX74" s="50" t="str">
        <f t="shared" si="114"/>
        <v/>
      </c>
      <c r="FY74" s="50" t="str">
        <f t="shared" si="114"/>
        <v/>
      </c>
      <c r="FZ74" s="50" t="str">
        <f t="shared" si="114"/>
        <v/>
      </c>
      <c r="GA74" s="50" t="str">
        <f t="shared" si="114"/>
        <v/>
      </c>
      <c r="GB74" s="50" t="str">
        <f t="shared" si="114"/>
        <v/>
      </c>
      <c r="GC74" s="50" t="str">
        <f t="shared" si="114"/>
        <v/>
      </c>
      <c r="GD74" s="50" t="str">
        <f t="shared" si="114"/>
        <v/>
      </c>
      <c r="GE74" s="50" t="str">
        <f t="shared" si="114"/>
        <v/>
      </c>
      <c r="GF74" s="50" t="str">
        <f t="shared" si="114"/>
        <v/>
      </c>
      <c r="GG74" s="50" t="str">
        <f t="shared" si="114"/>
        <v/>
      </c>
      <c r="GH74" s="50" t="str">
        <f t="shared" si="114"/>
        <v/>
      </c>
      <c r="GI74" s="50" t="str">
        <f t="shared" si="114"/>
        <v/>
      </c>
      <c r="GJ74" s="50" t="str">
        <f t="shared" si="114"/>
        <v/>
      </c>
      <c r="GK74" s="50" t="str">
        <f t="shared" si="114"/>
        <v/>
      </c>
      <c r="GL74" s="50" t="str">
        <f t="shared" si="114"/>
        <v/>
      </c>
      <c r="GM74" s="50" t="str">
        <f t="shared" si="114"/>
        <v/>
      </c>
      <c r="GN74" s="50" t="str">
        <f t="shared" si="114"/>
        <v/>
      </c>
      <c r="GO74" s="50" t="str">
        <f t="shared" si="114"/>
        <v/>
      </c>
      <c r="GP74" s="50" t="str">
        <f t="shared" si="114"/>
        <v/>
      </c>
      <c r="GQ74" s="50" t="str">
        <f t="shared" si="114"/>
        <v/>
      </c>
      <c r="GR74" s="50" t="str">
        <f t="shared" si="114"/>
        <v/>
      </c>
      <c r="GS74" s="50" t="str">
        <f t="shared" si="114"/>
        <v/>
      </c>
      <c r="GT74" s="50" t="str">
        <f t="shared" si="114"/>
        <v/>
      </c>
      <c r="GU74" s="50" t="str">
        <f t="shared" si="114"/>
        <v/>
      </c>
      <c r="GV74" s="50" t="str">
        <f t="shared" si="114"/>
        <v/>
      </c>
      <c r="GW74" s="50" t="str">
        <f t="shared" si="114"/>
        <v/>
      </c>
      <c r="GX74" s="50" t="str">
        <f t="shared" si="114"/>
        <v/>
      </c>
      <c r="GY74" s="50" t="str">
        <f t="shared" si="114"/>
        <v/>
      </c>
      <c r="GZ74" s="50" t="str">
        <f t="shared" si="114"/>
        <v/>
      </c>
      <c r="HA74" s="50" t="str">
        <f t="shared" si="114"/>
        <v/>
      </c>
      <c r="HB74" s="50" t="str">
        <f t="shared" si="114"/>
        <v/>
      </c>
      <c r="HC74" s="50" t="str">
        <f t="shared" si="114"/>
        <v/>
      </c>
      <c r="HD74" s="50" t="str">
        <f t="shared" si="114"/>
        <v/>
      </c>
      <c r="HE74" s="50" t="str">
        <f t="shared" si="114"/>
        <v/>
      </c>
      <c r="HF74" s="50" t="str">
        <f t="shared" si="114"/>
        <v/>
      </c>
      <c r="HG74" s="50" t="str">
        <f t="shared" si="114"/>
        <v/>
      </c>
      <c r="HH74" s="50" t="str">
        <f t="shared" si="114"/>
        <v/>
      </c>
      <c r="HI74" s="50" t="str">
        <f t="shared" si="114"/>
        <v/>
      </c>
      <c r="HJ74" s="50" t="str">
        <f t="shared" si="114"/>
        <v/>
      </c>
      <c r="HK74" s="50" t="str">
        <f t="shared" si="114"/>
        <v/>
      </c>
      <c r="HL74" s="50" t="str">
        <f t="shared" si="114"/>
        <v/>
      </c>
      <c r="HM74" s="50" t="str">
        <f t="shared" si="114"/>
        <v/>
      </c>
      <c r="HN74" s="50" t="str">
        <f t="shared" si="114"/>
        <v/>
      </c>
      <c r="HO74" s="50" t="str">
        <f t="shared" si="114"/>
        <v/>
      </c>
      <c r="HP74" s="50" t="str">
        <f t="shared" si="114"/>
        <v/>
      </c>
      <c r="HQ74" s="50" t="str">
        <f t="shared" si="114"/>
        <v/>
      </c>
      <c r="HR74" s="112" t="str">
        <f t="shared" si="114"/>
        <v/>
      </c>
    </row>
    <row r="75" spans="1:226" ht="11.1" customHeight="1" x14ac:dyDescent="0.25">
      <c r="A75" s="26"/>
      <c r="B75" s="27"/>
      <c r="C75" s="28" t="str">
        <f>IF(A75=0,"",VLOOKUP(A75,[2]CO!$A$3:$F$5327,2,0))</f>
        <v/>
      </c>
      <c r="D75" s="29"/>
      <c r="E75" s="29"/>
      <c r="F75" s="101" t="str">
        <f t="shared" si="104"/>
        <v/>
      </c>
      <c r="G75" s="30" t="str">
        <f>IF(A75=0,"",VLOOKUP(A75,[2]CO!$A$3:$F$5327,3,0))</f>
        <v/>
      </c>
      <c r="H75" s="95"/>
      <c r="I75" s="31"/>
      <c r="J75" s="31"/>
      <c r="K75" s="31"/>
      <c r="L75" s="31"/>
      <c r="M75" s="32" t="str">
        <f t="shared" si="105"/>
        <v/>
      </c>
      <c r="N75" s="32" t="str">
        <f>IF(B75=0,"",IF(H75="M",HLOOKUP(B75,$Y$12:$DT$13,2),IF(A75=0,"",VLOOKUP(A75,[2]CO!$A$3:$F$5327,4,0))))</f>
        <v/>
      </c>
      <c r="O75" s="32" t="str">
        <f t="shared" si="7"/>
        <v/>
      </c>
      <c r="P75" s="33"/>
      <c r="Q75" s="34" t="str">
        <f t="shared" si="106"/>
        <v/>
      </c>
      <c r="R75" s="35"/>
      <c r="T75" s="53" t="str">
        <f>IF(A75=0,"",VLOOKUP(A75,[2]CO!$A$3:$F$5318,5,0))</f>
        <v/>
      </c>
      <c r="U75" s="54">
        <f t="shared" si="70"/>
        <v>0</v>
      </c>
      <c r="V75" s="24"/>
      <c r="W75" s="25"/>
      <c r="X75" s="25"/>
      <c r="Y75" s="64" t="str">
        <f t="shared" si="107"/>
        <v/>
      </c>
      <c r="Z75" s="55" t="str">
        <f t="shared" si="107"/>
        <v/>
      </c>
      <c r="AA75" s="55" t="str">
        <f t="shared" si="107"/>
        <v/>
      </c>
      <c r="AB75" s="55" t="str">
        <f t="shared" si="107"/>
        <v/>
      </c>
      <c r="AC75" s="55" t="str">
        <f t="shared" si="107"/>
        <v/>
      </c>
      <c r="AD75" s="55" t="str">
        <f t="shared" si="107"/>
        <v/>
      </c>
      <c r="AE75" s="55" t="str">
        <f t="shared" si="107"/>
        <v/>
      </c>
      <c r="AF75" s="55" t="str">
        <f t="shared" si="107"/>
        <v/>
      </c>
      <c r="AG75" s="55" t="str">
        <f t="shared" si="107"/>
        <v/>
      </c>
      <c r="AH75" s="55" t="str">
        <f t="shared" si="107"/>
        <v/>
      </c>
      <c r="AI75" s="55" t="str">
        <f t="shared" si="107"/>
        <v/>
      </c>
      <c r="AJ75" s="55" t="str">
        <f t="shared" si="107"/>
        <v/>
      </c>
      <c r="AK75" s="55" t="str">
        <f t="shared" si="107"/>
        <v/>
      </c>
      <c r="AL75" s="55" t="str">
        <f t="shared" si="107"/>
        <v/>
      </c>
      <c r="AM75" s="55" t="str">
        <f t="shared" si="107"/>
        <v/>
      </c>
      <c r="AN75" s="55" t="str">
        <f t="shared" si="107"/>
        <v/>
      </c>
      <c r="AO75" s="55" t="str">
        <f t="shared" si="108"/>
        <v/>
      </c>
      <c r="AP75" s="55" t="str">
        <f t="shared" si="108"/>
        <v/>
      </c>
      <c r="AQ75" s="55" t="str">
        <f t="shared" si="108"/>
        <v/>
      </c>
      <c r="AR75" s="55" t="str">
        <f t="shared" si="108"/>
        <v/>
      </c>
      <c r="AS75" s="55" t="str">
        <f t="shared" si="108"/>
        <v/>
      </c>
      <c r="AT75" s="55" t="str">
        <f t="shared" si="108"/>
        <v/>
      </c>
      <c r="AU75" s="55" t="str">
        <f t="shared" si="108"/>
        <v/>
      </c>
      <c r="AV75" s="55" t="str">
        <f t="shared" si="108"/>
        <v/>
      </c>
      <c r="AW75" s="55" t="str">
        <f t="shared" si="108"/>
        <v/>
      </c>
      <c r="AX75" s="55" t="str">
        <f t="shared" si="108"/>
        <v/>
      </c>
      <c r="AY75" s="55" t="str">
        <f t="shared" si="108"/>
        <v/>
      </c>
      <c r="AZ75" s="55" t="str">
        <f t="shared" si="108"/>
        <v/>
      </c>
      <c r="BA75" s="55" t="str">
        <f t="shared" si="108"/>
        <v/>
      </c>
      <c r="BB75" s="55" t="str">
        <f t="shared" si="108"/>
        <v/>
      </c>
      <c r="BC75" s="55" t="str">
        <f t="shared" si="108"/>
        <v/>
      </c>
      <c r="BD75" s="55" t="str">
        <f t="shared" si="108"/>
        <v/>
      </c>
      <c r="BE75" s="55" t="str">
        <f t="shared" si="109"/>
        <v/>
      </c>
      <c r="BF75" s="55" t="str">
        <f t="shared" si="109"/>
        <v/>
      </c>
      <c r="BG75" s="55" t="str">
        <f t="shared" si="109"/>
        <v/>
      </c>
      <c r="BH75" s="55" t="str">
        <f t="shared" si="109"/>
        <v/>
      </c>
      <c r="BI75" s="55" t="str">
        <f t="shared" si="109"/>
        <v/>
      </c>
      <c r="BJ75" s="55" t="str">
        <f t="shared" si="109"/>
        <v/>
      </c>
      <c r="BK75" s="55" t="str">
        <f t="shared" si="109"/>
        <v/>
      </c>
      <c r="BL75" s="55" t="str">
        <f t="shared" si="109"/>
        <v/>
      </c>
      <c r="BM75" s="55" t="str">
        <f t="shared" si="109"/>
        <v/>
      </c>
      <c r="BN75" s="55" t="str">
        <f t="shared" si="109"/>
        <v/>
      </c>
      <c r="BO75" s="55" t="str">
        <f t="shared" si="109"/>
        <v/>
      </c>
      <c r="BP75" s="55" t="str">
        <f t="shared" si="109"/>
        <v/>
      </c>
      <c r="BQ75" s="55" t="str">
        <f t="shared" si="109"/>
        <v/>
      </c>
      <c r="BR75" s="55" t="str">
        <f t="shared" si="109"/>
        <v/>
      </c>
      <c r="BS75" s="55" t="str">
        <f t="shared" si="109"/>
        <v/>
      </c>
      <c r="BT75" s="55" t="str">
        <f t="shared" si="109"/>
        <v/>
      </c>
      <c r="BU75" s="55" t="str">
        <f t="shared" si="110"/>
        <v/>
      </c>
      <c r="BV75" s="55" t="str">
        <f t="shared" si="110"/>
        <v/>
      </c>
      <c r="BW75" s="55" t="str">
        <f t="shared" si="110"/>
        <v/>
      </c>
      <c r="BX75" s="55" t="str">
        <f t="shared" si="110"/>
        <v/>
      </c>
      <c r="BY75" s="55" t="str">
        <f t="shared" si="110"/>
        <v/>
      </c>
      <c r="BZ75" s="55" t="str">
        <f t="shared" si="110"/>
        <v/>
      </c>
      <c r="CA75" s="55" t="str">
        <f t="shared" si="110"/>
        <v/>
      </c>
      <c r="CB75" s="55" t="str">
        <f t="shared" si="110"/>
        <v/>
      </c>
      <c r="CC75" s="55" t="str">
        <f t="shared" si="110"/>
        <v/>
      </c>
      <c r="CD75" s="55" t="str">
        <f t="shared" si="110"/>
        <v/>
      </c>
      <c r="CE75" s="55" t="str">
        <f t="shared" si="110"/>
        <v/>
      </c>
      <c r="CF75" s="55" t="str">
        <f t="shared" si="110"/>
        <v/>
      </c>
      <c r="CG75" s="55" t="str">
        <f t="shared" si="110"/>
        <v/>
      </c>
      <c r="CH75" s="55" t="str">
        <f t="shared" si="110"/>
        <v/>
      </c>
      <c r="CI75" s="55" t="str">
        <f t="shared" si="110"/>
        <v/>
      </c>
      <c r="CJ75" s="55" t="str">
        <f t="shared" si="110"/>
        <v/>
      </c>
      <c r="CK75" s="55" t="str">
        <f t="shared" si="110"/>
        <v/>
      </c>
      <c r="CL75" s="55" t="str">
        <f t="shared" si="110"/>
        <v/>
      </c>
      <c r="CM75" s="55" t="str">
        <f t="shared" si="110"/>
        <v/>
      </c>
      <c r="CN75" s="55" t="str">
        <f t="shared" si="110"/>
        <v/>
      </c>
      <c r="CO75" s="55" t="str">
        <f t="shared" si="110"/>
        <v/>
      </c>
      <c r="CP75" s="55" t="str">
        <f t="shared" si="110"/>
        <v/>
      </c>
      <c r="CQ75" s="55" t="str">
        <f t="shared" si="110"/>
        <v/>
      </c>
      <c r="CR75" s="55" t="str">
        <f t="shared" si="110"/>
        <v/>
      </c>
      <c r="CS75" s="55" t="str">
        <f t="shared" si="110"/>
        <v/>
      </c>
      <c r="CT75" s="55" t="str">
        <f t="shared" si="110"/>
        <v/>
      </c>
      <c r="CU75" s="55" t="str">
        <f t="shared" si="110"/>
        <v/>
      </c>
      <c r="CV75" s="55" t="str">
        <f t="shared" si="110"/>
        <v/>
      </c>
      <c r="CW75" s="55" t="str">
        <f t="shared" si="110"/>
        <v/>
      </c>
      <c r="CX75" s="55" t="str">
        <f t="shared" si="110"/>
        <v/>
      </c>
      <c r="CY75" s="55" t="str">
        <f t="shared" si="110"/>
        <v/>
      </c>
      <c r="CZ75" s="55" t="str">
        <f t="shared" si="110"/>
        <v/>
      </c>
      <c r="DA75" s="55" t="str">
        <f t="shared" si="110"/>
        <v/>
      </c>
      <c r="DB75" s="55" t="str">
        <f t="shared" si="110"/>
        <v/>
      </c>
      <c r="DC75" s="55" t="str">
        <f t="shared" si="110"/>
        <v/>
      </c>
      <c r="DD75" s="55" t="str">
        <f t="shared" si="110"/>
        <v/>
      </c>
      <c r="DE75" s="55" t="str">
        <f t="shared" si="110"/>
        <v/>
      </c>
      <c r="DF75" s="55" t="str">
        <f t="shared" si="110"/>
        <v/>
      </c>
      <c r="DG75" s="55" t="str">
        <f t="shared" si="110"/>
        <v/>
      </c>
      <c r="DH75" s="55" t="str">
        <f t="shared" si="110"/>
        <v/>
      </c>
      <c r="DI75" s="55" t="str">
        <f t="shared" si="110"/>
        <v/>
      </c>
      <c r="DJ75" s="55" t="str">
        <f t="shared" si="110"/>
        <v/>
      </c>
      <c r="DK75" s="55" t="str">
        <f t="shared" si="110"/>
        <v/>
      </c>
      <c r="DL75" s="55" t="str">
        <f t="shared" si="110"/>
        <v/>
      </c>
      <c r="DM75" s="55" t="str">
        <f t="shared" si="110"/>
        <v/>
      </c>
      <c r="DN75" s="55" t="str">
        <f t="shared" si="110"/>
        <v/>
      </c>
      <c r="DO75" s="55" t="str">
        <f t="shared" si="110"/>
        <v/>
      </c>
      <c r="DP75" s="55" t="str">
        <f t="shared" ref="DP75:DT77" si="115">IF($B75=DP$12,$U75,"")</f>
        <v/>
      </c>
      <c r="DQ75" s="55" t="str">
        <f t="shared" si="115"/>
        <v/>
      </c>
      <c r="DR75" s="55" t="str">
        <f t="shared" si="115"/>
        <v/>
      </c>
      <c r="DS75" s="55" t="str">
        <f t="shared" si="115"/>
        <v/>
      </c>
      <c r="DT75" s="106" t="str">
        <f t="shared" si="115"/>
        <v/>
      </c>
      <c r="DU75" s="54"/>
      <c r="DV75" s="25"/>
      <c r="DW75" s="61" t="str">
        <f t="shared" si="111"/>
        <v/>
      </c>
      <c r="DX75" s="50" t="str">
        <f t="shared" si="111"/>
        <v/>
      </c>
      <c r="DY75" s="50" t="str">
        <f t="shared" si="111"/>
        <v/>
      </c>
      <c r="DZ75" s="50" t="str">
        <f t="shared" si="111"/>
        <v/>
      </c>
      <c r="EA75" s="50" t="str">
        <f t="shared" si="111"/>
        <v/>
      </c>
      <c r="EB75" s="50" t="str">
        <f t="shared" si="111"/>
        <v/>
      </c>
      <c r="EC75" s="50" t="str">
        <f t="shared" si="111"/>
        <v/>
      </c>
      <c r="ED75" s="50" t="str">
        <f t="shared" si="111"/>
        <v/>
      </c>
      <c r="EE75" s="50" t="str">
        <f t="shared" si="111"/>
        <v/>
      </c>
      <c r="EF75" s="50" t="str">
        <f t="shared" si="111"/>
        <v/>
      </c>
      <c r="EG75" s="50" t="str">
        <f t="shared" si="111"/>
        <v/>
      </c>
      <c r="EH75" s="50" t="str">
        <f t="shared" si="111"/>
        <v/>
      </c>
      <c r="EI75" s="50" t="str">
        <f t="shared" si="111"/>
        <v/>
      </c>
      <c r="EJ75" s="50" t="str">
        <f t="shared" si="111"/>
        <v/>
      </c>
      <c r="EK75" s="50" t="str">
        <f t="shared" si="111"/>
        <v/>
      </c>
      <c r="EL75" s="50" t="str">
        <f t="shared" si="111"/>
        <v/>
      </c>
      <c r="EM75" s="50" t="str">
        <f t="shared" si="112"/>
        <v/>
      </c>
      <c r="EN75" s="50" t="str">
        <f t="shared" si="112"/>
        <v/>
      </c>
      <c r="EO75" s="50" t="str">
        <f t="shared" si="112"/>
        <v/>
      </c>
      <c r="EP75" s="50" t="str">
        <f t="shared" si="112"/>
        <v/>
      </c>
      <c r="EQ75" s="50" t="str">
        <f t="shared" si="112"/>
        <v/>
      </c>
      <c r="ER75" s="50" t="str">
        <f t="shared" si="112"/>
        <v/>
      </c>
      <c r="ES75" s="50" t="str">
        <f t="shared" si="112"/>
        <v/>
      </c>
      <c r="ET75" s="50" t="str">
        <f t="shared" si="112"/>
        <v/>
      </c>
      <c r="EU75" s="50" t="str">
        <f t="shared" si="112"/>
        <v/>
      </c>
      <c r="EV75" s="50" t="str">
        <f t="shared" si="112"/>
        <v/>
      </c>
      <c r="EW75" s="50" t="str">
        <f t="shared" si="112"/>
        <v/>
      </c>
      <c r="EX75" s="50" t="str">
        <f t="shared" si="112"/>
        <v/>
      </c>
      <c r="EY75" s="50" t="str">
        <f t="shared" si="112"/>
        <v/>
      </c>
      <c r="EZ75" s="50" t="str">
        <f t="shared" si="112"/>
        <v/>
      </c>
      <c r="FA75" s="50" t="str">
        <f t="shared" si="112"/>
        <v/>
      </c>
      <c r="FB75" s="50" t="str">
        <f t="shared" si="112"/>
        <v/>
      </c>
      <c r="FC75" s="50" t="str">
        <f t="shared" si="113"/>
        <v/>
      </c>
      <c r="FD75" s="50" t="str">
        <f t="shared" si="113"/>
        <v/>
      </c>
      <c r="FE75" s="50" t="str">
        <f t="shared" si="113"/>
        <v/>
      </c>
      <c r="FF75" s="50" t="str">
        <f t="shared" si="113"/>
        <v/>
      </c>
      <c r="FG75" s="50" t="str">
        <f t="shared" si="113"/>
        <v/>
      </c>
      <c r="FH75" s="50" t="str">
        <f t="shared" si="113"/>
        <v/>
      </c>
      <c r="FI75" s="50" t="str">
        <f t="shared" si="113"/>
        <v/>
      </c>
      <c r="FJ75" s="50" t="str">
        <f t="shared" si="113"/>
        <v/>
      </c>
      <c r="FK75" s="50" t="str">
        <f t="shared" si="113"/>
        <v/>
      </c>
      <c r="FL75" s="50" t="str">
        <f t="shared" si="113"/>
        <v/>
      </c>
      <c r="FM75" s="50" t="str">
        <f t="shared" si="113"/>
        <v/>
      </c>
      <c r="FN75" s="50" t="str">
        <f t="shared" si="113"/>
        <v/>
      </c>
      <c r="FO75" s="50" t="str">
        <f t="shared" si="113"/>
        <v/>
      </c>
      <c r="FP75" s="50" t="str">
        <f t="shared" si="113"/>
        <v/>
      </c>
      <c r="FQ75" s="50" t="str">
        <f t="shared" si="113"/>
        <v/>
      </c>
      <c r="FR75" s="50" t="str">
        <f t="shared" si="113"/>
        <v/>
      </c>
      <c r="FS75" s="50" t="str">
        <f t="shared" si="114"/>
        <v/>
      </c>
      <c r="FT75" s="50" t="str">
        <f t="shared" si="114"/>
        <v/>
      </c>
      <c r="FU75" s="50" t="str">
        <f t="shared" si="114"/>
        <v/>
      </c>
      <c r="FV75" s="50" t="str">
        <f t="shared" si="114"/>
        <v/>
      </c>
      <c r="FW75" s="50" t="str">
        <f t="shared" si="114"/>
        <v/>
      </c>
      <c r="FX75" s="50" t="str">
        <f t="shared" si="114"/>
        <v/>
      </c>
      <c r="FY75" s="50" t="str">
        <f t="shared" si="114"/>
        <v/>
      </c>
      <c r="FZ75" s="50" t="str">
        <f t="shared" si="114"/>
        <v/>
      </c>
      <c r="GA75" s="50" t="str">
        <f t="shared" si="114"/>
        <v/>
      </c>
      <c r="GB75" s="50" t="str">
        <f t="shared" si="114"/>
        <v/>
      </c>
      <c r="GC75" s="50" t="str">
        <f t="shared" si="114"/>
        <v/>
      </c>
      <c r="GD75" s="50" t="str">
        <f t="shared" si="114"/>
        <v/>
      </c>
      <c r="GE75" s="50" t="str">
        <f t="shared" si="114"/>
        <v/>
      </c>
      <c r="GF75" s="50" t="str">
        <f t="shared" si="114"/>
        <v/>
      </c>
      <c r="GG75" s="50" t="str">
        <f t="shared" si="114"/>
        <v/>
      </c>
      <c r="GH75" s="50" t="str">
        <f t="shared" si="114"/>
        <v/>
      </c>
      <c r="GI75" s="50" t="str">
        <f t="shared" si="114"/>
        <v/>
      </c>
      <c r="GJ75" s="50" t="str">
        <f t="shared" si="114"/>
        <v/>
      </c>
      <c r="GK75" s="50" t="str">
        <f t="shared" si="114"/>
        <v/>
      </c>
      <c r="GL75" s="50" t="str">
        <f t="shared" si="114"/>
        <v/>
      </c>
      <c r="GM75" s="50" t="str">
        <f t="shared" si="114"/>
        <v/>
      </c>
      <c r="GN75" s="50" t="str">
        <f t="shared" si="114"/>
        <v/>
      </c>
      <c r="GO75" s="50" t="str">
        <f t="shared" si="114"/>
        <v/>
      </c>
      <c r="GP75" s="50" t="str">
        <f t="shared" si="114"/>
        <v/>
      </c>
      <c r="GQ75" s="50" t="str">
        <f t="shared" si="114"/>
        <v/>
      </c>
      <c r="GR75" s="50" t="str">
        <f t="shared" si="114"/>
        <v/>
      </c>
      <c r="GS75" s="50" t="str">
        <f t="shared" si="114"/>
        <v/>
      </c>
      <c r="GT75" s="50" t="str">
        <f t="shared" si="114"/>
        <v/>
      </c>
      <c r="GU75" s="50" t="str">
        <f t="shared" si="114"/>
        <v/>
      </c>
      <c r="GV75" s="50" t="str">
        <f t="shared" si="114"/>
        <v/>
      </c>
      <c r="GW75" s="50" t="str">
        <f t="shared" si="114"/>
        <v/>
      </c>
      <c r="GX75" s="50" t="str">
        <f t="shared" si="114"/>
        <v/>
      </c>
      <c r="GY75" s="50" t="str">
        <f t="shared" si="114"/>
        <v/>
      </c>
      <c r="GZ75" s="50" t="str">
        <f t="shared" si="114"/>
        <v/>
      </c>
      <c r="HA75" s="50" t="str">
        <f t="shared" si="114"/>
        <v/>
      </c>
      <c r="HB75" s="50" t="str">
        <f t="shared" si="114"/>
        <v/>
      </c>
      <c r="HC75" s="50" t="str">
        <f t="shared" si="114"/>
        <v/>
      </c>
      <c r="HD75" s="50" t="str">
        <f t="shared" si="114"/>
        <v/>
      </c>
      <c r="HE75" s="50" t="str">
        <f t="shared" si="114"/>
        <v/>
      </c>
      <c r="HF75" s="50" t="str">
        <f t="shared" si="114"/>
        <v/>
      </c>
      <c r="HG75" s="50" t="str">
        <f t="shared" si="114"/>
        <v/>
      </c>
      <c r="HH75" s="50" t="str">
        <f t="shared" si="114"/>
        <v/>
      </c>
      <c r="HI75" s="50" t="str">
        <f t="shared" si="114"/>
        <v/>
      </c>
      <c r="HJ75" s="50" t="str">
        <f t="shared" si="114"/>
        <v/>
      </c>
      <c r="HK75" s="50" t="str">
        <f t="shared" si="114"/>
        <v/>
      </c>
      <c r="HL75" s="50" t="str">
        <f t="shared" si="114"/>
        <v/>
      </c>
      <c r="HM75" s="50" t="str">
        <f t="shared" si="114"/>
        <v/>
      </c>
      <c r="HN75" s="50" t="str">
        <f t="shared" ref="HN75:HR77" si="116">IF($B75=HN$12,$O75,"")</f>
        <v/>
      </c>
      <c r="HO75" s="50" t="str">
        <f t="shared" si="116"/>
        <v/>
      </c>
      <c r="HP75" s="50" t="str">
        <f t="shared" si="116"/>
        <v/>
      </c>
      <c r="HQ75" s="50" t="str">
        <f t="shared" si="116"/>
        <v/>
      </c>
      <c r="HR75" s="112" t="str">
        <f t="shared" si="116"/>
        <v/>
      </c>
    </row>
    <row r="76" spans="1:226" ht="11.1" customHeight="1" x14ac:dyDescent="0.25">
      <c r="A76" s="26"/>
      <c r="B76" s="27"/>
      <c r="C76" s="28" t="str">
        <f>IF(A76=0,"",VLOOKUP(A76,[2]CO!$A$3:$F$5327,2,0))</f>
        <v/>
      </c>
      <c r="D76" s="29"/>
      <c r="E76" s="29"/>
      <c r="F76" s="101" t="str">
        <f t="shared" si="104"/>
        <v/>
      </c>
      <c r="G76" s="30" t="str">
        <f>IF(A76=0,"",VLOOKUP(A76,[2]CO!$A$3:$F$5327,3,0))</f>
        <v/>
      </c>
      <c r="H76" s="95"/>
      <c r="I76" s="31"/>
      <c r="J76" s="31"/>
      <c r="K76" s="31"/>
      <c r="L76" s="31"/>
      <c r="M76" s="32" t="str">
        <f t="shared" si="105"/>
        <v/>
      </c>
      <c r="N76" s="32" t="str">
        <f>IF(B76=0,"",IF(H76="M",HLOOKUP(B76,$Y$12:$DT$13,2),IF(A76=0,"",VLOOKUP(A76,[2]CO!$A$3:$F$5327,4,0))))</f>
        <v/>
      </c>
      <c r="O76" s="32" t="str">
        <f t="shared" si="7"/>
        <v/>
      </c>
      <c r="P76" s="33"/>
      <c r="Q76" s="34" t="str">
        <f t="shared" si="106"/>
        <v/>
      </c>
      <c r="R76" s="35"/>
      <c r="T76" s="53" t="str">
        <f>IF(A76=0,"",VLOOKUP(A76,[2]CO!$A$3:$F$5318,5,0))</f>
        <v/>
      </c>
      <c r="U76" s="54">
        <f t="shared" si="70"/>
        <v>0</v>
      </c>
      <c r="V76" s="24"/>
      <c r="W76" s="25"/>
      <c r="X76" s="25"/>
      <c r="Y76" s="64" t="str">
        <f t="shared" si="107"/>
        <v/>
      </c>
      <c r="Z76" s="55" t="str">
        <f t="shared" si="107"/>
        <v/>
      </c>
      <c r="AA76" s="55" t="str">
        <f t="shared" si="107"/>
        <v/>
      </c>
      <c r="AB76" s="55" t="str">
        <f t="shared" si="107"/>
        <v/>
      </c>
      <c r="AC76" s="55" t="str">
        <f t="shared" si="107"/>
        <v/>
      </c>
      <c r="AD76" s="55" t="str">
        <f t="shared" si="107"/>
        <v/>
      </c>
      <c r="AE76" s="55" t="str">
        <f t="shared" si="107"/>
        <v/>
      </c>
      <c r="AF76" s="55" t="str">
        <f t="shared" si="107"/>
        <v/>
      </c>
      <c r="AG76" s="55" t="str">
        <f t="shared" si="107"/>
        <v/>
      </c>
      <c r="AH76" s="55" t="str">
        <f t="shared" si="107"/>
        <v/>
      </c>
      <c r="AI76" s="55" t="str">
        <f t="shared" si="107"/>
        <v/>
      </c>
      <c r="AJ76" s="55" t="str">
        <f t="shared" si="107"/>
        <v/>
      </c>
      <c r="AK76" s="55" t="str">
        <f t="shared" si="107"/>
        <v/>
      </c>
      <c r="AL76" s="55" t="str">
        <f t="shared" si="107"/>
        <v/>
      </c>
      <c r="AM76" s="55" t="str">
        <f t="shared" si="107"/>
        <v/>
      </c>
      <c r="AN76" s="55" t="str">
        <f t="shared" si="107"/>
        <v/>
      </c>
      <c r="AO76" s="55" t="str">
        <f t="shared" si="108"/>
        <v/>
      </c>
      <c r="AP76" s="55" t="str">
        <f t="shared" si="108"/>
        <v/>
      </c>
      <c r="AQ76" s="55" t="str">
        <f t="shared" si="108"/>
        <v/>
      </c>
      <c r="AR76" s="55" t="str">
        <f t="shared" si="108"/>
        <v/>
      </c>
      <c r="AS76" s="55" t="str">
        <f t="shared" si="108"/>
        <v/>
      </c>
      <c r="AT76" s="55" t="str">
        <f t="shared" si="108"/>
        <v/>
      </c>
      <c r="AU76" s="55" t="str">
        <f t="shared" si="108"/>
        <v/>
      </c>
      <c r="AV76" s="55" t="str">
        <f t="shared" si="108"/>
        <v/>
      </c>
      <c r="AW76" s="55" t="str">
        <f t="shared" si="108"/>
        <v/>
      </c>
      <c r="AX76" s="55" t="str">
        <f t="shared" si="108"/>
        <v/>
      </c>
      <c r="AY76" s="55" t="str">
        <f t="shared" si="108"/>
        <v/>
      </c>
      <c r="AZ76" s="55" t="str">
        <f t="shared" si="108"/>
        <v/>
      </c>
      <c r="BA76" s="55" t="str">
        <f t="shared" si="108"/>
        <v/>
      </c>
      <c r="BB76" s="55" t="str">
        <f t="shared" si="108"/>
        <v/>
      </c>
      <c r="BC76" s="55" t="str">
        <f t="shared" si="108"/>
        <v/>
      </c>
      <c r="BD76" s="55" t="str">
        <f t="shared" si="108"/>
        <v/>
      </c>
      <c r="BE76" s="55" t="str">
        <f t="shared" si="109"/>
        <v/>
      </c>
      <c r="BF76" s="55" t="str">
        <f t="shared" si="109"/>
        <v/>
      </c>
      <c r="BG76" s="55" t="str">
        <f t="shared" si="109"/>
        <v/>
      </c>
      <c r="BH76" s="55" t="str">
        <f t="shared" si="109"/>
        <v/>
      </c>
      <c r="BI76" s="55" t="str">
        <f t="shared" si="109"/>
        <v/>
      </c>
      <c r="BJ76" s="55" t="str">
        <f t="shared" si="109"/>
        <v/>
      </c>
      <c r="BK76" s="55" t="str">
        <f t="shared" si="109"/>
        <v/>
      </c>
      <c r="BL76" s="55" t="str">
        <f t="shared" si="109"/>
        <v/>
      </c>
      <c r="BM76" s="55" t="str">
        <f t="shared" si="109"/>
        <v/>
      </c>
      <c r="BN76" s="55" t="str">
        <f t="shared" si="109"/>
        <v/>
      </c>
      <c r="BO76" s="55" t="str">
        <f t="shared" si="109"/>
        <v/>
      </c>
      <c r="BP76" s="55" t="str">
        <f t="shared" si="109"/>
        <v/>
      </c>
      <c r="BQ76" s="55" t="str">
        <f t="shared" si="109"/>
        <v/>
      </c>
      <c r="BR76" s="55" t="str">
        <f t="shared" si="109"/>
        <v/>
      </c>
      <c r="BS76" s="55" t="str">
        <f t="shared" si="109"/>
        <v/>
      </c>
      <c r="BT76" s="55" t="str">
        <f t="shared" si="109"/>
        <v/>
      </c>
      <c r="BU76" s="55" t="str">
        <f t="shared" ref="BU76:DP77" si="117">IF($B76=BU$12,$U76,"")</f>
        <v/>
      </c>
      <c r="BV76" s="55" t="str">
        <f t="shared" si="117"/>
        <v/>
      </c>
      <c r="BW76" s="55" t="str">
        <f t="shared" si="117"/>
        <v/>
      </c>
      <c r="BX76" s="55" t="str">
        <f t="shared" si="117"/>
        <v/>
      </c>
      <c r="BY76" s="55" t="str">
        <f t="shared" si="117"/>
        <v/>
      </c>
      <c r="BZ76" s="55" t="str">
        <f t="shared" si="117"/>
        <v/>
      </c>
      <c r="CA76" s="55" t="str">
        <f t="shared" si="117"/>
        <v/>
      </c>
      <c r="CB76" s="55" t="str">
        <f t="shared" si="117"/>
        <v/>
      </c>
      <c r="CC76" s="55" t="str">
        <f t="shared" si="117"/>
        <v/>
      </c>
      <c r="CD76" s="55" t="str">
        <f t="shared" si="117"/>
        <v/>
      </c>
      <c r="CE76" s="55" t="str">
        <f t="shared" si="117"/>
        <v/>
      </c>
      <c r="CF76" s="55" t="str">
        <f t="shared" si="117"/>
        <v/>
      </c>
      <c r="CG76" s="55" t="str">
        <f t="shared" si="117"/>
        <v/>
      </c>
      <c r="CH76" s="55" t="str">
        <f t="shared" si="117"/>
        <v/>
      </c>
      <c r="CI76" s="55" t="str">
        <f t="shared" si="117"/>
        <v/>
      </c>
      <c r="CJ76" s="55" t="str">
        <f t="shared" si="117"/>
        <v/>
      </c>
      <c r="CK76" s="55" t="str">
        <f t="shared" si="117"/>
        <v/>
      </c>
      <c r="CL76" s="55" t="str">
        <f t="shared" si="117"/>
        <v/>
      </c>
      <c r="CM76" s="55" t="str">
        <f t="shared" si="117"/>
        <v/>
      </c>
      <c r="CN76" s="55" t="str">
        <f t="shared" si="117"/>
        <v/>
      </c>
      <c r="CO76" s="55" t="str">
        <f t="shared" si="117"/>
        <v/>
      </c>
      <c r="CP76" s="55" t="str">
        <f t="shared" si="117"/>
        <v/>
      </c>
      <c r="CQ76" s="55" t="str">
        <f t="shared" si="117"/>
        <v/>
      </c>
      <c r="CR76" s="55" t="str">
        <f t="shared" si="117"/>
        <v/>
      </c>
      <c r="CS76" s="55" t="str">
        <f t="shared" si="117"/>
        <v/>
      </c>
      <c r="CT76" s="55" t="str">
        <f t="shared" si="117"/>
        <v/>
      </c>
      <c r="CU76" s="55" t="str">
        <f t="shared" si="117"/>
        <v/>
      </c>
      <c r="CV76" s="55" t="str">
        <f t="shared" si="117"/>
        <v/>
      </c>
      <c r="CW76" s="55" t="str">
        <f t="shared" si="117"/>
        <v/>
      </c>
      <c r="CX76" s="55" t="str">
        <f t="shared" si="117"/>
        <v/>
      </c>
      <c r="CY76" s="55" t="str">
        <f t="shared" si="117"/>
        <v/>
      </c>
      <c r="CZ76" s="55" t="str">
        <f t="shared" si="117"/>
        <v/>
      </c>
      <c r="DA76" s="55" t="str">
        <f t="shared" si="117"/>
        <v/>
      </c>
      <c r="DB76" s="55" t="str">
        <f t="shared" si="117"/>
        <v/>
      </c>
      <c r="DC76" s="55" t="str">
        <f t="shared" si="117"/>
        <v/>
      </c>
      <c r="DD76" s="55" t="str">
        <f t="shared" si="117"/>
        <v/>
      </c>
      <c r="DE76" s="55" t="str">
        <f t="shared" si="117"/>
        <v/>
      </c>
      <c r="DF76" s="55" t="str">
        <f t="shared" si="117"/>
        <v/>
      </c>
      <c r="DG76" s="55" t="str">
        <f t="shared" si="117"/>
        <v/>
      </c>
      <c r="DH76" s="55" t="str">
        <f t="shared" si="117"/>
        <v/>
      </c>
      <c r="DI76" s="55" t="str">
        <f t="shared" si="117"/>
        <v/>
      </c>
      <c r="DJ76" s="55" t="str">
        <f t="shared" si="117"/>
        <v/>
      </c>
      <c r="DK76" s="55" t="str">
        <f t="shared" si="117"/>
        <v/>
      </c>
      <c r="DL76" s="55" t="str">
        <f t="shared" si="117"/>
        <v/>
      </c>
      <c r="DM76" s="55" t="str">
        <f t="shared" si="117"/>
        <v/>
      </c>
      <c r="DN76" s="55" t="str">
        <f t="shared" si="117"/>
        <v/>
      </c>
      <c r="DO76" s="55" t="str">
        <f t="shared" si="117"/>
        <v/>
      </c>
      <c r="DP76" s="55" t="str">
        <f t="shared" si="115"/>
        <v/>
      </c>
      <c r="DQ76" s="55" t="str">
        <f t="shared" si="115"/>
        <v/>
      </c>
      <c r="DR76" s="55" t="str">
        <f t="shared" si="115"/>
        <v/>
      </c>
      <c r="DS76" s="55" t="str">
        <f t="shared" si="115"/>
        <v/>
      </c>
      <c r="DT76" s="106" t="str">
        <f t="shared" si="115"/>
        <v/>
      </c>
      <c r="DU76" s="54"/>
      <c r="DV76" s="25"/>
      <c r="DW76" s="61" t="str">
        <f t="shared" si="111"/>
        <v/>
      </c>
      <c r="DX76" s="50" t="str">
        <f t="shared" si="111"/>
        <v/>
      </c>
      <c r="DY76" s="50" t="str">
        <f t="shared" si="111"/>
        <v/>
      </c>
      <c r="DZ76" s="50" t="str">
        <f t="shared" si="111"/>
        <v/>
      </c>
      <c r="EA76" s="50" t="str">
        <f t="shared" si="111"/>
        <v/>
      </c>
      <c r="EB76" s="50" t="str">
        <f t="shared" si="111"/>
        <v/>
      </c>
      <c r="EC76" s="50" t="str">
        <f t="shared" si="111"/>
        <v/>
      </c>
      <c r="ED76" s="50" t="str">
        <f t="shared" si="111"/>
        <v/>
      </c>
      <c r="EE76" s="50" t="str">
        <f t="shared" si="111"/>
        <v/>
      </c>
      <c r="EF76" s="50" t="str">
        <f t="shared" si="111"/>
        <v/>
      </c>
      <c r="EG76" s="50" t="str">
        <f t="shared" si="111"/>
        <v/>
      </c>
      <c r="EH76" s="50" t="str">
        <f t="shared" si="111"/>
        <v/>
      </c>
      <c r="EI76" s="50" t="str">
        <f t="shared" si="111"/>
        <v/>
      </c>
      <c r="EJ76" s="50" t="str">
        <f t="shared" si="111"/>
        <v/>
      </c>
      <c r="EK76" s="50" t="str">
        <f t="shared" si="111"/>
        <v/>
      </c>
      <c r="EL76" s="50" t="str">
        <f t="shared" si="111"/>
        <v/>
      </c>
      <c r="EM76" s="50" t="str">
        <f t="shared" si="112"/>
        <v/>
      </c>
      <c r="EN76" s="50" t="str">
        <f t="shared" si="112"/>
        <v/>
      </c>
      <c r="EO76" s="50" t="str">
        <f t="shared" si="112"/>
        <v/>
      </c>
      <c r="EP76" s="50" t="str">
        <f t="shared" si="112"/>
        <v/>
      </c>
      <c r="EQ76" s="50" t="str">
        <f t="shared" si="112"/>
        <v/>
      </c>
      <c r="ER76" s="50" t="str">
        <f t="shared" si="112"/>
        <v/>
      </c>
      <c r="ES76" s="50" t="str">
        <f t="shared" si="112"/>
        <v/>
      </c>
      <c r="ET76" s="50" t="str">
        <f t="shared" si="112"/>
        <v/>
      </c>
      <c r="EU76" s="50" t="str">
        <f t="shared" si="112"/>
        <v/>
      </c>
      <c r="EV76" s="50" t="str">
        <f t="shared" si="112"/>
        <v/>
      </c>
      <c r="EW76" s="50" t="str">
        <f t="shared" si="112"/>
        <v/>
      </c>
      <c r="EX76" s="50" t="str">
        <f t="shared" si="112"/>
        <v/>
      </c>
      <c r="EY76" s="50" t="str">
        <f t="shared" si="112"/>
        <v/>
      </c>
      <c r="EZ76" s="50" t="str">
        <f t="shared" si="112"/>
        <v/>
      </c>
      <c r="FA76" s="50" t="str">
        <f t="shared" si="112"/>
        <v/>
      </c>
      <c r="FB76" s="50" t="str">
        <f t="shared" si="112"/>
        <v/>
      </c>
      <c r="FC76" s="50" t="str">
        <f t="shared" si="113"/>
        <v/>
      </c>
      <c r="FD76" s="50" t="str">
        <f t="shared" si="113"/>
        <v/>
      </c>
      <c r="FE76" s="50" t="str">
        <f t="shared" si="113"/>
        <v/>
      </c>
      <c r="FF76" s="50" t="str">
        <f t="shared" si="113"/>
        <v/>
      </c>
      <c r="FG76" s="50" t="str">
        <f t="shared" si="113"/>
        <v/>
      </c>
      <c r="FH76" s="50" t="str">
        <f t="shared" si="113"/>
        <v/>
      </c>
      <c r="FI76" s="50" t="str">
        <f t="shared" si="113"/>
        <v/>
      </c>
      <c r="FJ76" s="50" t="str">
        <f t="shared" si="113"/>
        <v/>
      </c>
      <c r="FK76" s="50" t="str">
        <f t="shared" si="113"/>
        <v/>
      </c>
      <c r="FL76" s="50" t="str">
        <f t="shared" si="113"/>
        <v/>
      </c>
      <c r="FM76" s="50" t="str">
        <f t="shared" si="113"/>
        <v/>
      </c>
      <c r="FN76" s="50" t="str">
        <f t="shared" si="113"/>
        <v/>
      </c>
      <c r="FO76" s="50" t="str">
        <f t="shared" si="113"/>
        <v/>
      </c>
      <c r="FP76" s="50" t="str">
        <f t="shared" si="113"/>
        <v/>
      </c>
      <c r="FQ76" s="50" t="str">
        <f t="shared" si="113"/>
        <v/>
      </c>
      <c r="FR76" s="50" t="str">
        <f t="shared" si="113"/>
        <v/>
      </c>
      <c r="FS76" s="50" t="str">
        <f t="shared" ref="FS76:HN77" si="118">IF($B76=FS$12,$O76,"")</f>
        <v/>
      </c>
      <c r="FT76" s="50" t="str">
        <f t="shared" si="118"/>
        <v/>
      </c>
      <c r="FU76" s="50" t="str">
        <f t="shared" si="118"/>
        <v/>
      </c>
      <c r="FV76" s="50" t="str">
        <f t="shared" si="118"/>
        <v/>
      </c>
      <c r="FW76" s="50" t="str">
        <f t="shared" si="118"/>
        <v/>
      </c>
      <c r="FX76" s="50" t="str">
        <f t="shared" si="118"/>
        <v/>
      </c>
      <c r="FY76" s="50" t="str">
        <f t="shared" si="118"/>
        <v/>
      </c>
      <c r="FZ76" s="50" t="str">
        <f t="shared" si="118"/>
        <v/>
      </c>
      <c r="GA76" s="50" t="str">
        <f t="shared" si="118"/>
        <v/>
      </c>
      <c r="GB76" s="50" t="str">
        <f t="shared" si="118"/>
        <v/>
      </c>
      <c r="GC76" s="50" t="str">
        <f t="shared" si="118"/>
        <v/>
      </c>
      <c r="GD76" s="50" t="str">
        <f t="shared" si="118"/>
        <v/>
      </c>
      <c r="GE76" s="50" t="str">
        <f t="shared" si="118"/>
        <v/>
      </c>
      <c r="GF76" s="50" t="str">
        <f t="shared" si="118"/>
        <v/>
      </c>
      <c r="GG76" s="50" t="str">
        <f t="shared" si="118"/>
        <v/>
      </c>
      <c r="GH76" s="50" t="str">
        <f t="shared" si="118"/>
        <v/>
      </c>
      <c r="GI76" s="50" t="str">
        <f t="shared" si="118"/>
        <v/>
      </c>
      <c r="GJ76" s="50" t="str">
        <f t="shared" si="118"/>
        <v/>
      </c>
      <c r="GK76" s="50" t="str">
        <f t="shared" si="118"/>
        <v/>
      </c>
      <c r="GL76" s="50" t="str">
        <f t="shared" si="118"/>
        <v/>
      </c>
      <c r="GM76" s="50" t="str">
        <f t="shared" si="118"/>
        <v/>
      </c>
      <c r="GN76" s="50" t="str">
        <f t="shared" si="118"/>
        <v/>
      </c>
      <c r="GO76" s="50" t="str">
        <f t="shared" si="118"/>
        <v/>
      </c>
      <c r="GP76" s="50" t="str">
        <f t="shared" si="118"/>
        <v/>
      </c>
      <c r="GQ76" s="50" t="str">
        <f t="shared" si="118"/>
        <v/>
      </c>
      <c r="GR76" s="50" t="str">
        <f t="shared" si="118"/>
        <v/>
      </c>
      <c r="GS76" s="50" t="str">
        <f t="shared" si="118"/>
        <v/>
      </c>
      <c r="GT76" s="50" t="str">
        <f t="shared" si="118"/>
        <v/>
      </c>
      <c r="GU76" s="50" t="str">
        <f t="shared" si="118"/>
        <v/>
      </c>
      <c r="GV76" s="50" t="str">
        <f t="shared" si="118"/>
        <v/>
      </c>
      <c r="GW76" s="50" t="str">
        <f t="shared" si="118"/>
        <v/>
      </c>
      <c r="GX76" s="50" t="str">
        <f t="shared" si="118"/>
        <v/>
      </c>
      <c r="GY76" s="50" t="str">
        <f t="shared" si="118"/>
        <v/>
      </c>
      <c r="GZ76" s="50" t="str">
        <f t="shared" si="118"/>
        <v/>
      </c>
      <c r="HA76" s="50" t="str">
        <f t="shared" si="118"/>
        <v/>
      </c>
      <c r="HB76" s="50" t="str">
        <f t="shared" si="118"/>
        <v/>
      </c>
      <c r="HC76" s="50" t="str">
        <f t="shared" si="118"/>
        <v/>
      </c>
      <c r="HD76" s="50" t="str">
        <f t="shared" si="118"/>
        <v/>
      </c>
      <c r="HE76" s="50" t="str">
        <f t="shared" si="118"/>
        <v/>
      </c>
      <c r="HF76" s="50" t="str">
        <f t="shared" si="118"/>
        <v/>
      </c>
      <c r="HG76" s="50" t="str">
        <f t="shared" si="118"/>
        <v/>
      </c>
      <c r="HH76" s="50" t="str">
        <f t="shared" si="118"/>
        <v/>
      </c>
      <c r="HI76" s="50" t="str">
        <f t="shared" si="118"/>
        <v/>
      </c>
      <c r="HJ76" s="50" t="str">
        <f t="shared" si="118"/>
        <v/>
      </c>
      <c r="HK76" s="50" t="str">
        <f t="shared" si="118"/>
        <v/>
      </c>
      <c r="HL76" s="50" t="str">
        <f t="shared" si="118"/>
        <v/>
      </c>
      <c r="HM76" s="50" t="str">
        <f t="shared" si="118"/>
        <v/>
      </c>
      <c r="HN76" s="50" t="str">
        <f t="shared" si="116"/>
        <v/>
      </c>
      <c r="HO76" s="50" t="str">
        <f t="shared" si="116"/>
        <v/>
      </c>
      <c r="HP76" s="50" t="str">
        <f t="shared" si="116"/>
        <v/>
      </c>
      <c r="HQ76" s="50" t="str">
        <f t="shared" si="116"/>
        <v/>
      </c>
      <c r="HR76" s="112" t="str">
        <f t="shared" si="116"/>
        <v/>
      </c>
    </row>
    <row r="77" spans="1:226" ht="11.1" customHeight="1" thickBot="1" x14ac:dyDescent="0.3">
      <c r="A77" s="36"/>
      <c r="B77" s="37"/>
      <c r="C77" s="38" t="str">
        <f>IF(A77=0,"",VLOOKUP(A77,[2]CO!$A$3:$F$5327,2,0))</f>
        <v/>
      </c>
      <c r="D77" s="39"/>
      <c r="E77" s="39"/>
      <c r="F77" s="103" t="str">
        <f t="shared" si="104"/>
        <v/>
      </c>
      <c r="G77" s="40" t="str">
        <f>IF(A77=0,"",VLOOKUP(A77,[2]CO!$A$3:$F$5327,3,0))</f>
        <v/>
      </c>
      <c r="H77" s="97"/>
      <c r="I77" s="41"/>
      <c r="J77" s="41"/>
      <c r="K77" s="41"/>
      <c r="L77" s="41"/>
      <c r="M77" s="42" t="str">
        <f>IF(L77=0,"",PRODUCT(I77:L77))</f>
        <v/>
      </c>
      <c r="N77" s="42" t="str">
        <f>IF(B77=0,"",IF(H77="M",HLOOKUP(B77,$Y$12:$DT$13,2),IF(A77=0,"",VLOOKUP(A77,[2]CO!$A$3:$F$5327,4,0))))</f>
        <v/>
      </c>
      <c r="O77" s="42" t="str">
        <f t="shared" si="7"/>
        <v/>
      </c>
      <c r="P77" s="37"/>
      <c r="Q77" s="43" t="str">
        <f t="shared" si="106"/>
        <v/>
      </c>
      <c r="R77" s="44"/>
      <c r="T77" s="53" t="str">
        <f>IF(A77=0,"",VLOOKUP(A77,[2]CO!$A$3:$F$5318,5,0))</f>
        <v/>
      </c>
      <c r="U77" s="54">
        <f t="shared" si="70"/>
        <v>0</v>
      </c>
      <c r="V77" s="24"/>
      <c r="W77" s="24"/>
      <c r="X77" s="24"/>
      <c r="Y77" s="76" t="str">
        <f t="shared" si="107"/>
        <v/>
      </c>
      <c r="Z77" s="77" t="str">
        <f t="shared" si="107"/>
        <v/>
      </c>
      <c r="AA77" s="77" t="str">
        <f t="shared" si="107"/>
        <v/>
      </c>
      <c r="AB77" s="77" t="str">
        <f t="shared" si="107"/>
        <v/>
      </c>
      <c r="AC77" s="77" t="str">
        <f t="shared" si="107"/>
        <v/>
      </c>
      <c r="AD77" s="77" t="str">
        <f t="shared" si="107"/>
        <v/>
      </c>
      <c r="AE77" s="77" t="str">
        <f t="shared" si="107"/>
        <v/>
      </c>
      <c r="AF77" s="77" t="str">
        <f t="shared" si="107"/>
        <v/>
      </c>
      <c r="AG77" s="77" t="str">
        <f t="shared" si="107"/>
        <v/>
      </c>
      <c r="AH77" s="77" t="str">
        <f t="shared" si="107"/>
        <v/>
      </c>
      <c r="AI77" s="77" t="str">
        <f t="shared" si="107"/>
        <v/>
      </c>
      <c r="AJ77" s="77" t="str">
        <f t="shared" si="107"/>
        <v/>
      </c>
      <c r="AK77" s="77" t="str">
        <f t="shared" si="107"/>
        <v/>
      </c>
      <c r="AL77" s="77" t="str">
        <f t="shared" si="107"/>
        <v/>
      </c>
      <c r="AM77" s="77" t="str">
        <f t="shared" si="107"/>
        <v/>
      </c>
      <c r="AN77" s="77" t="str">
        <f t="shared" si="107"/>
        <v/>
      </c>
      <c r="AO77" s="77" t="str">
        <f t="shared" si="108"/>
        <v/>
      </c>
      <c r="AP77" s="77" t="str">
        <f t="shared" si="108"/>
        <v/>
      </c>
      <c r="AQ77" s="77" t="str">
        <f t="shared" si="108"/>
        <v/>
      </c>
      <c r="AR77" s="77" t="str">
        <f t="shared" si="108"/>
        <v/>
      </c>
      <c r="AS77" s="77" t="str">
        <f t="shared" si="108"/>
        <v/>
      </c>
      <c r="AT77" s="77" t="str">
        <f t="shared" si="108"/>
        <v/>
      </c>
      <c r="AU77" s="77" t="str">
        <f t="shared" si="108"/>
        <v/>
      </c>
      <c r="AV77" s="77" t="str">
        <f t="shared" si="108"/>
        <v/>
      </c>
      <c r="AW77" s="77" t="str">
        <f t="shared" si="108"/>
        <v/>
      </c>
      <c r="AX77" s="77" t="str">
        <f t="shared" si="108"/>
        <v/>
      </c>
      <c r="AY77" s="77" t="str">
        <f t="shared" si="108"/>
        <v/>
      </c>
      <c r="AZ77" s="77" t="str">
        <f t="shared" si="108"/>
        <v/>
      </c>
      <c r="BA77" s="77" t="str">
        <f t="shared" si="108"/>
        <v/>
      </c>
      <c r="BB77" s="77" t="str">
        <f t="shared" si="108"/>
        <v/>
      </c>
      <c r="BC77" s="77" t="str">
        <f t="shared" si="108"/>
        <v/>
      </c>
      <c r="BD77" s="77" t="str">
        <f t="shared" si="108"/>
        <v/>
      </c>
      <c r="BE77" s="77" t="str">
        <f t="shared" si="109"/>
        <v/>
      </c>
      <c r="BF77" s="77" t="str">
        <f t="shared" si="109"/>
        <v/>
      </c>
      <c r="BG77" s="77" t="str">
        <f t="shared" si="109"/>
        <v/>
      </c>
      <c r="BH77" s="77" t="str">
        <f t="shared" si="109"/>
        <v/>
      </c>
      <c r="BI77" s="77" t="str">
        <f t="shared" si="109"/>
        <v/>
      </c>
      <c r="BJ77" s="77" t="str">
        <f t="shared" si="109"/>
        <v/>
      </c>
      <c r="BK77" s="77" t="str">
        <f t="shared" si="109"/>
        <v/>
      </c>
      <c r="BL77" s="77" t="str">
        <f t="shared" si="109"/>
        <v/>
      </c>
      <c r="BM77" s="77" t="str">
        <f t="shared" si="109"/>
        <v/>
      </c>
      <c r="BN77" s="77" t="str">
        <f t="shared" si="109"/>
        <v/>
      </c>
      <c r="BO77" s="77" t="str">
        <f t="shared" si="109"/>
        <v/>
      </c>
      <c r="BP77" s="77" t="str">
        <f t="shared" si="109"/>
        <v/>
      </c>
      <c r="BQ77" s="77" t="str">
        <f t="shared" si="109"/>
        <v/>
      </c>
      <c r="BR77" s="77" t="str">
        <f t="shared" si="109"/>
        <v/>
      </c>
      <c r="BS77" s="77" t="str">
        <f t="shared" si="109"/>
        <v/>
      </c>
      <c r="BT77" s="77" t="str">
        <f t="shared" si="109"/>
        <v/>
      </c>
      <c r="BU77" s="77" t="str">
        <f t="shared" si="117"/>
        <v/>
      </c>
      <c r="BV77" s="77" t="str">
        <f t="shared" si="117"/>
        <v/>
      </c>
      <c r="BW77" s="77" t="str">
        <f t="shared" si="117"/>
        <v/>
      </c>
      <c r="BX77" s="77" t="str">
        <f t="shared" si="117"/>
        <v/>
      </c>
      <c r="BY77" s="77" t="str">
        <f t="shared" si="117"/>
        <v/>
      </c>
      <c r="BZ77" s="77" t="str">
        <f t="shared" si="117"/>
        <v/>
      </c>
      <c r="CA77" s="77" t="str">
        <f t="shared" si="117"/>
        <v/>
      </c>
      <c r="CB77" s="77" t="str">
        <f t="shared" si="117"/>
        <v/>
      </c>
      <c r="CC77" s="77" t="str">
        <f t="shared" si="117"/>
        <v/>
      </c>
      <c r="CD77" s="77" t="str">
        <f t="shared" si="117"/>
        <v/>
      </c>
      <c r="CE77" s="77" t="str">
        <f t="shared" si="117"/>
        <v/>
      </c>
      <c r="CF77" s="77" t="str">
        <f t="shared" si="117"/>
        <v/>
      </c>
      <c r="CG77" s="77" t="str">
        <f t="shared" si="117"/>
        <v/>
      </c>
      <c r="CH77" s="77" t="str">
        <f t="shared" si="117"/>
        <v/>
      </c>
      <c r="CI77" s="77" t="str">
        <f t="shared" si="117"/>
        <v/>
      </c>
      <c r="CJ77" s="77" t="str">
        <f t="shared" si="117"/>
        <v/>
      </c>
      <c r="CK77" s="77" t="str">
        <f t="shared" si="117"/>
        <v/>
      </c>
      <c r="CL77" s="77" t="str">
        <f t="shared" si="117"/>
        <v/>
      </c>
      <c r="CM77" s="77" t="str">
        <f t="shared" si="117"/>
        <v/>
      </c>
      <c r="CN77" s="77" t="str">
        <f t="shared" si="117"/>
        <v/>
      </c>
      <c r="CO77" s="77" t="str">
        <f t="shared" si="117"/>
        <v/>
      </c>
      <c r="CP77" s="77" t="str">
        <f t="shared" si="117"/>
        <v/>
      </c>
      <c r="CQ77" s="77" t="str">
        <f t="shared" si="117"/>
        <v/>
      </c>
      <c r="CR77" s="77" t="str">
        <f t="shared" si="117"/>
        <v/>
      </c>
      <c r="CS77" s="77" t="str">
        <f t="shared" si="117"/>
        <v/>
      </c>
      <c r="CT77" s="77" t="str">
        <f t="shared" si="117"/>
        <v/>
      </c>
      <c r="CU77" s="77" t="str">
        <f t="shared" si="117"/>
        <v/>
      </c>
      <c r="CV77" s="77" t="str">
        <f t="shared" si="117"/>
        <v/>
      </c>
      <c r="CW77" s="77" t="str">
        <f t="shared" si="117"/>
        <v/>
      </c>
      <c r="CX77" s="77" t="str">
        <f t="shared" si="117"/>
        <v/>
      </c>
      <c r="CY77" s="77" t="str">
        <f t="shared" si="117"/>
        <v/>
      </c>
      <c r="CZ77" s="77" t="str">
        <f t="shared" si="117"/>
        <v/>
      </c>
      <c r="DA77" s="77" t="str">
        <f t="shared" si="117"/>
        <v/>
      </c>
      <c r="DB77" s="77" t="str">
        <f t="shared" si="117"/>
        <v/>
      </c>
      <c r="DC77" s="77" t="str">
        <f t="shared" si="117"/>
        <v/>
      </c>
      <c r="DD77" s="77" t="str">
        <f t="shared" si="117"/>
        <v/>
      </c>
      <c r="DE77" s="77" t="str">
        <f t="shared" si="117"/>
        <v/>
      </c>
      <c r="DF77" s="77" t="str">
        <f t="shared" si="117"/>
        <v/>
      </c>
      <c r="DG77" s="77" t="str">
        <f t="shared" si="117"/>
        <v/>
      </c>
      <c r="DH77" s="77" t="str">
        <f t="shared" si="117"/>
        <v/>
      </c>
      <c r="DI77" s="77" t="str">
        <f t="shared" si="117"/>
        <v/>
      </c>
      <c r="DJ77" s="77" t="str">
        <f t="shared" si="117"/>
        <v/>
      </c>
      <c r="DK77" s="77" t="str">
        <f t="shared" si="117"/>
        <v/>
      </c>
      <c r="DL77" s="77" t="str">
        <f t="shared" si="117"/>
        <v/>
      </c>
      <c r="DM77" s="77" t="str">
        <f t="shared" si="117"/>
        <v/>
      </c>
      <c r="DN77" s="77" t="str">
        <f t="shared" si="117"/>
        <v/>
      </c>
      <c r="DO77" s="77" t="str">
        <f t="shared" si="117"/>
        <v/>
      </c>
      <c r="DP77" s="77" t="str">
        <f t="shared" si="117"/>
        <v/>
      </c>
      <c r="DQ77" s="77" t="str">
        <f t="shared" si="115"/>
        <v/>
      </c>
      <c r="DR77" s="77" t="str">
        <f t="shared" si="115"/>
        <v/>
      </c>
      <c r="DS77" s="77" t="str">
        <f t="shared" si="115"/>
        <v/>
      </c>
      <c r="DT77" s="107" t="str">
        <f t="shared" si="115"/>
        <v/>
      </c>
      <c r="DU77" s="54"/>
      <c r="DV77" s="21"/>
      <c r="DW77" s="78" t="str">
        <f t="shared" si="111"/>
        <v/>
      </c>
      <c r="DX77" s="79" t="str">
        <f t="shared" si="111"/>
        <v/>
      </c>
      <c r="DY77" s="79" t="str">
        <f t="shared" si="111"/>
        <v/>
      </c>
      <c r="DZ77" s="79" t="str">
        <f t="shared" si="111"/>
        <v/>
      </c>
      <c r="EA77" s="79" t="str">
        <f t="shared" si="111"/>
        <v/>
      </c>
      <c r="EB77" s="79" t="str">
        <f t="shared" si="111"/>
        <v/>
      </c>
      <c r="EC77" s="79" t="str">
        <f t="shared" si="111"/>
        <v/>
      </c>
      <c r="ED77" s="79" t="str">
        <f t="shared" si="111"/>
        <v/>
      </c>
      <c r="EE77" s="79" t="str">
        <f t="shared" si="111"/>
        <v/>
      </c>
      <c r="EF77" s="79" t="str">
        <f t="shared" si="111"/>
        <v/>
      </c>
      <c r="EG77" s="79" t="str">
        <f t="shared" si="111"/>
        <v/>
      </c>
      <c r="EH77" s="79" t="str">
        <f t="shared" si="111"/>
        <v/>
      </c>
      <c r="EI77" s="79" t="str">
        <f t="shared" si="111"/>
        <v/>
      </c>
      <c r="EJ77" s="79" t="str">
        <f t="shared" si="111"/>
        <v/>
      </c>
      <c r="EK77" s="79" t="str">
        <f t="shared" si="111"/>
        <v/>
      </c>
      <c r="EL77" s="79" t="str">
        <f t="shared" si="111"/>
        <v/>
      </c>
      <c r="EM77" s="79" t="str">
        <f t="shared" si="112"/>
        <v/>
      </c>
      <c r="EN77" s="79" t="str">
        <f t="shared" si="112"/>
        <v/>
      </c>
      <c r="EO77" s="79" t="str">
        <f t="shared" si="112"/>
        <v/>
      </c>
      <c r="EP77" s="79" t="str">
        <f t="shared" si="112"/>
        <v/>
      </c>
      <c r="EQ77" s="79" t="str">
        <f t="shared" si="112"/>
        <v/>
      </c>
      <c r="ER77" s="79" t="str">
        <f t="shared" si="112"/>
        <v/>
      </c>
      <c r="ES77" s="79" t="str">
        <f t="shared" si="112"/>
        <v/>
      </c>
      <c r="ET77" s="79" t="str">
        <f t="shared" si="112"/>
        <v/>
      </c>
      <c r="EU77" s="79" t="str">
        <f t="shared" si="112"/>
        <v/>
      </c>
      <c r="EV77" s="79" t="str">
        <f t="shared" si="112"/>
        <v/>
      </c>
      <c r="EW77" s="79" t="str">
        <f t="shared" si="112"/>
        <v/>
      </c>
      <c r="EX77" s="79" t="str">
        <f t="shared" si="112"/>
        <v/>
      </c>
      <c r="EY77" s="79" t="str">
        <f t="shared" si="112"/>
        <v/>
      </c>
      <c r="EZ77" s="79" t="str">
        <f t="shared" si="112"/>
        <v/>
      </c>
      <c r="FA77" s="79" t="str">
        <f t="shared" si="112"/>
        <v/>
      </c>
      <c r="FB77" s="79" t="str">
        <f t="shared" si="112"/>
        <v/>
      </c>
      <c r="FC77" s="79" t="str">
        <f t="shared" si="113"/>
        <v/>
      </c>
      <c r="FD77" s="79" t="str">
        <f t="shared" si="113"/>
        <v/>
      </c>
      <c r="FE77" s="79" t="str">
        <f t="shared" si="113"/>
        <v/>
      </c>
      <c r="FF77" s="79" t="str">
        <f t="shared" si="113"/>
        <v/>
      </c>
      <c r="FG77" s="79" t="str">
        <f t="shared" si="113"/>
        <v/>
      </c>
      <c r="FH77" s="79" t="str">
        <f t="shared" si="113"/>
        <v/>
      </c>
      <c r="FI77" s="79" t="str">
        <f t="shared" si="113"/>
        <v/>
      </c>
      <c r="FJ77" s="79" t="str">
        <f t="shared" si="113"/>
        <v/>
      </c>
      <c r="FK77" s="79" t="str">
        <f t="shared" si="113"/>
        <v/>
      </c>
      <c r="FL77" s="79" t="str">
        <f t="shared" si="113"/>
        <v/>
      </c>
      <c r="FM77" s="79" t="str">
        <f t="shared" si="113"/>
        <v/>
      </c>
      <c r="FN77" s="79" t="str">
        <f t="shared" si="113"/>
        <v/>
      </c>
      <c r="FO77" s="79" t="str">
        <f t="shared" si="113"/>
        <v/>
      </c>
      <c r="FP77" s="79" t="str">
        <f t="shared" si="113"/>
        <v/>
      </c>
      <c r="FQ77" s="79" t="str">
        <f t="shared" si="113"/>
        <v/>
      </c>
      <c r="FR77" s="79" t="str">
        <f t="shared" si="113"/>
        <v/>
      </c>
      <c r="FS77" s="79" t="str">
        <f t="shared" si="118"/>
        <v/>
      </c>
      <c r="FT77" s="79" t="str">
        <f t="shared" si="118"/>
        <v/>
      </c>
      <c r="FU77" s="79" t="str">
        <f t="shared" si="118"/>
        <v/>
      </c>
      <c r="FV77" s="79" t="str">
        <f t="shared" si="118"/>
        <v/>
      </c>
      <c r="FW77" s="79" t="str">
        <f t="shared" si="118"/>
        <v/>
      </c>
      <c r="FX77" s="79" t="str">
        <f t="shared" si="118"/>
        <v/>
      </c>
      <c r="FY77" s="79" t="str">
        <f t="shared" si="118"/>
        <v/>
      </c>
      <c r="FZ77" s="79" t="str">
        <f t="shared" si="118"/>
        <v/>
      </c>
      <c r="GA77" s="79" t="str">
        <f t="shared" si="118"/>
        <v/>
      </c>
      <c r="GB77" s="79" t="str">
        <f t="shared" si="118"/>
        <v/>
      </c>
      <c r="GC77" s="79" t="str">
        <f t="shared" si="118"/>
        <v/>
      </c>
      <c r="GD77" s="79" t="str">
        <f t="shared" si="118"/>
        <v/>
      </c>
      <c r="GE77" s="79" t="str">
        <f t="shared" si="118"/>
        <v/>
      </c>
      <c r="GF77" s="79" t="str">
        <f t="shared" si="118"/>
        <v/>
      </c>
      <c r="GG77" s="79" t="str">
        <f t="shared" si="118"/>
        <v/>
      </c>
      <c r="GH77" s="79" t="str">
        <f t="shared" si="118"/>
        <v/>
      </c>
      <c r="GI77" s="79" t="str">
        <f t="shared" si="118"/>
        <v/>
      </c>
      <c r="GJ77" s="79" t="str">
        <f t="shared" si="118"/>
        <v/>
      </c>
      <c r="GK77" s="79" t="str">
        <f t="shared" si="118"/>
        <v/>
      </c>
      <c r="GL77" s="79" t="str">
        <f t="shared" si="118"/>
        <v/>
      </c>
      <c r="GM77" s="79" t="str">
        <f t="shared" si="118"/>
        <v/>
      </c>
      <c r="GN77" s="79" t="str">
        <f t="shared" si="118"/>
        <v/>
      </c>
      <c r="GO77" s="79" t="str">
        <f t="shared" si="118"/>
        <v/>
      </c>
      <c r="GP77" s="79" t="str">
        <f t="shared" si="118"/>
        <v/>
      </c>
      <c r="GQ77" s="79" t="str">
        <f t="shared" si="118"/>
        <v/>
      </c>
      <c r="GR77" s="79" t="str">
        <f t="shared" si="118"/>
        <v/>
      </c>
      <c r="GS77" s="79" t="str">
        <f t="shared" si="118"/>
        <v/>
      </c>
      <c r="GT77" s="79" t="str">
        <f t="shared" si="118"/>
        <v/>
      </c>
      <c r="GU77" s="79" t="str">
        <f t="shared" si="118"/>
        <v/>
      </c>
      <c r="GV77" s="79" t="str">
        <f t="shared" si="118"/>
        <v/>
      </c>
      <c r="GW77" s="79" t="str">
        <f t="shared" si="118"/>
        <v/>
      </c>
      <c r="GX77" s="79" t="str">
        <f t="shared" si="118"/>
        <v/>
      </c>
      <c r="GY77" s="79" t="str">
        <f t="shared" si="118"/>
        <v/>
      </c>
      <c r="GZ77" s="79" t="str">
        <f t="shared" si="118"/>
        <v/>
      </c>
      <c r="HA77" s="79" t="str">
        <f t="shared" si="118"/>
        <v/>
      </c>
      <c r="HB77" s="79" t="str">
        <f t="shared" si="118"/>
        <v/>
      </c>
      <c r="HC77" s="79" t="str">
        <f t="shared" si="118"/>
        <v/>
      </c>
      <c r="HD77" s="79" t="str">
        <f t="shared" si="118"/>
        <v/>
      </c>
      <c r="HE77" s="79" t="str">
        <f t="shared" si="118"/>
        <v/>
      </c>
      <c r="HF77" s="79" t="str">
        <f t="shared" si="118"/>
        <v/>
      </c>
      <c r="HG77" s="79" t="str">
        <f t="shared" si="118"/>
        <v/>
      </c>
      <c r="HH77" s="79" t="str">
        <f t="shared" si="118"/>
        <v/>
      </c>
      <c r="HI77" s="79" t="str">
        <f t="shared" si="118"/>
        <v/>
      </c>
      <c r="HJ77" s="79" t="str">
        <f t="shared" si="118"/>
        <v/>
      </c>
      <c r="HK77" s="79" t="str">
        <f t="shared" si="118"/>
        <v/>
      </c>
      <c r="HL77" s="79" t="str">
        <f t="shared" si="118"/>
        <v/>
      </c>
      <c r="HM77" s="79" t="str">
        <f t="shared" si="118"/>
        <v/>
      </c>
      <c r="HN77" s="79" t="str">
        <f t="shared" si="118"/>
        <v/>
      </c>
      <c r="HO77" s="79" t="str">
        <f t="shared" si="116"/>
        <v/>
      </c>
      <c r="HP77" s="79" t="str">
        <f t="shared" si="116"/>
        <v/>
      </c>
      <c r="HQ77" s="79" t="str">
        <f t="shared" si="116"/>
        <v/>
      </c>
      <c r="HR77" s="113" t="str">
        <f t="shared" si="116"/>
        <v/>
      </c>
    </row>
    <row r="78" spans="1:226" ht="10.199999999999999" customHeight="1" x14ac:dyDescent="0.25">
      <c r="A78" s="45"/>
      <c r="B78" s="23"/>
      <c r="C78" s="23" t="str">
        <f>IF(A78=0,"",VLOOKUP(A78,#REF!,2,0))</f>
        <v/>
      </c>
      <c r="D78" s="23"/>
      <c r="E78" s="23"/>
      <c r="F78" s="23"/>
      <c r="G78" s="23"/>
      <c r="H78" s="23"/>
      <c r="I78" s="46"/>
      <c r="J78" s="46"/>
      <c r="K78" s="46"/>
      <c r="L78" s="46"/>
      <c r="M78" s="47"/>
      <c r="N78" s="47"/>
      <c r="O78" s="47"/>
      <c r="P78" s="23"/>
      <c r="Q78" s="23"/>
      <c r="R78" s="23"/>
      <c r="T78" s="21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1"/>
      <c r="DP78" s="21"/>
      <c r="DQ78" s="21"/>
      <c r="DR78" s="21"/>
      <c r="DS78" s="21"/>
      <c r="DT78" s="21"/>
      <c r="DU78" s="21"/>
      <c r="DV78" s="21"/>
      <c r="DW78" s="21"/>
      <c r="DX78" s="21"/>
      <c r="DY78" s="21"/>
      <c r="DZ78" s="21"/>
      <c r="EA78" s="21"/>
      <c r="EB78" s="21"/>
      <c r="EC78" s="21"/>
      <c r="ED78" s="21"/>
      <c r="EE78" s="21"/>
      <c r="EF78" s="21"/>
      <c r="EG78" s="21"/>
      <c r="EH78" s="21"/>
      <c r="EI78" s="21"/>
      <c r="EJ78" s="21"/>
      <c r="EK78" s="21"/>
      <c r="EL78" s="21"/>
      <c r="EM78" s="21"/>
      <c r="EN78" s="21"/>
      <c r="EO78" s="21"/>
      <c r="EP78" s="21"/>
      <c r="EQ78" s="21"/>
      <c r="ER78" s="21"/>
      <c r="ES78" s="21"/>
      <c r="ET78" s="22"/>
      <c r="EU78" s="22"/>
      <c r="EV78" s="22"/>
    </row>
    <row r="79" spans="1:226" x14ac:dyDescent="0.25">
      <c r="A79" s="45"/>
      <c r="B79" s="23"/>
      <c r="C79" s="23"/>
      <c r="D79" s="23"/>
      <c r="E79" s="23"/>
      <c r="F79" s="23"/>
      <c r="G79" s="23"/>
      <c r="H79" s="23"/>
      <c r="I79" s="46"/>
      <c r="J79" s="46"/>
      <c r="K79" s="46"/>
      <c r="L79" s="46"/>
      <c r="M79" s="47"/>
      <c r="N79" s="47"/>
      <c r="O79" s="48" t="s">
        <v>17</v>
      </c>
      <c r="P79" s="49"/>
      <c r="Q79" s="104">
        <f>SUM(Q71:Q77)</f>
        <v>2178.6401999999998</v>
      </c>
      <c r="R79" s="104">
        <f>SUM(R71:R77)</f>
        <v>0</v>
      </c>
      <c r="T79" s="21"/>
      <c r="U79" s="24"/>
      <c r="V79" s="24"/>
      <c r="W79" s="24"/>
      <c r="X79" s="24"/>
      <c r="EV79" s="22"/>
    </row>
    <row r="80" spans="1:226" x14ac:dyDescent="0.25">
      <c r="A80" s="45"/>
      <c r="B80" s="23"/>
      <c r="C80" s="23"/>
      <c r="D80" s="23"/>
      <c r="E80" s="23"/>
      <c r="F80" s="23"/>
      <c r="G80" s="23"/>
      <c r="H80" s="23"/>
      <c r="I80" s="46"/>
      <c r="J80" s="46"/>
      <c r="K80" s="46"/>
      <c r="L80" s="46"/>
      <c r="M80" s="47"/>
      <c r="N80" s="47"/>
      <c r="O80" s="47"/>
      <c r="P80" s="23"/>
      <c r="Q80" s="23"/>
      <c r="R80" s="23"/>
      <c r="T80" s="21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1"/>
      <c r="CY80" s="21"/>
      <c r="CZ80" s="21"/>
      <c r="DA80" s="21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1"/>
      <c r="DP80" s="21"/>
      <c r="DQ80" s="21"/>
      <c r="DR80" s="21"/>
      <c r="DS80" s="21"/>
      <c r="DT80" s="21"/>
      <c r="DU80" s="21"/>
      <c r="DV80" s="21"/>
      <c r="DW80" s="21"/>
      <c r="DX80" s="21"/>
      <c r="DY80" s="21"/>
      <c r="DZ80" s="21"/>
      <c r="EA80" s="21"/>
      <c r="EB80" s="21"/>
      <c r="EC80" s="21"/>
      <c r="ED80" s="21"/>
      <c r="EE80" s="21"/>
      <c r="EF80" s="21"/>
      <c r="EG80" s="21"/>
      <c r="EH80" s="21"/>
      <c r="EI80" s="21"/>
      <c r="EJ80" s="21"/>
      <c r="EK80" s="21"/>
      <c r="EL80" s="21"/>
      <c r="EM80" s="21"/>
      <c r="EN80" s="21"/>
      <c r="EO80" s="21"/>
      <c r="EP80" s="21"/>
      <c r="EQ80" s="21"/>
      <c r="ER80" s="21"/>
      <c r="ES80" s="21"/>
      <c r="ET80" s="22"/>
      <c r="EU80" s="22"/>
      <c r="EV80" s="22"/>
    </row>
    <row r="81" spans="1:152" x14ac:dyDescent="0.25">
      <c r="A81" s="45"/>
      <c r="B81" s="23"/>
      <c r="C81" s="23"/>
      <c r="D81" s="23"/>
      <c r="E81" s="23"/>
      <c r="F81" s="23"/>
      <c r="G81" s="23"/>
      <c r="H81" s="23"/>
      <c r="I81" s="46"/>
      <c r="J81" s="46"/>
      <c r="K81" s="46"/>
      <c r="L81" s="46"/>
      <c r="M81" s="47"/>
      <c r="N81" s="47"/>
      <c r="O81" s="48" t="s">
        <v>18</v>
      </c>
      <c r="P81" s="23"/>
      <c r="Q81" s="104">
        <f>Q50+Q67+Q79</f>
        <v>42000.618600000002</v>
      </c>
      <c r="R81" s="104"/>
      <c r="T81" s="21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2"/>
      <c r="EU81" s="22"/>
      <c r="EV81" s="22"/>
    </row>
    <row r="82" spans="1:152" ht="10.199999999999999" customHeight="1" x14ac:dyDescent="0.25"/>
    <row r="83" spans="1:152" ht="10.199999999999999" customHeight="1" x14ac:dyDescent="0.25"/>
    <row r="84" spans="1:152" ht="10.199999999999999" customHeight="1" x14ac:dyDescent="0.25"/>
    <row r="1047614" spans="9:9" x14ac:dyDescent="0.25">
      <c r="I1047614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2026-06-23T19:22:47Z</dcterms:modified>
</cp:coreProperties>
</file>