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29C20194-74FB-410A-AB24-C0AF359AA56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'026'!$A$1:$R$47</definedName>
    <definedName name="Print_Titles" localSheetId="0">'026'!$1:$13</definedName>
    <definedName name="Print_Titles_1" localSheetId="0">'026'!$1:$13</definedName>
    <definedName name="Print_Titles_2" localSheetId="0">'026'!$1:$13</definedName>
    <definedName name="Print_Titles_3" localSheetId="0">'026'!$1:$13</definedName>
    <definedName name="Print_Titles1" localSheetId="0">'026'!$1:$13</definedName>
    <definedName name="_xlnm.Print_Titles" localSheetId="0">'026'!$1:$13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29" i="491" l="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W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Y29" i="491"/>
  <c r="T29" i="491"/>
  <c r="U29" i="491" s="1"/>
  <c r="R29" i="491"/>
  <c r="Q29" i="491"/>
  <c r="O29" i="491"/>
  <c r="N29" i="491"/>
  <c r="M29" i="491"/>
  <c r="G29" i="491"/>
  <c r="C29" i="491"/>
  <c r="HR28" i="49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D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Y28" i="491"/>
  <c r="DX28" i="491"/>
  <c r="DW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F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AA28" i="491"/>
  <c r="Z28" i="491"/>
  <c r="Y28" i="491"/>
  <c r="T28" i="491"/>
  <c r="U28" i="491" s="1"/>
  <c r="R28" i="491"/>
  <c r="Q28" i="491"/>
  <c r="O28" i="491"/>
  <c r="N28" i="491"/>
  <c r="M28" i="491"/>
  <c r="G28" i="491"/>
  <c r="C28" i="491"/>
  <c r="HR27" i="491"/>
  <c r="HQ27" i="491"/>
  <c r="HP27" i="491"/>
  <c r="HO27" i="491"/>
  <c r="HN27" i="491"/>
  <c r="HM27" i="491"/>
  <c r="HL27" i="491"/>
  <c r="HK27" i="491"/>
  <c r="HJ27" i="491"/>
  <c r="HI27" i="491"/>
  <c r="HH27" i="491"/>
  <c r="HG27" i="491"/>
  <c r="HF27" i="491"/>
  <c r="HE27" i="491"/>
  <c r="HD27" i="491"/>
  <c r="HC27" i="491"/>
  <c r="HB27" i="491"/>
  <c r="HA27" i="491"/>
  <c r="GZ27" i="491"/>
  <c r="GY27" i="491"/>
  <c r="GX27" i="491"/>
  <c r="GW27" i="491"/>
  <c r="GV27" i="491"/>
  <c r="GU27" i="491"/>
  <c r="GT27" i="491"/>
  <c r="GS27" i="491"/>
  <c r="GR27" i="491"/>
  <c r="GQ27" i="491"/>
  <c r="GP27" i="491"/>
  <c r="GO27" i="491"/>
  <c r="GN27" i="491"/>
  <c r="GM27" i="491"/>
  <c r="GL27" i="491"/>
  <c r="GK27" i="491"/>
  <c r="GJ27" i="491"/>
  <c r="GI27" i="491"/>
  <c r="GH27" i="491"/>
  <c r="GG27" i="491"/>
  <c r="GF27" i="491"/>
  <c r="GE27" i="491"/>
  <c r="GD27" i="491"/>
  <c r="GC27" i="491"/>
  <c r="GB27" i="491"/>
  <c r="GA27" i="491"/>
  <c r="FZ27" i="491"/>
  <c r="FY27" i="491"/>
  <c r="FX27" i="491"/>
  <c r="FW27" i="491"/>
  <c r="FV27" i="491"/>
  <c r="FU27" i="491"/>
  <c r="FT27" i="491"/>
  <c r="FS27" i="491"/>
  <c r="FR27" i="491"/>
  <c r="FQ27" i="491"/>
  <c r="FP27" i="491"/>
  <c r="FO27" i="491"/>
  <c r="FN27" i="491"/>
  <c r="FM27" i="491"/>
  <c r="FL27" i="491"/>
  <c r="FK27" i="491"/>
  <c r="FJ27" i="491"/>
  <c r="FI27" i="491"/>
  <c r="FH27" i="491"/>
  <c r="FG27" i="491"/>
  <c r="FF27" i="491"/>
  <c r="FE27" i="491"/>
  <c r="FD27" i="491"/>
  <c r="FC27" i="491"/>
  <c r="FB27" i="491"/>
  <c r="FA27" i="491"/>
  <c r="EZ27" i="491"/>
  <c r="EY27" i="491"/>
  <c r="EX27" i="491"/>
  <c r="EW27" i="491"/>
  <c r="EV27" i="491"/>
  <c r="EU27" i="491"/>
  <c r="ET27" i="491"/>
  <c r="ES27" i="491"/>
  <c r="ER27" i="491"/>
  <c r="EQ27" i="491"/>
  <c r="EP27" i="491"/>
  <c r="EO27" i="491"/>
  <c r="EN27" i="491"/>
  <c r="EM27" i="491"/>
  <c r="EL27" i="491"/>
  <c r="EK27" i="491"/>
  <c r="EJ27" i="491"/>
  <c r="EI27" i="491"/>
  <c r="EH27" i="491"/>
  <c r="EG27" i="491"/>
  <c r="EF27" i="491"/>
  <c r="EE27" i="491"/>
  <c r="ED27" i="491"/>
  <c r="EC27" i="491"/>
  <c r="EB27" i="491"/>
  <c r="EA27" i="491"/>
  <c r="DZ27" i="491"/>
  <c r="DY27" i="491"/>
  <c r="DX27" i="491"/>
  <c r="DW27" i="491"/>
  <c r="DT27" i="491"/>
  <c r="DS27" i="491"/>
  <c r="DR27" i="491"/>
  <c r="DQ27" i="491"/>
  <c r="DP27" i="491"/>
  <c r="DO27" i="491"/>
  <c r="DN27" i="491"/>
  <c r="DM27" i="491"/>
  <c r="DL27" i="491"/>
  <c r="DK27" i="491"/>
  <c r="DJ27" i="491"/>
  <c r="DI27" i="491"/>
  <c r="DH27" i="491"/>
  <c r="DG27" i="491"/>
  <c r="DF27" i="491"/>
  <c r="DE27" i="491"/>
  <c r="DD27" i="491"/>
  <c r="DC27" i="491"/>
  <c r="DB27" i="491"/>
  <c r="DA27" i="491"/>
  <c r="CZ27" i="491"/>
  <c r="CY27" i="491"/>
  <c r="CX27" i="491"/>
  <c r="CW27" i="491"/>
  <c r="CV27" i="491"/>
  <c r="CU27" i="491"/>
  <c r="CT27" i="491"/>
  <c r="CS27" i="491"/>
  <c r="CR27" i="491"/>
  <c r="CQ27" i="491"/>
  <c r="CP27" i="491"/>
  <c r="CO27" i="491"/>
  <c r="CN27" i="491"/>
  <c r="CM27" i="491"/>
  <c r="CL27" i="491"/>
  <c r="CK27" i="491"/>
  <c r="CJ27" i="491"/>
  <c r="CI27" i="491"/>
  <c r="CH27" i="491"/>
  <c r="CG27" i="491"/>
  <c r="CF27" i="491"/>
  <c r="CE27" i="491"/>
  <c r="CD27" i="491"/>
  <c r="CC27" i="491"/>
  <c r="CB27" i="491"/>
  <c r="CA27" i="491"/>
  <c r="BZ27" i="491"/>
  <c r="BY27" i="491"/>
  <c r="BX27" i="491"/>
  <c r="BW27" i="491"/>
  <c r="BV27" i="491"/>
  <c r="BU27" i="491"/>
  <c r="BT27" i="491"/>
  <c r="BS27" i="491"/>
  <c r="BR27" i="491"/>
  <c r="BQ27" i="491"/>
  <c r="BP27" i="491"/>
  <c r="BO27" i="491"/>
  <c r="BN27" i="491"/>
  <c r="BM27" i="491"/>
  <c r="BL27" i="491"/>
  <c r="BK27" i="491"/>
  <c r="BJ27" i="491"/>
  <c r="BI27" i="491"/>
  <c r="BH27" i="491"/>
  <c r="BG27" i="491"/>
  <c r="BF27" i="491"/>
  <c r="BE27" i="491"/>
  <c r="BD27" i="491"/>
  <c r="BC27" i="491"/>
  <c r="BB27" i="491"/>
  <c r="BA27" i="491"/>
  <c r="AZ27" i="491"/>
  <c r="AY27" i="491"/>
  <c r="AX27" i="491"/>
  <c r="AW27" i="491"/>
  <c r="AV27" i="491"/>
  <c r="AU27" i="491"/>
  <c r="AT27" i="491"/>
  <c r="AS27" i="491"/>
  <c r="AR27" i="491"/>
  <c r="AQ27" i="491"/>
  <c r="AP27" i="491"/>
  <c r="AO27" i="491"/>
  <c r="AN27" i="491"/>
  <c r="AM27" i="491"/>
  <c r="AL27" i="491"/>
  <c r="AK27" i="491"/>
  <c r="AJ27" i="491"/>
  <c r="AI27" i="491"/>
  <c r="AH27" i="491"/>
  <c r="AG27" i="491"/>
  <c r="AF27" i="491"/>
  <c r="AE27" i="491"/>
  <c r="AD27" i="491"/>
  <c r="AC27" i="491"/>
  <c r="AB27" i="491"/>
  <c r="AA27" i="491"/>
  <c r="Z27" i="491"/>
  <c r="Y27" i="491"/>
  <c r="T27" i="491"/>
  <c r="U27" i="491" s="1"/>
  <c r="R27" i="491"/>
  <c r="Q27" i="491"/>
  <c r="O27" i="491"/>
  <c r="N27" i="491"/>
  <c r="M27" i="491"/>
  <c r="G27" i="491"/>
  <c r="C2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W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Y16" i="491"/>
  <c r="T16" i="491"/>
  <c r="U16" i="491" s="1"/>
  <c r="R16" i="491"/>
  <c r="Q16" i="491"/>
  <c r="O16" i="49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W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Y15" i="491"/>
  <c r="T15" i="491"/>
  <c r="U15" i="491" s="1"/>
  <c r="R15" i="491"/>
  <c r="Q15" i="491"/>
  <c r="O15" i="49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T14" i="491"/>
  <c r="U14" i="491" s="1"/>
  <c r="Y14" i="491" s="1"/>
  <c r="R14" i="491"/>
  <c r="Q14" i="491"/>
  <c r="O14" i="491"/>
  <c r="DW14" i="491" s="1"/>
  <c r="N14" i="491"/>
  <c r="M14" i="491"/>
  <c r="G14" i="491"/>
  <c r="C14" i="491"/>
  <c r="R45" i="491"/>
  <c r="C44" i="491"/>
  <c r="HR43" i="491"/>
  <c r="HQ43" i="491"/>
  <c r="HP43" i="491"/>
  <c r="HO43" i="491"/>
  <c r="HN43" i="491"/>
  <c r="HM43" i="491"/>
  <c r="HL43" i="491"/>
  <c r="HK43" i="491"/>
  <c r="HJ43" i="491"/>
  <c r="HI43" i="491"/>
  <c r="HH43" i="491"/>
  <c r="HG43" i="491"/>
  <c r="HF43" i="491"/>
  <c r="HE43" i="491"/>
  <c r="HD43" i="491"/>
  <c r="HC43" i="491"/>
  <c r="HB43" i="491"/>
  <c r="HA43" i="491"/>
  <c r="GZ43" i="491"/>
  <c r="GY43" i="491"/>
  <c r="GX43" i="491"/>
  <c r="GW43" i="491"/>
  <c r="GV43" i="491"/>
  <c r="GU43" i="491"/>
  <c r="GT43" i="491"/>
  <c r="GS43" i="491"/>
  <c r="GR43" i="491"/>
  <c r="GQ43" i="491"/>
  <c r="GP43" i="491"/>
  <c r="GO43" i="491"/>
  <c r="GN43" i="491"/>
  <c r="GM43" i="491"/>
  <c r="GL43" i="491"/>
  <c r="GK43" i="491"/>
  <c r="GJ43" i="491"/>
  <c r="GI43" i="491"/>
  <c r="GH43" i="491"/>
  <c r="GG43" i="491"/>
  <c r="GF43" i="491"/>
  <c r="GE43" i="491"/>
  <c r="GD43" i="491"/>
  <c r="GC43" i="491"/>
  <c r="GB43" i="491"/>
  <c r="GA43" i="491"/>
  <c r="FZ43" i="491"/>
  <c r="FY43" i="491"/>
  <c r="FX43" i="491"/>
  <c r="FW43" i="491"/>
  <c r="FV43" i="491"/>
  <c r="FU43" i="491"/>
  <c r="FT43" i="491"/>
  <c r="FS43" i="491"/>
  <c r="FR43" i="491"/>
  <c r="FQ43" i="491"/>
  <c r="FP43" i="491"/>
  <c r="FO43" i="491"/>
  <c r="FN43" i="491"/>
  <c r="FM43" i="491"/>
  <c r="FL43" i="491"/>
  <c r="FK43" i="491"/>
  <c r="FJ43" i="491"/>
  <c r="FI43" i="491"/>
  <c r="FH43" i="491"/>
  <c r="FG43" i="491"/>
  <c r="FF43" i="491"/>
  <c r="FE43" i="491"/>
  <c r="FD43" i="491"/>
  <c r="FC43" i="491"/>
  <c r="FB43" i="491"/>
  <c r="FA43" i="491"/>
  <c r="EZ43" i="491"/>
  <c r="EY43" i="491"/>
  <c r="EX43" i="491"/>
  <c r="EW43" i="491"/>
  <c r="EV43" i="491"/>
  <c r="EU43" i="491"/>
  <c r="ET43" i="491"/>
  <c r="ES43" i="491"/>
  <c r="ER43" i="491"/>
  <c r="EQ43" i="491"/>
  <c r="EP43" i="491"/>
  <c r="EO43" i="491"/>
  <c r="EN43" i="491"/>
  <c r="EM43" i="491"/>
  <c r="EL43" i="491"/>
  <c r="EK43" i="491"/>
  <c r="EJ43" i="491"/>
  <c r="EI43" i="491"/>
  <c r="EH43" i="491"/>
  <c r="EG43" i="491"/>
  <c r="EF43" i="491"/>
  <c r="EE43" i="491"/>
  <c r="ED43" i="491"/>
  <c r="EC43" i="491"/>
  <c r="EB43" i="491"/>
  <c r="EA43" i="491"/>
  <c r="DZ43" i="491"/>
  <c r="DY43" i="491"/>
  <c r="DX43" i="491"/>
  <c r="DW43" i="491"/>
  <c r="DT43" i="491"/>
  <c r="DS43" i="491"/>
  <c r="DR43" i="491"/>
  <c r="DQ43" i="491"/>
  <c r="DP43" i="491"/>
  <c r="DO43" i="491"/>
  <c r="DN43" i="491"/>
  <c r="DM43" i="491"/>
  <c r="DL43" i="491"/>
  <c r="DK43" i="491"/>
  <c r="DJ43" i="491"/>
  <c r="DI43" i="491"/>
  <c r="DH43" i="491"/>
  <c r="DG43" i="491"/>
  <c r="DF43" i="491"/>
  <c r="DE43" i="491"/>
  <c r="DD43" i="491"/>
  <c r="DC43" i="491"/>
  <c r="DB43" i="491"/>
  <c r="DA43" i="491"/>
  <c r="CZ43" i="491"/>
  <c r="CY43" i="491"/>
  <c r="CX43" i="491"/>
  <c r="CW43" i="491"/>
  <c r="CV43" i="491"/>
  <c r="CU43" i="491"/>
  <c r="CT43" i="491"/>
  <c r="CS43" i="491"/>
  <c r="CR43" i="491"/>
  <c r="CQ43" i="491"/>
  <c r="CP43" i="491"/>
  <c r="CO43" i="491"/>
  <c r="CN43" i="491"/>
  <c r="CM43" i="491"/>
  <c r="CL43" i="491"/>
  <c r="CK43" i="491"/>
  <c r="CJ43" i="491"/>
  <c r="CI43" i="491"/>
  <c r="CH43" i="491"/>
  <c r="CG43" i="491"/>
  <c r="CF43" i="491"/>
  <c r="CE43" i="491"/>
  <c r="CD43" i="491"/>
  <c r="CC43" i="491"/>
  <c r="CB43" i="491"/>
  <c r="CA43" i="491"/>
  <c r="BZ43" i="491"/>
  <c r="BY43" i="491"/>
  <c r="BX43" i="491"/>
  <c r="BW43" i="491"/>
  <c r="BV43" i="491"/>
  <c r="BU43" i="491"/>
  <c r="BT43" i="491"/>
  <c r="BS43" i="491"/>
  <c r="BR43" i="491"/>
  <c r="BQ43" i="491"/>
  <c r="BP43" i="491"/>
  <c r="BO43" i="491"/>
  <c r="BN43" i="491"/>
  <c r="BM43" i="491"/>
  <c r="BL43" i="491"/>
  <c r="BK43" i="491"/>
  <c r="BJ43" i="491"/>
  <c r="BI43" i="491"/>
  <c r="BH43" i="491"/>
  <c r="BG43" i="491"/>
  <c r="BF43" i="491"/>
  <c r="BE43" i="491"/>
  <c r="BD43" i="491"/>
  <c r="BC43" i="491"/>
  <c r="BB43" i="491"/>
  <c r="BA43" i="491"/>
  <c r="AZ43" i="491"/>
  <c r="AY43" i="491"/>
  <c r="AX43" i="491"/>
  <c r="AW43" i="491"/>
  <c r="AV43" i="491"/>
  <c r="AU43" i="491"/>
  <c r="AT43" i="491"/>
  <c r="AS43" i="491"/>
  <c r="AR43" i="491"/>
  <c r="AQ43" i="491"/>
  <c r="AP43" i="491"/>
  <c r="AO43" i="491"/>
  <c r="AN43" i="491"/>
  <c r="AM43" i="491"/>
  <c r="AL43" i="491"/>
  <c r="AK43" i="491"/>
  <c r="AJ43" i="491"/>
  <c r="AI43" i="491"/>
  <c r="AH43" i="491"/>
  <c r="AG43" i="491"/>
  <c r="AF43" i="491"/>
  <c r="AE43" i="491"/>
  <c r="AD43" i="491"/>
  <c r="AC43" i="491"/>
  <c r="AB43" i="491"/>
  <c r="AA43" i="491"/>
  <c r="Z43" i="491"/>
  <c r="Y43" i="491"/>
  <c r="T43" i="491"/>
  <c r="U43" i="491" s="1"/>
  <c r="Q43" i="491"/>
  <c r="O43" i="491"/>
  <c r="N43" i="491"/>
  <c r="M43" i="491"/>
  <c r="G43" i="491"/>
  <c r="F43" i="491"/>
  <c r="C43" i="491"/>
  <c r="HR42" i="491"/>
  <c r="HQ42" i="491"/>
  <c r="HP42" i="491"/>
  <c r="HO42" i="491"/>
  <c r="HN42" i="491"/>
  <c r="HM42" i="491"/>
  <c r="HL42" i="491"/>
  <c r="HK42" i="491"/>
  <c r="HJ42" i="491"/>
  <c r="HI42" i="491"/>
  <c r="HH42" i="491"/>
  <c r="HG42" i="491"/>
  <c r="HF42" i="491"/>
  <c r="HE42" i="491"/>
  <c r="HD42" i="491"/>
  <c r="HC42" i="491"/>
  <c r="HB42" i="491"/>
  <c r="HA42" i="491"/>
  <c r="GZ42" i="491"/>
  <c r="GY42" i="491"/>
  <c r="GX42" i="491"/>
  <c r="GW42" i="491"/>
  <c r="GV42" i="491"/>
  <c r="GU42" i="491"/>
  <c r="GT42" i="491"/>
  <c r="GS42" i="491"/>
  <c r="GR42" i="491"/>
  <c r="GQ42" i="491"/>
  <c r="GP42" i="491"/>
  <c r="GO42" i="491"/>
  <c r="GN42" i="491"/>
  <c r="GM42" i="491"/>
  <c r="GL42" i="491"/>
  <c r="GK42" i="491"/>
  <c r="GJ42" i="491"/>
  <c r="GI42" i="491"/>
  <c r="GH42" i="491"/>
  <c r="GG42" i="491"/>
  <c r="GF42" i="491"/>
  <c r="GE42" i="491"/>
  <c r="GD42" i="491"/>
  <c r="GC42" i="491"/>
  <c r="GB42" i="491"/>
  <c r="GA42" i="491"/>
  <c r="FZ42" i="491"/>
  <c r="FY42" i="491"/>
  <c r="FX42" i="491"/>
  <c r="FW42" i="491"/>
  <c r="FV42" i="491"/>
  <c r="FU42" i="491"/>
  <c r="FT42" i="491"/>
  <c r="FS42" i="491"/>
  <c r="FR42" i="491"/>
  <c r="FQ42" i="491"/>
  <c r="FP42" i="491"/>
  <c r="FO42" i="491"/>
  <c r="FN42" i="491"/>
  <c r="FM42" i="491"/>
  <c r="FL42" i="491"/>
  <c r="FK42" i="491"/>
  <c r="FJ42" i="491"/>
  <c r="FI42" i="491"/>
  <c r="FH42" i="491"/>
  <c r="FG42" i="491"/>
  <c r="FF42" i="491"/>
  <c r="FE42" i="491"/>
  <c r="FD42" i="491"/>
  <c r="FC42" i="491"/>
  <c r="FB42" i="491"/>
  <c r="FA42" i="491"/>
  <c r="EZ42" i="491"/>
  <c r="EY42" i="491"/>
  <c r="EX42" i="491"/>
  <c r="EW42" i="491"/>
  <c r="EV42" i="491"/>
  <c r="EU42" i="491"/>
  <c r="ET42" i="491"/>
  <c r="ES42" i="491"/>
  <c r="ER42" i="491"/>
  <c r="EQ42" i="491"/>
  <c r="EP42" i="491"/>
  <c r="EO42" i="491"/>
  <c r="EN42" i="491"/>
  <c r="EM42" i="491"/>
  <c r="EL42" i="491"/>
  <c r="EK42" i="491"/>
  <c r="EJ42" i="491"/>
  <c r="EI42" i="491"/>
  <c r="EH42" i="491"/>
  <c r="EG42" i="491"/>
  <c r="EF42" i="491"/>
  <c r="EE42" i="491"/>
  <c r="ED42" i="491"/>
  <c r="EC42" i="491"/>
  <c r="EB42" i="491"/>
  <c r="EA42" i="491"/>
  <c r="DZ42" i="491"/>
  <c r="DY42" i="491"/>
  <c r="DX42" i="491"/>
  <c r="DW42" i="491"/>
  <c r="DT42" i="491"/>
  <c r="DS42" i="491"/>
  <c r="DR42" i="491"/>
  <c r="DQ42" i="491"/>
  <c r="DP42" i="491"/>
  <c r="DO42" i="491"/>
  <c r="DN42" i="491"/>
  <c r="DM42" i="491"/>
  <c r="DL42" i="491"/>
  <c r="DK42" i="491"/>
  <c r="DJ42" i="491"/>
  <c r="DI42" i="491"/>
  <c r="DH42" i="491"/>
  <c r="DG42" i="491"/>
  <c r="DF42" i="491"/>
  <c r="DE42" i="491"/>
  <c r="DD42" i="491"/>
  <c r="DC42" i="491"/>
  <c r="DB42" i="491"/>
  <c r="DA42" i="491"/>
  <c r="CZ42" i="491"/>
  <c r="CY42" i="491"/>
  <c r="CX42" i="491"/>
  <c r="CW42" i="491"/>
  <c r="CV42" i="491"/>
  <c r="CU42" i="491"/>
  <c r="CT42" i="491"/>
  <c r="CS42" i="491"/>
  <c r="CR42" i="491"/>
  <c r="CQ42" i="491"/>
  <c r="CP42" i="491"/>
  <c r="CO42" i="491"/>
  <c r="CN42" i="491"/>
  <c r="CM42" i="491"/>
  <c r="CL42" i="491"/>
  <c r="CK42" i="491"/>
  <c r="CJ42" i="491"/>
  <c r="CI42" i="491"/>
  <c r="CH42" i="491"/>
  <c r="CG42" i="491"/>
  <c r="CF42" i="491"/>
  <c r="CE42" i="491"/>
  <c r="CD42" i="491"/>
  <c r="CC42" i="491"/>
  <c r="CB42" i="491"/>
  <c r="CA42" i="491"/>
  <c r="BZ42" i="491"/>
  <c r="BY42" i="491"/>
  <c r="BX42" i="491"/>
  <c r="BW42" i="491"/>
  <c r="BV42" i="491"/>
  <c r="BU42" i="491"/>
  <c r="BT42" i="491"/>
  <c r="BS42" i="491"/>
  <c r="BR42" i="491"/>
  <c r="BQ42" i="491"/>
  <c r="BP42" i="491"/>
  <c r="BO42" i="491"/>
  <c r="BN42" i="491"/>
  <c r="BM42" i="491"/>
  <c r="BL42" i="491"/>
  <c r="BK42" i="491"/>
  <c r="BJ42" i="491"/>
  <c r="BI42" i="491"/>
  <c r="BH42" i="491"/>
  <c r="BG42" i="491"/>
  <c r="BF42" i="491"/>
  <c r="BE42" i="491"/>
  <c r="BD42" i="491"/>
  <c r="BC42" i="491"/>
  <c r="BB42" i="491"/>
  <c r="BA42" i="491"/>
  <c r="AZ42" i="491"/>
  <c r="AY42" i="491"/>
  <c r="AX42" i="491"/>
  <c r="AW42" i="491"/>
  <c r="AV42" i="491"/>
  <c r="AU42" i="491"/>
  <c r="AT42" i="491"/>
  <c r="AS42" i="491"/>
  <c r="AR42" i="491"/>
  <c r="AQ42" i="491"/>
  <c r="AP42" i="491"/>
  <c r="AO42" i="491"/>
  <c r="AN42" i="491"/>
  <c r="AM42" i="491"/>
  <c r="AL42" i="491"/>
  <c r="AK42" i="491"/>
  <c r="AJ42" i="491"/>
  <c r="AI42" i="491"/>
  <c r="AH42" i="491"/>
  <c r="AG42" i="491"/>
  <c r="AF42" i="491"/>
  <c r="AE42" i="491"/>
  <c r="AD42" i="491"/>
  <c r="AC42" i="491"/>
  <c r="AB42" i="491"/>
  <c r="AA42" i="491"/>
  <c r="Z42" i="491"/>
  <c r="Y42" i="491"/>
  <c r="T42" i="491"/>
  <c r="U42" i="491" s="1"/>
  <c r="Q42" i="491"/>
  <c r="O42" i="491"/>
  <c r="N42" i="491"/>
  <c r="M42" i="491"/>
  <c r="G42" i="491"/>
  <c r="F42" i="491"/>
  <c r="C42" i="491"/>
  <c r="HR41" i="491"/>
  <c r="HQ41" i="491"/>
  <c r="HP41" i="491"/>
  <c r="HO41" i="491"/>
  <c r="HN41" i="491"/>
  <c r="HM41" i="491"/>
  <c r="HL41" i="491"/>
  <c r="HK41" i="491"/>
  <c r="HJ41" i="491"/>
  <c r="HI41" i="491"/>
  <c r="HH41" i="491"/>
  <c r="HG41" i="491"/>
  <c r="HF41" i="491"/>
  <c r="HE41" i="491"/>
  <c r="HD41" i="491"/>
  <c r="HC41" i="491"/>
  <c r="HB41" i="491"/>
  <c r="HA41" i="491"/>
  <c r="GZ41" i="491"/>
  <c r="GY41" i="491"/>
  <c r="GX41" i="491"/>
  <c r="GW41" i="491"/>
  <c r="GV41" i="491"/>
  <c r="GU41" i="491"/>
  <c r="GT41" i="491"/>
  <c r="GS41" i="491"/>
  <c r="GR41" i="491"/>
  <c r="GQ41" i="491"/>
  <c r="GP41" i="491"/>
  <c r="GO41" i="491"/>
  <c r="GN41" i="491"/>
  <c r="GM41" i="491"/>
  <c r="GL41" i="491"/>
  <c r="GK41" i="491"/>
  <c r="GJ41" i="491"/>
  <c r="GI41" i="491"/>
  <c r="GH41" i="491"/>
  <c r="GG41" i="491"/>
  <c r="GF41" i="491"/>
  <c r="GE41" i="491"/>
  <c r="GD41" i="491"/>
  <c r="GC41" i="491"/>
  <c r="GB41" i="491"/>
  <c r="GA41" i="491"/>
  <c r="FZ41" i="491"/>
  <c r="FY41" i="491"/>
  <c r="FX41" i="491"/>
  <c r="FW41" i="491"/>
  <c r="FV41" i="491"/>
  <c r="FU41" i="491"/>
  <c r="FT41" i="491"/>
  <c r="FS41" i="491"/>
  <c r="FR41" i="491"/>
  <c r="FQ41" i="491"/>
  <c r="FP41" i="491"/>
  <c r="FO41" i="491"/>
  <c r="FN41" i="491"/>
  <c r="FM41" i="491"/>
  <c r="FL41" i="491"/>
  <c r="FK41" i="491"/>
  <c r="FJ41" i="491"/>
  <c r="FI41" i="491"/>
  <c r="FH41" i="491"/>
  <c r="FG41" i="491"/>
  <c r="FF41" i="491"/>
  <c r="FE41" i="491"/>
  <c r="FD41" i="491"/>
  <c r="FC41" i="491"/>
  <c r="FB41" i="491"/>
  <c r="FA41" i="491"/>
  <c r="EZ41" i="491"/>
  <c r="EY41" i="491"/>
  <c r="EX41" i="491"/>
  <c r="EW41" i="491"/>
  <c r="EV41" i="491"/>
  <c r="EU41" i="491"/>
  <c r="ET41" i="491"/>
  <c r="ES41" i="491"/>
  <c r="ER41" i="491"/>
  <c r="EQ41" i="491"/>
  <c r="EP41" i="491"/>
  <c r="EO41" i="491"/>
  <c r="EN41" i="491"/>
  <c r="EM41" i="491"/>
  <c r="EL41" i="491"/>
  <c r="EK41" i="491"/>
  <c r="EJ41" i="491"/>
  <c r="EI41" i="491"/>
  <c r="EH41" i="491"/>
  <c r="EG41" i="491"/>
  <c r="EF41" i="491"/>
  <c r="EE41" i="491"/>
  <c r="ED41" i="491"/>
  <c r="EC41" i="491"/>
  <c r="EB41" i="491"/>
  <c r="EA41" i="491"/>
  <c r="DZ41" i="491"/>
  <c r="DY41" i="491"/>
  <c r="DX41" i="491"/>
  <c r="DW41" i="491"/>
  <c r="DT41" i="491"/>
  <c r="DS41" i="491"/>
  <c r="DR41" i="491"/>
  <c r="DQ41" i="491"/>
  <c r="DP41" i="491"/>
  <c r="DO41" i="491"/>
  <c r="DN41" i="491"/>
  <c r="DM41" i="491"/>
  <c r="DL41" i="491"/>
  <c r="DK41" i="491"/>
  <c r="DJ41" i="491"/>
  <c r="DI41" i="491"/>
  <c r="DH41" i="491"/>
  <c r="DG41" i="491"/>
  <c r="DF41" i="491"/>
  <c r="DE41" i="491"/>
  <c r="DD41" i="491"/>
  <c r="DC41" i="491"/>
  <c r="DB41" i="491"/>
  <c r="DA41" i="491"/>
  <c r="CZ41" i="491"/>
  <c r="CY41" i="491"/>
  <c r="CX41" i="491"/>
  <c r="CW41" i="491"/>
  <c r="CV41" i="491"/>
  <c r="CU41" i="491"/>
  <c r="CT41" i="491"/>
  <c r="CS41" i="491"/>
  <c r="CR41" i="491"/>
  <c r="CQ41" i="491"/>
  <c r="CP41" i="491"/>
  <c r="CO41" i="491"/>
  <c r="CN41" i="491"/>
  <c r="CM41" i="491"/>
  <c r="CL41" i="491"/>
  <c r="CK41" i="491"/>
  <c r="CJ41" i="491"/>
  <c r="CI41" i="491"/>
  <c r="CH41" i="491"/>
  <c r="CG41" i="491"/>
  <c r="CF41" i="491"/>
  <c r="CE41" i="491"/>
  <c r="CD41" i="491"/>
  <c r="CC41" i="491"/>
  <c r="CB41" i="491"/>
  <c r="CA41" i="491"/>
  <c r="BZ41" i="491"/>
  <c r="BY41" i="491"/>
  <c r="BX41" i="491"/>
  <c r="BW41" i="491"/>
  <c r="BV41" i="491"/>
  <c r="BU41" i="491"/>
  <c r="BT41" i="491"/>
  <c r="BS41" i="491"/>
  <c r="BR41" i="491"/>
  <c r="BQ41" i="491"/>
  <c r="BP41" i="491"/>
  <c r="BO41" i="491"/>
  <c r="BN41" i="491"/>
  <c r="BM41" i="491"/>
  <c r="BL41" i="491"/>
  <c r="BK41" i="491"/>
  <c r="BJ41" i="491"/>
  <c r="BI41" i="491"/>
  <c r="BH41" i="491"/>
  <c r="BG41" i="491"/>
  <c r="BF41" i="491"/>
  <c r="BE41" i="491"/>
  <c r="BD41" i="491"/>
  <c r="BC41" i="491"/>
  <c r="BB41" i="491"/>
  <c r="BA41" i="491"/>
  <c r="AZ41" i="491"/>
  <c r="AY41" i="491"/>
  <c r="AX41" i="491"/>
  <c r="AW41" i="491"/>
  <c r="AV41" i="491"/>
  <c r="AU41" i="491"/>
  <c r="AT41" i="491"/>
  <c r="AS41" i="491"/>
  <c r="AR41" i="491"/>
  <c r="AQ41" i="491"/>
  <c r="AP41" i="491"/>
  <c r="AO41" i="491"/>
  <c r="AN41" i="491"/>
  <c r="AM41" i="491"/>
  <c r="AL41" i="491"/>
  <c r="AK41" i="491"/>
  <c r="AJ41" i="491"/>
  <c r="AI41" i="491"/>
  <c r="AH41" i="491"/>
  <c r="AG41" i="491"/>
  <c r="AF41" i="491"/>
  <c r="AE41" i="491"/>
  <c r="AD41" i="491"/>
  <c r="AC41" i="491"/>
  <c r="AB41" i="491"/>
  <c r="AA41" i="491"/>
  <c r="Z41" i="491"/>
  <c r="Y41" i="491"/>
  <c r="T41" i="491"/>
  <c r="U41" i="491" s="1"/>
  <c r="Q41" i="491"/>
  <c r="O41" i="491"/>
  <c r="N41" i="491"/>
  <c r="M41" i="491"/>
  <c r="G41" i="491"/>
  <c r="F41" i="491"/>
  <c r="C41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Q40" i="491"/>
  <c r="O40" i="491"/>
  <c r="N40" i="491"/>
  <c r="M40" i="491"/>
  <c r="G40" i="491"/>
  <c r="F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W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Y39" i="491"/>
  <c r="T39" i="491"/>
  <c r="U39" i="491" s="1"/>
  <c r="Q39" i="491"/>
  <c r="O39" i="491"/>
  <c r="N39" i="491"/>
  <c r="M39" i="491"/>
  <c r="G39" i="491"/>
  <c r="F39" i="491"/>
  <c r="C39" i="491"/>
  <c r="HR38" i="49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W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Y38" i="491"/>
  <c r="T38" i="491"/>
  <c r="U38" i="491" s="1"/>
  <c r="CU38" i="491" s="1"/>
  <c r="N38" i="491"/>
  <c r="G38" i="491"/>
  <c r="C38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Y37" i="491"/>
  <c r="T37" i="491"/>
  <c r="U37" i="491" s="1"/>
  <c r="Q37" i="491"/>
  <c r="O37" i="491"/>
  <c r="N37" i="491"/>
  <c r="M37" i="491"/>
  <c r="G37" i="491"/>
  <c r="F37" i="491"/>
  <c r="C37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D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W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F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Y31" i="491"/>
  <c r="T31" i="491"/>
  <c r="U31" i="491" s="1"/>
  <c r="R31" i="491"/>
  <c r="Q31" i="491"/>
  <c r="O31" i="491"/>
  <c r="N31" i="491"/>
  <c r="M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D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W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F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Y30" i="491"/>
  <c r="T30" i="491"/>
  <c r="U30" i="491" s="1"/>
  <c r="R30" i="491"/>
  <c r="Q30" i="491"/>
  <c r="O30" i="491"/>
  <c r="N30" i="491"/>
  <c r="M30" i="491"/>
  <c r="G30" i="491"/>
  <c r="C30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Y26" i="491"/>
  <c r="DX26" i="491"/>
  <c r="DW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AA26" i="491"/>
  <c r="Z26" i="491"/>
  <c r="Y26" i="491"/>
  <c r="T26" i="491"/>
  <c r="U26" i="491" s="1"/>
  <c r="CF26" i="491" s="1"/>
  <c r="R26" i="491"/>
  <c r="N26" i="491"/>
  <c r="G26" i="491"/>
  <c r="C26" i="491"/>
  <c r="HR25" i="491"/>
  <c r="HQ25" i="491"/>
  <c r="HP25" i="491"/>
  <c r="HO25" i="491"/>
  <c r="HN25" i="491"/>
  <c r="HM25" i="491"/>
  <c r="HL25" i="491"/>
  <c r="HK25" i="491"/>
  <c r="HJ25" i="491"/>
  <c r="HI25" i="491"/>
  <c r="HH25" i="491"/>
  <c r="HG25" i="491"/>
  <c r="HF25" i="491"/>
  <c r="HE25" i="491"/>
  <c r="HD25" i="491"/>
  <c r="HC25" i="491"/>
  <c r="HB25" i="491"/>
  <c r="HA25" i="491"/>
  <c r="GZ25" i="491"/>
  <c r="GY25" i="491"/>
  <c r="GX25" i="491"/>
  <c r="GW25" i="491"/>
  <c r="GV25" i="491"/>
  <c r="GU25" i="491"/>
  <c r="GT25" i="491"/>
  <c r="GS25" i="491"/>
  <c r="GR25" i="491"/>
  <c r="GQ25" i="491"/>
  <c r="GP25" i="491"/>
  <c r="GO25" i="491"/>
  <c r="GN25" i="491"/>
  <c r="GM25" i="491"/>
  <c r="GL25" i="491"/>
  <c r="GK25" i="491"/>
  <c r="GJ25" i="491"/>
  <c r="GI25" i="491"/>
  <c r="GH25" i="491"/>
  <c r="GG25" i="491"/>
  <c r="GF25" i="491"/>
  <c r="GC25" i="491"/>
  <c r="GB25" i="491"/>
  <c r="GA25" i="491"/>
  <c r="FZ25" i="491"/>
  <c r="FY25" i="491"/>
  <c r="FX25" i="491"/>
  <c r="FW25" i="491"/>
  <c r="FV25" i="491"/>
  <c r="FU25" i="491"/>
  <c r="FT25" i="491"/>
  <c r="FS25" i="491"/>
  <c r="FR25" i="491"/>
  <c r="FQ25" i="491"/>
  <c r="FP25" i="491"/>
  <c r="FO25" i="491"/>
  <c r="FN25" i="491"/>
  <c r="FM25" i="491"/>
  <c r="FL25" i="491"/>
  <c r="FK25" i="491"/>
  <c r="FJ25" i="491"/>
  <c r="FI25" i="491"/>
  <c r="FH25" i="491"/>
  <c r="FG25" i="491"/>
  <c r="FF25" i="491"/>
  <c r="FE25" i="491"/>
  <c r="FD25" i="491"/>
  <c r="FC25" i="491"/>
  <c r="FB25" i="491"/>
  <c r="FA25" i="491"/>
  <c r="EZ25" i="491"/>
  <c r="EY25" i="491"/>
  <c r="EX25" i="491"/>
  <c r="EW25" i="491"/>
  <c r="EV25" i="491"/>
  <c r="EU25" i="491"/>
  <c r="ET25" i="491"/>
  <c r="ES25" i="491"/>
  <c r="ER25" i="491"/>
  <c r="EQ25" i="491"/>
  <c r="EP25" i="491"/>
  <c r="EO25" i="491"/>
  <c r="EN25" i="491"/>
  <c r="EM25" i="491"/>
  <c r="EL25" i="491"/>
  <c r="EK25" i="491"/>
  <c r="EJ25" i="491"/>
  <c r="EI25" i="491"/>
  <c r="EH25" i="491"/>
  <c r="EG25" i="491"/>
  <c r="EF25" i="491"/>
  <c r="EE25" i="491"/>
  <c r="ED25" i="491"/>
  <c r="EC25" i="491"/>
  <c r="EB25" i="491"/>
  <c r="EA25" i="491"/>
  <c r="DZ25" i="491"/>
  <c r="DY25" i="491"/>
  <c r="DX25" i="491"/>
  <c r="DW25" i="491"/>
  <c r="DT25" i="491"/>
  <c r="DS25" i="491"/>
  <c r="DR25" i="491"/>
  <c r="DQ25" i="491"/>
  <c r="DP25" i="491"/>
  <c r="DO25" i="491"/>
  <c r="DN25" i="491"/>
  <c r="DM25" i="491"/>
  <c r="DL25" i="491"/>
  <c r="DK25" i="491"/>
  <c r="DJ25" i="491"/>
  <c r="DI25" i="491"/>
  <c r="DH25" i="491"/>
  <c r="DG25" i="491"/>
  <c r="DF25" i="491"/>
  <c r="DE25" i="491"/>
  <c r="DD25" i="491"/>
  <c r="DC25" i="491"/>
  <c r="DB25" i="491"/>
  <c r="DA25" i="491"/>
  <c r="CZ25" i="491"/>
  <c r="CY25" i="491"/>
  <c r="CX25" i="491"/>
  <c r="CW25" i="491"/>
  <c r="CV25" i="491"/>
  <c r="CU25" i="491"/>
  <c r="CT25" i="491"/>
  <c r="CS25" i="491"/>
  <c r="CR25" i="491"/>
  <c r="CQ25" i="491"/>
  <c r="CP25" i="491"/>
  <c r="CO25" i="491"/>
  <c r="CN25" i="491"/>
  <c r="CM25" i="491"/>
  <c r="CL25" i="491"/>
  <c r="CK25" i="491"/>
  <c r="CJ25" i="491"/>
  <c r="CI25" i="491"/>
  <c r="CH25" i="491"/>
  <c r="CE25" i="491"/>
  <c r="CD25" i="491"/>
  <c r="CC25" i="491"/>
  <c r="CB25" i="491"/>
  <c r="CA25" i="491"/>
  <c r="BZ25" i="491"/>
  <c r="BY25" i="491"/>
  <c r="BX25" i="491"/>
  <c r="BW25" i="491"/>
  <c r="BV25" i="491"/>
  <c r="BU25" i="491"/>
  <c r="BT25" i="491"/>
  <c r="BS25" i="491"/>
  <c r="BR25" i="491"/>
  <c r="BQ25" i="491"/>
  <c r="BP25" i="491"/>
  <c r="BO25" i="491"/>
  <c r="BN25" i="491"/>
  <c r="BM25" i="491"/>
  <c r="BL25" i="491"/>
  <c r="BK25" i="491"/>
  <c r="BJ25" i="491"/>
  <c r="BI25" i="491"/>
  <c r="BH25" i="491"/>
  <c r="BG25" i="491"/>
  <c r="BF25" i="491"/>
  <c r="BE25" i="491"/>
  <c r="BD25" i="491"/>
  <c r="BC25" i="491"/>
  <c r="BB25" i="491"/>
  <c r="BA25" i="491"/>
  <c r="AZ25" i="491"/>
  <c r="AY25" i="491"/>
  <c r="AX25" i="491"/>
  <c r="AW25" i="491"/>
  <c r="AV25" i="491"/>
  <c r="AU25" i="491"/>
  <c r="AT25" i="491"/>
  <c r="AS25" i="491"/>
  <c r="AR25" i="491"/>
  <c r="AQ25" i="491"/>
  <c r="AP25" i="491"/>
  <c r="AO25" i="491"/>
  <c r="AN25" i="491"/>
  <c r="AM25" i="491"/>
  <c r="AL25" i="491"/>
  <c r="AK25" i="491"/>
  <c r="AJ25" i="491"/>
  <c r="AI25" i="491"/>
  <c r="AH25" i="491"/>
  <c r="AG25" i="491"/>
  <c r="AF25" i="491"/>
  <c r="AE25" i="491"/>
  <c r="AD25" i="491"/>
  <c r="AC25" i="491"/>
  <c r="AB25" i="491"/>
  <c r="AA25" i="491"/>
  <c r="Z25" i="491"/>
  <c r="Y25" i="491"/>
  <c r="T25" i="491"/>
  <c r="U25" i="491" s="1"/>
  <c r="CF25" i="491" s="1"/>
  <c r="N25" i="491"/>
  <c r="M25" i="491"/>
  <c r="G25" i="491"/>
  <c r="C25" i="491"/>
  <c r="HR24" i="491"/>
  <c r="HQ24" i="491"/>
  <c r="HP24" i="491"/>
  <c r="HO24" i="491"/>
  <c r="HN24" i="491"/>
  <c r="HM24" i="491"/>
  <c r="HL24" i="491"/>
  <c r="HK24" i="491"/>
  <c r="HJ24" i="491"/>
  <c r="HI24" i="491"/>
  <c r="HH24" i="491"/>
  <c r="HG24" i="491"/>
  <c r="HF24" i="491"/>
  <c r="HE24" i="491"/>
  <c r="HD24" i="491"/>
  <c r="HC24" i="491"/>
  <c r="HB24" i="491"/>
  <c r="HA24" i="491"/>
  <c r="GZ24" i="491"/>
  <c r="GY24" i="491"/>
  <c r="GX24" i="491"/>
  <c r="GW24" i="491"/>
  <c r="GV24" i="491"/>
  <c r="GU24" i="491"/>
  <c r="GT24" i="491"/>
  <c r="GS24" i="491"/>
  <c r="GR24" i="491"/>
  <c r="GQ24" i="491"/>
  <c r="GP24" i="491"/>
  <c r="GO24" i="491"/>
  <c r="GN24" i="491"/>
  <c r="GM24" i="491"/>
  <c r="GL24" i="491"/>
  <c r="GK24" i="491"/>
  <c r="GJ24" i="491"/>
  <c r="GI24" i="491"/>
  <c r="GH24" i="491"/>
  <c r="GG24" i="491"/>
  <c r="GF24" i="491"/>
  <c r="GE24" i="491"/>
  <c r="GD24" i="491"/>
  <c r="GC24" i="491"/>
  <c r="GB24" i="491"/>
  <c r="GA24" i="491"/>
  <c r="FZ24" i="491"/>
  <c r="FY24" i="491"/>
  <c r="FX24" i="491"/>
  <c r="FW24" i="491"/>
  <c r="FV24" i="491"/>
  <c r="FU24" i="491"/>
  <c r="FT24" i="491"/>
  <c r="FS24" i="491"/>
  <c r="FR24" i="491"/>
  <c r="FQ24" i="491"/>
  <c r="FP24" i="491"/>
  <c r="FO24" i="491"/>
  <c r="FN24" i="491"/>
  <c r="FM24" i="491"/>
  <c r="FL24" i="491"/>
  <c r="FK24" i="491"/>
  <c r="FJ24" i="491"/>
  <c r="FI24" i="491"/>
  <c r="FH24" i="491"/>
  <c r="FG24" i="491"/>
  <c r="FF24" i="491"/>
  <c r="FE24" i="491"/>
  <c r="FD24" i="491"/>
  <c r="FC24" i="491"/>
  <c r="FB24" i="491"/>
  <c r="FA24" i="491"/>
  <c r="EZ24" i="491"/>
  <c r="EY24" i="491"/>
  <c r="EX24" i="491"/>
  <c r="EW24" i="491"/>
  <c r="EV24" i="491"/>
  <c r="EU24" i="491"/>
  <c r="ET24" i="491"/>
  <c r="ES24" i="491"/>
  <c r="ER24" i="491"/>
  <c r="EQ24" i="491"/>
  <c r="EP24" i="491"/>
  <c r="EO24" i="491"/>
  <c r="EN24" i="491"/>
  <c r="EM24" i="491"/>
  <c r="EL24" i="491"/>
  <c r="EK24" i="491"/>
  <c r="EJ24" i="491"/>
  <c r="EI24" i="491"/>
  <c r="EH24" i="491"/>
  <c r="EG24" i="491"/>
  <c r="EF24" i="491"/>
  <c r="EE24" i="491"/>
  <c r="ED24" i="491"/>
  <c r="EC24" i="491"/>
  <c r="EB24" i="491"/>
  <c r="EA24" i="491"/>
  <c r="DZ24" i="491"/>
  <c r="DY24" i="491"/>
  <c r="DX24" i="491"/>
  <c r="DW24" i="491"/>
  <c r="DT24" i="491"/>
  <c r="DS24" i="491"/>
  <c r="DR24" i="491"/>
  <c r="DQ24" i="491"/>
  <c r="DP24" i="491"/>
  <c r="DO24" i="491"/>
  <c r="DN24" i="491"/>
  <c r="DM24" i="491"/>
  <c r="DL24" i="491"/>
  <c r="DK24" i="491"/>
  <c r="DJ24" i="491"/>
  <c r="DI24" i="491"/>
  <c r="DH24" i="491"/>
  <c r="DG24" i="491"/>
  <c r="DF24" i="491"/>
  <c r="DE24" i="491"/>
  <c r="DD24" i="491"/>
  <c r="DC24" i="491"/>
  <c r="DB24" i="491"/>
  <c r="DA24" i="491"/>
  <c r="CZ24" i="491"/>
  <c r="CY24" i="491"/>
  <c r="CX24" i="491"/>
  <c r="CW24" i="491"/>
  <c r="CV24" i="491"/>
  <c r="CU24" i="491"/>
  <c r="CT24" i="491"/>
  <c r="CS24" i="491"/>
  <c r="CR24" i="491"/>
  <c r="CQ24" i="491"/>
  <c r="CP24" i="491"/>
  <c r="CO24" i="491"/>
  <c r="CN24" i="491"/>
  <c r="CM24" i="491"/>
  <c r="CL24" i="491"/>
  <c r="CK24" i="491"/>
  <c r="CJ24" i="491"/>
  <c r="CI24" i="491"/>
  <c r="CH24" i="491"/>
  <c r="CG24" i="491"/>
  <c r="CF24" i="491"/>
  <c r="CE24" i="491"/>
  <c r="CD24" i="491"/>
  <c r="CC24" i="491"/>
  <c r="CB24" i="491"/>
  <c r="CA24" i="491"/>
  <c r="BZ24" i="491"/>
  <c r="BY24" i="491"/>
  <c r="BX24" i="491"/>
  <c r="BW24" i="491"/>
  <c r="BV24" i="491"/>
  <c r="BU24" i="491"/>
  <c r="BT24" i="491"/>
  <c r="BS24" i="491"/>
  <c r="BR24" i="491"/>
  <c r="BQ24" i="491"/>
  <c r="BP24" i="491"/>
  <c r="BO24" i="491"/>
  <c r="BN24" i="491"/>
  <c r="BM24" i="491"/>
  <c r="BL24" i="491"/>
  <c r="BK24" i="491"/>
  <c r="BJ24" i="491"/>
  <c r="BI24" i="491"/>
  <c r="BH24" i="491"/>
  <c r="BG24" i="491"/>
  <c r="BF24" i="491"/>
  <c r="BE24" i="491"/>
  <c r="BD24" i="491"/>
  <c r="BC24" i="491"/>
  <c r="BB24" i="491"/>
  <c r="BA24" i="491"/>
  <c r="AZ24" i="491"/>
  <c r="AY24" i="491"/>
  <c r="AX24" i="491"/>
  <c r="AW24" i="491"/>
  <c r="AV24" i="491"/>
  <c r="AU24" i="491"/>
  <c r="AT24" i="491"/>
  <c r="AS24" i="491"/>
  <c r="AR24" i="491"/>
  <c r="AQ24" i="491"/>
  <c r="AP24" i="491"/>
  <c r="AO24" i="491"/>
  <c r="AN24" i="491"/>
  <c r="AM24" i="491"/>
  <c r="AL24" i="491"/>
  <c r="AK24" i="491"/>
  <c r="AJ24" i="491"/>
  <c r="AI24" i="491"/>
  <c r="AH24" i="491"/>
  <c r="AG24" i="491"/>
  <c r="AF24" i="491"/>
  <c r="AE24" i="491"/>
  <c r="AD24" i="491"/>
  <c r="AC24" i="491"/>
  <c r="AB24" i="491"/>
  <c r="AA24" i="491"/>
  <c r="Z24" i="491"/>
  <c r="Y24" i="491"/>
  <c r="T24" i="491"/>
  <c r="U24" i="491" s="1"/>
  <c r="R24" i="491"/>
  <c r="Q24" i="491"/>
  <c r="O24" i="491"/>
  <c r="N24" i="491"/>
  <c r="M24" i="491"/>
  <c r="G24" i="491"/>
  <c r="C24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W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Y18" i="491"/>
  <c r="T18" i="491"/>
  <c r="U18" i="491" s="1"/>
  <c r="R18" i="491"/>
  <c r="Q18" i="491"/>
  <c r="O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W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Y17" i="491"/>
  <c r="T17" i="491"/>
  <c r="U17" i="491" s="1"/>
  <c r="R17" i="491"/>
  <c r="Q17" i="491"/>
  <c r="O17" i="491"/>
  <c r="N17" i="491"/>
  <c r="M17" i="491"/>
  <c r="G17" i="491"/>
  <c r="C17" i="491"/>
  <c r="D7" i="491"/>
  <c r="S6" i="491"/>
  <c r="R4" i="491"/>
  <c r="R3" i="491"/>
  <c r="O25" i="491" l="1"/>
  <c r="GD25" i="491"/>
  <c r="GE25" i="491"/>
  <c r="CG25" i="49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GE13" i="491"/>
  <c r="Q25" i="491" s="1"/>
  <c r="DX13" i="491" l="1"/>
  <c r="Y13" i="491"/>
  <c r="DW13" i="491" s="1"/>
  <c r="Z13" i="491"/>
  <c r="Q20" i="491" l="1"/>
  <c r="M26" i="491" s="1"/>
  <c r="O26" i="491" s="1"/>
  <c r="GD26" i="491" s="1"/>
  <c r="GD13" i="491" s="1"/>
  <c r="Q26" i="491" s="1"/>
  <c r="M38" i="491"/>
  <c r="O38" i="491" s="1"/>
  <c r="GS38" i="491" s="1"/>
  <c r="GS13" i="491" s="1"/>
  <c r="Q38" i="491" s="1"/>
  <c r="Q45" i="491" s="1"/>
  <c r="F38" i="491"/>
  <c r="R20" i="491" l="1"/>
  <c r="R25" i="491"/>
  <c r="R33" i="491" s="1"/>
  <c r="Q33" i="491"/>
  <c r="Q47" i="491" s="1"/>
</calcChain>
</file>

<file path=xl/sharedStrings.xml><?xml version="1.0" encoding="utf-8"?>
<sst xmlns="http://schemas.openxmlformats.org/spreadsheetml/2006/main" count="36" uniqueCount="31">
  <si>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</si>
  <si>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</si>
  <si>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</si>
  <si>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</si>
  <si>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</si>
  <si>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</si>
  <si>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</si>
  <si>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</si>
  <si>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</si>
  <si>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</si>
  <si>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</si>
  <si>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</si>
  <si>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</si>
  <si>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</si>
  <si>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</si>
  <si>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</si>
  <si>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</si>
  <si>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</si>
  <si>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</si>
  <si>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</si>
  <si>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</si>
  <si>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</si>
  <si>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</si>
  <si>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</si>
  <si>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</si>
  <si>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</si>
  <si>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ID-1211</t>
  </si>
  <si>
    <t>TLAJOMULCO</t>
  </si>
  <si>
    <t>22/06/26</t>
  </si>
  <si>
    <t>28/06/26</t>
  </si>
  <si>
    <t>AUX. DE RESIDENTE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</si>
</sst>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17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5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59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38" xfId="0" applyFont="1" applyBorder="1" applyAlignment="1" applyProtection="1">
      <alignment horizontal="center"/>
      <protection locked="0"/>
    </xf>
    <xf numFmtId="0" fontId="7" fillId="0" borderId="39" xfId="0" applyFont="1" applyBorder="1" applyProtection="1">
      <protection locked="0"/>
    </xf>
    <xf numFmtId="0" fontId="7" fillId="0" borderId="40" xfId="0" applyFont="1" applyBorder="1" applyProtection="1">
      <protection hidden="1"/>
    </xf>
    <xf numFmtId="0" fontId="7" fillId="0" borderId="41" xfId="0" applyFont="1" applyBorder="1" applyProtection="1">
      <protection locked="0"/>
    </xf>
    <xf numFmtId="0" fontId="7" fillId="0" borderId="41" xfId="0" applyFont="1" applyBorder="1" applyProtection="1">
      <protection hidden="1"/>
    </xf>
    <xf numFmtId="4" fontId="7" fillId="0" borderId="41" xfId="0" applyNumberFormat="1" applyFont="1" applyBorder="1" applyProtection="1">
      <protection locked="0"/>
    </xf>
    <xf numFmtId="4" fontId="7" fillId="0" borderId="41" xfId="0" applyNumberFormat="1" applyFont="1" applyBorder="1" applyProtection="1">
      <protection hidden="1"/>
    </xf>
    <xf numFmtId="0" fontId="7" fillId="0" borderId="42" xfId="0" applyFont="1" applyBorder="1" applyProtection="1">
      <protection locked="0"/>
    </xf>
    <xf numFmtId="165" fontId="7" fillId="0" borderId="42" xfId="0" applyNumberFormat="1" applyFont="1" applyBorder="1" applyProtection="1">
      <protection hidden="1"/>
    </xf>
    <xf numFmtId="165" fontId="2" fillId="0" borderId="43" xfId="0" applyNumberFormat="1" applyFont="1" applyBorder="1" applyProtection="1">
      <protection hidden="1"/>
    </xf>
    <xf numFmtId="168" fontId="7" fillId="0" borderId="44" xfId="0" applyNumberFormat="1" applyFont="1" applyBorder="1" applyProtection="1">
      <protection hidden="1"/>
    </xf>
    <xf numFmtId="168" fontId="7" fillId="0" borderId="45" xfId="0" applyNumberFormat="1" applyFont="1" applyBorder="1" applyProtection="1">
      <protection hidden="1"/>
    </xf>
    <xf numFmtId="4" fontId="7" fillId="0" borderId="44" xfId="0" applyNumberFormat="1" applyFont="1" applyBorder="1" applyProtection="1">
      <protection hidden="1"/>
    </xf>
    <xf numFmtId="4" fontId="7" fillId="0" borderId="45" xfId="0" applyNumberFormat="1" applyFont="1" applyBorder="1" applyProtection="1">
      <protection hidden="1"/>
    </xf>
    <xf numFmtId="0" fontId="7" fillId="0" borderId="46" xfId="0" applyFont="1" applyBorder="1" applyAlignment="1" applyProtection="1">
      <alignment horizontal="center"/>
      <protection locked="0"/>
    </xf>
    <xf numFmtId="0" fontId="7" fillId="0" borderId="47" xfId="0" applyFont="1" applyBorder="1" applyProtection="1">
      <protection locked="0"/>
    </xf>
    <xf numFmtId="0" fontId="7" fillId="0" borderId="48" xfId="0" applyFont="1" applyBorder="1" applyProtection="1">
      <protection hidden="1"/>
    </xf>
    <xf numFmtId="0" fontId="7" fillId="0" borderId="49" xfId="0" applyFont="1" applyBorder="1" applyProtection="1">
      <protection locked="0"/>
    </xf>
    <xf numFmtId="0" fontId="7" fillId="0" borderId="49" xfId="0" applyFont="1" applyBorder="1" applyProtection="1">
      <protection hidden="1"/>
    </xf>
    <xf numFmtId="4" fontId="7" fillId="0" borderId="49" xfId="0" applyNumberFormat="1" applyFont="1" applyBorder="1" applyProtection="1">
      <protection locked="0"/>
    </xf>
    <xf numFmtId="4" fontId="7" fillId="0" borderId="49" xfId="0" applyNumberFormat="1" applyFont="1" applyBorder="1" applyProtection="1">
      <protection hidden="1"/>
    </xf>
    <xf numFmtId="0" fontId="7" fillId="0" borderId="50" xfId="0" applyFont="1" applyBorder="1" applyProtection="1">
      <protection locked="0"/>
    </xf>
    <xf numFmtId="165" fontId="7" fillId="0" borderId="50" xfId="0" applyNumberFormat="1" applyFont="1" applyBorder="1" applyProtection="1">
      <protection hidden="1"/>
    </xf>
    <xf numFmtId="165" fontId="2" fillId="0" borderId="51" xfId="0" applyNumberFormat="1" applyFont="1" applyBorder="1" applyProtection="1">
      <protection hidden="1"/>
    </xf>
    <xf numFmtId="168" fontId="7" fillId="0" borderId="52" xfId="0" applyNumberFormat="1" applyFont="1" applyBorder="1" applyProtection="1">
      <protection hidden="1"/>
    </xf>
    <xf numFmtId="168" fontId="7" fillId="0" borderId="53" xfId="0" applyNumberFormat="1" applyFont="1" applyBorder="1" applyProtection="1">
      <protection hidden="1"/>
    </xf>
    <xf numFmtId="4" fontId="7" fillId="0" borderId="52" xfId="0" applyNumberFormat="1" applyFont="1" applyBorder="1" applyProtection="1">
      <protection hidden="1"/>
    </xf>
    <xf numFmtId="4" fontId="7" fillId="0" borderId="53" xfId="0" applyNumberFormat="1" applyFont="1" applyBorder="1" applyProtection="1">
      <protection hidden="1"/>
    </xf>
    <xf numFmtId="9" fontId="7" fillId="0" borderId="49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1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49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168" fontId="7" fillId="0" borderId="56" xfId="0" applyNumberFormat="1" applyFont="1" applyBorder="1" applyProtection="1">
      <protection hidden="1"/>
    </xf>
    <xf numFmtId="0" fontId="7" fillId="0" borderId="57" xfId="0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580"/>
  <sheetViews>
    <sheetView tabSelected="1" topLeftCell="A3" zoomScaleNormal="100" workbookViewId="0">
      <selection activeCell="D7" sqref="D7:O7"/>
    </sheetView>
  </sheetViews>
  <sheetFormatPr baseColWidth="10" defaultColWidth="9.21875" defaultRowHeight="13.2" outlineLevelRow="1" x14ac:dyDescent="0.25"/>
  <cols>
    <col min="1" max="1" width="7.5546875" bestFit="1" customWidth="1"/>
    <col min="2" max="2" width="3.5546875" bestFit="1" customWidth="1"/>
    <col min="3" max="3" width="0.44140625" customWidth="1"/>
    <col min="4" max="4" width="2.4414062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3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35" width="1.5546875" bestFit="1" customWidth="1"/>
    <col min="136" max="186" width="2.33203125" bestFit="1" customWidth="1"/>
    <col min="187" max="187" width="6.33203125" bestFit="1" customWidth="1"/>
    <col min="188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32" t="s">
        <v>0</v>
      </c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4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35"/>
      <c r="B2" s="136"/>
      <c r="C2" s="137"/>
      <c r="D2" s="4"/>
      <c r="E2" s="138" t="s">
        <v>21</v>
      </c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40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38" t="s">
        <v>22</v>
      </c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40"/>
      <c r="R3" s="110" t="str">
        <f>LEFT(D6,2)</f>
        <v>ID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1" t="str">
        <f>RIGHT(D6,4)</f>
        <v>1211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41" t="s">
        <v>2</v>
      </c>
      <c r="B6" s="142"/>
      <c r="C6" s="143"/>
      <c r="D6" s="150" t="s">
        <v>26</v>
      </c>
      <c r="E6" s="150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2" t="s">
        <v>25</v>
      </c>
      <c r="Q6" s="153"/>
      <c r="R6" s="117"/>
      <c r="S6" s="61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17.399999999999999" outlineLevel="1" x14ac:dyDescent="0.3">
      <c r="A7" s="144"/>
      <c r="B7" s="145"/>
      <c r="C7" s="146"/>
      <c r="D7" s="156" t="str">
        <f>VLOOKUP($D$6,[1]OB!$A$2:$I$5052,4,FALSE)</f>
        <v>LABORATORIO DE DESARROLLO EDIFICIO C CON ORDEN DE COMPRA</v>
      </c>
      <c r="E7" s="157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4" t="s">
        <v>24</v>
      </c>
      <c r="Q7" s="155"/>
      <c r="R7" s="118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47"/>
      <c r="B8" s="148"/>
      <c r="C8" s="149"/>
      <c r="D8" s="131" t="s">
        <v>27</v>
      </c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19"/>
      <c r="Q8" s="120"/>
      <c r="R8" s="121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22" t="s">
        <v>3</v>
      </c>
      <c r="B10" s="123">
        <v>25</v>
      </c>
      <c r="C10" s="123"/>
      <c r="D10" s="123"/>
      <c r="E10" s="124" t="s">
        <v>28</v>
      </c>
      <c r="F10" s="125" t="s">
        <v>29</v>
      </c>
      <c r="G10" s="126"/>
      <c r="H10" s="127"/>
      <c r="I10" s="127"/>
      <c r="J10" s="128"/>
      <c r="K10" s="127"/>
      <c r="L10" s="127"/>
      <c r="M10" s="127"/>
      <c r="N10" s="127"/>
      <c r="O10" s="127"/>
      <c r="P10" s="127"/>
      <c r="Q10" s="129"/>
      <c r="R10" s="130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2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5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5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4"/>
      <c r="T13" s="21"/>
      <c r="U13" s="21"/>
      <c r="V13" s="21"/>
      <c r="W13" s="21"/>
      <c r="X13" s="58" t="s">
        <v>16</v>
      </c>
      <c r="Y13" s="56">
        <f t="shared" ref="Y13:BD13" si="0">SUM(Y14:Y43)</f>
        <v>0</v>
      </c>
      <c r="Z13" s="57">
        <f t="shared" si="0"/>
        <v>0</v>
      </c>
      <c r="AA13" s="57">
        <f t="shared" si="0"/>
        <v>0</v>
      </c>
      <c r="AB13" s="57">
        <f t="shared" si="0"/>
        <v>0</v>
      </c>
      <c r="AC13" s="57">
        <f t="shared" si="0"/>
        <v>0</v>
      </c>
      <c r="AD13" s="57">
        <f t="shared" si="0"/>
        <v>0</v>
      </c>
      <c r="AE13" s="57">
        <f t="shared" si="0"/>
        <v>0</v>
      </c>
      <c r="AF13" s="57">
        <f t="shared" si="0"/>
        <v>0</v>
      </c>
      <c r="AG13" s="57">
        <f t="shared" si="0"/>
        <v>0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ref="BE13:CJ13" si="1">SUM(BE14:BE43)</f>
        <v>0</v>
      </c>
      <c r="BF13" s="57">
        <f t="shared" si="1"/>
        <v>0</v>
      </c>
      <c r="BG13" s="57">
        <f t="shared" si="1"/>
        <v>0</v>
      </c>
      <c r="BH13" s="57">
        <f t="shared" si="1"/>
        <v>0</v>
      </c>
      <c r="BI13" s="57">
        <f t="shared" si="1"/>
        <v>0</v>
      </c>
      <c r="BJ13" s="57">
        <f t="shared" si="1"/>
        <v>0</v>
      </c>
      <c r="BK13" s="57">
        <f t="shared" si="1"/>
        <v>0</v>
      </c>
      <c r="BL13" s="57">
        <f t="shared" si="1"/>
        <v>0</v>
      </c>
      <c r="BM13" s="57">
        <f t="shared" si="1"/>
        <v>0</v>
      </c>
      <c r="BN13" s="57">
        <f t="shared" si="1"/>
        <v>0</v>
      </c>
      <c r="BO13" s="57">
        <f t="shared" si="1"/>
        <v>0</v>
      </c>
      <c r="BP13" s="57">
        <f t="shared" si="1"/>
        <v>0</v>
      </c>
      <c r="BQ13" s="57">
        <f t="shared" si="1"/>
        <v>0</v>
      </c>
      <c r="BR13" s="57">
        <f t="shared" si="1"/>
        <v>0</v>
      </c>
      <c r="BS13" s="57">
        <f t="shared" si="1"/>
        <v>0</v>
      </c>
      <c r="BT13" s="57">
        <f t="shared" si="1"/>
        <v>0</v>
      </c>
      <c r="BU13" s="57">
        <f t="shared" si="1"/>
        <v>0</v>
      </c>
      <c r="BV13" s="57">
        <f t="shared" si="1"/>
        <v>0</v>
      </c>
      <c r="BW13" s="57">
        <f t="shared" si="1"/>
        <v>0</v>
      </c>
      <c r="BX13" s="57">
        <f t="shared" si="1"/>
        <v>0</v>
      </c>
      <c r="BY13" s="57">
        <f t="shared" si="1"/>
        <v>0</v>
      </c>
      <c r="BZ13" s="57">
        <f t="shared" si="1"/>
        <v>0</v>
      </c>
      <c r="CA13" s="57">
        <f t="shared" si="1"/>
        <v>0</v>
      </c>
      <c r="CB13" s="57">
        <f t="shared" si="1"/>
        <v>0</v>
      </c>
      <c r="CC13" s="57">
        <f t="shared" si="1"/>
        <v>0</v>
      </c>
      <c r="CD13" s="57">
        <f t="shared" si="1"/>
        <v>0</v>
      </c>
      <c r="CE13" s="57">
        <f t="shared" si="1"/>
        <v>0</v>
      </c>
      <c r="CF13" s="57">
        <f t="shared" si="1"/>
        <v>0</v>
      </c>
      <c r="CG13" s="57">
        <f t="shared" si="1"/>
        <v>0</v>
      </c>
      <c r="CH13" s="57">
        <f t="shared" si="1"/>
        <v>0</v>
      </c>
      <c r="CI13" s="57">
        <f t="shared" si="1"/>
        <v>0</v>
      </c>
      <c r="CJ13" s="57">
        <f t="shared" si="1"/>
        <v>0</v>
      </c>
      <c r="CK13" s="57">
        <f t="shared" ref="CK13:DP13" si="2">SUM(CK14:CK43)</f>
        <v>0</v>
      </c>
      <c r="CL13" s="57">
        <f t="shared" si="2"/>
        <v>0</v>
      </c>
      <c r="CM13" s="57">
        <f t="shared" si="2"/>
        <v>0</v>
      </c>
      <c r="CN13" s="57">
        <f t="shared" si="2"/>
        <v>0</v>
      </c>
      <c r="CO13" s="57">
        <f t="shared" si="2"/>
        <v>0</v>
      </c>
      <c r="CP13" s="57">
        <f t="shared" si="2"/>
        <v>0</v>
      </c>
      <c r="CQ13" s="57">
        <f t="shared" si="2"/>
        <v>0</v>
      </c>
      <c r="CR13" s="57">
        <f t="shared" si="2"/>
        <v>0</v>
      </c>
      <c r="CS13" s="57">
        <f t="shared" si="2"/>
        <v>0</v>
      </c>
      <c r="CT13" s="57">
        <f t="shared" si="2"/>
        <v>0</v>
      </c>
      <c r="CU13" s="57">
        <f t="shared" si="2"/>
        <v>0</v>
      </c>
      <c r="CV13" s="57">
        <f t="shared" si="2"/>
        <v>0</v>
      </c>
      <c r="CW13" s="57">
        <f t="shared" si="2"/>
        <v>0</v>
      </c>
      <c r="CX13" s="57">
        <f t="shared" si="2"/>
        <v>0</v>
      </c>
      <c r="CY13" s="57">
        <f t="shared" si="2"/>
        <v>0</v>
      </c>
      <c r="CZ13" s="57">
        <f t="shared" si="2"/>
        <v>0</v>
      </c>
      <c r="DA13" s="57">
        <f t="shared" si="2"/>
        <v>0</v>
      </c>
      <c r="DB13" s="57">
        <f t="shared" si="2"/>
        <v>0</v>
      </c>
      <c r="DC13" s="57">
        <f t="shared" si="2"/>
        <v>0</v>
      </c>
      <c r="DD13" s="57">
        <f t="shared" si="2"/>
        <v>0</v>
      </c>
      <c r="DE13" s="57">
        <f t="shared" si="2"/>
        <v>0</v>
      </c>
      <c r="DF13" s="57">
        <f t="shared" si="2"/>
        <v>0</v>
      </c>
      <c r="DG13" s="57">
        <f t="shared" si="2"/>
        <v>0</v>
      </c>
      <c r="DH13" s="57">
        <f t="shared" si="2"/>
        <v>0</v>
      </c>
      <c r="DI13" s="57">
        <f t="shared" si="2"/>
        <v>0</v>
      </c>
      <c r="DJ13" s="57">
        <f t="shared" si="2"/>
        <v>0</v>
      </c>
      <c r="DK13" s="57">
        <f t="shared" si="2"/>
        <v>0</v>
      </c>
      <c r="DL13" s="57">
        <f t="shared" si="2"/>
        <v>0</v>
      </c>
      <c r="DM13" s="57">
        <f t="shared" si="2"/>
        <v>0</v>
      </c>
      <c r="DN13" s="57">
        <f t="shared" si="2"/>
        <v>0</v>
      </c>
      <c r="DO13" s="57">
        <f t="shared" si="2"/>
        <v>0</v>
      </c>
      <c r="DP13" s="57">
        <f t="shared" si="2"/>
        <v>0</v>
      </c>
      <c r="DQ13" s="57">
        <f t="shared" ref="DQ13:EV13" si="3">SUM(DQ14:DQ43)</f>
        <v>0</v>
      </c>
      <c r="DR13" s="57">
        <f t="shared" si="3"/>
        <v>0</v>
      </c>
      <c r="DS13" s="57">
        <f t="shared" si="3"/>
        <v>0</v>
      </c>
      <c r="DT13" s="106">
        <f t="shared" si="3"/>
        <v>0</v>
      </c>
      <c r="DU13" s="54"/>
      <c r="DV13" s="58" t="s">
        <v>16</v>
      </c>
      <c r="DW13" s="56">
        <f t="shared" ref="DW13:FB13" si="4">SUM(DW14:DW43)</f>
        <v>0</v>
      </c>
      <c r="DX13" s="57">
        <f t="shared" si="4"/>
        <v>0</v>
      </c>
      <c r="DY13" s="57">
        <f t="shared" si="4"/>
        <v>0</v>
      </c>
      <c r="DZ13" s="57">
        <f t="shared" si="4"/>
        <v>0</v>
      </c>
      <c r="EA13" s="57">
        <f t="shared" si="4"/>
        <v>0</v>
      </c>
      <c r="EB13" s="57">
        <f t="shared" si="4"/>
        <v>0</v>
      </c>
      <c r="EC13" s="57">
        <f t="shared" si="4"/>
        <v>0</v>
      </c>
      <c r="ED13" s="57">
        <f t="shared" si="4"/>
        <v>0</v>
      </c>
      <c r="EE13" s="57">
        <f t="shared" si="4"/>
        <v>0</v>
      </c>
      <c r="EF13" s="57">
        <f t="shared" si="4"/>
        <v>0</v>
      </c>
      <c r="EG13" s="57">
        <f t="shared" si="4"/>
        <v>0</v>
      </c>
      <c r="EH13" s="57">
        <f t="shared" si="4"/>
        <v>0</v>
      </c>
      <c r="EI13" s="57">
        <f t="shared" si="4"/>
        <v>0</v>
      </c>
      <c r="EJ13" s="57">
        <f t="shared" si="4"/>
        <v>0</v>
      </c>
      <c r="EK13" s="57">
        <f t="shared" si="4"/>
        <v>0</v>
      </c>
      <c r="EL13" s="57">
        <f t="shared" si="4"/>
        <v>0</v>
      </c>
      <c r="EM13" s="57">
        <f t="shared" si="4"/>
        <v>0</v>
      </c>
      <c r="EN13" s="57">
        <f t="shared" si="4"/>
        <v>0</v>
      </c>
      <c r="EO13" s="57">
        <f t="shared" si="4"/>
        <v>0</v>
      </c>
      <c r="EP13" s="57">
        <f t="shared" si="4"/>
        <v>0</v>
      </c>
      <c r="EQ13" s="57">
        <f t="shared" si="4"/>
        <v>0</v>
      </c>
      <c r="ER13" s="57">
        <f t="shared" si="4"/>
        <v>0</v>
      </c>
      <c r="ES13" s="57">
        <f t="shared" si="4"/>
        <v>0</v>
      </c>
      <c r="ET13" s="57">
        <f t="shared" si="4"/>
        <v>0</v>
      </c>
      <c r="EU13" s="57">
        <f t="shared" si="4"/>
        <v>0</v>
      </c>
      <c r="EV13" s="57">
        <f t="shared" si="4"/>
        <v>0</v>
      </c>
      <c r="EW13" s="57">
        <f t="shared" si="4"/>
        <v>0</v>
      </c>
      <c r="EX13" s="57">
        <f t="shared" si="4"/>
        <v>0</v>
      </c>
      <c r="EY13" s="57">
        <f t="shared" si="4"/>
        <v>0</v>
      </c>
      <c r="EZ13" s="57">
        <f t="shared" si="4"/>
        <v>0</v>
      </c>
      <c r="FA13" s="57">
        <f t="shared" si="4"/>
        <v>0</v>
      </c>
      <c r="FB13" s="57">
        <f t="shared" si="4"/>
        <v>0</v>
      </c>
      <c r="FC13" s="57">
        <f t="shared" ref="FC13:GH13" si="5">SUM(FC14:FC43)</f>
        <v>0</v>
      </c>
      <c r="FD13" s="57">
        <f t="shared" si="5"/>
        <v>0</v>
      </c>
      <c r="FE13" s="57">
        <f t="shared" si="5"/>
        <v>0</v>
      </c>
      <c r="FF13" s="57">
        <f t="shared" si="5"/>
        <v>0</v>
      </c>
      <c r="FG13" s="57">
        <f t="shared" si="5"/>
        <v>0</v>
      </c>
      <c r="FH13" s="57">
        <f t="shared" si="5"/>
        <v>0</v>
      </c>
      <c r="FI13" s="57">
        <f t="shared" si="5"/>
        <v>0</v>
      </c>
      <c r="FJ13" s="57">
        <f t="shared" si="5"/>
        <v>0</v>
      </c>
      <c r="FK13" s="57">
        <f t="shared" si="5"/>
        <v>0</v>
      </c>
      <c r="FL13" s="57">
        <f t="shared" si="5"/>
        <v>0</v>
      </c>
      <c r="FM13" s="57">
        <f t="shared" si="5"/>
        <v>0</v>
      </c>
      <c r="FN13" s="57">
        <f t="shared" si="5"/>
        <v>0</v>
      </c>
      <c r="FO13" s="57">
        <f t="shared" si="5"/>
        <v>0</v>
      </c>
      <c r="FP13" s="57">
        <f t="shared" si="5"/>
        <v>0</v>
      </c>
      <c r="FQ13" s="57">
        <f t="shared" si="5"/>
        <v>0</v>
      </c>
      <c r="FR13" s="57">
        <f t="shared" si="5"/>
        <v>0</v>
      </c>
      <c r="FS13" s="57">
        <f t="shared" si="5"/>
        <v>0</v>
      </c>
      <c r="FT13" s="57">
        <f t="shared" si="5"/>
        <v>0</v>
      </c>
      <c r="FU13" s="57">
        <f t="shared" si="5"/>
        <v>0</v>
      </c>
      <c r="FV13" s="57">
        <f t="shared" si="5"/>
        <v>0</v>
      </c>
      <c r="FW13" s="57">
        <f t="shared" si="5"/>
        <v>0</v>
      </c>
      <c r="FX13" s="57">
        <f t="shared" si="5"/>
        <v>0</v>
      </c>
      <c r="FY13" s="57">
        <f t="shared" si="5"/>
        <v>0</v>
      </c>
      <c r="FZ13" s="57">
        <f t="shared" si="5"/>
        <v>0</v>
      </c>
      <c r="GA13" s="57">
        <f t="shared" si="5"/>
        <v>0</v>
      </c>
      <c r="GB13" s="57">
        <f t="shared" si="5"/>
        <v>0</v>
      </c>
      <c r="GC13" s="57">
        <f t="shared" si="5"/>
        <v>0</v>
      </c>
      <c r="GD13" s="57">
        <f t="shared" si="5"/>
        <v>0</v>
      </c>
      <c r="GE13" s="57">
        <f t="shared" si="5"/>
        <v>6391</v>
      </c>
      <c r="GF13" s="57">
        <f t="shared" si="5"/>
        <v>0</v>
      </c>
      <c r="GG13" s="57">
        <f t="shared" si="5"/>
        <v>0</v>
      </c>
      <c r="GH13" s="57">
        <f t="shared" si="5"/>
        <v>0</v>
      </c>
      <c r="GI13" s="57">
        <f t="shared" ref="GI13:HN13" si="6">SUM(GI14:GI43)</f>
        <v>0</v>
      </c>
      <c r="GJ13" s="57">
        <f t="shared" si="6"/>
        <v>0</v>
      </c>
      <c r="GK13" s="57">
        <f t="shared" si="6"/>
        <v>0</v>
      </c>
      <c r="GL13" s="57">
        <f t="shared" si="6"/>
        <v>0</v>
      </c>
      <c r="GM13" s="57">
        <f t="shared" si="6"/>
        <v>0</v>
      </c>
      <c r="GN13" s="57">
        <f t="shared" si="6"/>
        <v>0</v>
      </c>
      <c r="GO13" s="57">
        <f t="shared" si="6"/>
        <v>0</v>
      </c>
      <c r="GP13" s="57">
        <f t="shared" si="6"/>
        <v>0</v>
      </c>
      <c r="GQ13" s="57">
        <f t="shared" si="6"/>
        <v>0</v>
      </c>
      <c r="GR13" s="57">
        <f t="shared" si="6"/>
        <v>0</v>
      </c>
      <c r="GS13" s="57">
        <f t="shared" si="6"/>
        <v>0</v>
      </c>
      <c r="GT13" s="57">
        <f t="shared" si="6"/>
        <v>0</v>
      </c>
      <c r="GU13" s="57">
        <f t="shared" si="6"/>
        <v>0</v>
      </c>
      <c r="GV13" s="57">
        <f t="shared" si="6"/>
        <v>0</v>
      </c>
      <c r="GW13" s="57">
        <f t="shared" si="6"/>
        <v>0</v>
      </c>
      <c r="GX13" s="57">
        <f t="shared" si="6"/>
        <v>0</v>
      </c>
      <c r="GY13" s="57">
        <f t="shared" si="6"/>
        <v>0</v>
      </c>
      <c r="GZ13" s="57">
        <f t="shared" si="6"/>
        <v>0</v>
      </c>
      <c r="HA13" s="57">
        <f t="shared" si="6"/>
        <v>0</v>
      </c>
      <c r="HB13" s="57">
        <f t="shared" si="6"/>
        <v>0</v>
      </c>
      <c r="HC13" s="57">
        <f t="shared" si="6"/>
        <v>0</v>
      </c>
      <c r="HD13" s="57">
        <f t="shared" si="6"/>
        <v>0</v>
      </c>
      <c r="HE13" s="57">
        <f t="shared" si="6"/>
        <v>0</v>
      </c>
      <c r="HF13" s="57">
        <f t="shared" si="6"/>
        <v>0</v>
      </c>
      <c r="HG13" s="57">
        <f t="shared" si="6"/>
        <v>0</v>
      </c>
      <c r="HH13" s="57">
        <f t="shared" si="6"/>
        <v>0</v>
      </c>
      <c r="HI13" s="57">
        <f t="shared" si="6"/>
        <v>0</v>
      </c>
      <c r="HJ13" s="57">
        <f t="shared" si="6"/>
        <v>0</v>
      </c>
      <c r="HK13" s="57">
        <f t="shared" si="6"/>
        <v>0</v>
      </c>
      <c r="HL13" s="57">
        <f t="shared" si="6"/>
        <v>0</v>
      </c>
      <c r="HM13" s="57">
        <f t="shared" si="6"/>
        <v>0</v>
      </c>
      <c r="HN13" s="57">
        <f t="shared" si="6"/>
        <v>0</v>
      </c>
      <c r="HO13" s="57">
        <f t="shared" ref="HO13:IT13" si="7">SUM(HO14:HO43)</f>
        <v>0</v>
      </c>
      <c r="HP13" s="57">
        <f t="shared" si="7"/>
        <v>0</v>
      </c>
      <c r="HQ13" s="57">
        <f t="shared" si="7"/>
        <v>0</v>
      </c>
      <c r="HR13" s="106">
        <f t="shared" si="7"/>
        <v>0</v>
      </c>
    </row>
    <row r="14" spans="1:226" ht="11.1" customHeight="1" x14ac:dyDescent="0.25">
      <c r="A14" s="26"/>
      <c r="B14" s="27"/>
      <c r="C14" s="28" t="str">
        <f>IF(A14=0,"",VLOOKUP(A14,[2]CO!$A$3:$F$5327,2,0))</f>
        <v/>
      </c>
      <c r="D14" s="29"/>
      <c r="E14" s="29"/>
      <c r="F14" s="29"/>
      <c r="G14" s="30" t="str">
        <f>IF(A14=0,"",VLOOKUP(A14,[2]CO!$A$3:$F$5327,3,0))</f>
        <v/>
      </c>
      <c r="H14" s="29"/>
      <c r="I14" s="31"/>
      <c r="J14" s="31"/>
      <c r="K14" s="31"/>
      <c r="L14" s="31"/>
      <c r="M14" s="32" t="str">
        <f t="shared" ref="M14:M16" si="8">IF(L14=0,"",PRODUCT(I14:L14))</f>
        <v/>
      </c>
      <c r="N14" s="32" t="str">
        <f>IF(B14=0,"",IF(H14="M",HLOOKUP(B14,$Y$12:$DT$13,2),IF(A14=0,"",VLOOKUP(A14,[2]CO!$A$3:$F$5327,4,0))))</f>
        <v/>
      </c>
      <c r="O14" s="32" t="str">
        <f t="shared" ref="O14:O16" si="9">IF(L14=0,"",PRODUCT(M14:N14))</f>
        <v/>
      </c>
      <c r="P14" s="33"/>
      <c r="Q14" s="34" t="str">
        <f t="shared" ref="Q14:Q16" si="10">IF(P14=0,"",(HLOOKUP(P14,$DW$12:$HR$13,2)))</f>
        <v/>
      </c>
      <c r="R14" s="35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RESIDENTE"),VLOOKUP(B14,P$14:Q$43,2),"")*S14)</f>
        <v/>
      </c>
      <c r="T14" s="53" t="str">
        <f>IF(A14=0,"",VLOOKUP(A14,[2]CO!$A$3:$F$5318,5,0))</f>
        <v/>
      </c>
      <c r="U14" s="54">
        <f t="shared" ref="U14:U16" si="11">IF(T14=1,O14*0.1,)</f>
        <v>0</v>
      </c>
      <c r="V14" s="24"/>
      <c r="W14" s="25"/>
      <c r="X14" s="25"/>
      <c r="Y14" s="60" t="str">
        <f t="shared" ref="Y14:AA14" si="12">IF($B14=Y$12,$U14,"")</f>
        <v/>
      </c>
      <c r="Z14" s="55" t="str">
        <f t="shared" si="12"/>
        <v/>
      </c>
      <c r="AA14" s="55" t="str">
        <f t="shared" si="12"/>
        <v/>
      </c>
      <c r="AB14" s="55" t="str">
        <f t="shared" ref="AB14:CI14" si="13">IF($B14=AB$12,$U14,"")</f>
        <v/>
      </c>
      <c r="AC14" s="55" t="str">
        <f t="shared" si="13"/>
        <v/>
      </c>
      <c r="AD14" s="55" t="str">
        <f t="shared" si="13"/>
        <v/>
      </c>
      <c r="AE14" s="55" t="str">
        <f t="shared" si="13"/>
        <v/>
      </c>
      <c r="AF14" s="55" t="str">
        <f t="shared" si="13"/>
        <v/>
      </c>
      <c r="AG14" s="55" t="str">
        <f t="shared" si="13"/>
        <v/>
      </c>
      <c r="AH14" s="55" t="str">
        <f t="shared" si="13"/>
        <v/>
      </c>
      <c r="AI14" s="55" t="str">
        <f t="shared" si="13"/>
        <v/>
      </c>
      <c r="AJ14" s="55" t="str">
        <f t="shared" si="13"/>
        <v/>
      </c>
      <c r="AK14" s="55" t="str">
        <f t="shared" si="13"/>
        <v/>
      </c>
      <c r="AL14" s="55" t="str">
        <f t="shared" si="13"/>
        <v/>
      </c>
      <c r="AM14" s="55" t="str">
        <f t="shared" si="13"/>
        <v/>
      </c>
      <c r="AN14" s="55" t="str">
        <f t="shared" si="13"/>
        <v/>
      </c>
      <c r="AO14" s="55" t="str">
        <f t="shared" si="13"/>
        <v/>
      </c>
      <c r="AP14" s="55" t="str">
        <f t="shared" si="13"/>
        <v/>
      </c>
      <c r="AQ14" s="55" t="str">
        <f t="shared" si="13"/>
        <v/>
      </c>
      <c r="AR14" s="55" t="str">
        <f t="shared" si="13"/>
        <v/>
      </c>
      <c r="AS14" s="55" t="str">
        <f t="shared" si="13"/>
        <v/>
      </c>
      <c r="AT14" s="55" t="str">
        <f t="shared" si="13"/>
        <v/>
      </c>
      <c r="AU14" s="55" t="str">
        <f t="shared" si="13"/>
        <v/>
      </c>
      <c r="AV14" s="55" t="str">
        <f t="shared" si="13"/>
        <v/>
      </c>
      <c r="AW14" s="55" t="str">
        <f t="shared" si="13"/>
        <v/>
      </c>
      <c r="AX14" s="55" t="str">
        <f t="shared" si="13"/>
        <v/>
      </c>
      <c r="AY14" s="55" t="str">
        <f t="shared" si="13"/>
        <v/>
      </c>
      <c r="AZ14" s="55" t="str">
        <f t="shared" si="13"/>
        <v/>
      </c>
      <c r="BA14" s="55" t="str">
        <f t="shared" si="13"/>
        <v/>
      </c>
      <c r="BB14" s="55" t="str">
        <f t="shared" si="13"/>
        <v/>
      </c>
      <c r="BC14" s="55" t="str">
        <f t="shared" si="13"/>
        <v/>
      </c>
      <c r="BD14" s="55" t="str">
        <f t="shared" si="13"/>
        <v/>
      </c>
      <c r="BE14" s="55" t="str">
        <f t="shared" si="13"/>
        <v/>
      </c>
      <c r="BF14" s="55" t="str">
        <f t="shared" si="13"/>
        <v/>
      </c>
      <c r="BG14" s="55" t="str">
        <f t="shared" si="13"/>
        <v/>
      </c>
      <c r="BH14" s="55" t="str">
        <f t="shared" si="13"/>
        <v/>
      </c>
      <c r="BI14" s="55" t="str">
        <f t="shared" si="13"/>
        <v/>
      </c>
      <c r="BJ14" s="55" t="str">
        <f t="shared" si="13"/>
        <v/>
      </c>
      <c r="BK14" s="55" t="str">
        <f t="shared" si="13"/>
        <v/>
      </c>
      <c r="BL14" s="55" t="str">
        <f t="shared" si="13"/>
        <v/>
      </c>
      <c r="BM14" s="55" t="str">
        <f t="shared" si="13"/>
        <v/>
      </c>
      <c r="BN14" s="55" t="str">
        <f t="shared" si="13"/>
        <v/>
      </c>
      <c r="BO14" s="55" t="str">
        <f t="shared" si="13"/>
        <v/>
      </c>
      <c r="BP14" s="55" t="str">
        <f t="shared" si="13"/>
        <v/>
      </c>
      <c r="BQ14" s="55" t="str">
        <f t="shared" si="13"/>
        <v/>
      </c>
      <c r="BR14" s="55" t="str">
        <f t="shared" si="13"/>
        <v/>
      </c>
      <c r="BS14" s="55" t="str">
        <f t="shared" si="13"/>
        <v/>
      </c>
      <c r="BT14" s="55" t="str">
        <f t="shared" si="13"/>
        <v/>
      </c>
      <c r="BU14" s="55" t="str">
        <f t="shared" si="13"/>
        <v/>
      </c>
      <c r="BV14" s="55" t="str">
        <f t="shared" si="13"/>
        <v/>
      </c>
      <c r="BW14" s="55" t="str">
        <f t="shared" si="13"/>
        <v/>
      </c>
      <c r="BX14" s="55" t="str">
        <f t="shared" si="13"/>
        <v/>
      </c>
      <c r="BY14" s="55" t="str">
        <f t="shared" si="13"/>
        <v/>
      </c>
      <c r="BZ14" s="55" t="str">
        <f t="shared" si="13"/>
        <v/>
      </c>
      <c r="CA14" s="55" t="str">
        <f t="shared" si="13"/>
        <v/>
      </c>
      <c r="CB14" s="55" t="str">
        <f t="shared" si="13"/>
        <v/>
      </c>
      <c r="CC14" s="55" t="str">
        <f t="shared" si="13"/>
        <v/>
      </c>
      <c r="CD14" s="55" t="str">
        <f t="shared" si="13"/>
        <v/>
      </c>
      <c r="CE14" s="55" t="str">
        <f t="shared" si="13"/>
        <v/>
      </c>
      <c r="CF14" s="55" t="str">
        <f t="shared" si="13"/>
        <v/>
      </c>
      <c r="CG14" s="55" t="str">
        <f t="shared" si="13"/>
        <v/>
      </c>
      <c r="CH14" s="55" t="str">
        <f t="shared" si="13"/>
        <v/>
      </c>
      <c r="CI14" s="55" t="str">
        <f t="shared" si="13"/>
        <v/>
      </c>
      <c r="CJ14" s="55" t="str">
        <f t="shared" ref="CJ14:CY16" si="14">IF($B14=CJ$12,$U14,"")</f>
        <v/>
      </c>
      <c r="CK14" s="55" t="str">
        <f t="shared" si="14"/>
        <v/>
      </c>
      <c r="CL14" s="55" t="str">
        <f t="shared" si="14"/>
        <v/>
      </c>
      <c r="CM14" s="55" t="str">
        <f t="shared" si="14"/>
        <v/>
      </c>
      <c r="CN14" s="55" t="str">
        <f t="shared" ref="CN14:CY15" si="15">IF($B14=CN$12,$U14,"")</f>
        <v/>
      </c>
      <c r="CO14" s="55" t="str">
        <f t="shared" si="15"/>
        <v/>
      </c>
      <c r="CP14" s="55" t="str">
        <f t="shared" si="15"/>
        <v/>
      </c>
      <c r="CQ14" s="55" t="str">
        <f t="shared" si="15"/>
        <v/>
      </c>
      <c r="CR14" s="55" t="str">
        <f t="shared" si="15"/>
        <v/>
      </c>
      <c r="CS14" s="55" t="str">
        <f t="shared" si="15"/>
        <v/>
      </c>
      <c r="CT14" s="55" t="str">
        <f t="shared" si="15"/>
        <v/>
      </c>
      <c r="CU14" s="55" t="str">
        <f t="shared" si="15"/>
        <v/>
      </c>
      <c r="CV14" s="55" t="str">
        <f t="shared" si="15"/>
        <v/>
      </c>
      <c r="CW14" s="55" t="str">
        <f t="shared" si="15"/>
        <v/>
      </c>
      <c r="CX14" s="55" t="str">
        <f t="shared" si="15"/>
        <v/>
      </c>
      <c r="CY14" s="55" t="str">
        <f t="shared" si="15"/>
        <v/>
      </c>
      <c r="CZ14" s="55" t="str">
        <f t="shared" ref="CZ14:DN16" si="16">IF($B14=CZ$12,$U14,"")</f>
        <v/>
      </c>
      <c r="DA14" s="55" t="str">
        <f t="shared" si="16"/>
        <v/>
      </c>
      <c r="DB14" s="55" t="str">
        <f t="shared" si="16"/>
        <v/>
      </c>
      <c r="DC14" s="55" t="str">
        <f t="shared" si="16"/>
        <v/>
      </c>
      <c r="DD14" s="55" t="str">
        <f t="shared" si="16"/>
        <v/>
      </c>
      <c r="DE14" s="55" t="str">
        <f t="shared" si="16"/>
        <v/>
      </c>
      <c r="DF14" s="55" t="str">
        <f t="shared" si="16"/>
        <v/>
      </c>
      <c r="DG14" s="55" t="str">
        <f t="shared" si="16"/>
        <v/>
      </c>
      <c r="DH14" s="55" t="str">
        <f t="shared" si="16"/>
        <v/>
      </c>
      <c r="DI14" s="55" t="str">
        <f t="shared" si="16"/>
        <v/>
      </c>
      <c r="DJ14" s="55" t="str">
        <f t="shared" si="16"/>
        <v/>
      </c>
      <c r="DK14" s="55" t="str">
        <f t="shared" si="16"/>
        <v/>
      </c>
      <c r="DL14" s="55" t="str">
        <f t="shared" si="16"/>
        <v/>
      </c>
      <c r="DM14" s="55" t="str">
        <f t="shared" si="16"/>
        <v/>
      </c>
      <c r="DN14" s="55" t="str">
        <f t="shared" si="16"/>
        <v/>
      </c>
      <c r="DO14" s="55" t="str">
        <f t="shared" ref="DO14:DT16" si="17">IF($B14=DO$12,$U14,"")</f>
        <v/>
      </c>
      <c r="DP14" s="55" t="str">
        <f t="shared" si="17"/>
        <v/>
      </c>
      <c r="DQ14" s="55" t="str">
        <f t="shared" si="17"/>
        <v/>
      </c>
      <c r="DR14" s="55" t="str">
        <f t="shared" si="17"/>
        <v/>
      </c>
      <c r="DS14" s="55" t="str">
        <f t="shared" si="17"/>
        <v/>
      </c>
      <c r="DT14" s="103" t="str">
        <f t="shared" si="17"/>
        <v/>
      </c>
      <c r="DU14" s="54"/>
      <c r="DV14" s="25"/>
      <c r="DW14" s="59" t="str">
        <f t="shared" ref="DW14:DY14" si="18">IF($B14=DW$12,$O14,"")</f>
        <v/>
      </c>
      <c r="DX14" s="50" t="str">
        <f t="shared" si="18"/>
        <v/>
      </c>
      <c r="DY14" s="50" t="str">
        <f t="shared" si="18"/>
        <v/>
      </c>
      <c r="DZ14" s="50" t="str">
        <f t="shared" ref="DZ14:GG14" si="19">IF($B14=DZ$12,$O14,"")</f>
        <v/>
      </c>
      <c r="EA14" s="50" t="str">
        <f t="shared" si="19"/>
        <v/>
      </c>
      <c r="EB14" s="50" t="str">
        <f t="shared" si="19"/>
        <v/>
      </c>
      <c r="EC14" s="50" t="str">
        <f t="shared" si="19"/>
        <v/>
      </c>
      <c r="ED14" s="50" t="str">
        <f t="shared" si="19"/>
        <v/>
      </c>
      <c r="EE14" s="50" t="str">
        <f t="shared" si="19"/>
        <v/>
      </c>
      <c r="EF14" s="50" t="str">
        <f t="shared" si="19"/>
        <v/>
      </c>
      <c r="EG14" s="50" t="str">
        <f t="shared" si="19"/>
        <v/>
      </c>
      <c r="EH14" s="50" t="str">
        <f t="shared" si="19"/>
        <v/>
      </c>
      <c r="EI14" s="50" t="str">
        <f t="shared" si="19"/>
        <v/>
      </c>
      <c r="EJ14" s="50" t="str">
        <f t="shared" si="19"/>
        <v/>
      </c>
      <c r="EK14" s="50" t="str">
        <f t="shared" si="19"/>
        <v/>
      </c>
      <c r="EL14" s="50" t="str">
        <f t="shared" si="19"/>
        <v/>
      </c>
      <c r="EM14" s="50" t="str">
        <f t="shared" si="19"/>
        <v/>
      </c>
      <c r="EN14" s="50" t="str">
        <f t="shared" si="19"/>
        <v/>
      </c>
      <c r="EO14" s="50" t="str">
        <f t="shared" si="19"/>
        <v/>
      </c>
      <c r="EP14" s="50" t="str">
        <f t="shared" si="19"/>
        <v/>
      </c>
      <c r="EQ14" s="50" t="str">
        <f t="shared" si="19"/>
        <v/>
      </c>
      <c r="ER14" s="50" t="str">
        <f t="shared" si="19"/>
        <v/>
      </c>
      <c r="ES14" s="50" t="str">
        <f t="shared" si="19"/>
        <v/>
      </c>
      <c r="ET14" s="50" t="str">
        <f t="shared" si="19"/>
        <v/>
      </c>
      <c r="EU14" s="50" t="str">
        <f t="shared" si="19"/>
        <v/>
      </c>
      <c r="EV14" s="50" t="str">
        <f t="shared" si="19"/>
        <v/>
      </c>
      <c r="EW14" s="50" t="str">
        <f t="shared" si="19"/>
        <v/>
      </c>
      <c r="EX14" s="50" t="str">
        <f t="shared" si="19"/>
        <v/>
      </c>
      <c r="EY14" s="50" t="str">
        <f t="shared" si="19"/>
        <v/>
      </c>
      <c r="EZ14" s="50" t="str">
        <f t="shared" si="19"/>
        <v/>
      </c>
      <c r="FA14" s="50" t="str">
        <f t="shared" si="19"/>
        <v/>
      </c>
      <c r="FB14" s="50" t="str">
        <f t="shared" si="19"/>
        <v/>
      </c>
      <c r="FC14" s="50" t="str">
        <f t="shared" si="19"/>
        <v/>
      </c>
      <c r="FD14" s="50" t="str">
        <f t="shared" si="19"/>
        <v/>
      </c>
      <c r="FE14" s="50" t="str">
        <f t="shared" si="19"/>
        <v/>
      </c>
      <c r="FF14" s="50" t="str">
        <f t="shared" si="19"/>
        <v/>
      </c>
      <c r="FG14" s="50" t="str">
        <f t="shared" si="19"/>
        <v/>
      </c>
      <c r="FH14" s="50" t="str">
        <f t="shared" si="19"/>
        <v/>
      </c>
      <c r="FI14" s="50" t="str">
        <f t="shared" si="19"/>
        <v/>
      </c>
      <c r="FJ14" s="50" t="str">
        <f t="shared" si="19"/>
        <v/>
      </c>
      <c r="FK14" s="50" t="str">
        <f t="shared" si="19"/>
        <v/>
      </c>
      <c r="FL14" s="50" t="str">
        <f t="shared" si="19"/>
        <v/>
      </c>
      <c r="FM14" s="50" t="str">
        <f t="shared" si="19"/>
        <v/>
      </c>
      <c r="FN14" s="50" t="str">
        <f t="shared" si="19"/>
        <v/>
      </c>
      <c r="FO14" s="50" t="str">
        <f t="shared" si="19"/>
        <v/>
      </c>
      <c r="FP14" s="50" t="str">
        <f t="shared" si="19"/>
        <v/>
      </c>
      <c r="FQ14" s="50" t="str">
        <f t="shared" si="19"/>
        <v/>
      </c>
      <c r="FR14" s="50" t="str">
        <f t="shared" si="19"/>
        <v/>
      </c>
      <c r="FS14" s="50" t="str">
        <f t="shared" si="19"/>
        <v/>
      </c>
      <c r="FT14" s="50" t="str">
        <f t="shared" si="19"/>
        <v/>
      </c>
      <c r="FU14" s="50" t="str">
        <f t="shared" si="19"/>
        <v/>
      </c>
      <c r="FV14" s="50" t="str">
        <f t="shared" si="19"/>
        <v/>
      </c>
      <c r="FW14" s="50" t="str">
        <f t="shared" si="19"/>
        <v/>
      </c>
      <c r="FX14" s="50" t="str">
        <f t="shared" si="19"/>
        <v/>
      </c>
      <c r="FY14" s="50" t="str">
        <f t="shared" si="19"/>
        <v/>
      </c>
      <c r="FZ14" s="50" t="str">
        <f t="shared" si="19"/>
        <v/>
      </c>
      <c r="GA14" s="50" t="str">
        <f t="shared" si="19"/>
        <v/>
      </c>
      <c r="GB14" s="50" t="str">
        <f t="shared" si="19"/>
        <v/>
      </c>
      <c r="GC14" s="50" t="str">
        <f t="shared" si="19"/>
        <v/>
      </c>
      <c r="GD14" s="50" t="str">
        <f t="shared" si="19"/>
        <v/>
      </c>
      <c r="GE14" s="50" t="str">
        <f t="shared" si="19"/>
        <v/>
      </c>
      <c r="GF14" s="50" t="str">
        <f t="shared" si="19"/>
        <v/>
      </c>
      <c r="GG14" s="50" t="str">
        <f t="shared" si="19"/>
        <v/>
      </c>
      <c r="GH14" s="50" t="str">
        <f t="shared" ref="GH14:GW16" si="20">IF($B14=GH$12,$O14,"")</f>
        <v/>
      </c>
      <c r="GI14" s="50" t="str">
        <f t="shared" si="20"/>
        <v/>
      </c>
      <c r="GJ14" s="50" t="str">
        <f t="shared" si="20"/>
        <v/>
      </c>
      <c r="GK14" s="50" t="str">
        <f t="shared" si="20"/>
        <v/>
      </c>
      <c r="GL14" s="50" t="str">
        <f t="shared" ref="GL14:GW15" si="21">IF($B14=GL$12,$O14,"")</f>
        <v/>
      </c>
      <c r="GM14" s="50" t="str">
        <f t="shared" si="21"/>
        <v/>
      </c>
      <c r="GN14" s="50" t="str">
        <f t="shared" si="21"/>
        <v/>
      </c>
      <c r="GO14" s="50" t="str">
        <f t="shared" si="21"/>
        <v/>
      </c>
      <c r="GP14" s="50" t="str">
        <f t="shared" si="21"/>
        <v/>
      </c>
      <c r="GQ14" s="50" t="str">
        <f t="shared" si="21"/>
        <v/>
      </c>
      <c r="GR14" s="50" t="str">
        <f t="shared" si="21"/>
        <v/>
      </c>
      <c r="GS14" s="50" t="str">
        <f t="shared" si="21"/>
        <v/>
      </c>
      <c r="GT14" s="50" t="str">
        <f t="shared" si="21"/>
        <v/>
      </c>
      <c r="GU14" s="50" t="str">
        <f t="shared" si="21"/>
        <v/>
      </c>
      <c r="GV14" s="50" t="str">
        <f t="shared" si="21"/>
        <v/>
      </c>
      <c r="GW14" s="50" t="str">
        <f t="shared" si="21"/>
        <v/>
      </c>
      <c r="GX14" s="50" t="str">
        <f t="shared" ref="GX14:HL16" si="22">IF($B14=GX$12,$O14,"")</f>
        <v/>
      </c>
      <c r="GY14" s="50" t="str">
        <f t="shared" si="22"/>
        <v/>
      </c>
      <c r="GZ14" s="50" t="str">
        <f t="shared" si="22"/>
        <v/>
      </c>
      <c r="HA14" s="50" t="str">
        <f t="shared" si="22"/>
        <v/>
      </c>
      <c r="HB14" s="50" t="str">
        <f t="shared" si="22"/>
        <v/>
      </c>
      <c r="HC14" s="50" t="str">
        <f t="shared" si="22"/>
        <v/>
      </c>
      <c r="HD14" s="50" t="str">
        <f t="shared" si="22"/>
        <v/>
      </c>
      <c r="HE14" s="50" t="str">
        <f t="shared" si="22"/>
        <v/>
      </c>
      <c r="HF14" s="50" t="str">
        <f t="shared" si="22"/>
        <v/>
      </c>
      <c r="HG14" s="50" t="str">
        <f t="shared" si="22"/>
        <v/>
      </c>
      <c r="HH14" s="50" t="str">
        <f t="shared" si="22"/>
        <v/>
      </c>
      <c r="HI14" s="50" t="str">
        <f t="shared" si="22"/>
        <v/>
      </c>
      <c r="HJ14" s="50" t="str">
        <f t="shared" si="22"/>
        <v/>
      </c>
      <c r="HK14" s="50" t="str">
        <f t="shared" si="22"/>
        <v/>
      </c>
      <c r="HL14" s="50" t="str">
        <f t="shared" si="22"/>
        <v/>
      </c>
      <c r="HM14" s="50" t="str">
        <f t="shared" ref="HM14:HR16" si="23">IF($B14=HM$12,$O14,"")</f>
        <v/>
      </c>
      <c r="HN14" s="50" t="str">
        <f t="shared" si="23"/>
        <v/>
      </c>
      <c r="HO14" s="50" t="str">
        <f t="shared" si="23"/>
        <v/>
      </c>
      <c r="HP14" s="50" t="str">
        <f t="shared" si="23"/>
        <v/>
      </c>
      <c r="HQ14" s="50" t="str">
        <f t="shared" si="23"/>
        <v/>
      </c>
      <c r="HR14" s="108" t="str">
        <f t="shared" si="23"/>
        <v/>
      </c>
    </row>
    <row r="15" spans="1:226" ht="11.1" customHeight="1" x14ac:dyDescent="0.25">
      <c r="A15" s="26"/>
      <c r="B15" s="27"/>
      <c r="C15" s="28" t="str">
        <f>IF(A15=0,"",VLOOKUP(A15,[2]CO!$A$3:$F$5327,2,0))</f>
        <v/>
      </c>
      <c r="D15" s="29"/>
      <c r="E15" s="29"/>
      <c r="F15" s="29"/>
      <c r="G15" s="30" t="str">
        <f>IF(A15=0,"",VLOOKUP(A15,[2]CO!$A$3:$F$5327,3,0))</f>
        <v/>
      </c>
      <c r="H15" s="29"/>
      <c r="I15" s="31"/>
      <c r="J15" s="31"/>
      <c r="K15" s="31"/>
      <c r="L15" s="31"/>
      <c r="M15" s="32" t="str">
        <f t="shared" si="8"/>
        <v/>
      </c>
      <c r="N15" s="32" t="str">
        <f>IF(B15=0,"",IF(H15="M",HLOOKUP(B15,$Y$12:$DT$13,2),IF(A15=0,"",VLOOKUP(A15,[2]CO!$A$3:$F$5327,4,0))))</f>
        <v/>
      </c>
      <c r="O15" s="32" t="str">
        <f t="shared" si="9"/>
        <v/>
      </c>
      <c r="P15" s="33"/>
      <c r="Q15" s="34" t="str">
        <f t="shared" si="10"/>
        <v/>
      </c>
      <c r="R15" s="35" t="str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RESIDENTE"),VLOOKUP(B15,P$14:Q$43,2),"")*S15)</f>
        <v/>
      </c>
      <c r="T15" s="53" t="str">
        <f>IF(A15=0,"",VLOOKUP(A15,[2]CO!$A$3:$F$5318,5,0))</f>
        <v/>
      </c>
      <c r="U15" s="54">
        <f t="shared" si="11"/>
        <v>0</v>
      </c>
      <c r="V15" s="24"/>
      <c r="W15" s="25"/>
      <c r="X15" s="25"/>
      <c r="Y15" s="60" t="str">
        <f t="shared" ref="Y15:CI16" si="24">IF($B15=Y$12,$U15,"")</f>
        <v/>
      </c>
      <c r="Z15" s="55" t="str">
        <f t="shared" si="24"/>
        <v/>
      </c>
      <c r="AA15" s="55" t="str">
        <f t="shared" si="24"/>
        <v/>
      </c>
      <c r="AB15" s="55" t="str">
        <f t="shared" si="24"/>
        <v/>
      </c>
      <c r="AC15" s="55" t="str">
        <f t="shared" si="24"/>
        <v/>
      </c>
      <c r="AD15" s="55" t="str">
        <f t="shared" si="24"/>
        <v/>
      </c>
      <c r="AE15" s="55" t="str">
        <f t="shared" si="24"/>
        <v/>
      </c>
      <c r="AF15" s="55" t="str">
        <f t="shared" si="24"/>
        <v/>
      </c>
      <c r="AG15" s="55" t="str">
        <f t="shared" si="24"/>
        <v/>
      </c>
      <c r="AH15" s="55" t="str">
        <f t="shared" si="24"/>
        <v/>
      </c>
      <c r="AI15" s="55" t="str">
        <f t="shared" si="24"/>
        <v/>
      </c>
      <c r="AJ15" s="55" t="str">
        <f t="shared" si="24"/>
        <v/>
      </c>
      <c r="AK15" s="55" t="str">
        <f t="shared" si="24"/>
        <v/>
      </c>
      <c r="AL15" s="55" t="str">
        <f t="shared" si="24"/>
        <v/>
      </c>
      <c r="AM15" s="55" t="str">
        <f t="shared" si="24"/>
        <v/>
      </c>
      <c r="AN15" s="55" t="str">
        <f t="shared" si="24"/>
        <v/>
      </c>
      <c r="AO15" s="55" t="str">
        <f t="shared" si="24"/>
        <v/>
      </c>
      <c r="AP15" s="55" t="str">
        <f t="shared" si="24"/>
        <v/>
      </c>
      <c r="AQ15" s="55" t="str">
        <f t="shared" si="24"/>
        <v/>
      </c>
      <c r="AR15" s="55" t="str">
        <f t="shared" si="24"/>
        <v/>
      </c>
      <c r="AS15" s="55" t="str">
        <f t="shared" si="24"/>
        <v/>
      </c>
      <c r="AT15" s="55" t="str">
        <f t="shared" si="24"/>
        <v/>
      </c>
      <c r="AU15" s="55" t="str">
        <f t="shared" si="24"/>
        <v/>
      </c>
      <c r="AV15" s="55" t="str">
        <f t="shared" si="24"/>
        <v/>
      </c>
      <c r="AW15" s="55" t="str">
        <f t="shared" si="24"/>
        <v/>
      </c>
      <c r="AX15" s="55" t="str">
        <f t="shared" si="24"/>
        <v/>
      </c>
      <c r="AY15" s="55" t="str">
        <f t="shared" si="24"/>
        <v/>
      </c>
      <c r="AZ15" s="55" t="str">
        <f t="shared" si="24"/>
        <v/>
      </c>
      <c r="BA15" s="55" t="str">
        <f t="shared" si="24"/>
        <v/>
      </c>
      <c r="BB15" s="55" t="str">
        <f t="shared" si="24"/>
        <v/>
      </c>
      <c r="BC15" s="55" t="str">
        <f t="shared" si="24"/>
        <v/>
      </c>
      <c r="BD15" s="55" t="str">
        <f t="shared" si="24"/>
        <v/>
      </c>
      <c r="BE15" s="55" t="str">
        <f t="shared" si="24"/>
        <v/>
      </c>
      <c r="BF15" s="55" t="str">
        <f t="shared" si="24"/>
        <v/>
      </c>
      <c r="BG15" s="55" t="str">
        <f t="shared" si="24"/>
        <v/>
      </c>
      <c r="BH15" s="55" t="str">
        <f t="shared" si="24"/>
        <v/>
      </c>
      <c r="BI15" s="55" t="str">
        <f t="shared" si="24"/>
        <v/>
      </c>
      <c r="BJ15" s="55" t="str">
        <f t="shared" si="24"/>
        <v/>
      </c>
      <c r="BK15" s="55" t="str">
        <f t="shared" si="24"/>
        <v/>
      </c>
      <c r="BL15" s="55" t="str">
        <f t="shared" si="24"/>
        <v/>
      </c>
      <c r="BM15" s="55" t="str">
        <f t="shared" si="24"/>
        <v/>
      </c>
      <c r="BN15" s="55" t="str">
        <f t="shared" si="24"/>
        <v/>
      </c>
      <c r="BO15" s="55" t="str">
        <f t="shared" si="24"/>
        <v/>
      </c>
      <c r="BP15" s="55" t="str">
        <f t="shared" si="24"/>
        <v/>
      </c>
      <c r="BQ15" s="55" t="str">
        <f t="shared" si="24"/>
        <v/>
      </c>
      <c r="BR15" s="55" t="str">
        <f t="shared" si="24"/>
        <v/>
      </c>
      <c r="BS15" s="55" t="str">
        <f t="shared" si="24"/>
        <v/>
      </c>
      <c r="BT15" s="55" t="str">
        <f t="shared" si="24"/>
        <v/>
      </c>
      <c r="BU15" s="55" t="str">
        <f t="shared" si="24"/>
        <v/>
      </c>
      <c r="BV15" s="55" t="str">
        <f t="shared" si="24"/>
        <v/>
      </c>
      <c r="BW15" s="55" t="str">
        <f t="shared" si="24"/>
        <v/>
      </c>
      <c r="BX15" s="55" t="str">
        <f t="shared" si="24"/>
        <v/>
      </c>
      <c r="BY15" s="55" t="str">
        <f t="shared" si="24"/>
        <v/>
      </c>
      <c r="BZ15" s="55" t="str">
        <f t="shared" si="24"/>
        <v/>
      </c>
      <c r="CA15" s="55" t="str">
        <f t="shared" si="24"/>
        <v/>
      </c>
      <c r="CB15" s="55" t="str">
        <f t="shared" si="24"/>
        <v/>
      </c>
      <c r="CC15" s="55" t="str">
        <f t="shared" si="24"/>
        <v/>
      </c>
      <c r="CD15" s="55" t="str">
        <f t="shared" si="24"/>
        <v/>
      </c>
      <c r="CE15" s="55" t="str">
        <f t="shared" si="24"/>
        <v/>
      </c>
      <c r="CF15" s="55" t="str">
        <f t="shared" si="24"/>
        <v/>
      </c>
      <c r="CG15" s="55" t="str">
        <f t="shared" si="24"/>
        <v/>
      </c>
      <c r="CH15" s="55" t="str">
        <f t="shared" si="24"/>
        <v/>
      </c>
      <c r="CI15" s="55" t="str">
        <f t="shared" si="24"/>
        <v/>
      </c>
      <c r="CJ15" s="55" t="str">
        <f t="shared" si="14"/>
        <v/>
      </c>
      <c r="CK15" s="55" t="str">
        <f t="shared" si="14"/>
        <v/>
      </c>
      <c r="CL15" s="55" t="str">
        <f t="shared" si="14"/>
        <v/>
      </c>
      <c r="CM15" s="55" t="str">
        <f t="shared" si="14"/>
        <v/>
      </c>
      <c r="CN15" s="55" t="str">
        <f t="shared" si="15"/>
        <v/>
      </c>
      <c r="CO15" s="55" t="str">
        <f t="shared" si="15"/>
        <v/>
      </c>
      <c r="CP15" s="55" t="str">
        <f t="shared" si="15"/>
        <v/>
      </c>
      <c r="CQ15" s="55" t="str">
        <f t="shared" si="15"/>
        <v/>
      </c>
      <c r="CR15" s="55" t="str">
        <f t="shared" si="15"/>
        <v/>
      </c>
      <c r="CS15" s="55" t="str">
        <f t="shared" si="15"/>
        <v/>
      </c>
      <c r="CT15" s="55" t="str">
        <f t="shared" si="15"/>
        <v/>
      </c>
      <c r="CU15" s="55" t="str">
        <f t="shared" si="15"/>
        <v/>
      </c>
      <c r="CV15" s="55" t="str">
        <f t="shared" si="15"/>
        <v/>
      </c>
      <c r="CW15" s="55" t="str">
        <f t="shared" si="15"/>
        <v/>
      </c>
      <c r="CX15" s="55" t="str">
        <f t="shared" si="15"/>
        <v/>
      </c>
      <c r="CY15" s="55" t="str">
        <f t="shared" si="15"/>
        <v/>
      </c>
      <c r="CZ15" s="55" t="str">
        <f t="shared" si="16"/>
        <v/>
      </c>
      <c r="DA15" s="55" t="str">
        <f t="shared" si="16"/>
        <v/>
      </c>
      <c r="DB15" s="55" t="str">
        <f t="shared" si="16"/>
        <v/>
      </c>
      <c r="DC15" s="55" t="str">
        <f t="shared" si="16"/>
        <v/>
      </c>
      <c r="DD15" s="55" t="str">
        <f t="shared" si="16"/>
        <v/>
      </c>
      <c r="DE15" s="55" t="str">
        <f t="shared" si="16"/>
        <v/>
      </c>
      <c r="DF15" s="55" t="str">
        <f t="shared" si="16"/>
        <v/>
      </c>
      <c r="DG15" s="55" t="str">
        <f t="shared" si="16"/>
        <v/>
      </c>
      <c r="DH15" s="55" t="str">
        <f t="shared" si="16"/>
        <v/>
      </c>
      <c r="DI15" s="55" t="str">
        <f t="shared" si="16"/>
        <v/>
      </c>
      <c r="DJ15" s="55" t="str">
        <f t="shared" si="16"/>
        <v/>
      </c>
      <c r="DK15" s="55" t="str">
        <f t="shared" si="16"/>
        <v/>
      </c>
      <c r="DL15" s="55" t="str">
        <f t="shared" si="16"/>
        <v/>
      </c>
      <c r="DM15" s="55" t="str">
        <f t="shared" si="16"/>
        <v/>
      </c>
      <c r="DN15" s="55" t="str">
        <f t="shared" si="16"/>
        <v/>
      </c>
      <c r="DO15" s="55" t="str">
        <f t="shared" si="17"/>
        <v/>
      </c>
      <c r="DP15" s="55" t="str">
        <f t="shared" si="17"/>
        <v/>
      </c>
      <c r="DQ15" s="55" t="str">
        <f t="shared" si="17"/>
        <v/>
      </c>
      <c r="DR15" s="55" t="str">
        <f t="shared" si="17"/>
        <v/>
      </c>
      <c r="DS15" s="55" t="str">
        <f t="shared" si="17"/>
        <v/>
      </c>
      <c r="DT15" s="103" t="str">
        <f t="shared" si="17"/>
        <v/>
      </c>
      <c r="DU15" s="54"/>
      <c r="DV15" s="25"/>
      <c r="DW15" s="59" t="str">
        <f t="shared" ref="DW15:GG16" si="25">IF($B15=DW$12,$O15,"")</f>
        <v/>
      </c>
      <c r="DX15" s="50" t="str">
        <f t="shared" si="25"/>
        <v/>
      </c>
      <c r="DY15" s="50" t="str">
        <f t="shared" si="25"/>
        <v/>
      </c>
      <c r="DZ15" s="50" t="str">
        <f t="shared" si="25"/>
        <v/>
      </c>
      <c r="EA15" s="50" t="str">
        <f t="shared" si="25"/>
        <v/>
      </c>
      <c r="EB15" s="50" t="str">
        <f t="shared" si="25"/>
        <v/>
      </c>
      <c r="EC15" s="50" t="str">
        <f t="shared" si="25"/>
        <v/>
      </c>
      <c r="ED15" s="50" t="str">
        <f t="shared" si="25"/>
        <v/>
      </c>
      <c r="EE15" s="50" t="str">
        <f t="shared" si="25"/>
        <v/>
      </c>
      <c r="EF15" s="50" t="str">
        <f t="shared" si="25"/>
        <v/>
      </c>
      <c r="EG15" s="50" t="str">
        <f t="shared" si="25"/>
        <v/>
      </c>
      <c r="EH15" s="50" t="str">
        <f t="shared" si="25"/>
        <v/>
      </c>
      <c r="EI15" s="50" t="str">
        <f t="shared" si="25"/>
        <v/>
      </c>
      <c r="EJ15" s="50" t="str">
        <f t="shared" si="25"/>
        <v/>
      </c>
      <c r="EK15" s="50" t="str">
        <f t="shared" si="25"/>
        <v/>
      </c>
      <c r="EL15" s="50" t="str">
        <f t="shared" si="25"/>
        <v/>
      </c>
      <c r="EM15" s="50" t="str">
        <f t="shared" si="25"/>
        <v/>
      </c>
      <c r="EN15" s="50" t="str">
        <f t="shared" si="25"/>
        <v/>
      </c>
      <c r="EO15" s="50" t="str">
        <f t="shared" si="25"/>
        <v/>
      </c>
      <c r="EP15" s="50" t="str">
        <f t="shared" si="25"/>
        <v/>
      </c>
      <c r="EQ15" s="50" t="str">
        <f t="shared" si="25"/>
        <v/>
      </c>
      <c r="ER15" s="50" t="str">
        <f t="shared" si="25"/>
        <v/>
      </c>
      <c r="ES15" s="50" t="str">
        <f t="shared" si="25"/>
        <v/>
      </c>
      <c r="ET15" s="50" t="str">
        <f t="shared" si="25"/>
        <v/>
      </c>
      <c r="EU15" s="50" t="str">
        <f t="shared" si="25"/>
        <v/>
      </c>
      <c r="EV15" s="50" t="str">
        <f t="shared" si="25"/>
        <v/>
      </c>
      <c r="EW15" s="50" t="str">
        <f t="shared" si="25"/>
        <v/>
      </c>
      <c r="EX15" s="50" t="str">
        <f t="shared" si="25"/>
        <v/>
      </c>
      <c r="EY15" s="50" t="str">
        <f t="shared" si="25"/>
        <v/>
      </c>
      <c r="EZ15" s="50" t="str">
        <f t="shared" si="25"/>
        <v/>
      </c>
      <c r="FA15" s="50" t="str">
        <f t="shared" si="25"/>
        <v/>
      </c>
      <c r="FB15" s="50" t="str">
        <f t="shared" si="25"/>
        <v/>
      </c>
      <c r="FC15" s="50" t="str">
        <f t="shared" si="25"/>
        <v/>
      </c>
      <c r="FD15" s="50" t="str">
        <f t="shared" si="25"/>
        <v/>
      </c>
      <c r="FE15" s="50" t="str">
        <f t="shared" si="25"/>
        <v/>
      </c>
      <c r="FF15" s="50" t="str">
        <f t="shared" si="25"/>
        <v/>
      </c>
      <c r="FG15" s="50" t="str">
        <f t="shared" si="25"/>
        <v/>
      </c>
      <c r="FH15" s="50" t="str">
        <f t="shared" si="25"/>
        <v/>
      </c>
      <c r="FI15" s="50" t="str">
        <f t="shared" si="25"/>
        <v/>
      </c>
      <c r="FJ15" s="50" t="str">
        <f t="shared" si="25"/>
        <v/>
      </c>
      <c r="FK15" s="50" t="str">
        <f t="shared" si="25"/>
        <v/>
      </c>
      <c r="FL15" s="50" t="str">
        <f t="shared" si="25"/>
        <v/>
      </c>
      <c r="FM15" s="50" t="str">
        <f t="shared" si="25"/>
        <v/>
      </c>
      <c r="FN15" s="50" t="str">
        <f t="shared" si="25"/>
        <v/>
      </c>
      <c r="FO15" s="50" t="str">
        <f t="shared" si="25"/>
        <v/>
      </c>
      <c r="FP15" s="50" t="str">
        <f t="shared" si="25"/>
        <v/>
      </c>
      <c r="FQ15" s="50" t="str">
        <f t="shared" si="25"/>
        <v/>
      </c>
      <c r="FR15" s="50" t="str">
        <f t="shared" si="25"/>
        <v/>
      </c>
      <c r="FS15" s="50" t="str">
        <f t="shared" si="25"/>
        <v/>
      </c>
      <c r="FT15" s="50" t="str">
        <f t="shared" si="25"/>
        <v/>
      </c>
      <c r="FU15" s="50" t="str">
        <f t="shared" si="25"/>
        <v/>
      </c>
      <c r="FV15" s="50" t="str">
        <f t="shared" si="25"/>
        <v/>
      </c>
      <c r="FW15" s="50" t="str">
        <f t="shared" si="25"/>
        <v/>
      </c>
      <c r="FX15" s="50" t="str">
        <f t="shared" si="25"/>
        <v/>
      </c>
      <c r="FY15" s="50" t="str">
        <f t="shared" si="25"/>
        <v/>
      </c>
      <c r="FZ15" s="50" t="str">
        <f t="shared" si="25"/>
        <v/>
      </c>
      <c r="GA15" s="50" t="str">
        <f t="shared" si="25"/>
        <v/>
      </c>
      <c r="GB15" s="50" t="str">
        <f t="shared" si="25"/>
        <v/>
      </c>
      <c r="GC15" s="50" t="str">
        <f t="shared" si="25"/>
        <v/>
      </c>
      <c r="GD15" s="50" t="str">
        <f t="shared" si="25"/>
        <v/>
      </c>
      <c r="GE15" s="50" t="str">
        <f t="shared" si="25"/>
        <v/>
      </c>
      <c r="GF15" s="50" t="str">
        <f t="shared" si="25"/>
        <v/>
      </c>
      <c r="GG15" s="50" t="str">
        <f t="shared" si="25"/>
        <v/>
      </c>
      <c r="GH15" s="50" t="str">
        <f t="shared" si="20"/>
        <v/>
      </c>
      <c r="GI15" s="50" t="str">
        <f t="shared" si="20"/>
        <v/>
      </c>
      <c r="GJ15" s="50" t="str">
        <f t="shared" si="20"/>
        <v/>
      </c>
      <c r="GK15" s="50" t="str">
        <f t="shared" si="20"/>
        <v/>
      </c>
      <c r="GL15" s="50" t="str">
        <f t="shared" si="21"/>
        <v/>
      </c>
      <c r="GM15" s="50" t="str">
        <f t="shared" si="21"/>
        <v/>
      </c>
      <c r="GN15" s="50" t="str">
        <f t="shared" si="21"/>
        <v/>
      </c>
      <c r="GO15" s="50" t="str">
        <f t="shared" si="21"/>
        <v/>
      </c>
      <c r="GP15" s="50" t="str">
        <f t="shared" si="21"/>
        <v/>
      </c>
      <c r="GQ15" s="50" t="str">
        <f t="shared" si="21"/>
        <v/>
      </c>
      <c r="GR15" s="50" t="str">
        <f t="shared" si="21"/>
        <v/>
      </c>
      <c r="GS15" s="50" t="str">
        <f t="shared" si="21"/>
        <v/>
      </c>
      <c r="GT15" s="50" t="str">
        <f t="shared" si="21"/>
        <v/>
      </c>
      <c r="GU15" s="50" t="str">
        <f t="shared" si="21"/>
        <v/>
      </c>
      <c r="GV15" s="50" t="str">
        <f t="shared" si="21"/>
        <v/>
      </c>
      <c r="GW15" s="50" t="str">
        <f t="shared" si="21"/>
        <v/>
      </c>
      <c r="GX15" s="50" t="str">
        <f t="shared" si="22"/>
        <v/>
      </c>
      <c r="GY15" s="50" t="str">
        <f t="shared" si="22"/>
        <v/>
      </c>
      <c r="GZ15" s="50" t="str">
        <f t="shared" si="22"/>
        <v/>
      </c>
      <c r="HA15" s="50" t="str">
        <f t="shared" si="22"/>
        <v/>
      </c>
      <c r="HB15" s="50" t="str">
        <f t="shared" si="22"/>
        <v/>
      </c>
      <c r="HC15" s="50" t="str">
        <f t="shared" si="22"/>
        <v/>
      </c>
      <c r="HD15" s="50" t="str">
        <f t="shared" si="22"/>
        <v/>
      </c>
      <c r="HE15" s="50" t="str">
        <f t="shared" si="22"/>
        <v/>
      </c>
      <c r="HF15" s="50" t="str">
        <f t="shared" si="22"/>
        <v/>
      </c>
      <c r="HG15" s="50" t="str">
        <f t="shared" si="22"/>
        <v/>
      </c>
      <c r="HH15" s="50" t="str">
        <f t="shared" si="22"/>
        <v/>
      </c>
      <c r="HI15" s="50" t="str">
        <f t="shared" si="22"/>
        <v/>
      </c>
      <c r="HJ15" s="50" t="str">
        <f t="shared" si="22"/>
        <v/>
      </c>
      <c r="HK15" s="50" t="str">
        <f t="shared" si="22"/>
        <v/>
      </c>
      <c r="HL15" s="50" t="str">
        <f t="shared" si="22"/>
        <v/>
      </c>
      <c r="HM15" s="50" t="str">
        <f t="shared" si="23"/>
        <v/>
      </c>
      <c r="HN15" s="50" t="str">
        <f t="shared" si="23"/>
        <v/>
      </c>
      <c r="HO15" s="50" t="str">
        <f t="shared" si="23"/>
        <v/>
      </c>
      <c r="HP15" s="50" t="str">
        <f t="shared" si="23"/>
        <v/>
      </c>
      <c r="HQ15" s="50" t="str">
        <f t="shared" si="23"/>
        <v/>
      </c>
      <c r="HR15" s="108" t="str">
        <f t="shared" si="23"/>
        <v/>
      </c>
    </row>
    <row r="16" spans="1:226" ht="11.1" customHeight="1" x14ac:dyDescent="0.25">
      <c r="A16" s="26"/>
      <c r="B16" s="27"/>
      <c r="C16" s="28" t="str">
        <f>IF(A16=0,"",VLOOKUP(A16,[2]CO!$A$3:$F$5327,2,0))</f>
        <v/>
      </c>
      <c r="D16" s="29"/>
      <c r="E16" s="29"/>
      <c r="F16" s="29"/>
      <c r="G16" s="30" t="str">
        <f>IF(A16=0,"",VLOOKUP(A16,[2]CO!$A$3:$F$5327,3,0))</f>
        <v/>
      </c>
      <c r="H16" s="29"/>
      <c r="I16" s="31"/>
      <c r="J16" s="31"/>
      <c r="K16" s="31"/>
      <c r="L16" s="31"/>
      <c r="M16" s="32" t="str">
        <f t="shared" si="8"/>
        <v/>
      </c>
      <c r="N16" s="32" t="str">
        <f>IF(B16=0,"",IF(H16="M",HLOOKUP(B16,$Y$12:$DT$13,2),IF(A16=0,"",VLOOKUP(A16,[2]CO!$A$3:$F$5327,4,0))))</f>
        <v/>
      </c>
      <c r="O16" s="32" t="str">
        <f t="shared" si="9"/>
        <v/>
      </c>
      <c r="P16" s="33"/>
      <c r="Q16" s="34" t="str">
        <f t="shared" si="10"/>
        <v/>
      </c>
      <c r="R16" s="35" t="str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RESIDENTE"),VLOOKUP(B16,P$14:Q$43,2),"")*S16)</f>
        <v/>
      </c>
      <c r="T16" s="53" t="str">
        <f>IF(A16=0,"",VLOOKUP(A16,[2]CO!$A$3:$F$5318,5,0))</f>
        <v/>
      </c>
      <c r="U16" s="54">
        <f t="shared" si="11"/>
        <v>0</v>
      </c>
      <c r="V16" s="24"/>
      <c r="W16" s="25"/>
      <c r="X16" s="25"/>
      <c r="Y16" s="60" t="str">
        <f t="shared" si="24"/>
        <v/>
      </c>
      <c r="Z16" s="55" t="str">
        <f t="shared" si="24"/>
        <v/>
      </c>
      <c r="AA16" s="55" t="str">
        <f t="shared" si="24"/>
        <v/>
      </c>
      <c r="AB16" s="55" t="str">
        <f t="shared" si="24"/>
        <v/>
      </c>
      <c r="AC16" s="55" t="str">
        <f t="shared" si="24"/>
        <v/>
      </c>
      <c r="AD16" s="55" t="str">
        <f t="shared" si="24"/>
        <v/>
      </c>
      <c r="AE16" s="55" t="str">
        <f t="shared" si="24"/>
        <v/>
      </c>
      <c r="AF16" s="55" t="str">
        <f t="shared" si="24"/>
        <v/>
      </c>
      <c r="AG16" s="55" t="str">
        <f t="shared" si="24"/>
        <v/>
      </c>
      <c r="AH16" s="55" t="str">
        <f t="shared" si="24"/>
        <v/>
      </c>
      <c r="AI16" s="55" t="str">
        <f t="shared" si="24"/>
        <v/>
      </c>
      <c r="AJ16" s="55" t="str">
        <f t="shared" si="24"/>
        <v/>
      </c>
      <c r="AK16" s="55" t="str">
        <f t="shared" si="24"/>
        <v/>
      </c>
      <c r="AL16" s="55" t="str">
        <f t="shared" si="24"/>
        <v/>
      </c>
      <c r="AM16" s="55" t="str">
        <f t="shared" si="24"/>
        <v/>
      </c>
      <c r="AN16" s="55" t="str">
        <f t="shared" si="24"/>
        <v/>
      </c>
      <c r="AO16" s="55" t="str">
        <f t="shared" si="24"/>
        <v/>
      </c>
      <c r="AP16" s="55" t="str">
        <f t="shared" si="24"/>
        <v/>
      </c>
      <c r="AQ16" s="55" t="str">
        <f t="shared" si="24"/>
        <v/>
      </c>
      <c r="AR16" s="55" t="str">
        <f t="shared" si="24"/>
        <v/>
      </c>
      <c r="AS16" s="55" t="str">
        <f t="shared" si="24"/>
        <v/>
      </c>
      <c r="AT16" s="55" t="str">
        <f t="shared" si="24"/>
        <v/>
      </c>
      <c r="AU16" s="55" t="str">
        <f t="shared" si="24"/>
        <v/>
      </c>
      <c r="AV16" s="55" t="str">
        <f t="shared" si="24"/>
        <v/>
      </c>
      <c r="AW16" s="55" t="str">
        <f t="shared" si="24"/>
        <v/>
      </c>
      <c r="AX16" s="55" t="str">
        <f t="shared" si="24"/>
        <v/>
      </c>
      <c r="AY16" s="55" t="str">
        <f t="shared" si="24"/>
        <v/>
      </c>
      <c r="AZ16" s="55" t="str">
        <f t="shared" si="24"/>
        <v/>
      </c>
      <c r="BA16" s="55" t="str">
        <f t="shared" si="24"/>
        <v/>
      </c>
      <c r="BB16" s="55" t="str">
        <f t="shared" si="24"/>
        <v/>
      </c>
      <c r="BC16" s="55" t="str">
        <f t="shared" si="24"/>
        <v/>
      </c>
      <c r="BD16" s="55" t="str">
        <f t="shared" si="24"/>
        <v/>
      </c>
      <c r="BE16" s="55" t="str">
        <f t="shared" si="24"/>
        <v/>
      </c>
      <c r="BF16" s="55" t="str">
        <f t="shared" si="24"/>
        <v/>
      </c>
      <c r="BG16" s="55" t="str">
        <f t="shared" si="24"/>
        <v/>
      </c>
      <c r="BH16" s="55" t="str">
        <f t="shared" si="24"/>
        <v/>
      </c>
      <c r="BI16" s="55" t="str">
        <f t="shared" si="24"/>
        <v/>
      </c>
      <c r="BJ16" s="55" t="str">
        <f t="shared" si="24"/>
        <v/>
      </c>
      <c r="BK16" s="55" t="str">
        <f t="shared" si="24"/>
        <v/>
      </c>
      <c r="BL16" s="55" t="str">
        <f t="shared" si="24"/>
        <v/>
      </c>
      <c r="BM16" s="55" t="str">
        <f t="shared" si="24"/>
        <v/>
      </c>
      <c r="BN16" s="55" t="str">
        <f t="shared" si="24"/>
        <v/>
      </c>
      <c r="BO16" s="55" t="str">
        <f t="shared" si="24"/>
        <v/>
      </c>
      <c r="BP16" s="55" t="str">
        <f t="shared" si="24"/>
        <v/>
      </c>
      <c r="BQ16" s="55" t="str">
        <f t="shared" si="24"/>
        <v/>
      </c>
      <c r="BR16" s="55" t="str">
        <f t="shared" si="24"/>
        <v/>
      </c>
      <c r="BS16" s="55" t="str">
        <f t="shared" si="24"/>
        <v/>
      </c>
      <c r="BT16" s="55" t="str">
        <f t="shared" si="24"/>
        <v/>
      </c>
      <c r="BU16" s="55" t="str">
        <f t="shared" si="24"/>
        <v/>
      </c>
      <c r="BV16" s="55" t="str">
        <f t="shared" si="24"/>
        <v/>
      </c>
      <c r="BW16" s="55" t="str">
        <f t="shared" si="24"/>
        <v/>
      </c>
      <c r="BX16" s="55" t="str">
        <f t="shared" si="24"/>
        <v/>
      </c>
      <c r="BY16" s="55" t="str">
        <f t="shared" si="24"/>
        <v/>
      </c>
      <c r="BZ16" s="55" t="str">
        <f t="shared" si="24"/>
        <v/>
      </c>
      <c r="CA16" s="55" t="str">
        <f t="shared" si="24"/>
        <v/>
      </c>
      <c r="CB16" s="55" t="str">
        <f t="shared" si="24"/>
        <v/>
      </c>
      <c r="CC16" s="55" t="str">
        <f t="shared" si="24"/>
        <v/>
      </c>
      <c r="CD16" s="55" t="str">
        <f t="shared" si="24"/>
        <v/>
      </c>
      <c r="CE16" s="55" t="str">
        <f t="shared" si="24"/>
        <v/>
      </c>
      <c r="CF16" s="55" t="str">
        <f t="shared" si="24"/>
        <v/>
      </c>
      <c r="CG16" s="55" t="str">
        <f t="shared" si="24"/>
        <v/>
      </c>
      <c r="CH16" s="55" t="str">
        <f t="shared" si="24"/>
        <v/>
      </c>
      <c r="CI16" s="55" t="str">
        <f t="shared" si="24"/>
        <v/>
      </c>
      <c r="CJ16" s="55" t="str">
        <f t="shared" si="14"/>
        <v/>
      </c>
      <c r="CK16" s="55" t="str">
        <f t="shared" si="14"/>
        <v/>
      </c>
      <c r="CL16" s="55" t="str">
        <f t="shared" si="14"/>
        <v/>
      </c>
      <c r="CM16" s="55" t="str">
        <f t="shared" si="14"/>
        <v/>
      </c>
      <c r="CN16" s="55" t="str">
        <f t="shared" si="14"/>
        <v/>
      </c>
      <c r="CO16" s="55" t="str">
        <f t="shared" si="14"/>
        <v/>
      </c>
      <c r="CP16" s="55" t="str">
        <f t="shared" si="14"/>
        <v/>
      </c>
      <c r="CQ16" s="55" t="str">
        <f t="shared" si="14"/>
        <v/>
      </c>
      <c r="CR16" s="55" t="str">
        <f t="shared" si="14"/>
        <v/>
      </c>
      <c r="CS16" s="55" t="str">
        <f t="shared" si="14"/>
        <v/>
      </c>
      <c r="CT16" s="55" t="str">
        <f t="shared" si="14"/>
        <v/>
      </c>
      <c r="CU16" s="55" t="str">
        <f t="shared" si="14"/>
        <v/>
      </c>
      <c r="CV16" s="55" t="str">
        <f t="shared" si="14"/>
        <v/>
      </c>
      <c r="CW16" s="55" t="str">
        <f t="shared" si="14"/>
        <v/>
      </c>
      <c r="CX16" s="55" t="str">
        <f t="shared" si="14"/>
        <v/>
      </c>
      <c r="CY16" s="55" t="str">
        <f t="shared" si="14"/>
        <v/>
      </c>
      <c r="CZ16" s="55" t="str">
        <f t="shared" si="16"/>
        <v/>
      </c>
      <c r="DA16" s="55" t="str">
        <f t="shared" si="16"/>
        <v/>
      </c>
      <c r="DB16" s="55" t="str">
        <f t="shared" si="16"/>
        <v/>
      </c>
      <c r="DC16" s="55" t="str">
        <f t="shared" si="16"/>
        <v/>
      </c>
      <c r="DD16" s="55" t="str">
        <f t="shared" si="16"/>
        <v/>
      </c>
      <c r="DE16" s="55" t="str">
        <f t="shared" si="16"/>
        <v/>
      </c>
      <c r="DF16" s="55" t="str">
        <f t="shared" si="16"/>
        <v/>
      </c>
      <c r="DG16" s="55" t="str">
        <f t="shared" si="16"/>
        <v/>
      </c>
      <c r="DH16" s="55" t="str">
        <f t="shared" si="16"/>
        <v/>
      </c>
      <c r="DI16" s="55" t="str">
        <f t="shared" si="16"/>
        <v/>
      </c>
      <c r="DJ16" s="55" t="str">
        <f t="shared" si="16"/>
        <v/>
      </c>
      <c r="DK16" s="55" t="str">
        <f t="shared" si="16"/>
        <v/>
      </c>
      <c r="DL16" s="55" t="str">
        <f t="shared" si="16"/>
        <v/>
      </c>
      <c r="DM16" s="55" t="str">
        <f t="shared" si="16"/>
        <v/>
      </c>
      <c r="DN16" s="55" t="str">
        <f t="shared" si="16"/>
        <v/>
      </c>
      <c r="DO16" s="55" t="str">
        <f t="shared" si="17"/>
        <v/>
      </c>
      <c r="DP16" s="55" t="str">
        <f t="shared" si="17"/>
        <v/>
      </c>
      <c r="DQ16" s="55" t="str">
        <f t="shared" si="17"/>
        <v/>
      </c>
      <c r="DR16" s="55" t="str">
        <f t="shared" si="17"/>
        <v/>
      </c>
      <c r="DS16" s="55" t="str">
        <f t="shared" si="17"/>
        <v/>
      </c>
      <c r="DT16" s="103" t="str">
        <f t="shared" si="17"/>
        <v/>
      </c>
      <c r="DU16" s="54"/>
      <c r="DV16" s="25"/>
      <c r="DW16" s="59" t="str">
        <f t="shared" si="25"/>
        <v/>
      </c>
      <c r="DX16" s="50" t="str">
        <f t="shared" si="25"/>
        <v/>
      </c>
      <c r="DY16" s="50" t="str">
        <f t="shared" si="25"/>
        <v/>
      </c>
      <c r="DZ16" s="50" t="str">
        <f t="shared" si="25"/>
        <v/>
      </c>
      <c r="EA16" s="50" t="str">
        <f t="shared" si="25"/>
        <v/>
      </c>
      <c r="EB16" s="50" t="str">
        <f t="shared" si="25"/>
        <v/>
      </c>
      <c r="EC16" s="50" t="str">
        <f t="shared" si="25"/>
        <v/>
      </c>
      <c r="ED16" s="50" t="str">
        <f t="shared" si="25"/>
        <v/>
      </c>
      <c r="EE16" s="50" t="str">
        <f t="shared" si="25"/>
        <v/>
      </c>
      <c r="EF16" s="50" t="str">
        <f t="shared" si="25"/>
        <v/>
      </c>
      <c r="EG16" s="50" t="str">
        <f t="shared" si="25"/>
        <v/>
      </c>
      <c r="EH16" s="50" t="str">
        <f t="shared" si="25"/>
        <v/>
      </c>
      <c r="EI16" s="50" t="str">
        <f t="shared" si="25"/>
        <v/>
      </c>
      <c r="EJ16" s="50" t="str">
        <f t="shared" si="25"/>
        <v/>
      </c>
      <c r="EK16" s="50" t="str">
        <f t="shared" si="25"/>
        <v/>
      </c>
      <c r="EL16" s="50" t="str">
        <f t="shared" si="25"/>
        <v/>
      </c>
      <c r="EM16" s="50" t="str">
        <f t="shared" si="25"/>
        <v/>
      </c>
      <c r="EN16" s="50" t="str">
        <f t="shared" si="25"/>
        <v/>
      </c>
      <c r="EO16" s="50" t="str">
        <f t="shared" si="25"/>
        <v/>
      </c>
      <c r="EP16" s="50" t="str">
        <f t="shared" si="25"/>
        <v/>
      </c>
      <c r="EQ16" s="50" t="str">
        <f t="shared" si="25"/>
        <v/>
      </c>
      <c r="ER16" s="50" t="str">
        <f t="shared" si="25"/>
        <v/>
      </c>
      <c r="ES16" s="50" t="str">
        <f t="shared" si="25"/>
        <v/>
      </c>
      <c r="ET16" s="50" t="str">
        <f t="shared" si="25"/>
        <v/>
      </c>
      <c r="EU16" s="50" t="str">
        <f t="shared" si="25"/>
        <v/>
      </c>
      <c r="EV16" s="50" t="str">
        <f t="shared" si="25"/>
        <v/>
      </c>
      <c r="EW16" s="50" t="str">
        <f t="shared" si="25"/>
        <v/>
      </c>
      <c r="EX16" s="50" t="str">
        <f t="shared" si="25"/>
        <v/>
      </c>
      <c r="EY16" s="50" t="str">
        <f t="shared" si="25"/>
        <v/>
      </c>
      <c r="EZ16" s="50" t="str">
        <f t="shared" si="25"/>
        <v/>
      </c>
      <c r="FA16" s="50" t="str">
        <f t="shared" si="25"/>
        <v/>
      </c>
      <c r="FB16" s="50" t="str">
        <f t="shared" si="25"/>
        <v/>
      </c>
      <c r="FC16" s="50" t="str">
        <f t="shared" si="25"/>
        <v/>
      </c>
      <c r="FD16" s="50" t="str">
        <f t="shared" si="25"/>
        <v/>
      </c>
      <c r="FE16" s="50" t="str">
        <f t="shared" si="25"/>
        <v/>
      </c>
      <c r="FF16" s="50" t="str">
        <f t="shared" si="25"/>
        <v/>
      </c>
      <c r="FG16" s="50" t="str">
        <f t="shared" si="25"/>
        <v/>
      </c>
      <c r="FH16" s="50" t="str">
        <f t="shared" si="25"/>
        <v/>
      </c>
      <c r="FI16" s="50" t="str">
        <f t="shared" si="25"/>
        <v/>
      </c>
      <c r="FJ16" s="50" t="str">
        <f t="shared" si="25"/>
        <v/>
      </c>
      <c r="FK16" s="50" t="str">
        <f t="shared" si="25"/>
        <v/>
      </c>
      <c r="FL16" s="50" t="str">
        <f t="shared" si="25"/>
        <v/>
      </c>
      <c r="FM16" s="50" t="str">
        <f t="shared" si="25"/>
        <v/>
      </c>
      <c r="FN16" s="50" t="str">
        <f t="shared" si="25"/>
        <v/>
      </c>
      <c r="FO16" s="50" t="str">
        <f t="shared" si="25"/>
        <v/>
      </c>
      <c r="FP16" s="50" t="str">
        <f t="shared" si="25"/>
        <v/>
      </c>
      <c r="FQ16" s="50" t="str">
        <f t="shared" si="25"/>
        <v/>
      </c>
      <c r="FR16" s="50" t="str">
        <f t="shared" si="25"/>
        <v/>
      </c>
      <c r="FS16" s="50" t="str">
        <f t="shared" si="25"/>
        <v/>
      </c>
      <c r="FT16" s="50" t="str">
        <f t="shared" si="25"/>
        <v/>
      </c>
      <c r="FU16" s="50" t="str">
        <f t="shared" si="25"/>
        <v/>
      </c>
      <c r="FV16" s="50" t="str">
        <f t="shared" si="25"/>
        <v/>
      </c>
      <c r="FW16" s="50" t="str">
        <f t="shared" si="25"/>
        <v/>
      </c>
      <c r="FX16" s="50" t="str">
        <f t="shared" si="25"/>
        <v/>
      </c>
      <c r="FY16" s="50" t="str">
        <f t="shared" si="25"/>
        <v/>
      </c>
      <c r="FZ16" s="50" t="str">
        <f t="shared" si="25"/>
        <v/>
      </c>
      <c r="GA16" s="50" t="str">
        <f t="shared" si="25"/>
        <v/>
      </c>
      <c r="GB16" s="50" t="str">
        <f t="shared" si="25"/>
        <v/>
      </c>
      <c r="GC16" s="50" t="str">
        <f t="shared" si="25"/>
        <v/>
      </c>
      <c r="GD16" s="50" t="str">
        <f t="shared" si="25"/>
        <v/>
      </c>
      <c r="GE16" s="50" t="str">
        <f t="shared" si="25"/>
        <v/>
      </c>
      <c r="GF16" s="50" t="str">
        <f t="shared" si="25"/>
        <v/>
      </c>
      <c r="GG16" s="50" t="str">
        <f t="shared" si="25"/>
        <v/>
      </c>
      <c r="GH16" s="50" t="str">
        <f t="shared" si="20"/>
        <v/>
      </c>
      <c r="GI16" s="50" t="str">
        <f t="shared" si="20"/>
        <v/>
      </c>
      <c r="GJ16" s="50" t="str">
        <f t="shared" si="20"/>
        <v/>
      </c>
      <c r="GK16" s="50" t="str">
        <f t="shared" si="20"/>
        <v/>
      </c>
      <c r="GL16" s="50" t="str">
        <f t="shared" si="20"/>
        <v/>
      </c>
      <c r="GM16" s="50" t="str">
        <f t="shared" si="20"/>
        <v/>
      </c>
      <c r="GN16" s="50" t="str">
        <f t="shared" si="20"/>
        <v/>
      </c>
      <c r="GO16" s="50" t="str">
        <f t="shared" si="20"/>
        <v/>
      </c>
      <c r="GP16" s="50" t="str">
        <f t="shared" si="20"/>
        <v/>
      </c>
      <c r="GQ16" s="50" t="str">
        <f t="shared" si="20"/>
        <v/>
      </c>
      <c r="GR16" s="50" t="str">
        <f t="shared" si="20"/>
        <v/>
      </c>
      <c r="GS16" s="50" t="str">
        <f t="shared" si="20"/>
        <v/>
      </c>
      <c r="GT16" s="50" t="str">
        <f t="shared" si="20"/>
        <v/>
      </c>
      <c r="GU16" s="50" t="str">
        <f t="shared" si="20"/>
        <v/>
      </c>
      <c r="GV16" s="50" t="str">
        <f t="shared" si="20"/>
        <v/>
      </c>
      <c r="GW16" s="50" t="str">
        <f t="shared" si="20"/>
        <v/>
      </c>
      <c r="GX16" s="50" t="str">
        <f t="shared" si="22"/>
        <v/>
      </c>
      <c r="GY16" s="50" t="str">
        <f t="shared" si="22"/>
        <v/>
      </c>
      <c r="GZ16" s="50" t="str">
        <f t="shared" si="22"/>
        <v/>
      </c>
      <c r="HA16" s="50" t="str">
        <f t="shared" si="22"/>
        <v/>
      </c>
      <c r="HB16" s="50" t="str">
        <f t="shared" si="22"/>
        <v/>
      </c>
      <c r="HC16" s="50" t="str">
        <f t="shared" si="22"/>
        <v/>
      </c>
      <c r="HD16" s="50" t="str">
        <f t="shared" si="22"/>
        <v/>
      </c>
      <c r="HE16" s="50" t="str">
        <f t="shared" si="22"/>
        <v/>
      </c>
      <c r="HF16" s="50" t="str">
        <f t="shared" si="22"/>
        <v/>
      </c>
      <c r="HG16" s="50" t="str">
        <f t="shared" si="22"/>
        <v/>
      </c>
      <c r="HH16" s="50" t="str">
        <f t="shared" si="22"/>
        <v/>
      </c>
      <c r="HI16" s="50" t="str">
        <f t="shared" si="22"/>
        <v/>
      </c>
      <c r="HJ16" s="50" t="str">
        <f t="shared" si="22"/>
        <v/>
      </c>
      <c r="HK16" s="50" t="str">
        <f t="shared" si="22"/>
        <v/>
      </c>
      <c r="HL16" s="50" t="str">
        <f t="shared" si="22"/>
        <v/>
      </c>
      <c r="HM16" s="50" t="str">
        <f t="shared" si="23"/>
        <v/>
      </c>
      <c r="HN16" s="50" t="str">
        <f t="shared" si="23"/>
        <v/>
      </c>
      <c r="HO16" s="50" t="str">
        <f t="shared" si="23"/>
        <v/>
      </c>
      <c r="HP16" s="50" t="str">
        <f t="shared" si="23"/>
        <v/>
      </c>
      <c r="HQ16" s="50" t="str">
        <f t="shared" si="23"/>
        <v/>
      </c>
      <c r="HR16" s="108" t="str">
        <f t="shared" si="23"/>
        <v/>
      </c>
    </row>
    <row r="17" spans="1:226" ht="11.1" customHeight="1" x14ac:dyDescent="0.25">
      <c r="A17" s="26"/>
      <c r="B17" s="27"/>
      <c r="C17" s="28" t="str">
        <f>IF(A17=0,"",VLOOKUP(A17,[2]CO!$A$3:$F$5327,2,0))</f>
        <v/>
      </c>
      <c r="D17" s="29"/>
      <c r="E17" s="29"/>
      <c r="F17" s="29"/>
      <c r="G17" s="30" t="str">
        <f>IF(A17=0,"",VLOOKUP(A17,[2]CO!$A$3:$F$5327,3,0))</f>
        <v/>
      </c>
      <c r="H17" s="29"/>
      <c r="I17" s="31"/>
      <c r="J17" s="31"/>
      <c r="K17" s="31"/>
      <c r="L17" s="31"/>
      <c r="M17" s="32" t="str">
        <f t="shared" ref="M17:M18" si="26">IF(L17=0,"",PRODUCT(I17:L17))</f>
        <v/>
      </c>
      <c r="N17" s="32" t="str">
        <f>IF(B17=0,"",IF(H17="M",HLOOKUP(B17,$Y$12:$DT$13,2),IF(A17=0,"",VLOOKUP(A17,[2]CO!$A$3:$F$5327,4,0))))</f>
        <v/>
      </c>
      <c r="O17" s="32" t="str">
        <f t="shared" ref="O17:O43" si="27">IF(L17=0,"",PRODUCT(M17:N17))</f>
        <v/>
      </c>
      <c r="P17" s="33"/>
      <c r="Q17" s="34" t="str">
        <f t="shared" ref="Q17:Q18" si="28">IF(P17=0,"",(HLOOKUP(P17,$DW$12:$HR$13,2)))</f>
        <v/>
      </c>
      <c r="R17" s="35" t="str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RESIDENTE"),VLOOKUP(B17,P$14:Q$43,2),"")*S17)</f>
        <v/>
      </c>
      <c r="T17" s="53" t="str">
        <f>IF(A17=0,"",VLOOKUP(A17,[2]CO!$A$3:$F$5318,5,0))</f>
        <v/>
      </c>
      <c r="U17" s="54">
        <f t="shared" ref="U17:U18" si="29">IF(T17=1,O17*0.1,)</f>
        <v>0</v>
      </c>
      <c r="V17" s="24"/>
      <c r="W17" s="25"/>
      <c r="X17" s="25"/>
      <c r="Y17" s="60" t="str">
        <f t="shared" ref="Y17:CI18" si="30">IF($B17=Y$12,$U17,"")</f>
        <v/>
      </c>
      <c r="Z17" s="55" t="str">
        <f t="shared" si="30"/>
        <v/>
      </c>
      <c r="AA17" s="55" t="str">
        <f t="shared" si="30"/>
        <v/>
      </c>
      <c r="AB17" s="55" t="str">
        <f t="shared" si="30"/>
        <v/>
      </c>
      <c r="AC17" s="55" t="str">
        <f t="shared" si="30"/>
        <v/>
      </c>
      <c r="AD17" s="55" t="str">
        <f t="shared" si="30"/>
        <v/>
      </c>
      <c r="AE17" s="55" t="str">
        <f t="shared" si="30"/>
        <v/>
      </c>
      <c r="AF17" s="55" t="str">
        <f t="shared" si="30"/>
        <v/>
      </c>
      <c r="AG17" s="55" t="str">
        <f t="shared" si="30"/>
        <v/>
      </c>
      <c r="AH17" s="55" t="str">
        <f t="shared" si="30"/>
        <v/>
      </c>
      <c r="AI17" s="55" t="str">
        <f t="shared" si="30"/>
        <v/>
      </c>
      <c r="AJ17" s="55" t="str">
        <f t="shared" si="30"/>
        <v/>
      </c>
      <c r="AK17" s="55" t="str">
        <f t="shared" si="30"/>
        <v/>
      </c>
      <c r="AL17" s="55" t="str">
        <f t="shared" si="30"/>
        <v/>
      </c>
      <c r="AM17" s="55" t="str">
        <f t="shared" si="30"/>
        <v/>
      </c>
      <c r="AN17" s="55" t="str">
        <f t="shared" si="30"/>
        <v/>
      </c>
      <c r="AO17" s="55" t="str">
        <f t="shared" si="30"/>
        <v/>
      </c>
      <c r="AP17" s="55" t="str">
        <f t="shared" si="30"/>
        <v/>
      </c>
      <c r="AQ17" s="55" t="str">
        <f t="shared" si="30"/>
        <v/>
      </c>
      <c r="AR17" s="55" t="str">
        <f t="shared" si="30"/>
        <v/>
      </c>
      <c r="AS17" s="55" t="str">
        <f t="shared" si="30"/>
        <v/>
      </c>
      <c r="AT17" s="55" t="str">
        <f t="shared" si="30"/>
        <v/>
      </c>
      <c r="AU17" s="55" t="str">
        <f t="shared" si="30"/>
        <v/>
      </c>
      <c r="AV17" s="55" t="str">
        <f t="shared" si="30"/>
        <v/>
      </c>
      <c r="AW17" s="55" t="str">
        <f t="shared" si="30"/>
        <v/>
      </c>
      <c r="AX17" s="55" t="str">
        <f t="shared" si="30"/>
        <v/>
      </c>
      <c r="AY17" s="55" t="str">
        <f t="shared" si="30"/>
        <v/>
      </c>
      <c r="AZ17" s="55" t="str">
        <f t="shared" si="30"/>
        <v/>
      </c>
      <c r="BA17" s="55" t="str">
        <f t="shared" si="30"/>
        <v/>
      </c>
      <c r="BB17" s="55" t="str">
        <f t="shared" si="30"/>
        <v/>
      </c>
      <c r="BC17" s="55" t="str">
        <f t="shared" si="30"/>
        <v/>
      </c>
      <c r="BD17" s="55" t="str">
        <f t="shared" si="30"/>
        <v/>
      </c>
      <c r="BE17" s="55" t="str">
        <f t="shared" si="30"/>
        <v/>
      </c>
      <c r="BF17" s="55" t="str">
        <f t="shared" si="30"/>
        <v/>
      </c>
      <c r="BG17" s="55" t="str">
        <f t="shared" si="30"/>
        <v/>
      </c>
      <c r="BH17" s="55" t="str">
        <f t="shared" si="30"/>
        <v/>
      </c>
      <c r="BI17" s="55" t="str">
        <f t="shared" si="30"/>
        <v/>
      </c>
      <c r="BJ17" s="55" t="str">
        <f t="shared" si="30"/>
        <v/>
      </c>
      <c r="BK17" s="55" t="str">
        <f t="shared" si="30"/>
        <v/>
      </c>
      <c r="BL17" s="55" t="str">
        <f t="shared" si="30"/>
        <v/>
      </c>
      <c r="BM17" s="55" t="str">
        <f t="shared" si="30"/>
        <v/>
      </c>
      <c r="BN17" s="55" t="str">
        <f t="shared" si="30"/>
        <v/>
      </c>
      <c r="BO17" s="55" t="str">
        <f t="shared" si="30"/>
        <v/>
      </c>
      <c r="BP17" s="55" t="str">
        <f t="shared" si="30"/>
        <v/>
      </c>
      <c r="BQ17" s="55" t="str">
        <f t="shared" si="30"/>
        <v/>
      </c>
      <c r="BR17" s="55" t="str">
        <f t="shared" si="30"/>
        <v/>
      </c>
      <c r="BS17" s="55" t="str">
        <f t="shared" si="30"/>
        <v/>
      </c>
      <c r="BT17" s="55" t="str">
        <f t="shared" si="30"/>
        <v/>
      </c>
      <c r="BU17" s="55" t="str">
        <f t="shared" si="30"/>
        <v/>
      </c>
      <c r="BV17" s="55" t="str">
        <f t="shared" si="30"/>
        <v/>
      </c>
      <c r="BW17" s="55" t="str">
        <f t="shared" si="30"/>
        <v/>
      </c>
      <c r="BX17" s="55" t="str">
        <f t="shared" si="30"/>
        <v/>
      </c>
      <c r="BY17" s="55" t="str">
        <f t="shared" si="30"/>
        <v/>
      </c>
      <c r="BZ17" s="55" t="str">
        <f t="shared" si="30"/>
        <v/>
      </c>
      <c r="CA17" s="55" t="str">
        <f t="shared" si="30"/>
        <v/>
      </c>
      <c r="CB17" s="55" t="str">
        <f t="shared" si="30"/>
        <v/>
      </c>
      <c r="CC17" s="55" t="str">
        <f t="shared" si="30"/>
        <v/>
      </c>
      <c r="CD17" s="55" t="str">
        <f t="shared" si="30"/>
        <v/>
      </c>
      <c r="CE17" s="55" t="str">
        <f t="shared" si="30"/>
        <v/>
      </c>
      <c r="CF17" s="55" t="str">
        <f t="shared" si="30"/>
        <v/>
      </c>
      <c r="CG17" s="55" t="str">
        <f t="shared" si="30"/>
        <v/>
      </c>
      <c r="CH17" s="55" t="str">
        <f t="shared" si="30"/>
        <v/>
      </c>
      <c r="CI17" s="55" t="str">
        <f t="shared" si="30"/>
        <v/>
      </c>
      <c r="CJ17" s="55" t="str">
        <f t="shared" ref="CJ17:CY18" si="31">IF($B17=CJ$12,$U17,"")</f>
        <v/>
      </c>
      <c r="CK17" s="55" t="str">
        <f t="shared" si="31"/>
        <v/>
      </c>
      <c r="CL17" s="55" t="str">
        <f t="shared" si="31"/>
        <v/>
      </c>
      <c r="CM17" s="55" t="str">
        <f t="shared" si="31"/>
        <v/>
      </c>
      <c r="CN17" s="55" t="str">
        <f t="shared" si="31"/>
        <v/>
      </c>
      <c r="CO17" s="55" t="str">
        <f t="shared" si="31"/>
        <v/>
      </c>
      <c r="CP17" s="55" t="str">
        <f t="shared" si="31"/>
        <v/>
      </c>
      <c r="CQ17" s="55" t="str">
        <f t="shared" si="31"/>
        <v/>
      </c>
      <c r="CR17" s="55" t="str">
        <f t="shared" si="31"/>
        <v/>
      </c>
      <c r="CS17" s="55" t="str">
        <f t="shared" si="31"/>
        <v/>
      </c>
      <c r="CT17" s="55" t="str">
        <f t="shared" si="31"/>
        <v/>
      </c>
      <c r="CU17" s="55" t="str">
        <f t="shared" si="31"/>
        <v/>
      </c>
      <c r="CV17" s="55" t="str">
        <f t="shared" si="31"/>
        <v/>
      </c>
      <c r="CW17" s="55" t="str">
        <f t="shared" si="31"/>
        <v/>
      </c>
      <c r="CX17" s="55" t="str">
        <f t="shared" si="31"/>
        <v/>
      </c>
      <c r="CY17" s="55" t="str">
        <f t="shared" si="31"/>
        <v/>
      </c>
      <c r="CZ17" s="55" t="str">
        <f t="shared" ref="CZ17:DO18" si="32">IF($B17=CZ$12,$U17,"")</f>
        <v/>
      </c>
      <c r="DA17" s="55" t="str">
        <f t="shared" si="32"/>
        <v/>
      </c>
      <c r="DB17" s="55" t="str">
        <f t="shared" si="32"/>
        <v/>
      </c>
      <c r="DC17" s="55" t="str">
        <f t="shared" si="32"/>
        <v/>
      </c>
      <c r="DD17" s="55" t="str">
        <f t="shared" si="32"/>
        <v/>
      </c>
      <c r="DE17" s="55" t="str">
        <f t="shared" si="32"/>
        <v/>
      </c>
      <c r="DF17" s="55" t="str">
        <f t="shared" si="32"/>
        <v/>
      </c>
      <c r="DG17" s="55" t="str">
        <f t="shared" si="32"/>
        <v/>
      </c>
      <c r="DH17" s="55" t="str">
        <f t="shared" si="32"/>
        <v/>
      </c>
      <c r="DI17" s="55" t="str">
        <f t="shared" si="32"/>
        <v/>
      </c>
      <c r="DJ17" s="55" t="str">
        <f t="shared" si="32"/>
        <v/>
      </c>
      <c r="DK17" s="55" t="str">
        <f t="shared" si="32"/>
        <v/>
      </c>
      <c r="DL17" s="55" t="str">
        <f t="shared" si="32"/>
        <v/>
      </c>
      <c r="DM17" s="55" t="str">
        <f t="shared" si="32"/>
        <v/>
      </c>
      <c r="DN17" s="55" t="str">
        <f t="shared" si="32"/>
        <v/>
      </c>
      <c r="DO17" s="55" t="str">
        <f t="shared" ref="DO17:DT18" si="33">IF($B17=DO$12,$U17,"")</f>
        <v/>
      </c>
      <c r="DP17" s="55" t="str">
        <f t="shared" si="33"/>
        <v/>
      </c>
      <c r="DQ17" s="55" t="str">
        <f t="shared" si="33"/>
        <v/>
      </c>
      <c r="DR17" s="55" t="str">
        <f t="shared" si="33"/>
        <v/>
      </c>
      <c r="DS17" s="55" t="str">
        <f t="shared" si="33"/>
        <v/>
      </c>
      <c r="DT17" s="103" t="str">
        <f t="shared" si="33"/>
        <v/>
      </c>
      <c r="DU17" s="54"/>
      <c r="DV17" s="25"/>
      <c r="DW17" s="59" t="str">
        <f t="shared" ref="DW17:GG18" si="34">IF($B17=DW$12,$O17,"")</f>
        <v/>
      </c>
      <c r="DX17" s="50" t="str">
        <f t="shared" si="34"/>
        <v/>
      </c>
      <c r="DY17" s="50" t="str">
        <f t="shared" si="34"/>
        <v/>
      </c>
      <c r="DZ17" s="50" t="str">
        <f t="shared" si="34"/>
        <v/>
      </c>
      <c r="EA17" s="50" t="str">
        <f t="shared" si="34"/>
        <v/>
      </c>
      <c r="EB17" s="50" t="str">
        <f t="shared" si="34"/>
        <v/>
      </c>
      <c r="EC17" s="50" t="str">
        <f t="shared" si="34"/>
        <v/>
      </c>
      <c r="ED17" s="50" t="str">
        <f t="shared" si="34"/>
        <v/>
      </c>
      <c r="EE17" s="50" t="str">
        <f t="shared" si="34"/>
        <v/>
      </c>
      <c r="EF17" s="50" t="str">
        <f t="shared" si="34"/>
        <v/>
      </c>
      <c r="EG17" s="50" t="str">
        <f t="shared" si="34"/>
        <v/>
      </c>
      <c r="EH17" s="50" t="str">
        <f t="shared" si="34"/>
        <v/>
      </c>
      <c r="EI17" s="50" t="str">
        <f t="shared" si="34"/>
        <v/>
      </c>
      <c r="EJ17" s="50" t="str">
        <f t="shared" si="34"/>
        <v/>
      </c>
      <c r="EK17" s="50" t="str">
        <f t="shared" si="34"/>
        <v/>
      </c>
      <c r="EL17" s="50" t="str">
        <f t="shared" si="34"/>
        <v/>
      </c>
      <c r="EM17" s="50" t="str">
        <f t="shared" si="34"/>
        <v/>
      </c>
      <c r="EN17" s="50" t="str">
        <f t="shared" si="34"/>
        <v/>
      </c>
      <c r="EO17" s="50" t="str">
        <f t="shared" si="34"/>
        <v/>
      </c>
      <c r="EP17" s="50" t="str">
        <f t="shared" si="34"/>
        <v/>
      </c>
      <c r="EQ17" s="50" t="str">
        <f t="shared" si="34"/>
        <v/>
      </c>
      <c r="ER17" s="50" t="str">
        <f t="shared" si="34"/>
        <v/>
      </c>
      <c r="ES17" s="50" t="str">
        <f t="shared" si="34"/>
        <v/>
      </c>
      <c r="ET17" s="50" t="str">
        <f t="shared" si="34"/>
        <v/>
      </c>
      <c r="EU17" s="50" t="str">
        <f t="shared" si="34"/>
        <v/>
      </c>
      <c r="EV17" s="50" t="str">
        <f t="shared" si="34"/>
        <v/>
      </c>
      <c r="EW17" s="50" t="str">
        <f t="shared" si="34"/>
        <v/>
      </c>
      <c r="EX17" s="50" t="str">
        <f t="shared" si="34"/>
        <v/>
      </c>
      <c r="EY17" s="50" t="str">
        <f t="shared" si="34"/>
        <v/>
      </c>
      <c r="EZ17" s="50" t="str">
        <f t="shared" si="34"/>
        <v/>
      </c>
      <c r="FA17" s="50" t="str">
        <f t="shared" si="34"/>
        <v/>
      </c>
      <c r="FB17" s="50" t="str">
        <f t="shared" si="34"/>
        <v/>
      </c>
      <c r="FC17" s="50" t="str">
        <f t="shared" si="34"/>
        <v/>
      </c>
      <c r="FD17" s="50" t="str">
        <f t="shared" si="34"/>
        <v/>
      </c>
      <c r="FE17" s="50" t="str">
        <f t="shared" si="34"/>
        <v/>
      </c>
      <c r="FF17" s="50" t="str">
        <f t="shared" si="34"/>
        <v/>
      </c>
      <c r="FG17" s="50" t="str">
        <f t="shared" si="34"/>
        <v/>
      </c>
      <c r="FH17" s="50" t="str">
        <f t="shared" si="34"/>
        <v/>
      </c>
      <c r="FI17" s="50" t="str">
        <f t="shared" si="34"/>
        <v/>
      </c>
      <c r="FJ17" s="50" t="str">
        <f t="shared" si="34"/>
        <v/>
      </c>
      <c r="FK17" s="50" t="str">
        <f t="shared" si="34"/>
        <v/>
      </c>
      <c r="FL17" s="50" t="str">
        <f t="shared" si="34"/>
        <v/>
      </c>
      <c r="FM17" s="50" t="str">
        <f t="shared" si="34"/>
        <v/>
      </c>
      <c r="FN17" s="50" t="str">
        <f t="shared" si="34"/>
        <v/>
      </c>
      <c r="FO17" s="50" t="str">
        <f t="shared" si="34"/>
        <v/>
      </c>
      <c r="FP17" s="50" t="str">
        <f t="shared" si="34"/>
        <v/>
      </c>
      <c r="FQ17" s="50" t="str">
        <f t="shared" si="34"/>
        <v/>
      </c>
      <c r="FR17" s="50" t="str">
        <f t="shared" si="34"/>
        <v/>
      </c>
      <c r="FS17" s="50" t="str">
        <f t="shared" si="34"/>
        <v/>
      </c>
      <c r="FT17" s="50" t="str">
        <f t="shared" si="34"/>
        <v/>
      </c>
      <c r="FU17" s="50" t="str">
        <f t="shared" si="34"/>
        <v/>
      </c>
      <c r="FV17" s="50" t="str">
        <f t="shared" si="34"/>
        <v/>
      </c>
      <c r="FW17" s="50" t="str">
        <f t="shared" si="34"/>
        <v/>
      </c>
      <c r="FX17" s="50" t="str">
        <f t="shared" si="34"/>
        <v/>
      </c>
      <c r="FY17" s="50" t="str">
        <f t="shared" si="34"/>
        <v/>
      </c>
      <c r="FZ17" s="50" t="str">
        <f t="shared" si="34"/>
        <v/>
      </c>
      <c r="GA17" s="50" t="str">
        <f t="shared" si="34"/>
        <v/>
      </c>
      <c r="GB17" s="50" t="str">
        <f t="shared" si="34"/>
        <v/>
      </c>
      <c r="GC17" s="50" t="str">
        <f t="shared" si="34"/>
        <v/>
      </c>
      <c r="GD17" s="50" t="str">
        <f t="shared" si="34"/>
        <v/>
      </c>
      <c r="GE17" s="50" t="str">
        <f t="shared" si="34"/>
        <v/>
      </c>
      <c r="GF17" s="50" t="str">
        <f t="shared" si="34"/>
        <v/>
      </c>
      <c r="GG17" s="50" t="str">
        <f t="shared" si="34"/>
        <v/>
      </c>
      <c r="GH17" s="50" t="str">
        <f t="shared" ref="GH17:GW18" si="35">IF($B17=GH$12,$O17,"")</f>
        <v/>
      </c>
      <c r="GI17" s="50" t="str">
        <f t="shared" si="35"/>
        <v/>
      </c>
      <c r="GJ17" s="50" t="str">
        <f t="shared" si="35"/>
        <v/>
      </c>
      <c r="GK17" s="50" t="str">
        <f t="shared" si="35"/>
        <v/>
      </c>
      <c r="GL17" s="50" t="str">
        <f t="shared" si="35"/>
        <v/>
      </c>
      <c r="GM17" s="50" t="str">
        <f t="shared" si="35"/>
        <v/>
      </c>
      <c r="GN17" s="50" t="str">
        <f t="shared" si="35"/>
        <v/>
      </c>
      <c r="GO17" s="50" t="str">
        <f t="shared" si="35"/>
        <v/>
      </c>
      <c r="GP17" s="50" t="str">
        <f t="shared" si="35"/>
        <v/>
      </c>
      <c r="GQ17" s="50" t="str">
        <f t="shared" si="35"/>
        <v/>
      </c>
      <c r="GR17" s="50" t="str">
        <f t="shared" si="35"/>
        <v/>
      </c>
      <c r="GS17" s="50" t="str">
        <f t="shared" si="35"/>
        <v/>
      </c>
      <c r="GT17" s="50" t="str">
        <f t="shared" si="35"/>
        <v/>
      </c>
      <c r="GU17" s="50" t="str">
        <f t="shared" si="35"/>
        <v/>
      </c>
      <c r="GV17" s="50" t="str">
        <f t="shared" si="35"/>
        <v/>
      </c>
      <c r="GW17" s="50" t="str">
        <f t="shared" si="35"/>
        <v/>
      </c>
      <c r="GX17" s="50" t="str">
        <f t="shared" ref="GX17:HM18" si="36">IF($B17=GX$12,$O17,"")</f>
        <v/>
      </c>
      <c r="GY17" s="50" t="str">
        <f t="shared" si="36"/>
        <v/>
      </c>
      <c r="GZ17" s="50" t="str">
        <f t="shared" si="36"/>
        <v/>
      </c>
      <c r="HA17" s="50" t="str">
        <f t="shared" si="36"/>
        <v/>
      </c>
      <c r="HB17" s="50" t="str">
        <f t="shared" si="36"/>
        <v/>
      </c>
      <c r="HC17" s="50" t="str">
        <f t="shared" si="36"/>
        <v/>
      </c>
      <c r="HD17" s="50" t="str">
        <f t="shared" si="36"/>
        <v/>
      </c>
      <c r="HE17" s="50" t="str">
        <f t="shared" si="36"/>
        <v/>
      </c>
      <c r="HF17" s="50" t="str">
        <f t="shared" si="36"/>
        <v/>
      </c>
      <c r="HG17" s="50" t="str">
        <f t="shared" si="36"/>
        <v/>
      </c>
      <c r="HH17" s="50" t="str">
        <f t="shared" si="36"/>
        <v/>
      </c>
      <c r="HI17" s="50" t="str">
        <f t="shared" si="36"/>
        <v/>
      </c>
      <c r="HJ17" s="50" t="str">
        <f t="shared" si="36"/>
        <v/>
      </c>
      <c r="HK17" s="50" t="str">
        <f t="shared" si="36"/>
        <v/>
      </c>
      <c r="HL17" s="50" t="str">
        <f t="shared" si="36"/>
        <v/>
      </c>
      <c r="HM17" s="50" t="str">
        <f t="shared" ref="HM17:HR18" si="37">IF($B17=HM$12,$O17,"")</f>
        <v/>
      </c>
      <c r="HN17" s="50" t="str">
        <f t="shared" si="37"/>
        <v/>
      </c>
      <c r="HO17" s="50" t="str">
        <f t="shared" si="37"/>
        <v/>
      </c>
      <c r="HP17" s="50" t="str">
        <f t="shared" si="37"/>
        <v/>
      </c>
      <c r="HQ17" s="50" t="str">
        <f t="shared" si="37"/>
        <v/>
      </c>
      <c r="HR17" s="108" t="str">
        <f t="shared" si="37"/>
        <v/>
      </c>
    </row>
    <row r="18" spans="1:226" ht="11.1" customHeight="1" thickBot="1" x14ac:dyDescent="0.3">
      <c r="A18" s="62"/>
      <c r="B18" s="63"/>
      <c r="C18" s="64" t="str">
        <f>IF(A18=0,"",VLOOKUP(A18,[2]CO!$A$3:$F$5311,2,0))</f>
        <v/>
      </c>
      <c r="D18" s="65"/>
      <c r="E18" s="65"/>
      <c r="F18" s="65"/>
      <c r="G18" s="66" t="str">
        <f>IF(A18=0,"",VLOOKUP(A18,[2]CO!$A$3:$F$5327,3,0))</f>
        <v/>
      </c>
      <c r="H18" s="65"/>
      <c r="I18" s="67"/>
      <c r="J18" s="67"/>
      <c r="K18" s="67"/>
      <c r="L18" s="67"/>
      <c r="M18" s="68" t="str">
        <f t="shared" si="26"/>
        <v/>
      </c>
      <c r="N18" s="68" t="str">
        <f>IF(B18=0,"",IF(H18="M",HLOOKUP(B18,$Y$12:$DT$13,2),IF(A18=0,"",VLOOKUP(A18,[2]CO!$A$3:$F$5327,4,0))))</f>
        <v/>
      </c>
      <c r="O18" s="68" t="str">
        <f t="shared" si="27"/>
        <v/>
      </c>
      <c r="P18" s="69"/>
      <c r="Q18" s="70" t="str">
        <f t="shared" si="28"/>
        <v/>
      </c>
      <c r="R18" s="71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RESIDENTE"),VLOOKUP(B18,P$14:Q$43,2),"")*S18)</f>
        <v/>
      </c>
      <c r="T18" s="53" t="str">
        <f>IF(A18=0,"",VLOOKUP(A18,[2]CO!$A$3:$F$5318,5,0))</f>
        <v/>
      </c>
      <c r="U18" s="54">
        <f t="shared" si="29"/>
        <v>0</v>
      </c>
      <c r="V18" s="24"/>
      <c r="W18" s="25"/>
      <c r="X18" s="25"/>
      <c r="Y18" s="72" t="str">
        <f t="shared" si="30"/>
        <v/>
      </c>
      <c r="Z18" s="73" t="str">
        <f t="shared" si="30"/>
        <v/>
      </c>
      <c r="AA18" s="73" t="str">
        <f t="shared" si="30"/>
        <v/>
      </c>
      <c r="AB18" s="73" t="str">
        <f t="shared" ref="AB18:CI18" si="38">IF($B18=AB$12,$U18,"")</f>
        <v/>
      </c>
      <c r="AC18" s="73" t="str">
        <f t="shared" si="38"/>
        <v/>
      </c>
      <c r="AD18" s="73" t="str">
        <f t="shared" si="38"/>
        <v/>
      </c>
      <c r="AE18" s="73" t="str">
        <f t="shared" si="38"/>
        <v/>
      </c>
      <c r="AF18" s="73" t="str">
        <f t="shared" si="38"/>
        <v/>
      </c>
      <c r="AG18" s="73" t="str">
        <f t="shared" si="38"/>
        <v/>
      </c>
      <c r="AH18" s="73" t="str">
        <f t="shared" si="38"/>
        <v/>
      </c>
      <c r="AI18" s="73" t="str">
        <f t="shared" si="38"/>
        <v/>
      </c>
      <c r="AJ18" s="73" t="str">
        <f t="shared" si="38"/>
        <v/>
      </c>
      <c r="AK18" s="73" t="str">
        <f t="shared" si="38"/>
        <v/>
      </c>
      <c r="AL18" s="73" t="str">
        <f t="shared" si="38"/>
        <v/>
      </c>
      <c r="AM18" s="73" t="str">
        <f t="shared" si="38"/>
        <v/>
      </c>
      <c r="AN18" s="73" t="str">
        <f t="shared" si="38"/>
        <v/>
      </c>
      <c r="AO18" s="73" t="str">
        <f t="shared" si="38"/>
        <v/>
      </c>
      <c r="AP18" s="73" t="str">
        <f t="shared" si="38"/>
        <v/>
      </c>
      <c r="AQ18" s="73" t="str">
        <f t="shared" si="38"/>
        <v/>
      </c>
      <c r="AR18" s="73" t="str">
        <f t="shared" si="38"/>
        <v/>
      </c>
      <c r="AS18" s="73" t="str">
        <f t="shared" si="38"/>
        <v/>
      </c>
      <c r="AT18" s="73" t="str">
        <f t="shared" si="38"/>
        <v/>
      </c>
      <c r="AU18" s="73" t="str">
        <f t="shared" si="38"/>
        <v/>
      </c>
      <c r="AV18" s="73" t="str">
        <f t="shared" si="38"/>
        <v/>
      </c>
      <c r="AW18" s="73" t="str">
        <f t="shared" si="38"/>
        <v/>
      </c>
      <c r="AX18" s="73" t="str">
        <f t="shared" si="38"/>
        <v/>
      </c>
      <c r="AY18" s="73" t="str">
        <f t="shared" si="38"/>
        <v/>
      </c>
      <c r="AZ18" s="73" t="str">
        <f t="shared" si="38"/>
        <v/>
      </c>
      <c r="BA18" s="73" t="str">
        <f t="shared" si="38"/>
        <v/>
      </c>
      <c r="BB18" s="73" t="str">
        <f t="shared" si="38"/>
        <v/>
      </c>
      <c r="BC18" s="73" t="str">
        <f t="shared" si="38"/>
        <v/>
      </c>
      <c r="BD18" s="73" t="str">
        <f t="shared" si="38"/>
        <v/>
      </c>
      <c r="BE18" s="73" t="str">
        <f t="shared" si="38"/>
        <v/>
      </c>
      <c r="BF18" s="73" t="str">
        <f t="shared" si="38"/>
        <v/>
      </c>
      <c r="BG18" s="73" t="str">
        <f t="shared" si="38"/>
        <v/>
      </c>
      <c r="BH18" s="73" t="str">
        <f t="shared" si="38"/>
        <v/>
      </c>
      <c r="BI18" s="73" t="str">
        <f t="shared" si="38"/>
        <v/>
      </c>
      <c r="BJ18" s="73" t="str">
        <f t="shared" si="38"/>
        <v/>
      </c>
      <c r="BK18" s="73" t="str">
        <f t="shared" si="38"/>
        <v/>
      </c>
      <c r="BL18" s="73" t="str">
        <f t="shared" si="38"/>
        <v/>
      </c>
      <c r="BM18" s="73" t="str">
        <f t="shared" si="38"/>
        <v/>
      </c>
      <c r="BN18" s="73" t="str">
        <f t="shared" si="38"/>
        <v/>
      </c>
      <c r="BO18" s="73" t="str">
        <f t="shared" si="38"/>
        <v/>
      </c>
      <c r="BP18" s="73" t="str">
        <f t="shared" si="38"/>
        <v/>
      </c>
      <c r="BQ18" s="73" t="str">
        <f t="shared" si="38"/>
        <v/>
      </c>
      <c r="BR18" s="73" t="str">
        <f t="shared" si="38"/>
        <v/>
      </c>
      <c r="BS18" s="73" t="str">
        <f t="shared" si="38"/>
        <v/>
      </c>
      <c r="BT18" s="73" t="str">
        <f t="shared" si="38"/>
        <v/>
      </c>
      <c r="BU18" s="73" t="str">
        <f t="shared" si="38"/>
        <v/>
      </c>
      <c r="BV18" s="73" t="str">
        <f t="shared" si="38"/>
        <v/>
      </c>
      <c r="BW18" s="73" t="str">
        <f t="shared" si="38"/>
        <v/>
      </c>
      <c r="BX18" s="73" t="str">
        <f t="shared" si="38"/>
        <v/>
      </c>
      <c r="BY18" s="73" t="str">
        <f t="shared" si="38"/>
        <v/>
      </c>
      <c r="BZ18" s="73" t="str">
        <f t="shared" si="38"/>
        <v/>
      </c>
      <c r="CA18" s="73" t="str">
        <f t="shared" si="38"/>
        <v/>
      </c>
      <c r="CB18" s="73" t="str">
        <f t="shared" si="38"/>
        <v/>
      </c>
      <c r="CC18" s="73" t="str">
        <f t="shared" si="38"/>
        <v/>
      </c>
      <c r="CD18" s="73" t="str">
        <f t="shared" si="38"/>
        <v/>
      </c>
      <c r="CE18" s="73" t="str">
        <f t="shared" si="38"/>
        <v/>
      </c>
      <c r="CF18" s="73" t="str">
        <f t="shared" si="38"/>
        <v/>
      </c>
      <c r="CG18" s="73" t="str">
        <f t="shared" si="38"/>
        <v/>
      </c>
      <c r="CH18" s="73" t="str">
        <f t="shared" si="38"/>
        <v/>
      </c>
      <c r="CI18" s="73" t="str">
        <f t="shared" si="38"/>
        <v/>
      </c>
      <c r="CJ18" s="73" t="str">
        <f t="shared" si="31"/>
        <v/>
      </c>
      <c r="CK18" s="73" t="str">
        <f t="shared" si="31"/>
        <v/>
      </c>
      <c r="CL18" s="73" t="str">
        <f t="shared" si="31"/>
        <v/>
      </c>
      <c r="CM18" s="73" t="str">
        <f t="shared" si="31"/>
        <v/>
      </c>
      <c r="CN18" s="73" t="str">
        <f t="shared" si="31"/>
        <v/>
      </c>
      <c r="CO18" s="73" t="str">
        <f t="shared" si="31"/>
        <v/>
      </c>
      <c r="CP18" s="73" t="str">
        <f t="shared" si="31"/>
        <v/>
      </c>
      <c r="CQ18" s="73" t="str">
        <f t="shared" si="31"/>
        <v/>
      </c>
      <c r="CR18" s="73" t="str">
        <f t="shared" si="31"/>
        <v/>
      </c>
      <c r="CS18" s="73" t="str">
        <f t="shared" si="31"/>
        <v/>
      </c>
      <c r="CT18" s="73" t="str">
        <f t="shared" si="31"/>
        <v/>
      </c>
      <c r="CU18" s="73" t="str">
        <f t="shared" si="31"/>
        <v/>
      </c>
      <c r="CV18" s="73" t="str">
        <f t="shared" si="31"/>
        <v/>
      </c>
      <c r="CW18" s="73" t="str">
        <f t="shared" si="31"/>
        <v/>
      </c>
      <c r="CX18" s="73" t="str">
        <f t="shared" si="31"/>
        <v/>
      </c>
      <c r="CY18" s="73" t="str">
        <f t="shared" si="31"/>
        <v/>
      </c>
      <c r="CZ18" s="73" t="str">
        <f t="shared" si="32"/>
        <v/>
      </c>
      <c r="DA18" s="73" t="str">
        <f t="shared" si="32"/>
        <v/>
      </c>
      <c r="DB18" s="73" t="str">
        <f t="shared" si="32"/>
        <v/>
      </c>
      <c r="DC18" s="73" t="str">
        <f t="shared" si="32"/>
        <v/>
      </c>
      <c r="DD18" s="73" t="str">
        <f t="shared" si="32"/>
        <v/>
      </c>
      <c r="DE18" s="73" t="str">
        <f t="shared" si="32"/>
        <v/>
      </c>
      <c r="DF18" s="73" t="str">
        <f t="shared" si="32"/>
        <v/>
      </c>
      <c r="DG18" s="73" t="str">
        <f t="shared" si="32"/>
        <v/>
      </c>
      <c r="DH18" s="73" t="str">
        <f t="shared" si="32"/>
        <v/>
      </c>
      <c r="DI18" s="73" t="str">
        <f t="shared" si="32"/>
        <v/>
      </c>
      <c r="DJ18" s="73" t="str">
        <f t="shared" si="32"/>
        <v/>
      </c>
      <c r="DK18" s="73" t="str">
        <f t="shared" si="32"/>
        <v/>
      </c>
      <c r="DL18" s="73" t="str">
        <f t="shared" si="32"/>
        <v/>
      </c>
      <c r="DM18" s="73" t="str">
        <f t="shared" si="32"/>
        <v/>
      </c>
      <c r="DN18" s="73" t="str">
        <f t="shared" si="32"/>
        <v/>
      </c>
      <c r="DO18" s="73" t="str">
        <f t="shared" si="32"/>
        <v/>
      </c>
      <c r="DP18" s="73" t="str">
        <f t="shared" si="33"/>
        <v/>
      </c>
      <c r="DQ18" s="73" t="str">
        <f t="shared" si="33"/>
        <v/>
      </c>
      <c r="DR18" s="73" t="str">
        <f t="shared" si="33"/>
        <v/>
      </c>
      <c r="DS18" s="73" t="str">
        <f t="shared" si="33"/>
        <v/>
      </c>
      <c r="DT18" s="104" t="str">
        <f t="shared" si="33"/>
        <v/>
      </c>
      <c r="DU18" s="54"/>
      <c r="DV18" s="25"/>
      <c r="DW18" s="74" t="str">
        <f t="shared" si="34"/>
        <v/>
      </c>
      <c r="DX18" s="75" t="str">
        <f t="shared" si="34"/>
        <v/>
      </c>
      <c r="DY18" s="75" t="str">
        <f t="shared" si="34"/>
        <v/>
      </c>
      <c r="DZ18" s="75" t="str">
        <f t="shared" ref="DZ18:GG18" si="39">IF($B18=DZ$12,$O18,"")</f>
        <v/>
      </c>
      <c r="EA18" s="75" t="str">
        <f t="shared" si="39"/>
        <v/>
      </c>
      <c r="EB18" s="75" t="str">
        <f t="shared" si="39"/>
        <v/>
      </c>
      <c r="EC18" s="75" t="str">
        <f t="shared" si="39"/>
        <v/>
      </c>
      <c r="ED18" s="75" t="str">
        <f t="shared" si="39"/>
        <v/>
      </c>
      <c r="EE18" s="75" t="str">
        <f t="shared" si="39"/>
        <v/>
      </c>
      <c r="EF18" s="75" t="str">
        <f t="shared" si="39"/>
        <v/>
      </c>
      <c r="EG18" s="75" t="str">
        <f t="shared" si="39"/>
        <v/>
      </c>
      <c r="EH18" s="75" t="str">
        <f t="shared" si="39"/>
        <v/>
      </c>
      <c r="EI18" s="75" t="str">
        <f t="shared" si="39"/>
        <v/>
      </c>
      <c r="EJ18" s="75" t="str">
        <f t="shared" si="39"/>
        <v/>
      </c>
      <c r="EK18" s="75" t="str">
        <f t="shared" si="39"/>
        <v/>
      </c>
      <c r="EL18" s="75" t="str">
        <f t="shared" si="39"/>
        <v/>
      </c>
      <c r="EM18" s="75" t="str">
        <f t="shared" si="39"/>
        <v/>
      </c>
      <c r="EN18" s="75" t="str">
        <f t="shared" si="39"/>
        <v/>
      </c>
      <c r="EO18" s="75" t="str">
        <f t="shared" si="39"/>
        <v/>
      </c>
      <c r="EP18" s="75" t="str">
        <f t="shared" si="39"/>
        <v/>
      </c>
      <c r="EQ18" s="75" t="str">
        <f t="shared" si="39"/>
        <v/>
      </c>
      <c r="ER18" s="75" t="str">
        <f t="shared" si="39"/>
        <v/>
      </c>
      <c r="ES18" s="75" t="str">
        <f t="shared" si="39"/>
        <v/>
      </c>
      <c r="ET18" s="75" t="str">
        <f t="shared" si="39"/>
        <v/>
      </c>
      <c r="EU18" s="75" t="str">
        <f t="shared" si="39"/>
        <v/>
      </c>
      <c r="EV18" s="75" t="str">
        <f t="shared" si="39"/>
        <v/>
      </c>
      <c r="EW18" s="75" t="str">
        <f t="shared" si="39"/>
        <v/>
      </c>
      <c r="EX18" s="75" t="str">
        <f t="shared" si="39"/>
        <v/>
      </c>
      <c r="EY18" s="75" t="str">
        <f t="shared" si="39"/>
        <v/>
      </c>
      <c r="EZ18" s="75" t="str">
        <f t="shared" si="39"/>
        <v/>
      </c>
      <c r="FA18" s="75" t="str">
        <f t="shared" si="39"/>
        <v/>
      </c>
      <c r="FB18" s="75" t="str">
        <f t="shared" si="39"/>
        <v/>
      </c>
      <c r="FC18" s="75" t="str">
        <f t="shared" si="39"/>
        <v/>
      </c>
      <c r="FD18" s="75" t="str">
        <f t="shared" si="39"/>
        <v/>
      </c>
      <c r="FE18" s="75" t="str">
        <f t="shared" si="39"/>
        <v/>
      </c>
      <c r="FF18" s="75" t="str">
        <f t="shared" si="39"/>
        <v/>
      </c>
      <c r="FG18" s="75" t="str">
        <f t="shared" si="39"/>
        <v/>
      </c>
      <c r="FH18" s="75" t="str">
        <f t="shared" si="39"/>
        <v/>
      </c>
      <c r="FI18" s="75" t="str">
        <f t="shared" si="39"/>
        <v/>
      </c>
      <c r="FJ18" s="75" t="str">
        <f t="shared" si="39"/>
        <v/>
      </c>
      <c r="FK18" s="75" t="str">
        <f t="shared" si="39"/>
        <v/>
      </c>
      <c r="FL18" s="75" t="str">
        <f t="shared" si="39"/>
        <v/>
      </c>
      <c r="FM18" s="75" t="str">
        <f t="shared" si="39"/>
        <v/>
      </c>
      <c r="FN18" s="75" t="str">
        <f t="shared" si="39"/>
        <v/>
      </c>
      <c r="FO18" s="75" t="str">
        <f t="shared" si="39"/>
        <v/>
      </c>
      <c r="FP18" s="75" t="str">
        <f t="shared" si="39"/>
        <v/>
      </c>
      <c r="FQ18" s="75" t="str">
        <f t="shared" si="39"/>
        <v/>
      </c>
      <c r="FR18" s="75" t="str">
        <f t="shared" si="39"/>
        <v/>
      </c>
      <c r="FS18" s="75" t="str">
        <f t="shared" si="39"/>
        <v/>
      </c>
      <c r="FT18" s="75" t="str">
        <f t="shared" si="39"/>
        <v/>
      </c>
      <c r="FU18" s="75" t="str">
        <f t="shared" si="39"/>
        <v/>
      </c>
      <c r="FV18" s="75" t="str">
        <f t="shared" si="39"/>
        <v/>
      </c>
      <c r="FW18" s="75" t="str">
        <f t="shared" si="39"/>
        <v/>
      </c>
      <c r="FX18" s="75" t="str">
        <f t="shared" si="39"/>
        <v/>
      </c>
      <c r="FY18" s="75" t="str">
        <f t="shared" si="39"/>
        <v/>
      </c>
      <c r="FZ18" s="75" t="str">
        <f t="shared" si="39"/>
        <v/>
      </c>
      <c r="GA18" s="75" t="str">
        <f t="shared" si="39"/>
        <v/>
      </c>
      <c r="GB18" s="75" t="str">
        <f t="shared" si="39"/>
        <v/>
      </c>
      <c r="GC18" s="75" t="str">
        <f t="shared" si="39"/>
        <v/>
      </c>
      <c r="GD18" s="75" t="str">
        <f t="shared" si="39"/>
        <v/>
      </c>
      <c r="GE18" s="75" t="str">
        <f t="shared" si="39"/>
        <v/>
      </c>
      <c r="GF18" s="75" t="str">
        <f t="shared" si="39"/>
        <v/>
      </c>
      <c r="GG18" s="75" t="str">
        <f t="shared" si="39"/>
        <v/>
      </c>
      <c r="GH18" s="75" t="str">
        <f t="shared" si="35"/>
        <v/>
      </c>
      <c r="GI18" s="75" t="str">
        <f t="shared" si="35"/>
        <v/>
      </c>
      <c r="GJ18" s="75" t="str">
        <f t="shared" si="35"/>
        <v/>
      </c>
      <c r="GK18" s="75" t="str">
        <f t="shared" si="35"/>
        <v/>
      </c>
      <c r="GL18" s="75" t="str">
        <f t="shared" si="35"/>
        <v/>
      </c>
      <c r="GM18" s="75" t="str">
        <f t="shared" si="35"/>
        <v/>
      </c>
      <c r="GN18" s="75" t="str">
        <f t="shared" si="35"/>
        <v/>
      </c>
      <c r="GO18" s="75" t="str">
        <f t="shared" si="35"/>
        <v/>
      </c>
      <c r="GP18" s="75" t="str">
        <f t="shared" si="35"/>
        <v/>
      </c>
      <c r="GQ18" s="75" t="str">
        <f t="shared" si="35"/>
        <v/>
      </c>
      <c r="GR18" s="75" t="str">
        <f t="shared" si="35"/>
        <v/>
      </c>
      <c r="GS18" s="75" t="str">
        <f t="shared" si="35"/>
        <v/>
      </c>
      <c r="GT18" s="75" t="str">
        <f t="shared" si="35"/>
        <v/>
      </c>
      <c r="GU18" s="75" t="str">
        <f t="shared" si="35"/>
        <v/>
      </c>
      <c r="GV18" s="75" t="str">
        <f t="shared" si="35"/>
        <v/>
      </c>
      <c r="GW18" s="75" t="str">
        <f t="shared" si="35"/>
        <v/>
      </c>
      <c r="GX18" s="75" t="str">
        <f t="shared" si="36"/>
        <v/>
      </c>
      <c r="GY18" s="75" t="str">
        <f t="shared" si="36"/>
        <v/>
      </c>
      <c r="GZ18" s="75" t="str">
        <f t="shared" si="36"/>
        <v/>
      </c>
      <c r="HA18" s="75" t="str">
        <f t="shared" si="36"/>
        <v/>
      </c>
      <c r="HB18" s="75" t="str">
        <f t="shared" si="36"/>
        <v/>
      </c>
      <c r="HC18" s="75" t="str">
        <f t="shared" si="36"/>
        <v/>
      </c>
      <c r="HD18" s="75" t="str">
        <f t="shared" si="36"/>
        <v/>
      </c>
      <c r="HE18" s="75" t="str">
        <f t="shared" si="36"/>
        <v/>
      </c>
      <c r="HF18" s="75" t="str">
        <f t="shared" si="36"/>
        <v/>
      </c>
      <c r="HG18" s="75" t="str">
        <f t="shared" si="36"/>
        <v/>
      </c>
      <c r="HH18" s="75" t="str">
        <f t="shared" si="36"/>
        <v/>
      </c>
      <c r="HI18" s="75" t="str">
        <f t="shared" si="36"/>
        <v/>
      </c>
      <c r="HJ18" s="75" t="str">
        <f t="shared" si="36"/>
        <v/>
      </c>
      <c r="HK18" s="75" t="str">
        <f t="shared" si="36"/>
        <v/>
      </c>
      <c r="HL18" s="75" t="str">
        <f t="shared" si="36"/>
        <v/>
      </c>
      <c r="HM18" s="75" t="str">
        <f t="shared" si="36"/>
        <v/>
      </c>
      <c r="HN18" s="75" t="str">
        <f t="shared" si="37"/>
        <v/>
      </c>
      <c r="HO18" s="75" t="str">
        <f t="shared" si="37"/>
        <v/>
      </c>
      <c r="HP18" s="75" t="str">
        <f t="shared" si="37"/>
        <v/>
      </c>
      <c r="HQ18" s="75" t="str">
        <f t="shared" si="37"/>
        <v/>
      </c>
      <c r="HR18" s="109" t="str">
        <f t="shared" si="37"/>
        <v/>
      </c>
    </row>
    <row r="19" spans="1:226" ht="11.1" customHeight="1" thickTop="1" x14ac:dyDescent="0.25"/>
    <row r="20" spans="1:226" x14ac:dyDescent="0.25">
      <c r="O20" s="48" t="s">
        <v>17</v>
      </c>
      <c r="P20" s="49"/>
      <c r="Q20" s="101">
        <f>SUM(Q14:Q18)</f>
        <v>0</v>
      </c>
      <c r="R20" s="101">
        <f>SUM(R14:R18)</f>
        <v>0</v>
      </c>
    </row>
    <row r="21" spans="1:226" ht="11.1" customHeight="1" thickBot="1" x14ac:dyDescent="0.3"/>
    <row r="22" spans="1:226" ht="16.2" thickBot="1" x14ac:dyDescent="0.3">
      <c r="A22" s="95"/>
      <c r="B22" s="96"/>
      <c r="C22" s="96"/>
      <c r="D22" s="96"/>
      <c r="E22" s="96"/>
      <c r="F22" s="96"/>
      <c r="G22" s="96" t="s">
        <v>20</v>
      </c>
      <c r="H22" s="96"/>
      <c r="I22" s="96"/>
      <c r="J22" s="115"/>
      <c r="K22" s="96"/>
      <c r="L22" s="96"/>
      <c r="M22" s="96"/>
      <c r="N22" s="96"/>
      <c r="O22" s="96"/>
      <c r="P22" s="96"/>
      <c r="Q22" s="96"/>
      <c r="R22" s="97"/>
    </row>
    <row r="23" spans="1:226" ht="11.1" customHeight="1" thickBot="1" x14ac:dyDescent="0.3"/>
    <row r="24" spans="1:226" ht="11.1" customHeight="1" thickTop="1" x14ac:dyDescent="0.25">
      <c r="A24" s="76"/>
      <c r="B24" s="77"/>
      <c r="C24" s="78" t="str">
        <f>IF(A24=0,"",VLOOKUP(A24,[2]CO!$A$3:$F$5327,2,0))</f>
        <v/>
      </c>
      <c r="D24" s="79"/>
      <c r="E24" s="79"/>
      <c r="F24" s="79"/>
      <c r="G24" s="80" t="str">
        <f>IF(A24=0,"",VLOOKUP(A24,[2]CO!$A$3:$F$5327,3,0))</f>
        <v/>
      </c>
      <c r="H24" s="90"/>
      <c r="I24" s="81"/>
      <c r="J24" s="81"/>
      <c r="K24" s="81"/>
      <c r="L24" s="81"/>
      <c r="M24" s="82" t="str">
        <f t="shared" ref="M24:M31" si="40">IF(H24&gt;0,H24*Q$20/N24,IF(AND(L24&gt;0,I24&gt;0),L24*I24,IF(L24&gt;0,L24,"")))</f>
        <v/>
      </c>
      <c r="N24" s="82" t="str">
        <f>IF(B24=0,"",IF(H24="M",HLOOKUP(B24,$Y$12:$DT$13,2),IF(A24=0,"",VLOOKUP(A24,[2]CO!$A$3:$F$5327,4,0))))</f>
        <v/>
      </c>
      <c r="O24" s="82" t="str">
        <f t="shared" si="27"/>
        <v/>
      </c>
      <c r="P24" s="83"/>
      <c r="Q24" s="84" t="str">
        <f t="shared" ref="Q24:Q31" si="41">IF(P24=0,"",(HLOOKUP(P24,$DW$12:$HR$13,2)))</f>
        <v/>
      </c>
      <c r="R24" s="85" t="str">
        <f>IF(S24=0,"",IF(OR(G24="PEON",G24="OF",G24="JARD",G24="CARP",G24="MAESTRO",G24="SOLD",G24="BGRO",G24="CHOFER",G24="AYTE",G24="S.INTTE.",G24="ASEO",G24="P.PISOS",G24="VELADOR",G24="RESID",G24="PINTOR",G24="ELECT",G24="AZULE",G24="AUX CONT.",G24="SECRETARIA",G24="AUXILIAR ADMTVO.",G24="ARQUITECTO",G24="DIBUJANTE",G24="AUX. DE RESIDENTE",G24="TOPOGRAFIA"),VLOOKUP(B24,P$14:Q$50,2),"")*S24)</f>
        <v/>
      </c>
      <c r="T24" s="53" t="str">
        <f>IF(A24=0,"",VLOOKUP(A24,[2]CO!$A$3:$F$5318,5,0))</f>
        <v/>
      </c>
      <c r="U24" s="54">
        <f t="shared" ref="U24:U43" si="42">IF(T24=1,O24*0.1,)</f>
        <v>0</v>
      </c>
      <c r="V24" s="24"/>
      <c r="W24" s="25"/>
      <c r="X24" s="25"/>
      <c r="Y24" s="86" t="str">
        <f t="shared" ref="Y24:AN31" si="43">IF($B24=Y$12,$U24,"")</f>
        <v/>
      </c>
      <c r="Z24" s="87" t="str">
        <f t="shared" si="43"/>
        <v/>
      </c>
      <c r="AA24" s="87" t="str">
        <f t="shared" si="43"/>
        <v/>
      </c>
      <c r="AB24" s="87" t="str">
        <f t="shared" si="43"/>
        <v/>
      </c>
      <c r="AC24" s="87" t="str">
        <f t="shared" si="43"/>
        <v/>
      </c>
      <c r="AD24" s="87" t="str">
        <f t="shared" si="43"/>
        <v/>
      </c>
      <c r="AE24" s="87" t="str">
        <f t="shared" si="43"/>
        <v/>
      </c>
      <c r="AF24" s="87" t="str">
        <f t="shared" si="43"/>
        <v/>
      </c>
      <c r="AG24" s="87" t="str">
        <f t="shared" si="43"/>
        <v/>
      </c>
      <c r="AH24" s="87" t="str">
        <f t="shared" si="43"/>
        <v/>
      </c>
      <c r="AI24" s="87" t="str">
        <f t="shared" si="43"/>
        <v/>
      </c>
      <c r="AJ24" s="87" t="str">
        <f t="shared" si="43"/>
        <v/>
      </c>
      <c r="AK24" s="87" t="str">
        <f t="shared" si="43"/>
        <v/>
      </c>
      <c r="AL24" s="87" t="str">
        <f t="shared" si="43"/>
        <v/>
      </c>
      <c r="AM24" s="87" t="str">
        <f t="shared" si="43"/>
        <v/>
      </c>
      <c r="AN24" s="87" t="str">
        <f t="shared" si="43"/>
        <v/>
      </c>
      <c r="AO24" s="87" t="str">
        <f t="shared" ref="AO24:CZ26" si="44">IF($B24=AO$12,$U24,"")</f>
        <v/>
      </c>
      <c r="AP24" s="87" t="str">
        <f t="shared" si="44"/>
        <v/>
      </c>
      <c r="AQ24" s="87" t="str">
        <f t="shared" si="44"/>
        <v/>
      </c>
      <c r="AR24" s="87" t="str">
        <f t="shared" si="44"/>
        <v/>
      </c>
      <c r="AS24" s="87" t="str">
        <f t="shared" si="44"/>
        <v/>
      </c>
      <c r="AT24" s="87" t="str">
        <f t="shared" si="44"/>
        <v/>
      </c>
      <c r="AU24" s="87" t="str">
        <f t="shared" si="44"/>
        <v/>
      </c>
      <c r="AV24" s="87" t="str">
        <f t="shared" si="44"/>
        <v/>
      </c>
      <c r="AW24" s="87" t="str">
        <f t="shared" si="44"/>
        <v/>
      </c>
      <c r="AX24" s="87" t="str">
        <f t="shared" si="44"/>
        <v/>
      </c>
      <c r="AY24" s="87" t="str">
        <f t="shared" si="44"/>
        <v/>
      </c>
      <c r="AZ24" s="87" t="str">
        <f t="shared" si="44"/>
        <v/>
      </c>
      <c r="BA24" s="87" t="str">
        <f t="shared" si="44"/>
        <v/>
      </c>
      <c r="BB24" s="87" t="str">
        <f t="shared" si="44"/>
        <v/>
      </c>
      <c r="BC24" s="87" t="str">
        <f t="shared" si="44"/>
        <v/>
      </c>
      <c r="BD24" s="87" t="str">
        <f t="shared" si="44"/>
        <v/>
      </c>
      <c r="BE24" s="87" t="str">
        <f t="shared" si="44"/>
        <v/>
      </c>
      <c r="BF24" s="87" t="str">
        <f t="shared" si="44"/>
        <v/>
      </c>
      <c r="BG24" s="87" t="str">
        <f t="shared" si="44"/>
        <v/>
      </c>
      <c r="BH24" s="87" t="str">
        <f t="shared" si="44"/>
        <v/>
      </c>
      <c r="BI24" s="87" t="str">
        <f t="shared" si="44"/>
        <v/>
      </c>
      <c r="BJ24" s="87" t="str">
        <f t="shared" si="44"/>
        <v/>
      </c>
      <c r="BK24" s="87" t="str">
        <f t="shared" si="44"/>
        <v/>
      </c>
      <c r="BL24" s="87" t="str">
        <f t="shared" si="44"/>
        <v/>
      </c>
      <c r="BM24" s="87" t="str">
        <f t="shared" si="44"/>
        <v/>
      </c>
      <c r="BN24" s="87" t="str">
        <f t="shared" si="44"/>
        <v/>
      </c>
      <c r="BO24" s="87" t="str">
        <f t="shared" si="44"/>
        <v/>
      </c>
      <c r="BP24" s="87" t="str">
        <f t="shared" si="44"/>
        <v/>
      </c>
      <c r="BQ24" s="87" t="str">
        <f t="shared" si="44"/>
        <v/>
      </c>
      <c r="BR24" s="87" t="str">
        <f t="shared" si="44"/>
        <v/>
      </c>
      <c r="BS24" s="87" t="str">
        <f t="shared" si="44"/>
        <v/>
      </c>
      <c r="BT24" s="87" t="str">
        <f t="shared" si="44"/>
        <v/>
      </c>
      <c r="BU24" s="87" t="str">
        <f t="shared" si="44"/>
        <v/>
      </c>
      <c r="BV24" s="87" t="str">
        <f t="shared" si="44"/>
        <v/>
      </c>
      <c r="BW24" s="87" t="str">
        <f t="shared" si="44"/>
        <v/>
      </c>
      <c r="BX24" s="87" t="str">
        <f t="shared" si="44"/>
        <v/>
      </c>
      <c r="BY24" s="87" t="str">
        <f t="shared" si="44"/>
        <v/>
      </c>
      <c r="BZ24" s="87" t="str">
        <f t="shared" si="44"/>
        <v/>
      </c>
      <c r="CA24" s="87" t="str">
        <f t="shared" si="44"/>
        <v/>
      </c>
      <c r="CB24" s="87" t="str">
        <f t="shared" si="44"/>
        <v/>
      </c>
      <c r="CC24" s="87" t="str">
        <f t="shared" si="44"/>
        <v/>
      </c>
      <c r="CD24" s="87" t="str">
        <f t="shared" si="44"/>
        <v/>
      </c>
      <c r="CE24" s="87" t="str">
        <f t="shared" si="44"/>
        <v/>
      </c>
      <c r="CF24" s="87" t="str">
        <f t="shared" si="44"/>
        <v/>
      </c>
      <c r="CG24" s="87" t="str">
        <f t="shared" si="44"/>
        <v/>
      </c>
      <c r="CH24" s="87" t="str">
        <f t="shared" si="44"/>
        <v/>
      </c>
      <c r="CI24" s="87" t="str">
        <f t="shared" si="44"/>
        <v/>
      </c>
      <c r="CJ24" s="87" t="str">
        <f t="shared" si="44"/>
        <v/>
      </c>
      <c r="CK24" s="87" t="str">
        <f t="shared" si="44"/>
        <v/>
      </c>
      <c r="CL24" s="87" t="str">
        <f t="shared" si="44"/>
        <v/>
      </c>
      <c r="CM24" s="87" t="str">
        <f t="shared" si="44"/>
        <v/>
      </c>
      <c r="CN24" s="87" t="str">
        <f t="shared" si="44"/>
        <v/>
      </c>
      <c r="CO24" s="87" t="str">
        <f t="shared" si="44"/>
        <v/>
      </c>
      <c r="CP24" s="87" t="str">
        <f t="shared" si="44"/>
        <v/>
      </c>
      <c r="CQ24" s="87" t="str">
        <f t="shared" si="44"/>
        <v/>
      </c>
      <c r="CR24" s="87" t="str">
        <f t="shared" si="44"/>
        <v/>
      </c>
      <c r="CS24" s="87" t="str">
        <f t="shared" si="44"/>
        <v/>
      </c>
      <c r="CT24" s="87" t="str">
        <f t="shared" si="44"/>
        <v/>
      </c>
      <c r="CU24" s="87" t="str">
        <f t="shared" si="44"/>
        <v/>
      </c>
      <c r="CV24" s="87" t="str">
        <f t="shared" si="44"/>
        <v/>
      </c>
      <c r="CW24" s="87" t="str">
        <f t="shared" si="44"/>
        <v/>
      </c>
      <c r="CX24" s="87" t="str">
        <f t="shared" si="44"/>
        <v/>
      </c>
      <c r="CY24" s="87" t="str">
        <f t="shared" si="44"/>
        <v/>
      </c>
      <c r="CZ24" s="87" t="str">
        <f t="shared" si="44"/>
        <v/>
      </c>
      <c r="DA24" s="87" t="str">
        <f t="shared" ref="DA24:DP31" si="45">IF($B24=DA$12,$U24,"")</f>
        <v/>
      </c>
      <c r="DB24" s="87" t="str">
        <f t="shared" si="45"/>
        <v/>
      </c>
      <c r="DC24" s="87" t="str">
        <f t="shared" si="45"/>
        <v/>
      </c>
      <c r="DD24" s="87" t="str">
        <f t="shared" si="45"/>
        <v/>
      </c>
      <c r="DE24" s="87" t="str">
        <f t="shared" si="45"/>
        <v/>
      </c>
      <c r="DF24" s="87" t="str">
        <f t="shared" si="45"/>
        <v/>
      </c>
      <c r="DG24" s="87" t="str">
        <f t="shared" si="45"/>
        <v/>
      </c>
      <c r="DH24" s="87" t="str">
        <f t="shared" si="45"/>
        <v/>
      </c>
      <c r="DI24" s="87" t="str">
        <f t="shared" si="45"/>
        <v/>
      </c>
      <c r="DJ24" s="87" t="str">
        <f t="shared" si="45"/>
        <v/>
      </c>
      <c r="DK24" s="87" t="str">
        <f t="shared" si="45"/>
        <v/>
      </c>
      <c r="DL24" s="87" t="str">
        <f t="shared" si="45"/>
        <v/>
      </c>
      <c r="DM24" s="87" t="str">
        <f t="shared" si="45"/>
        <v/>
      </c>
      <c r="DN24" s="87" t="str">
        <f t="shared" si="45"/>
        <v/>
      </c>
      <c r="DO24" s="87" t="str">
        <f t="shared" si="45"/>
        <v/>
      </c>
      <c r="DP24" s="87" t="str">
        <f t="shared" si="45"/>
        <v/>
      </c>
      <c r="DQ24" s="87" t="str">
        <f t="shared" ref="DQ24:DT31" si="46">IF($B24=DQ$12,$U24,"")</f>
        <v/>
      </c>
      <c r="DR24" s="87" t="str">
        <f t="shared" si="46"/>
        <v/>
      </c>
      <c r="DS24" s="87" t="str">
        <f t="shared" si="46"/>
        <v/>
      </c>
      <c r="DT24" s="102" t="str">
        <f t="shared" si="46"/>
        <v/>
      </c>
      <c r="DU24" s="54"/>
      <c r="DV24" s="25"/>
      <c r="DW24" s="88" t="str">
        <f t="shared" ref="DW24:EL31" si="47">IF($B24=DW$12,$O24,"")</f>
        <v/>
      </c>
      <c r="DX24" s="89" t="str">
        <f t="shared" si="47"/>
        <v/>
      </c>
      <c r="DY24" s="89" t="str">
        <f t="shared" si="47"/>
        <v/>
      </c>
      <c r="DZ24" s="89" t="str">
        <f t="shared" si="47"/>
        <v/>
      </c>
      <c r="EA24" s="89" t="str">
        <f t="shared" si="47"/>
        <v/>
      </c>
      <c r="EB24" s="89" t="str">
        <f t="shared" si="47"/>
        <v/>
      </c>
      <c r="EC24" s="89" t="str">
        <f t="shared" si="47"/>
        <v/>
      </c>
      <c r="ED24" s="89" t="str">
        <f t="shared" si="47"/>
        <v/>
      </c>
      <c r="EE24" s="89" t="str">
        <f t="shared" si="47"/>
        <v/>
      </c>
      <c r="EF24" s="89" t="str">
        <f t="shared" si="47"/>
        <v/>
      </c>
      <c r="EG24" s="89" t="str">
        <f t="shared" si="47"/>
        <v/>
      </c>
      <c r="EH24" s="89" t="str">
        <f t="shared" si="47"/>
        <v/>
      </c>
      <c r="EI24" s="89" t="str">
        <f t="shared" si="47"/>
        <v/>
      </c>
      <c r="EJ24" s="89" t="str">
        <f t="shared" si="47"/>
        <v/>
      </c>
      <c r="EK24" s="89" t="str">
        <f t="shared" si="47"/>
        <v/>
      </c>
      <c r="EL24" s="89" t="str">
        <f t="shared" si="47"/>
        <v/>
      </c>
      <c r="EM24" s="89" t="str">
        <f t="shared" ref="EM24:GX26" si="48">IF($B24=EM$12,$O24,"")</f>
        <v/>
      </c>
      <c r="EN24" s="89" t="str">
        <f t="shared" si="48"/>
        <v/>
      </c>
      <c r="EO24" s="89" t="str">
        <f t="shared" si="48"/>
        <v/>
      </c>
      <c r="EP24" s="89" t="str">
        <f t="shared" si="48"/>
        <v/>
      </c>
      <c r="EQ24" s="89" t="str">
        <f t="shared" si="48"/>
        <v/>
      </c>
      <c r="ER24" s="89" t="str">
        <f t="shared" si="48"/>
        <v/>
      </c>
      <c r="ES24" s="89" t="str">
        <f t="shared" si="48"/>
        <v/>
      </c>
      <c r="ET24" s="89" t="str">
        <f t="shared" si="48"/>
        <v/>
      </c>
      <c r="EU24" s="89" t="str">
        <f t="shared" si="48"/>
        <v/>
      </c>
      <c r="EV24" s="89" t="str">
        <f t="shared" si="48"/>
        <v/>
      </c>
      <c r="EW24" s="89" t="str">
        <f t="shared" si="48"/>
        <v/>
      </c>
      <c r="EX24" s="89" t="str">
        <f t="shared" si="48"/>
        <v/>
      </c>
      <c r="EY24" s="89" t="str">
        <f t="shared" si="48"/>
        <v/>
      </c>
      <c r="EZ24" s="89" t="str">
        <f t="shared" si="48"/>
        <v/>
      </c>
      <c r="FA24" s="89" t="str">
        <f t="shared" si="48"/>
        <v/>
      </c>
      <c r="FB24" s="89" t="str">
        <f t="shared" si="48"/>
        <v/>
      </c>
      <c r="FC24" s="89" t="str">
        <f t="shared" si="48"/>
        <v/>
      </c>
      <c r="FD24" s="89" t="str">
        <f t="shared" si="48"/>
        <v/>
      </c>
      <c r="FE24" s="89" t="str">
        <f t="shared" si="48"/>
        <v/>
      </c>
      <c r="FF24" s="89" t="str">
        <f t="shared" si="48"/>
        <v/>
      </c>
      <c r="FG24" s="89" t="str">
        <f t="shared" si="48"/>
        <v/>
      </c>
      <c r="FH24" s="89" t="str">
        <f t="shared" si="48"/>
        <v/>
      </c>
      <c r="FI24" s="89" t="str">
        <f t="shared" si="48"/>
        <v/>
      </c>
      <c r="FJ24" s="89" t="str">
        <f t="shared" si="48"/>
        <v/>
      </c>
      <c r="FK24" s="89" t="str">
        <f t="shared" si="48"/>
        <v/>
      </c>
      <c r="FL24" s="89" t="str">
        <f t="shared" si="48"/>
        <v/>
      </c>
      <c r="FM24" s="89" t="str">
        <f t="shared" si="48"/>
        <v/>
      </c>
      <c r="FN24" s="89" t="str">
        <f t="shared" si="48"/>
        <v/>
      </c>
      <c r="FO24" s="89" t="str">
        <f t="shared" si="48"/>
        <v/>
      </c>
      <c r="FP24" s="89" t="str">
        <f t="shared" si="48"/>
        <v/>
      </c>
      <c r="FQ24" s="89" t="str">
        <f t="shared" si="48"/>
        <v/>
      </c>
      <c r="FR24" s="89" t="str">
        <f t="shared" si="48"/>
        <v/>
      </c>
      <c r="FS24" s="89" t="str">
        <f t="shared" si="48"/>
        <v/>
      </c>
      <c r="FT24" s="89" t="str">
        <f t="shared" si="48"/>
        <v/>
      </c>
      <c r="FU24" s="89" t="str">
        <f t="shared" si="48"/>
        <v/>
      </c>
      <c r="FV24" s="89" t="str">
        <f t="shared" si="48"/>
        <v/>
      </c>
      <c r="FW24" s="89" t="str">
        <f t="shared" si="48"/>
        <v/>
      </c>
      <c r="FX24" s="89" t="str">
        <f t="shared" si="48"/>
        <v/>
      </c>
      <c r="FY24" s="89" t="str">
        <f t="shared" si="48"/>
        <v/>
      </c>
      <c r="FZ24" s="89" t="str">
        <f t="shared" si="48"/>
        <v/>
      </c>
      <c r="GA24" s="89" t="str">
        <f t="shared" si="48"/>
        <v/>
      </c>
      <c r="GB24" s="89" t="str">
        <f t="shared" si="48"/>
        <v/>
      </c>
      <c r="GC24" s="89" t="str">
        <f t="shared" si="48"/>
        <v/>
      </c>
      <c r="GD24" s="89" t="str">
        <f t="shared" si="48"/>
        <v/>
      </c>
      <c r="GE24" s="89" t="str">
        <f t="shared" si="48"/>
        <v/>
      </c>
      <c r="GF24" s="89" t="str">
        <f t="shared" si="48"/>
        <v/>
      </c>
      <c r="GG24" s="89" t="str">
        <f t="shared" si="48"/>
        <v/>
      </c>
      <c r="GH24" s="89" t="str">
        <f t="shared" si="48"/>
        <v/>
      </c>
      <c r="GI24" s="89" t="str">
        <f t="shared" si="48"/>
        <v/>
      </c>
      <c r="GJ24" s="89" t="str">
        <f t="shared" si="48"/>
        <v/>
      </c>
      <c r="GK24" s="89" t="str">
        <f t="shared" si="48"/>
        <v/>
      </c>
      <c r="GL24" s="89" t="str">
        <f t="shared" si="48"/>
        <v/>
      </c>
      <c r="GM24" s="89" t="str">
        <f t="shared" si="48"/>
        <v/>
      </c>
      <c r="GN24" s="89" t="str">
        <f t="shared" si="48"/>
        <v/>
      </c>
      <c r="GO24" s="89" t="str">
        <f t="shared" si="48"/>
        <v/>
      </c>
      <c r="GP24" s="89" t="str">
        <f t="shared" si="48"/>
        <v/>
      </c>
      <c r="GQ24" s="89" t="str">
        <f t="shared" si="48"/>
        <v/>
      </c>
      <c r="GR24" s="89" t="str">
        <f t="shared" si="48"/>
        <v/>
      </c>
      <c r="GS24" s="89" t="str">
        <f t="shared" si="48"/>
        <v/>
      </c>
      <c r="GT24" s="89" t="str">
        <f t="shared" si="48"/>
        <v/>
      </c>
      <c r="GU24" s="89" t="str">
        <f t="shared" si="48"/>
        <v/>
      </c>
      <c r="GV24" s="89" t="str">
        <f t="shared" si="48"/>
        <v/>
      </c>
      <c r="GW24" s="89" t="str">
        <f t="shared" si="48"/>
        <v/>
      </c>
      <c r="GX24" s="89" t="str">
        <f t="shared" si="48"/>
        <v/>
      </c>
      <c r="GY24" s="89" t="str">
        <f t="shared" ref="GY24:HN26" si="49">IF($B24=GY$12,$O24,"")</f>
        <v/>
      </c>
      <c r="GZ24" s="89" t="str">
        <f t="shared" si="49"/>
        <v/>
      </c>
      <c r="HA24" s="89" t="str">
        <f t="shared" si="49"/>
        <v/>
      </c>
      <c r="HB24" s="89" t="str">
        <f t="shared" si="49"/>
        <v/>
      </c>
      <c r="HC24" s="89" t="str">
        <f t="shared" si="49"/>
        <v/>
      </c>
      <c r="HD24" s="89" t="str">
        <f t="shared" si="49"/>
        <v/>
      </c>
      <c r="HE24" s="89" t="str">
        <f t="shared" si="49"/>
        <v/>
      </c>
      <c r="HF24" s="89" t="str">
        <f t="shared" si="49"/>
        <v/>
      </c>
      <c r="HG24" s="89" t="str">
        <f t="shared" si="49"/>
        <v/>
      </c>
      <c r="HH24" s="89" t="str">
        <f t="shared" si="49"/>
        <v/>
      </c>
      <c r="HI24" s="89" t="str">
        <f t="shared" si="49"/>
        <v/>
      </c>
      <c r="HJ24" s="89" t="str">
        <f t="shared" si="49"/>
        <v/>
      </c>
      <c r="HK24" s="89" t="str">
        <f t="shared" si="49"/>
        <v/>
      </c>
      <c r="HL24" s="89" t="str">
        <f t="shared" si="49"/>
        <v/>
      </c>
      <c r="HM24" s="89" t="str">
        <f t="shared" si="49"/>
        <v/>
      </c>
      <c r="HN24" s="89" t="str">
        <f t="shared" si="49"/>
        <v/>
      </c>
      <c r="HO24" s="89" t="str">
        <f t="shared" ref="HI24:HR31" si="50">IF($B24=HO$12,$O24,"")</f>
        <v/>
      </c>
      <c r="HP24" s="89" t="str">
        <f t="shared" si="50"/>
        <v/>
      </c>
      <c r="HQ24" s="89" t="str">
        <f t="shared" si="50"/>
        <v/>
      </c>
      <c r="HR24" s="107" t="str">
        <f t="shared" si="50"/>
        <v/>
      </c>
    </row>
    <row r="25" spans="1:226" ht="11.1" customHeight="1" x14ac:dyDescent="0.25">
      <c r="A25" s="26">
        <v>248</v>
      </c>
      <c r="B25" s="27">
        <v>61</v>
      </c>
      <c r="C25" s="28" t="str">
        <f>IF(A25=0,"",VLOOKUP(A25,[2]CO!$A$3:$F$5327,2,0))</f>
        <v>CEDILLO CUEVAS JULIO CÉSAR</v>
      </c>
      <c r="D25" s="29"/>
      <c r="E25" s="29"/>
      <c r="F25" s="29"/>
      <c r="G25" s="30" t="str">
        <f>IF(A25=0,"",VLOOKUP(A25,[2]CO!$A$3:$F$5327,3,0))</f>
        <v>AUX. DE RESIDENTE</v>
      </c>
      <c r="H25" s="91"/>
      <c r="I25" s="31"/>
      <c r="J25" s="31"/>
      <c r="K25" s="31"/>
      <c r="L25" s="31">
        <v>7</v>
      </c>
      <c r="M25" s="32">
        <f t="shared" si="40"/>
        <v>7</v>
      </c>
      <c r="N25" s="32">
        <f>IF(B25=0,"",IF(H25="M",HLOOKUP(B25,$Y$12:$DT$13,2),IF(A25=0,"",VLOOKUP(A25,[2]CO!$A$3:$F$5327,4,0))))</f>
        <v>913</v>
      </c>
      <c r="O25" s="32">
        <f t="shared" si="27"/>
        <v>6391</v>
      </c>
      <c r="P25" s="33">
        <v>61</v>
      </c>
      <c r="Q25" s="34">
        <f t="shared" si="41"/>
        <v>6391</v>
      </c>
      <c r="R25" s="35">
        <f>IF(S25=0,"",IF(OR(G25="PEON",G25="OF",G25="JARD",G25="CARP",G25="MAESTRO",G25="SOLD",G25="BGRO",G25="CHOFER",G25="AYTE",G25="S.INTTE.",G25="ASEO",G25="P.PISOS",G25="VELADOR",G25="RESID",G25="PINTOR",G25="ELECT",G25="AZULE",G25="AUX CONT.",G25="SECRETARIA",G25="AUXILIAR ADMTVO.",G25="ARQUITECTO",G25="DIBUJANTE",G25="AUX. DE RESIDENTE",G25="TOPOGRAFIA",G25="DESTAJOS"),VLOOKUP(B25,P$14:Q$43,2),"")*S25)</f>
        <v>6391</v>
      </c>
      <c r="S25" s="113">
        <v>1</v>
      </c>
      <c r="T25" s="53">
        <f>IF(A25=0,"",VLOOKUP(A25,[2]CO!$A$3:$F$5318,5,0))</f>
        <v>0</v>
      </c>
      <c r="U25" s="54">
        <f t="shared" si="42"/>
        <v>0</v>
      </c>
      <c r="V25" s="24"/>
      <c r="W25" s="25"/>
      <c r="X25" s="25"/>
      <c r="Y25" s="60" t="str">
        <f t="shared" si="43"/>
        <v/>
      </c>
      <c r="Z25" s="55" t="str">
        <f t="shared" si="43"/>
        <v/>
      </c>
      <c r="AA25" s="55" t="str">
        <f t="shared" si="43"/>
        <v/>
      </c>
      <c r="AB25" s="55" t="str">
        <f t="shared" si="43"/>
        <v/>
      </c>
      <c r="AC25" s="55" t="str">
        <f t="shared" si="43"/>
        <v/>
      </c>
      <c r="AD25" s="55" t="str">
        <f t="shared" si="43"/>
        <v/>
      </c>
      <c r="AE25" s="55" t="str">
        <f t="shared" si="43"/>
        <v/>
      </c>
      <c r="AF25" s="55" t="str">
        <f t="shared" si="43"/>
        <v/>
      </c>
      <c r="AG25" s="55" t="str">
        <f t="shared" si="43"/>
        <v/>
      </c>
      <c r="AH25" s="55" t="str">
        <f t="shared" si="43"/>
        <v/>
      </c>
      <c r="AI25" s="55" t="str">
        <f t="shared" si="43"/>
        <v/>
      </c>
      <c r="AJ25" s="55" t="str">
        <f t="shared" si="43"/>
        <v/>
      </c>
      <c r="AK25" s="55" t="str">
        <f t="shared" si="43"/>
        <v/>
      </c>
      <c r="AL25" s="55" t="str">
        <f t="shared" si="43"/>
        <v/>
      </c>
      <c r="AM25" s="55" t="str">
        <f t="shared" si="43"/>
        <v/>
      </c>
      <c r="AN25" s="55" t="str">
        <f t="shared" si="43"/>
        <v/>
      </c>
      <c r="AO25" s="55" t="str">
        <f t="shared" si="44"/>
        <v/>
      </c>
      <c r="AP25" s="55" t="str">
        <f t="shared" si="44"/>
        <v/>
      </c>
      <c r="AQ25" s="55" t="str">
        <f t="shared" si="44"/>
        <v/>
      </c>
      <c r="AR25" s="55" t="str">
        <f t="shared" si="44"/>
        <v/>
      </c>
      <c r="AS25" s="55" t="str">
        <f t="shared" si="44"/>
        <v/>
      </c>
      <c r="AT25" s="55" t="str">
        <f t="shared" si="44"/>
        <v/>
      </c>
      <c r="AU25" s="55" t="str">
        <f t="shared" si="44"/>
        <v/>
      </c>
      <c r="AV25" s="55" t="str">
        <f t="shared" si="44"/>
        <v/>
      </c>
      <c r="AW25" s="55" t="str">
        <f t="shared" si="44"/>
        <v/>
      </c>
      <c r="AX25" s="55" t="str">
        <f t="shared" si="44"/>
        <v/>
      </c>
      <c r="AY25" s="55" t="str">
        <f t="shared" si="44"/>
        <v/>
      </c>
      <c r="AZ25" s="55" t="str">
        <f t="shared" si="44"/>
        <v/>
      </c>
      <c r="BA25" s="55" t="str">
        <f t="shared" si="44"/>
        <v/>
      </c>
      <c r="BB25" s="55" t="str">
        <f t="shared" si="44"/>
        <v/>
      </c>
      <c r="BC25" s="55" t="str">
        <f t="shared" si="44"/>
        <v/>
      </c>
      <c r="BD25" s="55" t="str">
        <f t="shared" si="44"/>
        <v/>
      </c>
      <c r="BE25" s="55" t="str">
        <f t="shared" si="44"/>
        <v/>
      </c>
      <c r="BF25" s="55" t="str">
        <f t="shared" si="44"/>
        <v/>
      </c>
      <c r="BG25" s="55" t="str">
        <f t="shared" si="44"/>
        <v/>
      </c>
      <c r="BH25" s="55" t="str">
        <f t="shared" si="44"/>
        <v/>
      </c>
      <c r="BI25" s="55" t="str">
        <f t="shared" si="44"/>
        <v/>
      </c>
      <c r="BJ25" s="55" t="str">
        <f t="shared" si="44"/>
        <v/>
      </c>
      <c r="BK25" s="55" t="str">
        <f t="shared" si="44"/>
        <v/>
      </c>
      <c r="BL25" s="55" t="str">
        <f t="shared" si="44"/>
        <v/>
      </c>
      <c r="BM25" s="55" t="str">
        <f t="shared" si="44"/>
        <v/>
      </c>
      <c r="BN25" s="55" t="str">
        <f t="shared" si="44"/>
        <v/>
      </c>
      <c r="BO25" s="55" t="str">
        <f t="shared" si="44"/>
        <v/>
      </c>
      <c r="BP25" s="55" t="str">
        <f t="shared" si="44"/>
        <v/>
      </c>
      <c r="BQ25" s="55" t="str">
        <f t="shared" si="44"/>
        <v/>
      </c>
      <c r="BR25" s="55" t="str">
        <f t="shared" si="44"/>
        <v/>
      </c>
      <c r="BS25" s="55" t="str">
        <f t="shared" si="44"/>
        <v/>
      </c>
      <c r="BT25" s="55" t="str">
        <f t="shared" si="44"/>
        <v/>
      </c>
      <c r="BU25" s="55" t="str">
        <f t="shared" si="44"/>
        <v/>
      </c>
      <c r="BV25" s="55" t="str">
        <f t="shared" si="44"/>
        <v/>
      </c>
      <c r="BW25" s="55" t="str">
        <f t="shared" si="44"/>
        <v/>
      </c>
      <c r="BX25" s="55" t="str">
        <f t="shared" si="44"/>
        <v/>
      </c>
      <c r="BY25" s="55" t="str">
        <f t="shared" si="44"/>
        <v/>
      </c>
      <c r="BZ25" s="55" t="str">
        <f t="shared" si="44"/>
        <v/>
      </c>
      <c r="CA25" s="55" t="str">
        <f t="shared" si="44"/>
        <v/>
      </c>
      <c r="CB25" s="55" t="str">
        <f t="shared" si="44"/>
        <v/>
      </c>
      <c r="CC25" s="55" t="str">
        <f t="shared" si="44"/>
        <v/>
      </c>
      <c r="CD25" s="55" t="str">
        <f t="shared" si="44"/>
        <v/>
      </c>
      <c r="CE25" s="55" t="str">
        <f t="shared" si="44"/>
        <v/>
      </c>
      <c r="CF25" s="55" t="str">
        <f t="shared" si="44"/>
        <v/>
      </c>
      <c r="CG25" s="55">
        <f t="shared" si="44"/>
        <v>0</v>
      </c>
      <c r="CH25" s="55" t="str">
        <f t="shared" si="44"/>
        <v/>
      </c>
      <c r="CI25" s="55" t="str">
        <f t="shared" si="44"/>
        <v/>
      </c>
      <c r="CJ25" s="55" t="str">
        <f t="shared" si="44"/>
        <v/>
      </c>
      <c r="CK25" s="55" t="str">
        <f t="shared" si="44"/>
        <v/>
      </c>
      <c r="CL25" s="55" t="str">
        <f t="shared" si="44"/>
        <v/>
      </c>
      <c r="CM25" s="55" t="str">
        <f t="shared" si="44"/>
        <v/>
      </c>
      <c r="CN25" s="55" t="str">
        <f t="shared" si="44"/>
        <v/>
      </c>
      <c r="CO25" s="55" t="str">
        <f t="shared" si="44"/>
        <v/>
      </c>
      <c r="CP25" s="55" t="str">
        <f t="shared" si="44"/>
        <v/>
      </c>
      <c r="CQ25" s="55" t="str">
        <f t="shared" si="44"/>
        <v/>
      </c>
      <c r="CR25" s="55" t="str">
        <f t="shared" si="44"/>
        <v/>
      </c>
      <c r="CS25" s="55" t="str">
        <f t="shared" si="44"/>
        <v/>
      </c>
      <c r="CT25" s="55" t="str">
        <f t="shared" si="44"/>
        <v/>
      </c>
      <c r="CU25" s="55" t="str">
        <f t="shared" si="44"/>
        <v/>
      </c>
      <c r="CV25" s="55" t="str">
        <f t="shared" si="44"/>
        <v/>
      </c>
      <c r="CW25" s="55" t="str">
        <f t="shared" si="44"/>
        <v/>
      </c>
      <c r="CX25" s="55" t="str">
        <f t="shared" si="44"/>
        <v/>
      </c>
      <c r="CY25" s="55" t="str">
        <f t="shared" si="44"/>
        <v/>
      </c>
      <c r="CZ25" s="55" t="str">
        <f t="shared" si="44"/>
        <v/>
      </c>
      <c r="DA25" s="55" t="str">
        <f t="shared" si="45"/>
        <v/>
      </c>
      <c r="DB25" s="55" t="str">
        <f t="shared" si="45"/>
        <v/>
      </c>
      <c r="DC25" s="55" t="str">
        <f t="shared" si="45"/>
        <v/>
      </c>
      <c r="DD25" s="55" t="str">
        <f t="shared" si="45"/>
        <v/>
      </c>
      <c r="DE25" s="55" t="str">
        <f t="shared" si="45"/>
        <v/>
      </c>
      <c r="DF25" s="55" t="str">
        <f t="shared" si="45"/>
        <v/>
      </c>
      <c r="DG25" s="55" t="str">
        <f t="shared" si="45"/>
        <v/>
      </c>
      <c r="DH25" s="55" t="str">
        <f t="shared" si="45"/>
        <v/>
      </c>
      <c r="DI25" s="55" t="str">
        <f t="shared" si="45"/>
        <v/>
      </c>
      <c r="DJ25" s="55" t="str">
        <f t="shared" si="45"/>
        <v/>
      </c>
      <c r="DK25" s="55" t="str">
        <f t="shared" si="45"/>
        <v/>
      </c>
      <c r="DL25" s="55" t="str">
        <f t="shared" si="45"/>
        <v/>
      </c>
      <c r="DM25" s="55" t="str">
        <f t="shared" si="45"/>
        <v/>
      </c>
      <c r="DN25" s="55" t="str">
        <f t="shared" si="45"/>
        <v/>
      </c>
      <c r="DO25" s="55" t="str">
        <f t="shared" si="45"/>
        <v/>
      </c>
      <c r="DP25" s="55" t="str">
        <f t="shared" si="45"/>
        <v/>
      </c>
      <c r="DQ25" s="55" t="str">
        <f t="shared" si="46"/>
        <v/>
      </c>
      <c r="DR25" s="55" t="str">
        <f t="shared" si="46"/>
        <v/>
      </c>
      <c r="DS25" s="55" t="str">
        <f t="shared" si="46"/>
        <v/>
      </c>
      <c r="DT25" s="103" t="str">
        <f t="shared" si="46"/>
        <v/>
      </c>
      <c r="DU25" s="54"/>
      <c r="DV25" s="25"/>
      <c r="DW25" s="59" t="str">
        <f t="shared" si="47"/>
        <v/>
      </c>
      <c r="DX25" s="50" t="str">
        <f t="shared" si="47"/>
        <v/>
      </c>
      <c r="DY25" s="50" t="str">
        <f t="shared" si="47"/>
        <v/>
      </c>
      <c r="DZ25" s="50" t="str">
        <f t="shared" si="47"/>
        <v/>
      </c>
      <c r="EA25" s="50" t="str">
        <f t="shared" si="47"/>
        <v/>
      </c>
      <c r="EB25" s="50" t="str">
        <f t="shared" si="47"/>
        <v/>
      </c>
      <c r="EC25" s="50" t="str">
        <f t="shared" si="47"/>
        <v/>
      </c>
      <c r="ED25" s="50" t="str">
        <f t="shared" si="47"/>
        <v/>
      </c>
      <c r="EE25" s="50" t="str">
        <f t="shared" si="47"/>
        <v/>
      </c>
      <c r="EF25" s="50" t="str">
        <f t="shared" si="47"/>
        <v/>
      </c>
      <c r="EG25" s="50" t="str">
        <f t="shared" si="47"/>
        <v/>
      </c>
      <c r="EH25" s="50" t="str">
        <f t="shared" si="47"/>
        <v/>
      </c>
      <c r="EI25" s="50" t="str">
        <f t="shared" si="47"/>
        <v/>
      </c>
      <c r="EJ25" s="50" t="str">
        <f t="shared" si="47"/>
        <v/>
      </c>
      <c r="EK25" s="50" t="str">
        <f t="shared" si="47"/>
        <v/>
      </c>
      <c r="EL25" s="50" t="str">
        <f t="shared" si="47"/>
        <v/>
      </c>
      <c r="EM25" s="50" t="str">
        <f t="shared" si="48"/>
        <v/>
      </c>
      <c r="EN25" s="50" t="str">
        <f t="shared" si="48"/>
        <v/>
      </c>
      <c r="EO25" s="50" t="str">
        <f t="shared" si="48"/>
        <v/>
      </c>
      <c r="EP25" s="50" t="str">
        <f t="shared" si="48"/>
        <v/>
      </c>
      <c r="EQ25" s="50" t="str">
        <f t="shared" si="48"/>
        <v/>
      </c>
      <c r="ER25" s="50" t="str">
        <f t="shared" si="48"/>
        <v/>
      </c>
      <c r="ES25" s="50" t="str">
        <f t="shared" si="48"/>
        <v/>
      </c>
      <c r="ET25" s="50" t="str">
        <f t="shared" si="48"/>
        <v/>
      </c>
      <c r="EU25" s="50" t="str">
        <f t="shared" si="48"/>
        <v/>
      </c>
      <c r="EV25" s="50" t="str">
        <f t="shared" si="48"/>
        <v/>
      </c>
      <c r="EW25" s="50" t="str">
        <f t="shared" si="48"/>
        <v/>
      </c>
      <c r="EX25" s="50" t="str">
        <f t="shared" si="48"/>
        <v/>
      </c>
      <c r="EY25" s="50" t="str">
        <f t="shared" si="48"/>
        <v/>
      </c>
      <c r="EZ25" s="50" t="str">
        <f t="shared" si="48"/>
        <v/>
      </c>
      <c r="FA25" s="50" t="str">
        <f t="shared" si="48"/>
        <v/>
      </c>
      <c r="FB25" s="50" t="str">
        <f t="shared" si="48"/>
        <v/>
      </c>
      <c r="FC25" s="50" t="str">
        <f t="shared" si="48"/>
        <v/>
      </c>
      <c r="FD25" s="50" t="str">
        <f t="shared" si="48"/>
        <v/>
      </c>
      <c r="FE25" s="50" t="str">
        <f t="shared" si="48"/>
        <v/>
      </c>
      <c r="FF25" s="50" t="str">
        <f t="shared" si="48"/>
        <v/>
      </c>
      <c r="FG25" s="50" t="str">
        <f t="shared" si="48"/>
        <v/>
      </c>
      <c r="FH25" s="50" t="str">
        <f t="shared" si="48"/>
        <v/>
      </c>
      <c r="FI25" s="50" t="str">
        <f t="shared" si="48"/>
        <v/>
      </c>
      <c r="FJ25" s="50" t="str">
        <f t="shared" si="48"/>
        <v/>
      </c>
      <c r="FK25" s="50" t="str">
        <f t="shared" si="48"/>
        <v/>
      </c>
      <c r="FL25" s="50" t="str">
        <f t="shared" si="48"/>
        <v/>
      </c>
      <c r="FM25" s="50" t="str">
        <f t="shared" si="48"/>
        <v/>
      </c>
      <c r="FN25" s="50" t="str">
        <f t="shared" si="48"/>
        <v/>
      </c>
      <c r="FO25" s="50" t="str">
        <f t="shared" si="48"/>
        <v/>
      </c>
      <c r="FP25" s="50" t="str">
        <f t="shared" si="48"/>
        <v/>
      </c>
      <c r="FQ25" s="50" t="str">
        <f t="shared" si="48"/>
        <v/>
      </c>
      <c r="FR25" s="50" t="str">
        <f t="shared" si="48"/>
        <v/>
      </c>
      <c r="FS25" s="50" t="str">
        <f t="shared" si="48"/>
        <v/>
      </c>
      <c r="FT25" s="50" t="str">
        <f t="shared" si="48"/>
        <v/>
      </c>
      <c r="FU25" s="50" t="str">
        <f t="shared" si="48"/>
        <v/>
      </c>
      <c r="FV25" s="50" t="str">
        <f t="shared" si="48"/>
        <v/>
      </c>
      <c r="FW25" s="50" t="str">
        <f t="shared" si="48"/>
        <v/>
      </c>
      <c r="FX25" s="50" t="str">
        <f t="shared" si="48"/>
        <v/>
      </c>
      <c r="FY25" s="50" t="str">
        <f t="shared" si="48"/>
        <v/>
      </c>
      <c r="FZ25" s="50" t="str">
        <f t="shared" si="48"/>
        <v/>
      </c>
      <c r="GA25" s="50" t="str">
        <f t="shared" si="48"/>
        <v/>
      </c>
      <c r="GB25" s="50" t="str">
        <f t="shared" si="48"/>
        <v/>
      </c>
      <c r="GC25" s="50" t="str">
        <f t="shared" si="48"/>
        <v/>
      </c>
      <c r="GD25" s="50" t="str">
        <f t="shared" si="48"/>
        <v/>
      </c>
      <c r="GE25" s="50">
        <f t="shared" si="48"/>
        <v>6391</v>
      </c>
      <c r="GF25" s="50" t="str">
        <f t="shared" si="48"/>
        <v/>
      </c>
      <c r="GG25" s="50" t="str">
        <f t="shared" si="48"/>
        <v/>
      </c>
      <c r="GH25" s="50" t="str">
        <f t="shared" si="48"/>
        <v/>
      </c>
      <c r="GI25" s="50" t="str">
        <f t="shared" si="48"/>
        <v/>
      </c>
      <c r="GJ25" s="50" t="str">
        <f t="shared" si="48"/>
        <v/>
      </c>
      <c r="GK25" s="50" t="str">
        <f t="shared" si="48"/>
        <v/>
      </c>
      <c r="GL25" s="50" t="str">
        <f t="shared" si="48"/>
        <v/>
      </c>
      <c r="GM25" s="50" t="str">
        <f t="shared" si="48"/>
        <v/>
      </c>
      <c r="GN25" s="50" t="str">
        <f t="shared" si="48"/>
        <v/>
      </c>
      <c r="GO25" s="50" t="str">
        <f t="shared" si="48"/>
        <v/>
      </c>
      <c r="GP25" s="50" t="str">
        <f t="shared" si="48"/>
        <v/>
      </c>
      <c r="GQ25" s="50" t="str">
        <f t="shared" si="48"/>
        <v/>
      </c>
      <c r="GR25" s="50" t="str">
        <f t="shared" si="48"/>
        <v/>
      </c>
      <c r="GS25" s="50" t="str">
        <f t="shared" si="48"/>
        <v/>
      </c>
      <c r="GT25" s="50" t="str">
        <f t="shared" si="48"/>
        <v/>
      </c>
      <c r="GU25" s="50" t="str">
        <f t="shared" si="48"/>
        <v/>
      </c>
      <c r="GV25" s="50" t="str">
        <f t="shared" si="48"/>
        <v/>
      </c>
      <c r="GW25" s="50" t="str">
        <f t="shared" si="48"/>
        <v/>
      </c>
      <c r="GX25" s="50" t="str">
        <f t="shared" si="48"/>
        <v/>
      </c>
      <c r="GY25" s="50" t="str">
        <f t="shared" si="49"/>
        <v/>
      </c>
      <c r="GZ25" s="50" t="str">
        <f t="shared" si="49"/>
        <v/>
      </c>
      <c r="HA25" s="50" t="str">
        <f t="shared" si="49"/>
        <v/>
      </c>
      <c r="HB25" s="50" t="str">
        <f t="shared" si="49"/>
        <v/>
      </c>
      <c r="HC25" s="50" t="str">
        <f t="shared" si="49"/>
        <v/>
      </c>
      <c r="HD25" s="50" t="str">
        <f t="shared" si="49"/>
        <v/>
      </c>
      <c r="HE25" s="50" t="str">
        <f t="shared" si="49"/>
        <v/>
      </c>
      <c r="HF25" s="50" t="str">
        <f t="shared" si="49"/>
        <v/>
      </c>
      <c r="HG25" s="50" t="str">
        <f t="shared" si="49"/>
        <v/>
      </c>
      <c r="HH25" s="50" t="str">
        <f t="shared" si="49"/>
        <v/>
      </c>
      <c r="HI25" s="50" t="str">
        <f t="shared" si="50"/>
        <v/>
      </c>
      <c r="HJ25" s="50" t="str">
        <f t="shared" si="50"/>
        <v/>
      </c>
      <c r="HK25" s="50" t="str">
        <f t="shared" si="50"/>
        <v/>
      </c>
      <c r="HL25" s="50" t="str">
        <f t="shared" si="50"/>
        <v/>
      </c>
      <c r="HM25" s="50" t="str">
        <f t="shared" si="50"/>
        <v/>
      </c>
      <c r="HN25" s="50" t="str">
        <f t="shared" si="50"/>
        <v/>
      </c>
      <c r="HO25" s="50" t="str">
        <f t="shared" si="50"/>
        <v/>
      </c>
      <c r="HP25" s="50" t="str">
        <f t="shared" si="50"/>
        <v/>
      </c>
      <c r="HQ25" s="50" t="str">
        <f t="shared" si="50"/>
        <v/>
      </c>
      <c r="HR25" s="108" t="str">
        <f t="shared" si="50"/>
        <v/>
      </c>
    </row>
    <row r="26" spans="1:226" ht="11.1" customHeight="1" x14ac:dyDescent="0.25">
      <c r="A26" s="26"/>
      <c r="B26" s="27"/>
      <c r="C26" s="28" t="str">
        <f>IF(A26=0,"",VLOOKUP(A26,[2]CO!$A$3:$F$5327,2,0))</f>
        <v/>
      </c>
      <c r="D26" s="29" t="s">
        <v>30</v>
      </c>
      <c r="E26" s="29"/>
      <c r="F26" s="29"/>
      <c r="G26" s="30" t="str">
        <f>IF(A26=0,"",VLOOKUP(A26,[2]CO!$A$3:$F$5327,3,0))</f>
        <v/>
      </c>
      <c r="H26" s="116"/>
      <c r="I26" s="31"/>
      <c r="J26" s="31"/>
      <c r="K26" s="31"/>
      <c r="L26" s="31"/>
      <c r="M26" s="32" t="str">
        <f t="shared" si="40"/>
        <v/>
      </c>
      <c r="N26" s="32" t="str">
        <f>IF(B26=0,"",IF(H26="M",HLOOKUP(B26,$Y$12:$DT$13,2),IF(A26=0,"",VLOOKUP(A26,[2]CO!$A$3:$F$5327,4,0))))</f>
        <v/>
      </c>
      <c r="O26" s="32" t="str">
        <f t="shared" si="27"/>
        <v/>
      </c>
      <c r="P26" s="33"/>
      <c r="Q26" s="34" t="str">
        <f t="shared" si="41"/>
        <v/>
      </c>
      <c r="R26" s="35" t="str">
        <f t="shared" ref="R26:R31" si="51">IF(S26=0,"",IF(OR(G26="PEON",G26="OF",G26="JARD",G26="CARP",G26="MAESTRO",G26="SOLD",G26="BGRO",G26="CHOFER",G26="AYTE",G26="S.INTTE.",G26="ASEO",G26="P.PISOS",G26="VELADOR",G26="RESID",G26="PINTOR",G26="ELECT",G26="AZULE",G26="AUX CONT.",G26="SECRETARIA",G26="AUXILIAR ADMTVO.",G26="ARQUITECTO",G26="DIBUJANTE",G26="AUX. DE RESIDENTE",G26="TOPOGRAFIA"),VLOOKUP(B26,P$14:Q$50,2),"")*S26)</f>
        <v/>
      </c>
      <c r="T26" s="53" t="str">
        <f>IF(A26=0,"",VLOOKUP(A26,[2]CO!$A$3:$F$5318,5,0))</f>
        <v/>
      </c>
      <c r="U26" s="54">
        <f t="shared" si="42"/>
        <v>0</v>
      </c>
      <c r="V26" s="24"/>
      <c r="W26" s="25"/>
      <c r="X26" s="25"/>
      <c r="Y26" s="60" t="str">
        <f t="shared" si="43"/>
        <v/>
      </c>
      <c r="Z26" s="55" t="str">
        <f t="shared" si="43"/>
        <v/>
      </c>
      <c r="AA26" s="55" t="str">
        <f t="shared" si="43"/>
        <v/>
      </c>
      <c r="AB26" s="55" t="str">
        <f t="shared" si="43"/>
        <v/>
      </c>
      <c r="AC26" s="55" t="str">
        <f t="shared" si="43"/>
        <v/>
      </c>
      <c r="AD26" s="55" t="str">
        <f t="shared" si="43"/>
        <v/>
      </c>
      <c r="AE26" s="55" t="str">
        <f t="shared" si="43"/>
        <v/>
      </c>
      <c r="AF26" s="55" t="str">
        <f t="shared" si="43"/>
        <v/>
      </c>
      <c r="AG26" s="55" t="str">
        <f t="shared" si="43"/>
        <v/>
      </c>
      <c r="AH26" s="55" t="str">
        <f t="shared" si="43"/>
        <v/>
      </c>
      <c r="AI26" s="55" t="str">
        <f t="shared" si="43"/>
        <v/>
      </c>
      <c r="AJ26" s="55" t="str">
        <f t="shared" si="43"/>
        <v/>
      </c>
      <c r="AK26" s="55" t="str">
        <f t="shared" si="43"/>
        <v/>
      </c>
      <c r="AL26" s="55" t="str">
        <f t="shared" si="43"/>
        <v/>
      </c>
      <c r="AM26" s="55" t="str">
        <f t="shared" si="43"/>
        <v/>
      </c>
      <c r="AN26" s="55" t="str">
        <f t="shared" si="43"/>
        <v/>
      </c>
      <c r="AO26" s="55" t="str">
        <f t="shared" si="44"/>
        <v/>
      </c>
      <c r="AP26" s="55" t="str">
        <f t="shared" si="44"/>
        <v/>
      </c>
      <c r="AQ26" s="55" t="str">
        <f t="shared" si="44"/>
        <v/>
      </c>
      <c r="AR26" s="55" t="str">
        <f t="shared" si="44"/>
        <v/>
      </c>
      <c r="AS26" s="55" t="str">
        <f t="shared" si="44"/>
        <v/>
      </c>
      <c r="AT26" s="55" t="str">
        <f t="shared" si="44"/>
        <v/>
      </c>
      <c r="AU26" s="55" t="str">
        <f t="shared" si="44"/>
        <v/>
      </c>
      <c r="AV26" s="55" t="str">
        <f t="shared" si="44"/>
        <v/>
      </c>
      <c r="AW26" s="55" t="str">
        <f t="shared" si="44"/>
        <v/>
      </c>
      <c r="AX26" s="55" t="str">
        <f t="shared" si="44"/>
        <v/>
      </c>
      <c r="AY26" s="55" t="str">
        <f t="shared" si="44"/>
        <v/>
      </c>
      <c r="AZ26" s="55" t="str">
        <f t="shared" si="44"/>
        <v/>
      </c>
      <c r="BA26" s="55" t="str">
        <f t="shared" si="44"/>
        <v/>
      </c>
      <c r="BB26" s="55" t="str">
        <f t="shared" si="44"/>
        <v/>
      </c>
      <c r="BC26" s="55" t="str">
        <f t="shared" si="44"/>
        <v/>
      </c>
      <c r="BD26" s="55" t="str">
        <f t="shared" si="44"/>
        <v/>
      </c>
      <c r="BE26" s="55" t="str">
        <f t="shared" si="44"/>
        <v/>
      </c>
      <c r="BF26" s="55" t="str">
        <f t="shared" si="44"/>
        <v/>
      </c>
      <c r="BG26" s="55" t="str">
        <f t="shared" si="44"/>
        <v/>
      </c>
      <c r="BH26" s="55" t="str">
        <f t="shared" si="44"/>
        <v/>
      </c>
      <c r="BI26" s="55" t="str">
        <f t="shared" si="44"/>
        <v/>
      </c>
      <c r="BJ26" s="55" t="str">
        <f t="shared" si="44"/>
        <v/>
      </c>
      <c r="BK26" s="55" t="str">
        <f t="shared" si="44"/>
        <v/>
      </c>
      <c r="BL26" s="55" t="str">
        <f t="shared" si="44"/>
        <v/>
      </c>
      <c r="BM26" s="55" t="str">
        <f t="shared" si="44"/>
        <v/>
      </c>
      <c r="BN26" s="55" t="str">
        <f t="shared" si="44"/>
        <v/>
      </c>
      <c r="BO26" s="55" t="str">
        <f t="shared" si="44"/>
        <v/>
      </c>
      <c r="BP26" s="55" t="str">
        <f t="shared" si="44"/>
        <v/>
      </c>
      <c r="BQ26" s="55" t="str">
        <f t="shared" si="44"/>
        <v/>
      </c>
      <c r="BR26" s="55" t="str">
        <f t="shared" si="44"/>
        <v/>
      </c>
      <c r="BS26" s="55" t="str">
        <f t="shared" si="44"/>
        <v/>
      </c>
      <c r="BT26" s="55" t="str">
        <f t="shared" si="44"/>
        <v/>
      </c>
      <c r="BU26" s="55" t="str">
        <f t="shared" si="44"/>
        <v/>
      </c>
      <c r="BV26" s="55" t="str">
        <f t="shared" si="44"/>
        <v/>
      </c>
      <c r="BW26" s="55" t="str">
        <f t="shared" si="44"/>
        <v/>
      </c>
      <c r="BX26" s="55" t="str">
        <f t="shared" si="44"/>
        <v/>
      </c>
      <c r="BY26" s="55" t="str">
        <f t="shared" si="44"/>
        <v/>
      </c>
      <c r="BZ26" s="55" t="str">
        <f t="shared" si="44"/>
        <v/>
      </c>
      <c r="CA26" s="55" t="str">
        <f t="shared" si="44"/>
        <v/>
      </c>
      <c r="CB26" s="55" t="str">
        <f t="shared" si="44"/>
        <v/>
      </c>
      <c r="CC26" s="55" t="str">
        <f t="shared" si="44"/>
        <v/>
      </c>
      <c r="CD26" s="55" t="str">
        <f t="shared" si="44"/>
        <v/>
      </c>
      <c r="CE26" s="55" t="str">
        <f t="shared" si="44"/>
        <v/>
      </c>
      <c r="CF26" s="55" t="str">
        <f t="shared" si="44"/>
        <v/>
      </c>
      <c r="CG26" s="55" t="str">
        <f t="shared" si="44"/>
        <v/>
      </c>
      <c r="CH26" s="55" t="str">
        <f t="shared" si="44"/>
        <v/>
      </c>
      <c r="CI26" s="55" t="str">
        <f t="shared" si="44"/>
        <v/>
      </c>
      <c r="CJ26" s="55" t="str">
        <f t="shared" si="44"/>
        <v/>
      </c>
      <c r="CK26" s="55" t="str">
        <f t="shared" si="44"/>
        <v/>
      </c>
      <c r="CL26" s="55" t="str">
        <f t="shared" si="44"/>
        <v/>
      </c>
      <c r="CM26" s="55" t="str">
        <f t="shared" si="44"/>
        <v/>
      </c>
      <c r="CN26" s="55" t="str">
        <f t="shared" si="44"/>
        <v/>
      </c>
      <c r="CO26" s="55" t="str">
        <f t="shared" si="44"/>
        <v/>
      </c>
      <c r="CP26" s="55" t="str">
        <f t="shared" si="44"/>
        <v/>
      </c>
      <c r="CQ26" s="55" t="str">
        <f t="shared" si="44"/>
        <v/>
      </c>
      <c r="CR26" s="55" t="str">
        <f t="shared" si="44"/>
        <v/>
      </c>
      <c r="CS26" s="55" t="str">
        <f t="shared" si="44"/>
        <v/>
      </c>
      <c r="CT26" s="55" t="str">
        <f t="shared" si="44"/>
        <v/>
      </c>
      <c r="CU26" s="55" t="str">
        <f t="shared" si="44"/>
        <v/>
      </c>
      <c r="CV26" s="55" t="str">
        <f t="shared" si="44"/>
        <v/>
      </c>
      <c r="CW26" s="55" t="str">
        <f t="shared" si="44"/>
        <v/>
      </c>
      <c r="CX26" s="55" t="str">
        <f t="shared" si="44"/>
        <v/>
      </c>
      <c r="CY26" s="55" t="str">
        <f t="shared" si="44"/>
        <v/>
      </c>
      <c r="CZ26" s="55" t="str">
        <f t="shared" si="44"/>
        <v/>
      </c>
      <c r="DA26" s="55" t="str">
        <f t="shared" si="45"/>
        <v/>
      </c>
      <c r="DB26" s="55" t="str">
        <f t="shared" si="45"/>
        <v/>
      </c>
      <c r="DC26" s="55" t="str">
        <f t="shared" si="45"/>
        <v/>
      </c>
      <c r="DD26" s="55" t="str">
        <f t="shared" si="45"/>
        <v/>
      </c>
      <c r="DE26" s="55" t="str">
        <f t="shared" si="45"/>
        <v/>
      </c>
      <c r="DF26" s="55" t="str">
        <f t="shared" si="45"/>
        <v/>
      </c>
      <c r="DG26" s="55" t="str">
        <f t="shared" si="45"/>
        <v/>
      </c>
      <c r="DH26" s="55" t="str">
        <f t="shared" si="45"/>
        <v/>
      </c>
      <c r="DI26" s="55" t="str">
        <f t="shared" si="45"/>
        <v/>
      </c>
      <c r="DJ26" s="55" t="str">
        <f t="shared" si="45"/>
        <v/>
      </c>
      <c r="DK26" s="55" t="str">
        <f t="shared" si="45"/>
        <v/>
      </c>
      <c r="DL26" s="55" t="str">
        <f t="shared" si="45"/>
        <v/>
      </c>
      <c r="DM26" s="55" t="str">
        <f t="shared" si="45"/>
        <v/>
      </c>
      <c r="DN26" s="55" t="str">
        <f t="shared" si="45"/>
        <v/>
      </c>
      <c r="DO26" s="55" t="str">
        <f t="shared" si="45"/>
        <v/>
      </c>
      <c r="DP26" s="55" t="str">
        <f t="shared" si="45"/>
        <v/>
      </c>
      <c r="DQ26" s="55" t="str">
        <f t="shared" si="46"/>
        <v/>
      </c>
      <c r="DR26" s="55" t="str">
        <f t="shared" si="46"/>
        <v/>
      </c>
      <c r="DS26" s="55" t="str">
        <f t="shared" si="46"/>
        <v/>
      </c>
      <c r="DT26" s="103" t="str">
        <f t="shared" si="46"/>
        <v/>
      </c>
      <c r="DU26" s="54"/>
      <c r="DV26" s="25"/>
      <c r="DW26" s="59" t="str">
        <f t="shared" si="47"/>
        <v/>
      </c>
      <c r="DX26" s="50" t="str">
        <f t="shared" si="47"/>
        <v/>
      </c>
      <c r="DY26" s="50" t="str">
        <f t="shared" si="47"/>
        <v/>
      </c>
      <c r="DZ26" s="50" t="str">
        <f t="shared" si="47"/>
        <v/>
      </c>
      <c r="EA26" s="50" t="str">
        <f t="shared" si="47"/>
        <v/>
      </c>
      <c r="EB26" s="50" t="str">
        <f t="shared" si="47"/>
        <v/>
      </c>
      <c r="EC26" s="50" t="str">
        <f t="shared" si="47"/>
        <v/>
      </c>
      <c r="ED26" s="50" t="str">
        <f t="shared" si="47"/>
        <v/>
      </c>
      <c r="EE26" s="50" t="str">
        <f t="shared" si="47"/>
        <v/>
      </c>
      <c r="EF26" s="50" t="str">
        <f t="shared" si="47"/>
        <v/>
      </c>
      <c r="EG26" s="50" t="str">
        <f t="shared" si="47"/>
        <v/>
      </c>
      <c r="EH26" s="50" t="str">
        <f t="shared" si="47"/>
        <v/>
      </c>
      <c r="EI26" s="50" t="str">
        <f t="shared" si="47"/>
        <v/>
      </c>
      <c r="EJ26" s="50" t="str">
        <f t="shared" si="47"/>
        <v/>
      </c>
      <c r="EK26" s="50" t="str">
        <f t="shared" si="47"/>
        <v/>
      </c>
      <c r="EL26" s="50" t="str">
        <f t="shared" si="47"/>
        <v/>
      </c>
      <c r="EM26" s="50" t="str">
        <f t="shared" si="48"/>
        <v/>
      </c>
      <c r="EN26" s="50" t="str">
        <f t="shared" si="48"/>
        <v/>
      </c>
      <c r="EO26" s="50" t="str">
        <f t="shared" si="48"/>
        <v/>
      </c>
      <c r="EP26" s="50" t="str">
        <f t="shared" si="48"/>
        <v/>
      </c>
      <c r="EQ26" s="50" t="str">
        <f t="shared" si="48"/>
        <v/>
      </c>
      <c r="ER26" s="50" t="str">
        <f t="shared" si="48"/>
        <v/>
      </c>
      <c r="ES26" s="50" t="str">
        <f t="shared" si="48"/>
        <v/>
      </c>
      <c r="ET26" s="50" t="str">
        <f t="shared" si="48"/>
        <v/>
      </c>
      <c r="EU26" s="50" t="str">
        <f t="shared" si="48"/>
        <v/>
      </c>
      <c r="EV26" s="50" t="str">
        <f t="shared" si="48"/>
        <v/>
      </c>
      <c r="EW26" s="50" t="str">
        <f t="shared" si="48"/>
        <v/>
      </c>
      <c r="EX26" s="50" t="str">
        <f t="shared" si="48"/>
        <v/>
      </c>
      <c r="EY26" s="50" t="str">
        <f t="shared" si="48"/>
        <v/>
      </c>
      <c r="EZ26" s="50" t="str">
        <f t="shared" si="48"/>
        <v/>
      </c>
      <c r="FA26" s="50" t="str">
        <f t="shared" si="48"/>
        <v/>
      </c>
      <c r="FB26" s="50" t="str">
        <f t="shared" si="48"/>
        <v/>
      </c>
      <c r="FC26" s="50" t="str">
        <f t="shared" si="48"/>
        <v/>
      </c>
      <c r="FD26" s="50" t="str">
        <f t="shared" si="48"/>
        <v/>
      </c>
      <c r="FE26" s="50" t="str">
        <f t="shared" si="48"/>
        <v/>
      </c>
      <c r="FF26" s="50" t="str">
        <f t="shared" si="48"/>
        <v/>
      </c>
      <c r="FG26" s="50" t="str">
        <f t="shared" si="48"/>
        <v/>
      </c>
      <c r="FH26" s="50" t="str">
        <f t="shared" si="48"/>
        <v/>
      </c>
      <c r="FI26" s="50" t="str">
        <f t="shared" si="48"/>
        <v/>
      </c>
      <c r="FJ26" s="50" t="str">
        <f t="shared" si="48"/>
        <v/>
      </c>
      <c r="FK26" s="50" t="str">
        <f t="shared" si="48"/>
        <v/>
      </c>
      <c r="FL26" s="50" t="str">
        <f t="shared" si="48"/>
        <v/>
      </c>
      <c r="FM26" s="50" t="str">
        <f t="shared" si="48"/>
        <v/>
      </c>
      <c r="FN26" s="50" t="str">
        <f t="shared" si="48"/>
        <v/>
      </c>
      <c r="FO26" s="50" t="str">
        <f t="shared" si="48"/>
        <v/>
      </c>
      <c r="FP26" s="50" t="str">
        <f t="shared" si="48"/>
        <v/>
      </c>
      <c r="FQ26" s="50" t="str">
        <f t="shared" si="48"/>
        <v/>
      </c>
      <c r="FR26" s="50" t="str">
        <f t="shared" si="48"/>
        <v/>
      </c>
      <c r="FS26" s="50" t="str">
        <f t="shared" si="48"/>
        <v/>
      </c>
      <c r="FT26" s="50" t="str">
        <f t="shared" si="48"/>
        <v/>
      </c>
      <c r="FU26" s="50" t="str">
        <f t="shared" si="48"/>
        <v/>
      </c>
      <c r="FV26" s="50" t="str">
        <f t="shared" si="48"/>
        <v/>
      </c>
      <c r="FW26" s="50" t="str">
        <f t="shared" si="48"/>
        <v/>
      </c>
      <c r="FX26" s="50" t="str">
        <f t="shared" si="48"/>
        <v/>
      </c>
      <c r="FY26" s="50" t="str">
        <f t="shared" si="48"/>
        <v/>
      </c>
      <c r="FZ26" s="50" t="str">
        <f t="shared" si="48"/>
        <v/>
      </c>
      <c r="GA26" s="50" t="str">
        <f t="shared" si="48"/>
        <v/>
      </c>
      <c r="GB26" s="50" t="str">
        <f t="shared" si="48"/>
        <v/>
      </c>
      <c r="GC26" s="50" t="str">
        <f t="shared" si="48"/>
        <v/>
      </c>
      <c r="GD26" s="50" t="str">
        <f t="shared" si="48"/>
        <v/>
      </c>
      <c r="GE26" s="50" t="str">
        <f t="shared" si="48"/>
        <v/>
      </c>
      <c r="GF26" s="50" t="str">
        <f t="shared" si="48"/>
        <v/>
      </c>
      <c r="GG26" s="50" t="str">
        <f t="shared" si="48"/>
        <v/>
      </c>
      <c r="GH26" s="50" t="str">
        <f t="shared" si="48"/>
        <v/>
      </c>
      <c r="GI26" s="50" t="str">
        <f t="shared" si="48"/>
        <v/>
      </c>
      <c r="GJ26" s="50" t="str">
        <f t="shared" si="48"/>
        <v/>
      </c>
      <c r="GK26" s="50" t="str">
        <f t="shared" si="48"/>
        <v/>
      </c>
      <c r="GL26" s="50" t="str">
        <f t="shared" si="48"/>
        <v/>
      </c>
      <c r="GM26" s="50" t="str">
        <f t="shared" si="48"/>
        <v/>
      </c>
      <c r="GN26" s="50" t="str">
        <f t="shared" si="48"/>
        <v/>
      </c>
      <c r="GO26" s="50" t="str">
        <f t="shared" si="48"/>
        <v/>
      </c>
      <c r="GP26" s="50" t="str">
        <f t="shared" si="48"/>
        <v/>
      </c>
      <c r="GQ26" s="50" t="str">
        <f t="shared" si="48"/>
        <v/>
      </c>
      <c r="GR26" s="50" t="str">
        <f t="shared" si="48"/>
        <v/>
      </c>
      <c r="GS26" s="50" t="str">
        <f t="shared" si="48"/>
        <v/>
      </c>
      <c r="GT26" s="50" t="str">
        <f t="shared" si="48"/>
        <v/>
      </c>
      <c r="GU26" s="50" t="str">
        <f t="shared" si="48"/>
        <v/>
      </c>
      <c r="GV26" s="50" t="str">
        <f t="shared" si="48"/>
        <v/>
      </c>
      <c r="GW26" s="50" t="str">
        <f t="shared" si="48"/>
        <v/>
      </c>
      <c r="GX26" s="50" t="str">
        <f t="shared" si="48"/>
        <v/>
      </c>
      <c r="GY26" s="50" t="str">
        <f t="shared" si="49"/>
        <v/>
      </c>
      <c r="GZ26" s="50" t="str">
        <f t="shared" si="49"/>
        <v/>
      </c>
      <c r="HA26" s="50" t="str">
        <f t="shared" si="49"/>
        <v/>
      </c>
      <c r="HB26" s="50" t="str">
        <f t="shared" si="49"/>
        <v/>
      </c>
      <c r="HC26" s="50" t="str">
        <f t="shared" si="49"/>
        <v/>
      </c>
      <c r="HD26" s="50" t="str">
        <f t="shared" si="49"/>
        <v/>
      </c>
      <c r="HE26" s="50" t="str">
        <f t="shared" si="49"/>
        <v/>
      </c>
      <c r="HF26" s="50" t="str">
        <f t="shared" si="49"/>
        <v/>
      </c>
      <c r="HG26" s="50" t="str">
        <f t="shared" si="49"/>
        <v/>
      </c>
      <c r="HH26" s="50" t="str">
        <f t="shared" si="49"/>
        <v/>
      </c>
      <c r="HI26" s="50" t="str">
        <f t="shared" si="50"/>
        <v/>
      </c>
      <c r="HJ26" s="50" t="str">
        <f t="shared" si="50"/>
        <v/>
      </c>
      <c r="HK26" s="50" t="str">
        <f t="shared" si="50"/>
        <v/>
      </c>
      <c r="HL26" s="50" t="str">
        <f t="shared" si="50"/>
        <v/>
      </c>
      <c r="HM26" s="50" t="str">
        <f t="shared" si="50"/>
        <v/>
      </c>
      <c r="HN26" s="50" t="str">
        <f t="shared" si="50"/>
        <v/>
      </c>
      <c r="HO26" s="50" t="str">
        <f t="shared" si="50"/>
        <v/>
      </c>
      <c r="HP26" s="50" t="str">
        <f t="shared" si="50"/>
        <v/>
      </c>
      <c r="HQ26" s="50" t="str">
        <f t="shared" si="50"/>
        <v/>
      </c>
      <c r="HR26" s="108" t="str">
        <f t="shared" si="50"/>
        <v/>
      </c>
    </row>
    <row r="27" spans="1:226" ht="11.1" customHeight="1" x14ac:dyDescent="0.25">
      <c r="A27" s="26"/>
      <c r="B27" s="27"/>
      <c r="C27" s="28" t="str">
        <f>IF(A27=0,"",VLOOKUP(A27,[2]CO!$A$3:$F$5327,2,0))</f>
        <v/>
      </c>
      <c r="D27" s="29"/>
      <c r="E27" s="29"/>
      <c r="F27" s="29"/>
      <c r="G27" s="30" t="str">
        <f>IF(A27=0,"",VLOOKUP(A27,[2]CO!$A$3:$F$5327,3,0))</f>
        <v/>
      </c>
      <c r="H27" s="91"/>
      <c r="I27" s="31"/>
      <c r="J27" s="31"/>
      <c r="K27" s="31"/>
      <c r="L27" s="31"/>
      <c r="M27" s="32" t="str">
        <f t="shared" ref="M27:M29" si="52">IF(H27&gt;0,H27*Q$20/N27,IF(AND(L27&gt;0,I27&gt;0),L27*I27,IF(L27&gt;0,L27,"")))</f>
        <v/>
      </c>
      <c r="N27" s="32" t="str">
        <f>IF(B27=0,"",IF(H27="M",HLOOKUP(B27,$Y$12:$DT$13,2),IF(A27=0,"",VLOOKUP(A27,[2]CO!$A$3:$F$5327,4,0))))</f>
        <v/>
      </c>
      <c r="O27" s="32" t="str">
        <f t="shared" ref="O27:O29" si="53">IF(L27=0,"",PRODUCT(M27:N27))</f>
        <v/>
      </c>
      <c r="P27" s="33"/>
      <c r="Q27" s="34" t="str">
        <f t="shared" ref="Q27:Q29" si="54">IF(P27=0,"",(HLOOKUP(P27,$DW$12:$HR$13,2)))</f>
        <v/>
      </c>
      <c r="R27" s="35" t="str">
        <f t="shared" si="51"/>
        <v/>
      </c>
      <c r="T27" s="53" t="str">
        <f>IF(A27=0,"",VLOOKUP(A27,[2]CO!$A$3:$F$5318,5,0))</f>
        <v/>
      </c>
      <c r="U27" s="54">
        <f t="shared" ref="U27:U29" si="55">IF(T27=1,O27*0.1,)</f>
        <v>0</v>
      </c>
      <c r="V27" s="24"/>
      <c r="W27" s="25"/>
      <c r="X27" s="25"/>
      <c r="Y27" s="60" t="str">
        <f t="shared" ref="Y27:AN28" si="56">IF($B27=Y$12,$U27,"")</f>
        <v/>
      </c>
      <c r="Z27" s="55" t="str">
        <f t="shared" si="56"/>
        <v/>
      </c>
      <c r="AA27" s="55" t="str">
        <f t="shared" si="56"/>
        <v/>
      </c>
      <c r="AB27" s="55" t="str">
        <f t="shared" si="56"/>
        <v/>
      </c>
      <c r="AC27" s="55" t="str">
        <f t="shared" si="56"/>
        <v/>
      </c>
      <c r="AD27" s="55" t="str">
        <f t="shared" si="56"/>
        <v/>
      </c>
      <c r="AE27" s="55" t="str">
        <f t="shared" si="56"/>
        <v/>
      </c>
      <c r="AF27" s="55" t="str">
        <f t="shared" si="56"/>
        <v/>
      </c>
      <c r="AG27" s="55" t="str">
        <f t="shared" si="56"/>
        <v/>
      </c>
      <c r="AH27" s="55" t="str">
        <f t="shared" si="56"/>
        <v/>
      </c>
      <c r="AI27" s="55" t="str">
        <f t="shared" si="56"/>
        <v/>
      </c>
      <c r="AJ27" s="55" t="str">
        <f t="shared" si="56"/>
        <v/>
      </c>
      <c r="AK27" s="55" t="str">
        <f t="shared" si="56"/>
        <v/>
      </c>
      <c r="AL27" s="55" t="str">
        <f t="shared" si="56"/>
        <v/>
      </c>
      <c r="AM27" s="55" t="str">
        <f t="shared" si="56"/>
        <v/>
      </c>
      <c r="AN27" s="55" t="str">
        <f t="shared" si="56"/>
        <v/>
      </c>
      <c r="AO27" s="55" t="str">
        <f t="shared" ref="AO27:BD28" si="57">IF($B27=AO$12,$U27,"")</f>
        <v/>
      </c>
      <c r="AP27" s="55" t="str">
        <f t="shared" si="57"/>
        <v/>
      </c>
      <c r="AQ27" s="55" t="str">
        <f t="shared" si="57"/>
        <v/>
      </c>
      <c r="AR27" s="55" t="str">
        <f t="shared" si="57"/>
        <v/>
      </c>
      <c r="AS27" s="55" t="str">
        <f t="shared" si="57"/>
        <v/>
      </c>
      <c r="AT27" s="55" t="str">
        <f t="shared" si="57"/>
        <v/>
      </c>
      <c r="AU27" s="55" t="str">
        <f t="shared" si="57"/>
        <v/>
      </c>
      <c r="AV27" s="55" t="str">
        <f t="shared" si="57"/>
        <v/>
      </c>
      <c r="AW27" s="55" t="str">
        <f t="shared" si="57"/>
        <v/>
      </c>
      <c r="AX27" s="55" t="str">
        <f t="shared" si="57"/>
        <v/>
      </c>
      <c r="AY27" s="55" t="str">
        <f t="shared" si="57"/>
        <v/>
      </c>
      <c r="AZ27" s="55" t="str">
        <f t="shared" si="57"/>
        <v/>
      </c>
      <c r="BA27" s="55" t="str">
        <f t="shared" si="57"/>
        <v/>
      </c>
      <c r="BB27" s="55" t="str">
        <f t="shared" si="57"/>
        <v/>
      </c>
      <c r="BC27" s="55" t="str">
        <f t="shared" si="57"/>
        <v/>
      </c>
      <c r="BD27" s="55" t="str">
        <f t="shared" si="57"/>
        <v/>
      </c>
      <c r="BE27" s="55" t="str">
        <f t="shared" ref="BE27:BX27" si="58">IF($B27=BE$12,$U27,"")</f>
        <v/>
      </c>
      <c r="BF27" s="55" t="str">
        <f t="shared" si="58"/>
        <v/>
      </c>
      <c r="BG27" s="55" t="str">
        <f t="shared" si="58"/>
        <v/>
      </c>
      <c r="BH27" s="55" t="str">
        <f t="shared" si="58"/>
        <v/>
      </c>
      <c r="BI27" s="55" t="str">
        <f t="shared" si="58"/>
        <v/>
      </c>
      <c r="BJ27" s="55" t="str">
        <f t="shared" si="58"/>
        <v/>
      </c>
      <c r="BK27" s="55" t="str">
        <f t="shared" si="58"/>
        <v/>
      </c>
      <c r="BL27" s="55" t="str">
        <f t="shared" si="58"/>
        <v/>
      </c>
      <c r="BM27" s="55" t="str">
        <f t="shared" si="58"/>
        <v/>
      </c>
      <c r="BN27" s="55" t="str">
        <f t="shared" si="58"/>
        <v/>
      </c>
      <c r="BO27" s="55" t="str">
        <f t="shared" si="58"/>
        <v/>
      </c>
      <c r="BP27" s="55" t="str">
        <f t="shared" si="58"/>
        <v/>
      </c>
      <c r="BQ27" s="55" t="str">
        <f t="shared" si="58"/>
        <v/>
      </c>
      <c r="BR27" s="55" t="str">
        <f t="shared" si="58"/>
        <v/>
      </c>
      <c r="BS27" s="55" t="str">
        <f t="shared" si="58"/>
        <v/>
      </c>
      <c r="BT27" s="55" t="str">
        <f t="shared" si="58"/>
        <v/>
      </c>
      <c r="BU27" s="55" t="str">
        <f t="shared" si="58"/>
        <v/>
      </c>
      <c r="BV27" s="55" t="str">
        <f t="shared" si="58"/>
        <v/>
      </c>
      <c r="BW27" s="55" t="str">
        <f t="shared" si="58"/>
        <v/>
      </c>
      <c r="BX27" s="55" t="str">
        <f t="shared" si="58"/>
        <v/>
      </c>
      <c r="BY27" s="55" t="str">
        <f t="shared" ref="BY27:CY27" si="59">IF($B27=BY$12,$U27,"")</f>
        <v/>
      </c>
      <c r="BZ27" s="55" t="str">
        <f t="shared" si="59"/>
        <v/>
      </c>
      <c r="CA27" s="55" t="str">
        <f t="shared" si="59"/>
        <v/>
      </c>
      <c r="CB27" s="55" t="str">
        <f t="shared" si="59"/>
        <v/>
      </c>
      <c r="CC27" s="55" t="str">
        <f t="shared" si="59"/>
        <v/>
      </c>
      <c r="CD27" s="55" t="str">
        <f t="shared" si="59"/>
        <v/>
      </c>
      <c r="CE27" s="55" t="str">
        <f t="shared" si="59"/>
        <v/>
      </c>
      <c r="CF27" s="55" t="str">
        <f t="shared" si="59"/>
        <v/>
      </c>
      <c r="CG27" s="55" t="str">
        <f t="shared" si="59"/>
        <v/>
      </c>
      <c r="CH27" s="55" t="str">
        <f t="shared" si="59"/>
        <v/>
      </c>
      <c r="CI27" s="55" t="str">
        <f t="shared" si="59"/>
        <v/>
      </c>
      <c r="CJ27" s="55" t="str">
        <f t="shared" si="59"/>
        <v/>
      </c>
      <c r="CK27" s="55" t="str">
        <f t="shared" si="59"/>
        <v/>
      </c>
      <c r="CL27" s="55" t="str">
        <f t="shared" si="59"/>
        <v/>
      </c>
      <c r="CM27" s="55" t="str">
        <f t="shared" si="59"/>
        <v/>
      </c>
      <c r="CN27" s="55" t="str">
        <f t="shared" si="59"/>
        <v/>
      </c>
      <c r="CO27" s="55" t="str">
        <f t="shared" si="59"/>
        <v/>
      </c>
      <c r="CP27" s="55" t="str">
        <f t="shared" si="59"/>
        <v/>
      </c>
      <c r="CQ27" s="55" t="str">
        <f t="shared" si="59"/>
        <v/>
      </c>
      <c r="CR27" s="55" t="str">
        <f t="shared" si="59"/>
        <v/>
      </c>
      <c r="CS27" s="55" t="str">
        <f t="shared" si="59"/>
        <v/>
      </c>
      <c r="CT27" s="55" t="str">
        <f t="shared" si="59"/>
        <v/>
      </c>
      <c r="CU27" s="55" t="str">
        <f t="shared" si="59"/>
        <v/>
      </c>
      <c r="CV27" s="55" t="str">
        <f t="shared" si="59"/>
        <v/>
      </c>
      <c r="CW27" s="55" t="str">
        <f t="shared" si="59"/>
        <v/>
      </c>
      <c r="CX27" s="55" t="str">
        <f t="shared" si="59"/>
        <v/>
      </c>
      <c r="CY27" s="55" t="str">
        <f t="shared" si="59"/>
        <v/>
      </c>
      <c r="CZ27" s="55" t="str">
        <f t="shared" ref="CZ27:DJ28" si="60">IF($B27=CZ$12,$U27,"")</f>
        <v/>
      </c>
      <c r="DA27" s="55" t="str">
        <f t="shared" si="60"/>
        <v/>
      </c>
      <c r="DB27" s="55" t="str">
        <f t="shared" si="60"/>
        <v/>
      </c>
      <c r="DC27" s="55" t="str">
        <f t="shared" si="60"/>
        <v/>
      </c>
      <c r="DD27" s="55" t="str">
        <f t="shared" si="60"/>
        <v/>
      </c>
      <c r="DE27" s="55" t="str">
        <f t="shared" si="60"/>
        <v/>
      </c>
      <c r="DF27" s="55" t="str">
        <f t="shared" si="60"/>
        <v/>
      </c>
      <c r="DG27" s="55" t="str">
        <f t="shared" si="60"/>
        <v/>
      </c>
      <c r="DH27" s="55" t="str">
        <f t="shared" si="60"/>
        <v/>
      </c>
      <c r="DI27" s="55" t="str">
        <f t="shared" si="60"/>
        <v/>
      </c>
      <c r="DJ27" s="55" t="str">
        <f t="shared" si="60"/>
        <v/>
      </c>
      <c r="DK27" s="55" t="str">
        <f t="shared" si="45"/>
        <v/>
      </c>
      <c r="DL27" s="55" t="str">
        <f t="shared" si="45"/>
        <v/>
      </c>
      <c r="DM27" s="55" t="str">
        <f t="shared" si="45"/>
        <v/>
      </c>
      <c r="DN27" s="55" t="str">
        <f t="shared" si="45"/>
        <v/>
      </c>
      <c r="DO27" s="55" t="str">
        <f t="shared" si="45"/>
        <v/>
      </c>
      <c r="DP27" s="55" t="str">
        <f t="shared" si="45"/>
        <v/>
      </c>
      <c r="DQ27" s="55" t="str">
        <f t="shared" si="46"/>
        <v/>
      </c>
      <c r="DR27" s="55" t="str">
        <f t="shared" si="46"/>
        <v/>
      </c>
      <c r="DS27" s="55" t="str">
        <f t="shared" si="46"/>
        <v/>
      </c>
      <c r="DT27" s="103" t="str">
        <f t="shared" si="46"/>
        <v/>
      </c>
      <c r="DU27" s="54"/>
      <c r="DV27" s="25"/>
      <c r="DW27" s="59" t="str">
        <f t="shared" ref="DW27:EL28" si="61">IF($B27=DW$12,$O27,"")</f>
        <v/>
      </c>
      <c r="DX27" s="50" t="str">
        <f t="shared" si="61"/>
        <v/>
      </c>
      <c r="DY27" s="50" t="str">
        <f t="shared" si="61"/>
        <v/>
      </c>
      <c r="DZ27" s="50" t="str">
        <f t="shared" si="61"/>
        <v/>
      </c>
      <c r="EA27" s="50" t="str">
        <f t="shared" si="61"/>
        <v/>
      </c>
      <c r="EB27" s="50" t="str">
        <f t="shared" si="61"/>
        <v/>
      </c>
      <c r="EC27" s="50" t="str">
        <f t="shared" si="61"/>
        <v/>
      </c>
      <c r="ED27" s="50" t="str">
        <f t="shared" si="61"/>
        <v/>
      </c>
      <c r="EE27" s="50" t="str">
        <f t="shared" si="61"/>
        <v/>
      </c>
      <c r="EF27" s="50" t="str">
        <f t="shared" si="61"/>
        <v/>
      </c>
      <c r="EG27" s="50" t="str">
        <f t="shared" si="61"/>
        <v/>
      </c>
      <c r="EH27" s="50" t="str">
        <f t="shared" si="61"/>
        <v/>
      </c>
      <c r="EI27" s="50" t="str">
        <f t="shared" si="61"/>
        <v/>
      </c>
      <c r="EJ27" s="50" t="str">
        <f t="shared" si="61"/>
        <v/>
      </c>
      <c r="EK27" s="50" t="str">
        <f t="shared" si="61"/>
        <v/>
      </c>
      <c r="EL27" s="50" t="str">
        <f t="shared" si="61"/>
        <v/>
      </c>
      <c r="EM27" s="50" t="str">
        <f t="shared" ref="EM27:FB28" si="62">IF($B27=EM$12,$O27,"")</f>
        <v/>
      </c>
      <c r="EN27" s="50" t="str">
        <f t="shared" si="62"/>
        <v/>
      </c>
      <c r="EO27" s="50" t="str">
        <f t="shared" si="62"/>
        <v/>
      </c>
      <c r="EP27" s="50" t="str">
        <f t="shared" si="62"/>
        <v/>
      </c>
      <c r="EQ27" s="50" t="str">
        <f t="shared" si="62"/>
        <v/>
      </c>
      <c r="ER27" s="50" t="str">
        <f t="shared" si="62"/>
        <v/>
      </c>
      <c r="ES27" s="50" t="str">
        <f t="shared" si="62"/>
        <v/>
      </c>
      <c r="ET27" s="50" t="str">
        <f t="shared" si="62"/>
        <v/>
      </c>
      <c r="EU27" s="50" t="str">
        <f t="shared" si="62"/>
        <v/>
      </c>
      <c r="EV27" s="50" t="str">
        <f t="shared" si="62"/>
        <v/>
      </c>
      <c r="EW27" s="50" t="str">
        <f t="shared" si="62"/>
        <v/>
      </c>
      <c r="EX27" s="50" t="str">
        <f t="shared" si="62"/>
        <v/>
      </c>
      <c r="EY27" s="50" t="str">
        <f t="shared" si="62"/>
        <v/>
      </c>
      <c r="EZ27" s="50" t="str">
        <f t="shared" si="62"/>
        <v/>
      </c>
      <c r="FA27" s="50" t="str">
        <f t="shared" si="62"/>
        <v/>
      </c>
      <c r="FB27" s="50" t="str">
        <f t="shared" si="62"/>
        <v/>
      </c>
      <c r="FC27" s="50" t="str">
        <f t="shared" ref="FC27:FV27" si="63">IF($B27=FC$12,$O27,"")</f>
        <v/>
      </c>
      <c r="FD27" s="50" t="str">
        <f t="shared" si="63"/>
        <v/>
      </c>
      <c r="FE27" s="50" t="str">
        <f t="shared" si="63"/>
        <v/>
      </c>
      <c r="FF27" s="50" t="str">
        <f t="shared" si="63"/>
        <v/>
      </c>
      <c r="FG27" s="50" t="str">
        <f t="shared" si="63"/>
        <v/>
      </c>
      <c r="FH27" s="50" t="str">
        <f t="shared" si="63"/>
        <v/>
      </c>
      <c r="FI27" s="50" t="str">
        <f t="shared" si="63"/>
        <v/>
      </c>
      <c r="FJ27" s="50" t="str">
        <f t="shared" si="63"/>
        <v/>
      </c>
      <c r="FK27" s="50" t="str">
        <f t="shared" si="63"/>
        <v/>
      </c>
      <c r="FL27" s="50" t="str">
        <f t="shared" si="63"/>
        <v/>
      </c>
      <c r="FM27" s="50" t="str">
        <f t="shared" si="63"/>
        <v/>
      </c>
      <c r="FN27" s="50" t="str">
        <f t="shared" si="63"/>
        <v/>
      </c>
      <c r="FO27" s="50" t="str">
        <f t="shared" si="63"/>
        <v/>
      </c>
      <c r="FP27" s="50" t="str">
        <f t="shared" si="63"/>
        <v/>
      </c>
      <c r="FQ27" s="50" t="str">
        <f t="shared" si="63"/>
        <v/>
      </c>
      <c r="FR27" s="50" t="str">
        <f t="shared" si="63"/>
        <v/>
      </c>
      <c r="FS27" s="50" t="str">
        <f t="shared" si="63"/>
        <v/>
      </c>
      <c r="FT27" s="50" t="str">
        <f t="shared" si="63"/>
        <v/>
      </c>
      <c r="FU27" s="50" t="str">
        <f t="shared" si="63"/>
        <v/>
      </c>
      <c r="FV27" s="50" t="str">
        <f t="shared" si="63"/>
        <v/>
      </c>
      <c r="FW27" s="50" t="str">
        <f t="shared" ref="FW27:GW27" si="64">IF($B27=FW$12,$O27,"")</f>
        <v/>
      </c>
      <c r="FX27" s="50" t="str">
        <f t="shared" si="64"/>
        <v/>
      </c>
      <c r="FY27" s="50" t="str">
        <f t="shared" si="64"/>
        <v/>
      </c>
      <c r="FZ27" s="50" t="str">
        <f t="shared" si="64"/>
        <v/>
      </c>
      <c r="GA27" s="50" t="str">
        <f t="shared" si="64"/>
        <v/>
      </c>
      <c r="GB27" s="50" t="str">
        <f t="shared" si="64"/>
        <v/>
      </c>
      <c r="GC27" s="50" t="str">
        <f t="shared" si="64"/>
        <v/>
      </c>
      <c r="GD27" s="50" t="str">
        <f t="shared" si="64"/>
        <v/>
      </c>
      <c r="GE27" s="50" t="str">
        <f t="shared" si="64"/>
        <v/>
      </c>
      <c r="GF27" s="50" t="str">
        <f t="shared" si="64"/>
        <v/>
      </c>
      <c r="GG27" s="50" t="str">
        <f t="shared" si="64"/>
        <v/>
      </c>
      <c r="GH27" s="50" t="str">
        <f t="shared" si="64"/>
        <v/>
      </c>
      <c r="GI27" s="50" t="str">
        <f t="shared" si="64"/>
        <v/>
      </c>
      <c r="GJ27" s="50" t="str">
        <f t="shared" si="64"/>
        <v/>
      </c>
      <c r="GK27" s="50" t="str">
        <f t="shared" si="64"/>
        <v/>
      </c>
      <c r="GL27" s="50" t="str">
        <f t="shared" si="64"/>
        <v/>
      </c>
      <c r="GM27" s="50" t="str">
        <f t="shared" si="64"/>
        <v/>
      </c>
      <c r="GN27" s="50" t="str">
        <f t="shared" si="64"/>
        <v/>
      </c>
      <c r="GO27" s="50" t="str">
        <f t="shared" si="64"/>
        <v/>
      </c>
      <c r="GP27" s="50" t="str">
        <f t="shared" si="64"/>
        <v/>
      </c>
      <c r="GQ27" s="50" t="str">
        <f t="shared" si="64"/>
        <v/>
      </c>
      <c r="GR27" s="50" t="str">
        <f t="shared" si="64"/>
        <v/>
      </c>
      <c r="GS27" s="50" t="str">
        <f t="shared" si="64"/>
        <v/>
      </c>
      <c r="GT27" s="50" t="str">
        <f t="shared" si="64"/>
        <v/>
      </c>
      <c r="GU27" s="50" t="str">
        <f t="shared" si="64"/>
        <v/>
      </c>
      <c r="GV27" s="50" t="str">
        <f t="shared" si="64"/>
        <v/>
      </c>
      <c r="GW27" s="50" t="str">
        <f t="shared" si="64"/>
        <v/>
      </c>
      <c r="GX27" s="50" t="str">
        <f t="shared" ref="GX27:HM28" si="65">IF($B27=GX$12,$O27,"")</f>
        <v/>
      </c>
      <c r="GY27" s="50" t="str">
        <f t="shared" si="65"/>
        <v/>
      </c>
      <c r="GZ27" s="50" t="str">
        <f t="shared" si="65"/>
        <v/>
      </c>
      <c r="HA27" s="50" t="str">
        <f t="shared" si="65"/>
        <v/>
      </c>
      <c r="HB27" s="50" t="str">
        <f t="shared" si="65"/>
        <v/>
      </c>
      <c r="HC27" s="50" t="str">
        <f t="shared" si="65"/>
        <v/>
      </c>
      <c r="HD27" s="50" t="str">
        <f t="shared" si="65"/>
        <v/>
      </c>
      <c r="HE27" s="50" t="str">
        <f t="shared" si="65"/>
        <v/>
      </c>
      <c r="HF27" s="50" t="str">
        <f t="shared" si="65"/>
        <v/>
      </c>
      <c r="HG27" s="50" t="str">
        <f t="shared" si="65"/>
        <v/>
      </c>
      <c r="HH27" s="50" t="str">
        <f t="shared" si="65"/>
        <v/>
      </c>
      <c r="HI27" s="50" t="str">
        <f t="shared" si="65"/>
        <v/>
      </c>
      <c r="HJ27" s="50" t="str">
        <f t="shared" si="65"/>
        <v/>
      </c>
      <c r="HK27" s="50" t="str">
        <f t="shared" si="65"/>
        <v/>
      </c>
      <c r="HL27" s="50" t="str">
        <f t="shared" si="65"/>
        <v/>
      </c>
      <c r="HM27" s="50" t="str">
        <f t="shared" si="65"/>
        <v/>
      </c>
      <c r="HN27" s="50" t="str">
        <f t="shared" si="50"/>
        <v/>
      </c>
      <c r="HO27" s="50" t="str">
        <f t="shared" si="50"/>
        <v/>
      </c>
      <c r="HP27" s="50" t="str">
        <f t="shared" si="50"/>
        <v/>
      </c>
      <c r="HQ27" s="50" t="str">
        <f t="shared" si="50"/>
        <v/>
      </c>
      <c r="HR27" s="108" t="str">
        <f t="shared" si="50"/>
        <v/>
      </c>
    </row>
    <row r="28" spans="1:226" ht="11.1" customHeight="1" x14ac:dyDescent="0.25">
      <c r="A28" s="26"/>
      <c r="B28" s="27"/>
      <c r="C28" s="28" t="str">
        <f>IF(A28=0,"",VLOOKUP(A28,[2]CO!$A$3:$F$5327,2,0))</f>
        <v/>
      </c>
      <c r="D28" s="29"/>
      <c r="E28" s="29"/>
      <c r="F28" s="29"/>
      <c r="G28" s="30" t="str">
        <f>IF(A28=0,"",VLOOKUP(A28,[2]CO!$A$3:$F$5327,3,0))</f>
        <v/>
      </c>
      <c r="H28" s="91"/>
      <c r="I28" s="31"/>
      <c r="J28" s="31"/>
      <c r="K28" s="31"/>
      <c r="L28" s="31"/>
      <c r="M28" s="32" t="str">
        <f t="shared" si="52"/>
        <v/>
      </c>
      <c r="N28" s="32" t="str">
        <f>IF(B28=0,"",IF(H28="M",HLOOKUP(B28,$Y$12:$DT$13,2),IF(A28=0,"",VLOOKUP(A28,[2]CO!$A$3:$F$5327,4,0))))</f>
        <v/>
      </c>
      <c r="O28" s="32" t="str">
        <f t="shared" si="53"/>
        <v/>
      </c>
      <c r="P28" s="33"/>
      <c r="Q28" s="34" t="str">
        <f t="shared" si="54"/>
        <v/>
      </c>
      <c r="R28" s="35" t="str">
        <f t="shared" si="51"/>
        <v/>
      </c>
      <c r="T28" s="53" t="str">
        <f>IF(A28=0,"",VLOOKUP(A28,[2]CO!$A$3:$F$5318,5,0))</f>
        <v/>
      </c>
      <c r="U28" s="54">
        <f t="shared" si="55"/>
        <v>0</v>
      </c>
      <c r="V28" s="24"/>
      <c r="W28" s="25"/>
      <c r="X28" s="25"/>
      <c r="Y28" s="60" t="str">
        <f t="shared" si="56"/>
        <v/>
      </c>
      <c r="Z28" s="55" t="str">
        <f t="shared" si="56"/>
        <v/>
      </c>
      <c r="AA28" s="55" t="str">
        <f t="shared" si="56"/>
        <v/>
      </c>
      <c r="AB28" s="55" t="str">
        <f t="shared" si="56"/>
        <v/>
      </c>
      <c r="AC28" s="55" t="str">
        <f t="shared" si="56"/>
        <v/>
      </c>
      <c r="AD28" s="55" t="str">
        <f t="shared" si="56"/>
        <v/>
      </c>
      <c r="AE28" s="55" t="str">
        <f t="shared" si="56"/>
        <v/>
      </c>
      <c r="AF28" s="55" t="str">
        <f t="shared" si="56"/>
        <v/>
      </c>
      <c r="AG28" s="55" t="str">
        <f t="shared" si="56"/>
        <v/>
      </c>
      <c r="AH28" s="55" t="str">
        <f t="shared" si="56"/>
        <v/>
      </c>
      <c r="AI28" s="55" t="str">
        <f t="shared" si="56"/>
        <v/>
      </c>
      <c r="AJ28" s="55" t="str">
        <f t="shared" si="56"/>
        <v/>
      </c>
      <c r="AK28" s="55" t="str">
        <f t="shared" si="56"/>
        <v/>
      </c>
      <c r="AL28" s="55" t="str">
        <f t="shared" si="56"/>
        <v/>
      </c>
      <c r="AM28" s="55" t="str">
        <f t="shared" si="56"/>
        <v/>
      </c>
      <c r="AN28" s="55" t="str">
        <f t="shared" si="56"/>
        <v/>
      </c>
      <c r="AO28" s="55" t="str">
        <f t="shared" si="57"/>
        <v/>
      </c>
      <c r="AP28" s="55" t="str">
        <f t="shared" si="57"/>
        <v/>
      </c>
      <c r="AQ28" s="55" t="str">
        <f t="shared" si="57"/>
        <v/>
      </c>
      <c r="AR28" s="55" t="str">
        <f t="shared" si="57"/>
        <v/>
      </c>
      <c r="AS28" s="55" t="str">
        <f t="shared" si="57"/>
        <v/>
      </c>
      <c r="AT28" s="55" t="str">
        <f t="shared" si="57"/>
        <v/>
      </c>
      <c r="AU28" s="55" t="str">
        <f t="shared" si="57"/>
        <v/>
      </c>
      <c r="AV28" s="55" t="str">
        <f t="shared" si="57"/>
        <v/>
      </c>
      <c r="AW28" s="55" t="str">
        <f t="shared" si="57"/>
        <v/>
      </c>
      <c r="AX28" s="55" t="str">
        <f t="shared" si="57"/>
        <v/>
      </c>
      <c r="AY28" s="55" t="str">
        <f t="shared" si="57"/>
        <v/>
      </c>
      <c r="AZ28" s="55" t="str">
        <f t="shared" si="57"/>
        <v/>
      </c>
      <c r="BA28" s="55" t="str">
        <f t="shared" si="57"/>
        <v/>
      </c>
      <c r="BB28" s="55" t="str">
        <f t="shared" si="57"/>
        <v/>
      </c>
      <c r="BC28" s="55" t="str">
        <f t="shared" si="57"/>
        <v/>
      </c>
      <c r="BD28" s="55" t="str">
        <f t="shared" si="57"/>
        <v/>
      </c>
      <c r="BE28" s="55" t="str">
        <f t="shared" ref="BE28:CY28" si="66">IF($B28=BE$12,$U28,"")</f>
        <v/>
      </c>
      <c r="BF28" s="55" t="str">
        <f t="shared" si="66"/>
        <v/>
      </c>
      <c r="BG28" s="55" t="str">
        <f t="shared" si="66"/>
        <v/>
      </c>
      <c r="BH28" s="55" t="str">
        <f t="shared" si="66"/>
        <v/>
      </c>
      <c r="BI28" s="55" t="str">
        <f t="shared" si="66"/>
        <v/>
      </c>
      <c r="BJ28" s="55" t="str">
        <f t="shared" si="66"/>
        <v/>
      </c>
      <c r="BK28" s="55" t="str">
        <f t="shared" si="66"/>
        <v/>
      </c>
      <c r="BL28" s="55" t="str">
        <f t="shared" si="66"/>
        <v/>
      </c>
      <c r="BM28" s="55" t="str">
        <f t="shared" si="66"/>
        <v/>
      </c>
      <c r="BN28" s="55" t="str">
        <f t="shared" si="66"/>
        <v/>
      </c>
      <c r="BO28" s="55" t="str">
        <f t="shared" si="66"/>
        <v/>
      </c>
      <c r="BP28" s="55" t="str">
        <f t="shared" si="66"/>
        <v/>
      </c>
      <c r="BQ28" s="55" t="str">
        <f t="shared" si="66"/>
        <v/>
      </c>
      <c r="BR28" s="55" t="str">
        <f t="shared" si="66"/>
        <v/>
      </c>
      <c r="BS28" s="55" t="str">
        <f t="shared" si="66"/>
        <v/>
      </c>
      <c r="BT28" s="55" t="str">
        <f t="shared" si="66"/>
        <v/>
      </c>
      <c r="BU28" s="55" t="str">
        <f t="shared" si="66"/>
        <v/>
      </c>
      <c r="BV28" s="55" t="str">
        <f t="shared" si="66"/>
        <v/>
      </c>
      <c r="BW28" s="55" t="str">
        <f t="shared" si="66"/>
        <v/>
      </c>
      <c r="BX28" s="55" t="str">
        <f t="shared" si="66"/>
        <v/>
      </c>
      <c r="BY28" s="55" t="str">
        <f t="shared" si="66"/>
        <v/>
      </c>
      <c r="BZ28" s="55" t="str">
        <f t="shared" si="66"/>
        <v/>
      </c>
      <c r="CA28" s="55" t="str">
        <f t="shared" si="66"/>
        <v/>
      </c>
      <c r="CB28" s="55" t="str">
        <f t="shared" si="66"/>
        <v/>
      </c>
      <c r="CC28" s="55" t="str">
        <f t="shared" si="66"/>
        <v/>
      </c>
      <c r="CD28" s="55" t="str">
        <f t="shared" si="66"/>
        <v/>
      </c>
      <c r="CE28" s="55" t="str">
        <f t="shared" si="66"/>
        <v/>
      </c>
      <c r="CF28" s="55" t="str">
        <f t="shared" si="66"/>
        <v/>
      </c>
      <c r="CG28" s="55" t="str">
        <f t="shared" si="66"/>
        <v/>
      </c>
      <c r="CH28" s="55" t="str">
        <f t="shared" si="66"/>
        <v/>
      </c>
      <c r="CI28" s="55" t="str">
        <f t="shared" si="66"/>
        <v/>
      </c>
      <c r="CJ28" s="55" t="str">
        <f t="shared" si="66"/>
        <v/>
      </c>
      <c r="CK28" s="55" t="str">
        <f t="shared" si="66"/>
        <v/>
      </c>
      <c r="CL28" s="55" t="str">
        <f t="shared" si="66"/>
        <v/>
      </c>
      <c r="CM28" s="55" t="str">
        <f t="shared" si="66"/>
        <v/>
      </c>
      <c r="CN28" s="55" t="str">
        <f t="shared" si="66"/>
        <v/>
      </c>
      <c r="CO28" s="55" t="str">
        <f t="shared" si="66"/>
        <v/>
      </c>
      <c r="CP28" s="55" t="str">
        <f t="shared" si="66"/>
        <v/>
      </c>
      <c r="CQ28" s="55" t="str">
        <f t="shared" si="66"/>
        <v/>
      </c>
      <c r="CR28" s="55" t="str">
        <f t="shared" si="66"/>
        <v/>
      </c>
      <c r="CS28" s="55" t="str">
        <f t="shared" si="66"/>
        <v/>
      </c>
      <c r="CT28" s="55" t="str">
        <f t="shared" si="66"/>
        <v/>
      </c>
      <c r="CU28" s="55" t="str">
        <f t="shared" si="66"/>
        <v/>
      </c>
      <c r="CV28" s="55" t="str">
        <f t="shared" si="66"/>
        <v/>
      </c>
      <c r="CW28" s="55" t="str">
        <f t="shared" si="66"/>
        <v/>
      </c>
      <c r="CX28" s="55" t="str">
        <f t="shared" si="66"/>
        <v/>
      </c>
      <c r="CY28" s="55" t="str">
        <f t="shared" si="66"/>
        <v/>
      </c>
      <c r="CZ28" s="55" t="str">
        <f t="shared" si="60"/>
        <v/>
      </c>
      <c r="DA28" s="55" t="str">
        <f t="shared" si="60"/>
        <v/>
      </c>
      <c r="DB28" s="55" t="str">
        <f t="shared" si="60"/>
        <v/>
      </c>
      <c r="DC28" s="55" t="str">
        <f t="shared" si="60"/>
        <v/>
      </c>
      <c r="DD28" s="55" t="str">
        <f t="shared" si="60"/>
        <v/>
      </c>
      <c r="DE28" s="55" t="str">
        <f t="shared" si="60"/>
        <v/>
      </c>
      <c r="DF28" s="55" t="str">
        <f t="shared" si="60"/>
        <v/>
      </c>
      <c r="DG28" s="55" t="str">
        <f t="shared" si="60"/>
        <v/>
      </c>
      <c r="DH28" s="55" t="str">
        <f t="shared" si="60"/>
        <v/>
      </c>
      <c r="DI28" s="55" t="str">
        <f t="shared" si="60"/>
        <v/>
      </c>
      <c r="DJ28" s="55" t="str">
        <f t="shared" si="60"/>
        <v/>
      </c>
      <c r="DK28" s="55" t="str">
        <f t="shared" si="45"/>
        <v/>
      </c>
      <c r="DL28" s="55" t="str">
        <f t="shared" si="45"/>
        <v/>
      </c>
      <c r="DM28" s="55" t="str">
        <f t="shared" si="45"/>
        <v/>
      </c>
      <c r="DN28" s="55" t="str">
        <f t="shared" si="45"/>
        <v/>
      </c>
      <c r="DO28" s="55" t="str">
        <f t="shared" si="45"/>
        <v/>
      </c>
      <c r="DP28" s="55" t="str">
        <f t="shared" si="45"/>
        <v/>
      </c>
      <c r="DQ28" s="55" t="str">
        <f t="shared" si="46"/>
        <v/>
      </c>
      <c r="DR28" s="55" t="str">
        <f t="shared" si="46"/>
        <v/>
      </c>
      <c r="DS28" s="55" t="str">
        <f t="shared" si="46"/>
        <v/>
      </c>
      <c r="DT28" s="103" t="str">
        <f t="shared" si="46"/>
        <v/>
      </c>
      <c r="DU28" s="54"/>
      <c r="DV28" s="25"/>
      <c r="DW28" s="59" t="str">
        <f t="shared" si="61"/>
        <v/>
      </c>
      <c r="DX28" s="50" t="str">
        <f t="shared" si="61"/>
        <v/>
      </c>
      <c r="DY28" s="50" t="str">
        <f t="shared" si="61"/>
        <v/>
      </c>
      <c r="DZ28" s="50" t="str">
        <f t="shared" si="61"/>
        <v/>
      </c>
      <c r="EA28" s="50" t="str">
        <f t="shared" si="61"/>
        <v/>
      </c>
      <c r="EB28" s="50" t="str">
        <f t="shared" si="61"/>
        <v/>
      </c>
      <c r="EC28" s="50" t="str">
        <f t="shared" si="61"/>
        <v/>
      </c>
      <c r="ED28" s="50" t="str">
        <f t="shared" si="61"/>
        <v/>
      </c>
      <c r="EE28" s="50" t="str">
        <f t="shared" si="61"/>
        <v/>
      </c>
      <c r="EF28" s="50" t="str">
        <f t="shared" si="61"/>
        <v/>
      </c>
      <c r="EG28" s="50" t="str">
        <f t="shared" si="61"/>
        <v/>
      </c>
      <c r="EH28" s="50" t="str">
        <f t="shared" si="61"/>
        <v/>
      </c>
      <c r="EI28" s="50" t="str">
        <f t="shared" si="61"/>
        <v/>
      </c>
      <c r="EJ28" s="50" t="str">
        <f t="shared" si="61"/>
        <v/>
      </c>
      <c r="EK28" s="50" t="str">
        <f t="shared" si="61"/>
        <v/>
      </c>
      <c r="EL28" s="50" t="str">
        <f t="shared" si="61"/>
        <v/>
      </c>
      <c r="EM28" s="50" t="str">
        <f t="shared" si="62"/>
        <v/>
      </c>
      <c r="EN28" s="50" t="str">
        <f t="shared" si="62"/>
        <v/>
      </c>
      <c r="EO28" s="50" t="str">
        <f t="shared" si="62"/>
        <v/>
      </c>
      <c r="EP28" s="50" t="str">
        <f t="shared" si="62"/>
        <v/>
      </c>
      <c r="EQ28" s="50" t="str">
        <f t="shared" si="62"/>
        <v/>
      </c>
      <c r="ER28" s="50" t="str">
        <f t="shared" si="62"/>
        <v/>
      </c>
      <c r="ES28" s="50" t="str">
        <f t="shared" si="62"/>
        <v/>
      </c>
      <c r="ET28" s="50" t="str">
        <f t="shared" si="62"/>
        <v/>
      </c>
      <c r="EU28" s="50" t="str">
        <f t="shared" si="62"/>
        <v/>
      </c>
      <c r="EV28" s="50" t="str">
        <f t="shared" si="62"/>
        <v/>
      </c>
      <c r="EW28" s="50" t="str">
        <f t="shared" si="62"/>
        <v/>
      </c>
      <c r="EX28" s="50" t="str">
        <f t="shared" si="62"/>
        <v/>
      </c>
      <c r="EY28" s="50" t="str">
        <f t="shared" si="62"/>
        <v/>
      </c>
      <c r="EZ28" s="50" t="str">
        <f t="shared" si="62"/>
        <v/>
      </c>
      <c r="FA28" s="50" t="str">
        <f t="shared" si="62"/>
        <v/>
      </c>
      <c r="FB28" s="50" t="str">
        <f t="shared" si="62"/>
        <v/>
      </c>
      <c r="FC28" s="50" t="str">
        <f t="shared" ref="FC28:GW28" si="67">IF($B28=FC$12,$O28,"")</f>
        <v/>
      </c>
      <c r="FD28" s="50" t="str">
        <f t="shared" si="67"/>
        <v/>
      </c>
      <c r="FE28" s="50" t="str">
        <f t="shared" si="67"/>
        <v/>
      </c>
      <c r="FF28" s="50" t="str">
        <f t="shared" si="67"/>
        <v/>
      </c>
      <c r="FG28" s="50" t="str">
        <f t="shared" si="67"/>
        <v/>
      </c>
      <c r="FH28" s="50" t="str">
        <f t="shared" si="67"/>
        <v/>
      </c>
      <c r="FI28" s="50" t="str">
        <f t="shared" si="67"/>
        <v/>
      </c>
      <c r="FJ28" s="50" t="str">
        <f t="shared" si="67"/>
        <v/>
      </c>
      <c r="FK28" s="50" t="str">
        <f t="shared" si="67"/>
        <v/>
      </c>
      <c r="FL28" s="50" t="str">
        <f t="shared" si="67"/>
        <v/>
      </c>
      <c r="FM28" s="50" t="str">
        <f t="shared" si="67"/>
        <v/>
      </c>
      <c r="FN28" s="50" t="str">
        <f t="shared" si="67"/>
        <v/>
      </c>
      <c r="FO28" s="50" t="str">
        <f t="shared" si="67"/>
        <v/>
      </c>
      <c r="FP28" s="50" t="str">
        <f t="shared" si="67"/>
        <v/>
      </c>
      <c r="FQ28" s="50" t="str">
        <f t="shared" si="67"/>
        <v/>
      </c>
      <c r="FR28" s="50" t="str">
        <f t="shared" si="67"/>
        <v/>
      </c>
      <c r="FS28" s="50" t="str">
        <f t="shared" si="67"/>
        <v/>
      </c>
      <c r="FT28" s="50" t="str">
        <f t="shared" si="67"/>
        <v/>
      </c>
      <c r="FU28" s="50" t="str">
        <f t="shared" si="67"/>
        <v/>
      </c>
      <c r="FV28" s="50" t="str">
        <f t="shared" si="67"/>
        <v/>
      </c>
      <c r="FW28" s="50" t="str">
        <f t="shared" si="67"/>
        <v/>
      </c>
      <c r="FX28" s="50" t="str">
        <f t="shared" si="67"/>
        <v/>
      </c>
      <c r="FY28" s="50" t="str">
        <f t="shared" si="67"/>
        <v/>
      </c>
      <c r="FZ28" s="50" t="str">
        <f t="shared" si="67"/>
        <v/>
      </c>
      <c r="GA28" s="50" t="str">
        <f t="shared" si="67"/>
        <v/>
      </c>
      <c r="GB28" s="50" t="str">
        <f t="shared" si="67"/>
        <v/>
      </c>
      <c r="GC28" s="50" t="str">
        <f t="shared" si="67"/>
        <v/>
      </c>
      <c r="GD28" s="50" t="str">
        <f t="shared" si="67"/>
        <v/>
      </c>
      <c r="GE28" s="50" t="str">
        <f t="shared" si="67"/>
        <v/>
      </c>
      <c r="GF28" s="50" t="str">
        <f t="shared" si="67"/>
        <v/>
      </c>
      <c r="GG28" s="50" t="str">
        <f t="shared" si="67"/>
        <v/>
      </c>
      <c r="GH28" s="50" t="str">
        <f t="shared" si="67"/>
        <v/>
      </c>
      <c r="GI28" s="50" t="str">
        <f t="shared" si="67"/>
        <v/>
      </c>
      <c r="GJ28" s="50" t="str">
        <f t="shared" si="67"/>
        <v/>
      </c>
      <c r="GK28" s="50" t="str">
        <f t="shared" si="67"/>
        <v/>
      </c>
      <c r="GL28" s="50" t="str">
        <f t="shared" si="67"/>
        <v/>
      </c>
      <c r="GM28" s="50" t="str">
        <f t="shared" si="67"/>
        <v/>
      </c>
      <c r="GN28" s="50" t="str">
        <f t="shared" si="67"/>
        <v/>
      </c>
      <c r="GO28" s="50" t="str">
        <f t="shared" si="67"/>
        <v/>
      </c>
      <c r="GP28" s="50" t="str">
        <f t="shared" si="67"/>
        <v/>
      </c>
      <c r="GQ28" s="50" t="str">
        <f t="shared" si="67"/>
        <v/>
      </c>
      <c r="GR28" s="50" t="str">
        <f t="shared" si="67"/>
        <v/>
      </c>
      <c r="GS28" s="50" t="str">
        <f t="shared" si="67"/>
        <v/>
      </c>
      <c r="GT28" s="50" t="str">
        <f t="shared" si="67"/>
        <v/>
      </c>
      <c r="GU28" s="50" t="str">
        <f t="shared" si="67"/>
        <v/>
      </c>
      <c r="GV28" s="50" t="str">
        <f t="shared" si="67"/>
        <v/>
      </c>
      <c r="GW28" s="50" t="str">
        <f t="shared" si="67"/>
        <v/>
      </c>
      <c r="GX28" s="50" t="str">
        <f t="shared" si="65"/>
        <v/>
      </c>
      <c r="GY28" s="50" t="str">
        <f t="shared" si="65"/>
        <v/>
      </c>
      <c r="GZ28" s="50" t="str">
        <f t="shared" si="65"/>
        <v/>
      </c>
      <c r="HA28" s="50" t="str">
        <f t="shared" si="65"/>
        <v/>
      </c>
      <c r="HB28" s="50" t="str">
        <f t="shared" si="65"/>
        <v/>
      </c>
      <c r="HC28" s="50" t="str">
        <f t="shared" si="65"/>
        <v/>
      </c>
      <c r="HD28" s="50" t="str">
        <f t="shared" si="65"/>
        <v/>
      </c>
      <c r="HE28" s="50" t="str">
        <f t="shared" si="65"/>
        <v/>
      </c>
      <c r="HF28" s="50" t="str">
        <f t="shared" si="65"/>
        <v/>
      </c>
      <c r="HG28" s="50" t="str">
        <f t="shared" si="65"/>
        <v/>
      </c>
      <c r="HH28" s="50" t="str">
        <f t="shared" si="65"/>
        <v/>
      </c>
      <c r="HI28" s="50" t="str">
        <f t="shared" si="65"/>
        <v/>
      </c>
      <c r="HJ28" s="50" t="str">
        <f t="shared" si="65"/>
        <v/>
      </c>
      <c r="HK28" s="50" t="str">
        <f t="shared" si="65"/>
        <v/>
      </c>
      <c r="HL28" s="50" t="str">
        <f t="shared" si="65"/>
        <v/>
      </c>
      <c r="HM28" s="50" t="str">
        <f t="shared" ref="HM28" si="68">IF($B28=HM$12,$O28,"")</f>
        <v/>
      </c>
      <c r="HN28" s="50" t="str">
        <f t="shared" si="50"/>
        <v/>
      </c>
      <c r="HO28" s="50" t="str">
        <f t="shared" si="50"/>
        <v/>
      </c>
      <c r="HP28" s="50" t="str">
        <f t="shared" si="50"/>
        <v/>
      </c>
      <c r="HQ28" s="50" t="str">
        <f t="shared" si="50"/>
        <v/>
      </c>
      <c r="HR28" s="108" t="str">
        <f t="shared" si="50"/>
        <v/>
      </c>
    </row>
    <row r="29" spans="1:226" ht="11.1" customHeight="1" x14ac:dyDescent="0.25">
      <c r="A29" s="26"/>
      <c r="B29" s="27"/>
      <c r="C29" s="28" t="str">
        <f>IF(A29=0,"",VLOOKUP(A29,[2]CO!$A$3:$F$5327,2,0))</f>
        <v/>
      </c>
      <c r="D29" s="29"/>
      <c r="E29" s="29"/>
      <c r="F29" s="29"/>
      <c r="G29" s="30" t="str">
        <f>IF(A29=0,"",VLOOKUP(A29,[2]CO!$A$3:$F$5327,3,0))</f>
        <v/>
      </c>
      <c r="H29" s="91"/>
      <c r="I29" s="31"/>
      <c r="J29" s="31"/>
      <c r="K29" s="31"/>
      <c r="L29" s="31"/>
      <c r="M29" s="32" t="str">
        <f t="shared" si="52"/>
        <v/>
      </c>
      <c r="N29" s="32" t="str">
        <f>IF(B29=0,"",IF(H29="M",HLOOKUP(B29,$Y$12:$DT$13,2),IF(A29=0,"",VLOOKUP(A29,[2]CO!$A$3:$F$5327,4,0))))</f>
        <v/>
      </c>
      <c r="O29" s="32" t="str">
        <f t="shared" si="53"/>
        <v/>
      </c>
      <c r="P29" s="33"/>
      <c r="Q29" s="34" t="str">
        <f t="shared" si="54"/>
        <v/>
      </c>
      <c r="R29" s="35" t="str">
        <f t="shared" si="51"/>
        <v/>
      </c>
      <c r="T29" s="53" t="str">
        <f>IF(A29=0,"",VLOOKUP(A29,[2]CO!$A$3:$F$5318,5,0))</f>
        <v/>
      </c>
      <c r="U29" s="54">
        <f t="shared" si="55"/>
        <v>0</v>
      </c>
      <c r="V29" s="24"/>
      <c r="W29" s="25"/>
      <c r="X29" s="25"/>
      <c r="Y29" s="60" t="str">
        <f t="shared" si="43"/>
        <v/>
      </c>
      <c r="Z29" s="55" t="str">
        <f t="shared" si="43"/>
        <v/>
      </c>
      <c r="AA29" s="55" t="str">
        <f t="shared" si="43"/>
        <v/>
      </c>
      <c r="AB29" s="55" t="str">
        <f t="shared" si="43"/>
        <v/>
      </c>
      <c r="AC29" s="55" t="str">
        <f t="shared" si="43"/>
        <v/>
      </c>
      <c r="AD29" s="55" t="str">
        <f t="shared" si="43"/>
        <v/>
      </c>
      <c r="AE29" s="55" t="str">
        <f t="shared" si="43"/>
        <v/>
      </c>
      <c r="AF29" s="55" t="str">
        <f t="shared" si="43"/>
        <v/>
      </c>
      <c r="AG29" s="55" t="str">
        <f t="shared" si="43"/>
        <v/>
      </c>
      <c r="AH29" s="55" t="str">
        <f t="shared" si="43"/>
        <v/>
      </c>
      <c r="AI29" s="55" t="str">
        <f t="shared" si="43"/>
        <v/>
      </c>
      <c r="AJ29" s="55" t="str">
        <f t="shared" si="43"/>
        <v/>
      </c>
      <c r="AK29" s="55" t="str">
        <f t="shared" si="43"/>
        <v/>
      </c>
      <c r="AL29" s="55" t="str">
        <f t="shared" si="43"/>
        <v/>
      </c>
      <c r="AM29" s="55" t="str">
        <f t="shared" si="43"/>
        <v/>
      </c>
      <c r="AN29" s="55" t="str">
        <f t="shared" si="43"/>
        <v/>
      </c>
      <c r="AO29" s="55" t="str">
        <f t="shared" ref="AO29:BD31" si="69">IF($B29=AO$12,$U29,"")</f>
        <v/>
      </c>
      <c r="AP29" s="55" t="str">
        <f t="shared" si="69"/>
        <v/>
      </c>
      <c r="AQ29" s="55" t="str">
        <f t="shared" si="69"/>
        <v/>
      </c>
      <c r="AR29" s="55" t="str">
        <f t="shared" si="69"/>
        <v/>
      </c>
      <c r="AS29" s="55" t="str">
        <f t="shared" si="69"/>
        <v/>
      </c>
      <c r="AT29" s="55" t="str">
        <f t="shared" si="69"/>
        <v/>
      </c>
      <c r="AU29" s="55" t="str">
        <f t="shared" si="69"/>
        <v/>
      </c>
      <c r="AV29" s="55" t="str">
        <f t="shared" si="69"/>
        <v/>
      </c>
      <c r="AW29" s="55" t="str">
        <f t="shared" si="69"/>
        <v/>
      </c>
      <c r="AX29" s="55" t="str">
        <f t="shared" si="69"/>
        <v/>
      </c>
      <c r="AY29" s="55" t="str">
        <f t="shared" si="69"/>
        <v/>
      </c>
      <c r="AZ29" s="55" t="str">
        <f t="shared" si="69"/>
        <v/>
      </c>
      <c r="BA29" s="55" t="str">
        <f t="shared" si="69"/>
        <v/>
      </c>
      <c r="BB29" s="55" t="str">
        <f t="shared" si="69"/>
        <v/>
      </c>
      <c r="BC29" s="55" t="str">
        <f t="shared" si="69"/>
        <v/>
      </c>
      <c r="BD29" s="55" t="str">
        <f t="shared" si="69"/>
        <v/>
      </c>
      <c r="BE29" s="55" t="str">
        <f t="shared" ref="BE29:CY31" si="70">IF($B29=BE$12,$U29,"")</f>
        <v/>
      </c>
      <c r="BF29" s="55" t="str">
        <f t="shared" si="70"/>
        <v/>
      </c>
      <c r="BG29" s="55" t="str">
        <f t="shared" si="70"/>
        <v/>
      </c>
      <c r="BH29" s="55" t="str">
        <f t="shared" si="70"/>
        <v/>
      </c>
      <c r="BI29" s="55" t="str">
        <f t="shared" si="70"/>
        <v/>
      </c>
      <c r="BJ29" s="55" t="str">
        <f t="shared" si="70"/>
        <v/>
      </c>
      <c r="BK29" s="55" t="str">
        <f t="shared" si="70"/>
        <v/>
      </c>
      <c r="BL29" s="55" t="str">
        <f t="shared" si="70"/>
        <v/>
      </c>
      <c r="BM29" s="55" t="str">
        <f t="shared" si="70"/>
        <v/>
      </c>
      <c r="BN29" s="55" t="str">
        <f t="shared" si="70"/>
        <v/>
      </c>
      <c r="BO29" s="55" t="str">
        <f t="shared" si="70"/>
        <v/>
      </c>
      <c r="BP29" s="55" t="str">
        <f t="shared" si="70"/>
        <v/>
      </c>
      <c r="BQ29" s="55" t="str">
        <f t="shared" si="70"/>
        <v/>
      </c>
      <c r="BR29" s="55" t="str">
        <f t="shared" si="70"/>
        <v/>
      </c>
      <c r="BS29" s="55" t="str">
        <f t="shared" si="70"/>
        <v/>
      </c>
      <c r="BT29" s="55" t="str">
        <f t="shared" si="70"/>
        <v/>
      </c>
      <c r="BU29" s="55" t="str">
        <f t="shared" si="70"/>
        <v/>
      </c>
      <c r="BV29" s="55" t="str">
        <f t="shared" si="70"/>
        <v/>
      </c>
      <c r="BW29" s="55" t="str">
        <f t="shared" si="70"/>
        <v/>
      </c>
      <c r="BX29" s="55" t="str">
        <f t="shared" si="70"/>
        <v/>
      </c>
      <c r="BY29" s="55" t="str">
        <f t="shared" si="70"/>
        <v/>
      </c>
      <c r="BZ29" s="55" t="str">
        <f t="shared" si="70"/>
        <v/>
      </c>
      <c r="CA29" s="55" t="str">
        <f t="shared" si="70"/>
        <v/>
      </c>
      <c r="CB29" s="55" t="str">
        <f t="shared" si="70"/>
        <v/>
      </c>
      <c r="CC29" s="55" t="str">
        <f t="shared" si="70"/>
        <v/>
      </c>
      <c r="CD29" s="55" t="str">
        <f t="shared" si="70"/>
        <v/>
      </c>
      <c r="CE29" s="55" t="str">
        <f t="shared" si="70"/>
        <v/>
      </c>
      <c r="CF29" s="55" t="str">
        <f t="shared" si="70"/>
        <v/>
      </c>
      <c r="CG29" s="55" t="str">
        <f t="shared" si="70"/>
        <v/>
      </c>
      <c r="CH29" s="55" t="str">
        <f t="shared" si="70"/>
        <v/>
      </c>
      <c r="CI29" s="55" t="str">
        <f t="shared" si="70"/>
        <v/>
      </c>
      <c r="CJ29" s="55" t="str">
        <f t="shared" si="70"/>
        <v/>
      </c>
      <c r="CK29" s="55" t="str">
        <f t="shared" si="70"/>
        <v/>
      </c>
      <c r="CL29" s="55" t="str">
        <f t="shared" si="70"/>
        <v/>
      </c>
      <c r="CM29" s="55" t="str">
        <f t="shared" si="70"/>
        <v/>
      </c>
      <c r="CN29" s="55" t="str">
        <f t="shared" si="70"/>
        <v/>
      </c>
      <c r="CO29" s="55" t="str">
        <f t="shared" si="70"/>
        <v/>
      </c>
      <c r="CP29" s="55" t="str">
        <f t="shared" si="70"/>
        <v/>
      </c>
      <c r="CQ29" s="55" t="str">
        <f t="shared" si="70"/>
        <v/>
      </c>
      <c r="CR29" s="55" t="str">
        <f t="shared" si="70"/>
        <v/>
      </c>
      <c r="CS29" s="55" t="str">
        <f t="shared" si="70"/>
        <v/>
      </c>
      <c r="CT29" s="55" t="str">
        <f t="shared" si="70"/>
        <v/>
      </c>
      <c r="CU29" s="55" t="str">
        <f t="shared" si="70"/>
        <v/>
      </c>
      <c r="CV29" s="55" t="str">
        <f t="shared" si="70"/>
        <v/>
      </c>
      <c r="CW29" s="55" t="str">
        <f t="shared" si="70"/>
        <v/>
      </c>
      <c r="CX29" s="55" t="str">
        <f t="shared" si="70"/>
        <v/>
      </c>
      <c r="CY29" s="55" t="str">
        <f t="shared" si="70"/>
        <v/>
      </c>
      <c r="CZ29" s="55" t="str">
        <f t="shared" ref="CZ29:DJ31" si="71">IF($B29=CZ$12,$U29,"")</f>
        <v/>
      </c>
      <c r="DA29" s="55" t="str">
        <f t="shared" si="71"/>
        <v/>
      </c>
      <c r="DB29" s="55" t="str">
        <f t="shared" si="71"/>
        <v/>
      </c>
      <c r="DC29" s="55" t="str">
        <f t="shared" si="71"/>
        <v/>
      </c>
      <c r="DD29" s="55" t="str">
        <f t="shared" si="71"/>
        <v/>
      </c>
      <c r="DE29" s="55" t="str">
        <f t="shared" si="71"/>
        <v/>
      </c>
      <c r="DF29" s="55" t="str">
        <f t="shared" si="71"/>
        <v/>
      </c>
      <c r="DG29" s="55" t="str">
        <f t="shared" si="71"/>
        <v/>
      </c>
      <c r="DH29" s="55" t="str">
        <f t="shared" si="71"/>
        <v/>
      </c>
      <c r="DI29" s="55" t="str">
        <f t="shared" si="71"/>
        <v/>
      </c>
      <c r="DJ29" s="55" t="str">
        <f t="shared" si="71"/>
        <v/>
      </c>
      <c r="DK29" s="55" t="str">
        <f t="shared" si="45"/>
        <v/>
      </c>
      <c r="DL29" s="55" t="str">
        <f t="shared" si="45"/>
        <v/>
      </c>
      <c r="DM29" s="55" t="str">
        <f t="shared" si="45"/>
        <v/>
      </c>
      <c r="DN29" s="55" t="str">
        <f t="shared" si="45"/>
        <v/>
      </c>
      <c r="DO29" s="55" t="str">
        <f t="shared" si="45"/>
        <v/>
      </c>
      <c r="DP29" s="55" t="str">
        <f t="shared" si="45"/>
        <v/>
      </c>
      <c r="DQ29" s="55" t="str">
        <f t="shared" si="46"/>
        <v/>
      </c>
      <c r="DR29" s="55" t="str">
        <f t="shared" si="46"/>
        <v/>
      </c>
      <c r="DS29" s="55" t="str">
        <f t="shared" si="46"/>
        <v/>
      </c>
      <c r="DT29" s="103" t="str">
        <f t="shared" si="46"/>
        <v/>
      </c>
      <c r="DU29" s="54"/>
      <c r="DV29" s="25"/>
      <c r="DW29" s="59" t="str">
        <f t="shared" si="47"/>
        <v/>
      </c>
      <c r="DX29" s="50" t="str">
        <f t="shared" si="47"/>
        <v/>
      </c>
      <c r="DY29" s="50" t="str">
        <f t="shared" si="47"/>
        <v/>
      </c>
      <c r="DZ29" s="50" t="str">
        <f t="shared" si="47"/>
        <v/>
      </c>
      <c r="EA29" s="50" t="str">
        <f t="shared" si="47"/>
        <v/>
      </c>
      <c r="EB29" s="50" t="str">
        <f t="shared" si="47"/>
        <v/>
      </c>
      <c r="EC29" s="50" t="str">
        <f t="shared" si="47"/>
        <v/>
      </c>
      <c r="ED29" s="50" t="str">
        <f t="shared" si="47"/>
        <v/>
      </c>
      <c r="EE29" s="50" t="str">
        <f t="shared" si="47"/>
        <v/>
      </c>
      <c r="EF29" s="50" t="str">
        <f t="shared" si="47"/>
        <v/>
      </c>
      <c r="EG29" s="50" t="str">
        <f t="shared" si="47"/>
        <v/>
      </c>
      <c r="EH29" s="50" t="str">
        <f t="shared" si="47"/>
        <v/>
      </c>
      <c r="EI29" s="50" t="str">
        <f t="shared" si="47"/>
        <v/>
      </c>
      <c r="EJ29" s="50" t="str">
        <f t="shared" si="47"/>
        <v/>
      </c>
      <c r="EK29" s="50" t="str">
        <f t="shared" si="47"/>
        <v/>
      </c>
      <c r="EL29" s="50" t="str">
        <f t="shared" si="47"/>
        <v/>
      </c>
      <c r="EM29" s="50" t="str">
        <f t="shared" ref="EM29:FB31" si="72">IF($B29=EM$12,$O29,"")</f>
        <v/>
      </c>
      <c r="EN29" s="50" t="str">
        <f t="shared" si="72"/>
        <v/>
      </c>
      <c r="EO29" s="50" t="str">
        <f t="shared" si="72"/>
        <v/>
      </c>
      <c r="EP29" s="50" t="str">
        <f t="shared" si="72"/>
        <v/>
      </c>
      <c r="EQ29" s="50" t="str">
        <f t="shared" si="72"/>
        <v/>
      </c>
      <c r="ER29" s="50" t="str">
        <f t="shared" si="72"/>
        <v/>
      </c>
      <c r="ES29" s="50" t="str">
        <f t="shared" si="72"/>
        <v/>
      </c>
      <c r="ET29" s="50" t="str">
        <f t="shared" si="72"/>
        <v/>
      </c>
      <c r="EU29" s="50" t="str">
        <f t="shared" si="72"/>
        <v/>
      </c>
      <c r="EV29" s="50" t="str">
        <f t="shared" si="72"/>
        <v/>
      </c>
      <c r="EW29" s="50" t="str">
        <f t="shared" si="72"/>
        <v/>
      </c>
      <c r="EX29" s="50" t="str">
        <f t="shared" si="72"/>
        <v/>
      </c>
      <c r="EY29" s="50" t="str">
        <f t="shared" si="72"/>
        <v/>
      </c>
      <c r="EZ29" s="50" t="str">
        <f t="shared" si="72"/>
        <v/>
      </c>
      <c r="FA29" s="50" t="str">
        <f t="shared" si="72"/>
        <v/>
      </c>
      <c r="FB29" s="50" t="str">
        <f t="shared" si="72"/>
        <v/>
      </c>
      <c r="FC29" s="50" t="str">
        <f t="shared" ref="FC29:GW31" si="73">IF($B29=FC$12,$O29,"")</f>
        <v/>
      </c>
      <c r="FD29" s="50" t="str">
        <f t="shared" si="73"/>
        <v/>
      </c>
      <c r="FE29" s="50" t="str">
        <f t="shared" si="73"/>
        <v/>
      </c>
      <c r="FF29" s="50" t="str">
        <f t="shared" si="73"/>
        <v/>
      </c>
      <c r="FG29" s="50" t="str">
        <f t="shared" si="73"/>
        <v/>
      </c>
      <c r="FH29" s="50" t="str">
        <f t="shared" si="73"/>
        <v/>
      </c>
      <c r="FI29" s="50" t="str">
        <f t="shared" si="73"/>
        <v/>
      </c>
      <c r="FJ29" s="50" t="str">
        <f t="shared" si="73"/>
        <v/>
      </c>
      <c r="FK29" s="50" t="str">
        <f t="shared" si="73"/>
        <v/>
      </c>
      <c r="FL29" s="50" t="str">
        <f t="shared" si="73"/>
        <v/>
      </c>
      <c r="FM29" s="50" t="str">
        <f t="shared" si="73"/>
        <v/>
      </c>
      <c r="FN29" s="50" t="str">
        <f t="shared" si="73"/>
        <v/>
      </c>
      <c r="FO29" s="50" t="str">
        <f t="shared" si="73"/>
        <v/>
      </c>
      <c r="FP29" s="50" t="str">
        <f t="shared" si="73"/>
        <v/>
      </c>
      <c r="FQ29" s="50" t="str">
        <f t="shared" si="73"/>
        <v/>
      </c>
      <c r="FR29" s="50" t="str">
        <f t="shared" si="73"/>
        <v/>
      </c>
      <c r="FS29" s="50" t="str">
        <f t="shared" si="73"/>
        <v/>
      </c>
      <c r="FT29" s="50" t="str">
        <f t="shared" si="73"/>
        <v/>
      </c>
      <c r="FU29" s="50" t="str">
        <f t="shared" si="73"/>
        <v/>
      </c>
      <c r="FV29" s="50" t="str">
        <f t="shared" si="73"/>
        <v/>
      </c>
      <c r="FW29" s="50" t="str">
        <f t="shared" si="73"/>
        <v/>
      </c>
      <c r="FX29" s="50" t="str">
        <f t="shared" si="73"/>
        <v/>
      </c>
      <c r="FY29" s="50" t="str">
        <f t="shared" si="73"/>
        <v/>
      </c>
      <c r="FZ29" s="50" t="str">
        <f t="shared" si="73"/>
        <v/>
      </c>
      <c r="GA29" s="50" t="str">
        <f t="shared" si="73"/>
        <v/>
      </c>
      <c r="GB29" s="50" t="str">
        <f t="shared" si="73"/>
        <v/>
      </c>
      <c r="GC29" s="50" t="str">
        <f t="shared" si="73"/>
        <v/>
      </c>
      <c r="GD29" s="50" t="str">
        <f t="shared" si="73"/>
        <v/>
      </c>
      <c r="GE29" s="50" t="str">
        <f t="shared" si="73"/>
        <v/>
      </c>
      <c r="GF29" s="50" t="str">
        <f t="shared" si="73"/>
        <v/>
      </c>
      <c r="GG29" s="50" t="str">
        <f t="shared" si="73"/>
        <v/>
      </c>
      <c r="GH29" s="50" t="str">
        <f t="shared" si="73"/>
        <v/>
      </c>
      <c r="GI29" s="50" t="str">
        <f t="shared" si="73"/>
        <v/>
      </c>
      <c r="GJ29" s="50" t="str">
        <f t="shared" si="73"/>
        <v/>
      </c>
      <c r="GK29" s="50" t="str">
        <f t="shared" si="73"/>
        <v/>
      </c>
      <c r="GL29" s="50" t="str">
        <f t="shared" si="73"/>
        <v/>
      </c>
      <c r="GM29" s="50" t="str">
        <f t="shared" si="73"/>
        <v/>
      </c>
      <c r="GN29" s="50" t="str">
        <f t="shared" si="73"/>
        <v/>
      </c>
      <c r="GO29" s="50" t="str">
        <f t="shared" si="73"/>
        <v/>
      </c>
      <c r="GP29" s="50" t="str">
        <f t="shared" si="73"/>
        <v/>
      </c>
      <c r="GQ29" s="50" t="str">
        <f t="shared" si="73"/>
        <v/>
      </c>
      <c r="GR29" s="50" t="str">
        <f t="shared" si="73"/>
        <v/>
      </c>
      <c r="GS29" s="50" t="str">
        <f t="shared" si="73"/>
        <v/>
      </c>
      <c r="GT29" s="50" t="str">
        <f t="shared" si="73"/>
        <v/>
      </c>
      <c r="GU29" s="50" t="str">
        <f t="shared" si="73"/>
        <v/>
      </c>
      <c r="GV29" s="50" t="str">
        <f t="shared" si="73"/>
        <v/>
      </c>
      <c r="GW29" s="50" t="str">
        <f t="shared" si="73"/>
        <v/>
      </c>
      <c r="GX29" s="50" t="str">
        <f t="shared" ref="GX29:HM31" si="74">IF($B29=GX$12,$O29,"")</f>
        <v/>
      </c>
      <c r="GY29" s="50" t="str">
        <f t="shared" si="74"/>
        <v/>
      </c>
      <c r="GZ29" s="50" t="str">
        <f t="shared" si="74"/>
        <v/>
      </c>
      <c r="HA29" s="50" t="str">
        <f t="shared" si="74"/>
        <v/>
      </c>
      <c r="HB29" s="50" t="str">
        <f t="shared" si="74"/>
        <v/>
      </c>
      <c r="HC29" s="50" t="str">
        <f t="shared" si="74"/>
        <v/>
      </c>
      <c r="HD29" s="50" t="str">
        <f t="shared" si="74"/>
        <v/>
      </c>
      <c r="HE29" s="50" t="str">
        <f t="shared" si="74"/>
        <v/>
      </c>
      <c r="HF29" s="50" t="str">
        <f t="shared" si="74"/>
        <v/>
      </c>
      <c r="HG29" s="50" t="str">
        <f t="shared" si="74"/>
        <v/>
      </c>
      <c r="HH29" s="50" t="str">
        <f t="shared" si="74"/>
        <v/>
      </c>
      <c r="HI29" s="50" t="str">
        <f t="shared" si="74"/>
        <v/>
      </c>
      <c r="HJ29" s="50" t="str">
        <f t="shared" si="74"/>
        <v/>
      </c>
      <c r="HK29" s="50" t="str">
        <f t="shared" si="74"/>
        <v/>
      </c>
      <c r="HL29" s="50" t="str">
        <f t="shared" si="74"/>
        <v/>
      </c>
      <c r="HM29" s="50" t="str">
        <f t="shared" si="74"/>
        <v/>
      </c>
      <c r="HN29" s="50" t="str">
        <f t="shared" si="50"/>
        <v/>
      </c>
      <c r="HO29" s="50" t="str">
        <f t="shared" si="50"/>
        <v/>
      </c>
      <c r="HP29" s="50" t="str">
        <f t="shared" si="50"/>
        <v/>
      </c>
      <c r="HQ29" s="50" t="str">
        <f t="shared" si="50"/>
        <v/>
      </c>
      <c r="HR29" s="108" t="str">
        <f t="shared" si="50"/>
        <v/>
      </c>
    </row>
    <row r="30" spans="1:226" ht="11.1" customHeight="1" x14ac:dyDescent="0.25">
      <c r="A30" s="26"/>
      <c r="B30" s="27"/>
      <c r="C30" s="28" t="str">
        <f>IF(A30=0,"",VLOOKUP(A30,[2]CO!$A$3:$F$5327,2,0))</f>
        <v/>
      </c>
      <c r="D30" s="29"/>
      <c r="E30" s="29"/>
      <c r="F30" s="29"/>
      <c r="G30" s="30" t="str">
        <f>IF(A30=0,"",VLOOKUP(A30,[2]CO!$A$3:$F$5327,3,0))</f>
        <v/>
      </c>
      <c r="H30" s="91"/>
      <c r="I30" s="31"/>
      <c r="J30" s="31"/>
      <c r="K30" s="31"/>
      <c r="L30" s="31"/>
      <c r="M30" s="32" t="str">
        <f t="shared" si="40"/>
        <v/>
      </c>
      <c r="N30" s="32" t="str">
        <f>IF(B30=0,"",IF(H30="M",HLOOKUP(B30,$Y$12:$DT$13,2),IF(A30=0,"",VLOOKUP(A30,[2]CO!$A$3:$F$5327,4,0))))</f>
        <v/>
      </c>
      <c r="O30" s="32" t="str">
        <f t="shared" si="27"/>
        <v/>
      </c>
      <c r="P30" s="33"/>
      <c r="Q30" s="34" t="str">
        <f t="shared" si="41"/>
        <v/>
      </c>
      <c r="R30" s="35" t="str">
        <f t="shared" si="51"/>
        <v/>
      </c>
      <c r="T30" s="53" t="str">
        <f>IF(A30=0,"",VLOOKUP(A30,[2]CO!$A$3:$F$5318,5,0))</f>
        <v/>
      </c>
      <c r="U30" s="54">
        <f t="shared" si="42"/>
        <v>0</v>
      </c>
      <c r="V30" s="24"/>
      <c r="W30" s="25"/>
      <c r="X30" s="25"/>
      <c r="Y30" s="60" t="str">
        <f t="shared" si="43"/>
        <v/>
      </c>
      <c r="Z30" s="55" t="str">
        <f t="shared" si="43"/>
        <v/>
      </c>
      <c r="AA30" s="55" t="str">
        <f t="shared" si="43"/>
        <v/>
      </c>
      <c r="AB30" s="55" t="str">
        <f t="shared" si="43"/>
        <v/>
      </c>
      <c r="AC30" s="55" t="str">
        <f t="shared" si="43"/>
        <v/>
      </c>
      <c r="AD30" s="55" t="str">
        <f t="shared" si="43"/>
        <v/>
      </c>
      <c r="AE30" s="55" t="str">
        <f t="shared" si="43"/>
        <v/>
      </c>
      <c r="AF30" s="55" t="str">
        <f t="shared" si="43"/>
        <v/>
      </c>
      <c r="AG30" s="55" t="str">
        <f t="shared" si="43"/>
        <v/>
      </c>
      <c r="AH30" s="55" t="str">
        <f t="shared" si="43"/>
        <v/>
      </c>
      <c r="AI30" s="55" t="str">
        <f t="shared" si="43"/>
        <v/>
      </c>
      <c r="AJ30" s="55" t="str">
        <f t="shared" si="43"/>
        <v/>
      </c>
      <c r="AK30" s="55" t="str">
        <f t="shared" si="43"/>
        <v/>
      </c>
      <c r="AL30" s="55" t="str">
        <f t="shared" si="43"/>
        <v/>
      </c>
      <c r="AM30" s="55" t="str">
        <f t="shared" si="43"/>
        <v/>
      </c>
      <c r="AN30" s="55" t="str">
        <f t="shared" si="43"/>
        <v/>
      </c>
      <c r="AO30" s="55" t="str">
        <f t="shared" si="69"/>
        <v/>
      </c>
      <c r="AP30" s="55" t="str">
        <f t="shared" si="69"/>
        <v/>
      </c>
      <c r="AQ30" s="55" t="str">
        <f t="shared" si="69"/>
        <v/>
      </c>
      <c r="AR30" s="55" t="str">
        <f t="shared" si="69"/>
        <v/>
      </c>
      <c r="AS30" s="55" t="str">
        <f t="shared" si="69"/>
        <v/>
      </c>
      <c r="AT30" s="55" t="str">
        <f t="shared" si="69"/>
        <v/>
      </c>
      <c r="AU30" s="55" t="str">
        <f t="shared" si="69"/>
        <v/>
      </c>
      <c r="AV30" s="55" t="str">
        <f t="shared" si="69"/>
        <v/>
      </c>
      <c r="AW30" s="55" t="str">
        <f t="shared" si="69"/>
        <v/>
      </c>
      <c r="AX30" s="55" t="str">
        <f t="shared" si="69"/>
        <v/>
      </c>
      <c r="AY30" s="55" t="str">
        <f t="shared" si="69"/>
        <v/>
      </c>
      <c r="AZ30" s="55" t="str">
        <f t="shared" si="69"/>
        <v/>
      </c>
      <c r="BA30" s="55" t="str">
        <f t="shared" si="69"/>
        <v/>
      </c>
      <c r="BB30" s="55" t="str">
        <f t="shared" si="69"/>
        <v/>
      </c>
      <c r="BC30" s="55" t="str">
        <f t="shared" si="69"/>
        <v/>
      </c>
      <c r="BD30" s="55" t="str">
        <f t="shared" si="69"/>
        <v/>
      </c>
      <c r="BE30" s="55" t="str">
        <f t="shared" si="70"/>
        <v/>
      </c>
      <c r="BF30" s="55" t="str">
        <f t="shared" si="70"/>
        <v/>
      </c>
      <c r="BG30" s="55" t="str">
        <f t="shared" si="70"/>
        <v/>
      </c>
      <c r="BH30" s="55" t="str">
        <f t="shared" si="70"/>
        <v/>
      </c>
      <c r="BI30" s="55" t="str">
        <f t="shared" si="70"/>
        <v/>
      </c>
      <c r="BJ30" s="55" t="str">
        <f t="shared" si="70"/>
        <v/>
      </c>
      <c r="BK30" s="55" t="str">
        <f t="shared" si="70"/>
        <v/>
      </c>
      <c r="BL30" s="55" t="str">
        <f t="shared" si="70"/>
        <v/>
      </c>
      <c r="BM30" s="55" t="str">
        <f t="shared" si="70"/>
        <v/>
      </c>
      <c r="BN30" s="55" t="str">
        <f t="shared" si="70"/>
        <v/>
      </c>
      <c r="BO30" s="55" t="str">
        <f t="shared" si="70"/>
        <v/>
      </c>
      <c r="BP30" s="55" t="str">
        <f t="shared" si="70"/>
        <v/>
      </c>
      <c r="BQ30" s="55" t="str">
        <f t="shared" si="70"/>
        <v/>
      </c>
      <c r="BR30" s="55" t="str">
        <f t="shared" si="70"/>
        <v/>
      </c>
      <c r="BS30" s="55" t="str">
        <f t="shared" si="70"/>
        <v/>
      </c>
      <c r="BT30" s="55" t="str">
        <f t="shared" si="70"/>
        <v/>
      </c>
      <c r="BU30" s="55" t="str">
        <f t="shared" si="70"/>
        <v/>
      </c>
      <c r="BV30" s="55" t="str">
        <f t="shared" si="70"/>
        <v/>
      </c>
      <c r="BW30" s="55" t="str">
        <f t="shared" si="70"/>
        <v/>
      </c>
      <c r="BX30" s="55" t="str">
        <f t="shared" si="70"/>
        <v/>
      </c>
      <c r="BY30" s="55" t="str">
        <f t="shared" si="70"/>
        <v/>
      </c>
      <c r="BZ30" s="55" t="str">
        <f t="shared" si="70"/>
        <v/>
      </c>
      <c r="CA30" s="55" t="str">
        <f t="shared" si="70"/>
        <v/>
      </c>
      <c r="CB30" s="55" t="str">
        <f t="shared" si="70"/>
        <v/>
      </c>
      <c r="CC30" s="55" t="str">
        <f t="shared" si="70"/>
        <v/>
      </c>
      <c r="CD30" s="55" t="str">
        <f t="shared" si="70"/>
        <v/>
      </c>
      <c r="CE30" s="55" t="str">
        <f t="shared" si="70"/>
        <v/>
      </c>
      <c r="CF30" s="55" t="str">
        <f t="shared" si="70"/>
        <v/>
      </c>
      <c r="CG30" s="55" t="str">
        <f t="shared" si="70"/>
        <v/>
      </c>
      <c r="CH30" s="55" t="str">
        <f t="shared" si="70"/>
        <v/>
      </c>
      <c r="CI30" s="55" t="str">
        <f t="shared" si="70"/>
        <v/>
      </c>
      <c r="CJ30" s="55" t="str">
        <f t="shared" si="70"/>
        <v/>
      </c>
      <c r="CK30" s="55" t="str">
        <f t="shared" si="70"/>
        <v/>
      </c>
      <c r="CL30" s="55" t="str">
        <f t="shared" si="70"/>
        <v/>
      </c>
      <c r="CM30" s="55" t="str">
        <f t="shared" si="70"/>
        <v/>
      </c>
      <c r="CN30" s="55" t="str">
        <f t="shared" si="70"/>
        <v/>
      </c>
      <c r="CO30" s="55" t="str">
        <f t="shared" si="70"/>
        <v/>
      </c>
      <c r="CP30" s="55" t="str">
        <f t="shared" si="70"/>
        <v/>
      </c>
      <c r="CQ30" s="55" t="str">
        <f t="shared" si="70"/>
        <v/>
      </c>
      <c r="CR30" s="55" t="str">
        <f t="shared" si="70"/>
        <v/>
      </c>
      <c r="CS30" s="55" t="str">
        <f t="shared" si="70"/>
        <v/>
      </c>
      <c r="CT30" s="55" t="str">
        <f t="shared" si="70"/>
        <v/>
      </c>
      <c r="CU30" s="55" t="str">
        <f t="shared" si="70"/>
        <v/>
      </c>
      <c r="CV30" s="55" t="str">
        <f t="shared" si="70"/>
        <v/>
      </c>
      <c r="CW30" s="55" t="str">
        <f t="shared" si="70"/>
        <v/>
      </c>
      <c r="CX30" s="55" t="str">
        <f t="shared" si="70"/>
        <v/>
      </c>
      <c r="CY30" s="55" t="str">
        <f t="shared" si="70"/>
        <v/>
      </c>
      <c r="CZ30" s="55" t="str">
        <f t="shared" si="71"/>
        <v/>
      </c>
      <c r="DA30" s="55" t="str">
        <f t="shared" si="71"/>
        <v/>
      </c>
      <c r="DB30" s="55" t="str">
        <f t="shared" si="71"/>
        <v/>
      </c>
      <c r="DC30" s="55" t="str">
        <f t="shared" si="71"/>
        <v/>
      </c>
      <c r="DD30" s="55" t="str">
        <f t="shared" si="71"/>
        <v/>
      </c>
      <c r="DE30" s="55" t="str">
        <f t="shared" si="71"/>
        <v/>
      </c>
      <c r="DF30" s="55" t="str">
        <f t="shared" si="71"/>
        <v/>
      </c>
      <c r="DG30" s="55" t="str">
        <f t="shared" si="71"/>
        <v/>
      </c>
      <c r="DH30" s="55" t="str">
        <f t="shared" si="71"/>
        <v/>
      </c>
      <c r="DI30" s="55" t="str">
        <f t="shared" si="71"/>
        <v/>
      </c>
      <c r="DJ30" s="55" t="str">
        <f t="shared" si="71"/>
        <v/>
      </c>
      <c r="DK30" s="55" t="str">
        <f t="shared" si="45"/>
        <v/>
      </c>
      <c r="DL30" s="55" t="str">
        <f t="shared" si="45"/>
        <v/>
      </c>
      <c r="DM30" s="55" t="str">
        <f t="shared" si="45"/>
        <v/>
      </c>
      <c r="DN30" s="55" t="str">
        <f t="shared" si="45"/>
        <v/>
      </c>
      <c r="DO30" s="55" t="str">
        <f t="shared" si="45"/>
        <v/>
      </c>
      <c r="DP30" s="55" t="str">
        <f t="shared" si="45"/>
        <v/>
      </c>
      <c r="DQ30" s="55" t="str">
        <f t="shared" si="46"/>
        <v/>
      </c>
      <c r="DR30" s="55" t="str">
        <f t="shared" si="46"/>
        <v/>
      </c>
      <c r="DS30" s="55" t="str">
        <f t="shared" si="46"/>
        <v/>
      </c>
      <c r="DT30" s="103" t="str">
        <f t="shared" si="46"/>
        <v/>
      </c>
      <c r="DU30" s="54"/>
      <c r="DV30" s="25"/>
      <c r="DW30" s="59" t="str">
        <f t="shared" si="47"/>
        <v/>
      </c>
      <c r="DX30" s="50" t="str">
        <f t="shared" si="47"/>
        <v/>
      </c>
      <c r="DY30" s="50" t="str">
        <f t="shared" si="47"/>
        <v/>
      </c>
      <c r="DZ30" s="50" t="str">
        <f t="shared" si="47"/>
        <v/>
      </c>
      <c r="EA30" s="50" t="str">
        <f t="shared" si="47"/>
        <v/>
      </c>
      <c r="EB30" s="50" t="str">
        <f t="shared" si="47"/>
        <v/>
      </c>
      <c r="EC30" s="50" t="str">
        <f t="shared" si="47"/>
        <v/>
      </c>
      <c r="ED30" s="50" t="str">
        <f t="shared" si="47"/>
        <v/>
      </c>
      <c r="EE30" s="50" t="str">
        <f t="shared" si="47"/>
        <v/>
      </c>
      <c r="EF30" s="50" t="str">
        <f t="shared" si="47"/>
        <v/>
      </c>
      <c r="EG30" s="50" t="str">
        <f t="shared" si="47"/>
        <v/>
      </c>
      <c r="EH30" s="50" t="str">
        <f t="shared" si="47"/>
        <v/>
      </c>
      <c r="EI30" s="50" t="str">
        <f t="shared" si="47"/>
        <v/>
      </c>
      <c r="EJ30" s="50" t="str">
        <f t="shared" si="47"/>
        <v/>
      </c>
      <c r="EK30" s="50" t="str">
        <f t="shared" si="47"/>
        <v/>
      </c>
      <c r="EL30" s="50" t="str">
        <f t="shared" si="47"/>
        <v/>
      </c>
      <c r="EM30" s="50" t="str">
        <f t="shared" si="72"/>
        <v/>
      </c>
      <c r="EN30" s="50" t="str">
        <f t="shared" si="72"/>
        <v/>
      </c>
      <c r="EO30" s="50" t="str">
        <f t="shared" si="72"/>
        <v/>
      </c>
      <c r="EP30" s="50" t="str">
        <f t="shared" si="72"/>
        <v/>
      </c>
      <c r="EQ30" s="50" t="str">
        <f t="shared" si="72"/>
        <v/>
      </c>
      <c r="ER30" s="50" t="str">
        <f t="shared" si="72"/>
        <v/>
      </c>
      <c r="ES30" s="50" t="str">
        <f t="shared" si="72"/>
        <v/>
      </c>
      <c r="ET30" s="50" t="str">
        <f t="shared" si="72"/>
        <v/>
      </c>
      <c r="EU30" s="50" t="str">
        <f t="shared" si="72"/>
        <v/>
      </c>
      <c r="EV30" s="50" t="str">
        <f t="shared" si="72"/>
        <v/>
      </c>
      <c r="EW30" s="50" t="str">
        <f t="shared" si="72"/>
        <v/>
      </c>
      <c r="EX30" s="50" t="str">
        <f t="shared" si="72"/>
        <v/>
      </c>
      <c r="EY30" s="50" t="str">
        <f t="shared" si="72"/>
        <v/>
      </c>
      <c r="EZ30" s="50" t="str">
        <f t="shared" si="72"/>
        <v/>
      </c>
      <c r="FA30" s="50" t="str">
        <f t="shared" si="72"/>
        <v/>
      </c>
      <c r="FB30" s="50" t="str">
        <f t="shared" si="72"/>
        <v/>
      </c>
      <c r="FC30" s="50" t="str">
        <f t="shared" si="73"/>
        <v/>
      </c>
      <c r="FD30" s="50" t="str">
        <f t="shared" si="73"/>
        <v/>
      </c>
      <c r="FE30" s="50" t="str">
        <f t="shared" si="73"/>
        <v/>
      </c>
      <c r="FF30" s="50" t="str">
        <f t="shared" si="73"/>
        <v/>
      </c>
      <c r="FG30" s="50" t="str">
        <f t="shared" si="73"/>
        <v/>
      </c>
      <c r="FH30" s="50" t="str">
        <f t="shared" si="73"/>
        <v/>
      </c>
      <c r="FI30" s="50" t="str">
        <f t="shared" si="73"/>
        <v/>
      </c>
      <c r="FJ30" s="50" t="str">
        <f t="shared" si="73"/>
        <v/>
      </c>
      <c r="FK30" s="50" t="str">
        <f t="shared" si="73"/>
        <v/>
      </c>
      <c r="FL30" s="50" t="str">
        <f t="shared" si="73"/>
        <v/>
      </c>
      <c r="FM30" s="50" t="str">
        <f t="shared" si="73"/>
        <v/>
      </c>
      <c r="FN30" s="50" t="str">
        <f t="shared" si="73"/>
        <v/>
      </c>
      <c r="FO30" s="50" t="str">
        <f t="shared" si="73"/>
        <v/>
      </c>
      <c r="FP30" s="50" t="str">
        <f t="shared" si="73"/>
        <v/>
      </c>
      <c r="FQ30" s="50" t="str">
        <f t="shared" si="73"/>
        <v/>
      </c>
      <c r="FR30" s="50" t="str">
        <f t="shared" si="73"/>
        <v/>
      </c>
      <c r="FS30" s="50" t="str">
        <f t="shared" si="73"/>
        <v/>
      </c>
      <c r="FT30" s="50" t="str">
        <f t="shared" si="73"/>
        <v/>
      </c>
      <c r="FU30" s="50" t="str">
        <f t="shared" si="73"/>
        <v/>
      </c>
      <c r="FV30" s="50" t="str">
        <f t="shared" si="73"/>
        <v/>
      </c>
      <c r="FW30" s="50" t="str">
        <f t="shared" si="73"/>
        <v/>
      </c>
      <c r="FX30" s="50" t="str">
        <f t="shared" si="73"/>
        <v/>
      </c>
      <c r="FY30" s="50" t="str">
        <f t="shared" si="73"/>
        <v/>
      </c>
      <c r="FZ30" s="50" t="str">
        <f t="shared" si="73"/>
        <v/>
      </c>
      <c r="GA30" s="50" t="str">
        <f t="shared" si="73"/>
        <v/>
      </c>
      <c r="GB30" s="50" t="str">
        <f t="shared" si="73"/>
        <v/>
      </c>
      <c r="GC30" s="50" t="str">
        <f t="shared" si="73"/>
        <v/>
      </c>
      <c r="GD30" s="50" t="str">
        <f t="shared" si="73"/>
        <v/>
      </c>
      <c r="GE30" s="50" t="str">
        <f t="shared" si="73"/>
        <v/>
      </c>
      <c r="GF30" s="50" t="str">
        <f t="shared" si="73"/>
        <v/>
      </c>
      <c r="GG30" s="50" t="str">
        <f t="shared" si="73"/>
        <v/>
      </c>
      <c r="GH30" s="50" t="str">
        <f t="shared" si="73"/>
        <v/>
      </c>
      <c r="GI30" s="50" t="str">
        <f t="shared" si="73"/>
        <v/>
      </c>
      <c r="GJ30" s="50" t="str">
        <f t="shared" si="73"/>
        <v/>
      </c>
      <c r="GK30" s="50" t="str">
        <f t="shared" si="73"/>
        <v/>
      </c>
      <c r="GL30" s="50" t="str">
        <f t="shared" si="73"/>
        <v/>
      </c>
      <c r="GM30" s="50" t="str">
        <f t="shared" si="73"/>
        <v/>
      </c>
      <c r="GN30" s="50" t="str">
        <f t="shared" si="73"/>
        <v/>
      </c>
      <c r="GO30" s="50" t="str">
        <f t="shared" si="73"/>
        <v/>
      </c>
      <c r="GP30" s="50" t="str">
        <f t="shared" si="73"/>
        <v/>
      </c>
      <c r="GQ30" s="50" t="str">
        <f t="shared" si="73"/>
        <v/>
      </c>
      <c r="GR30" s="50" t="str">
        <f t="shared" si="73"/>
        <v/>
      </c>
      <c r="GS30" s="50" t="str">
        <f t="shared" si="73"/>
        <v/>
      </c>
      <c r="GT30" s="50" t="str">
        <f t="shared" si="73"/>
        <v/>
      </c>
      <c r="GU30" s="50" t="str">
        <f t="shared" si="73"/>
        <v/>
      </c>
      <c r="GV30" s="50" t="str">
        <f t="shared" si="73"/>
        <v/>
      </c>
      <c r="GW30" s="50" t="str">
        <f t="shared" si="73"/>
        <v/>
      </c>
      <c r="GX30" s="50" t="str">
        <f t="shared" si="74"/>
        <v/>
      </c>
      <c r="GY30" s="50" t="str">
        <f t="shared" si="74"/>
        <v/>
      </c>
      <c r="GZ30" s="50" t="str">
        <f t="shared" si="74"/>
        <v/>
      </c>
      <c r="HA30" s="50" t="str">
        <f t="shared" si="74"/>
        <v/>
      </c>
      <c r="HB30" s="50" t="str">
        <f t="shared" si="74"/>
        <v/>
      </c>
      <c r="HC30" s="50" t="str">
        <f t="shared" si="74"/>
        <v/>
      </c>
      <c r="HD30" s="50" t="str">
        <f t="shared" si="74"/>
        <v/>
      </c>
      <c r="HE30" s="50" t="str">
        <f t="shared" si="74"/>
        <v/>
      </c>
      <c r="HF30" s="50" t="str">
        <f t="shared" si="74"/>
        <v/>
      </c>
      <c r="HG30" s="50" t="str">
        <f t="shared" si="74"/>
        <v/>
      </c>
      <c r="HH30" s="50" t="str">
        <f t="shared" si="74"/>
        <v/>
      </c>
      <c r="HI30" s="50" t="str">
        <f t="shared" si="74"/>
        <v/>
      </c>
      <c r="HJ30" s="50" t="str">
        <f t="shared" si="74"/>
        <v/>
      </c>
      <c r="HK30" s="50" t="str">
        <f t="shared" si="74"/>
        <v/>
      </c>
      <c r="HL30" s="50" t="str">
        <f t="shared" si="74"/>
        <v/>
      </c>
      <c r="HM30" s="50" t="str">
        <f t="shared" si="74"/>
        <v/>
      </c>
      <c r="HN30" s="50" t="str">
        <f t="shared" si="50"/>
        <v/>
      </c>
      <c r="HO30" s="50" t="str">
        <f t="shared" si="50"/>
        <v/>
      </c>
      <c r="HP30" s="50" t="str">
        <f t="shared" si="50"/>
        <v/>
      </c>
      <c r="HQ30" s="50" t="str">
        <f t="shared" si="50"/>
        <v/>
      </c>
      <c r="HR30" s="108" t="str">
        <f t="shared" si="50"/>
        <v/>
      </c>
    </row>
    <row r="31" spans="1:226" ht="11.1" customHeight="1" thickBot="1" x14ac:dyDescent="0.3">
      <c r="A31" s="62"/>
      <c r="B31" s="63"/>
      <c r="C31" s="64" t="str">
        <f>IF(A31=0,"",VLOOKUP(A31,[2]CO!$A$3:$F$5327,2,0))</f>
        <v/>
      </c>
      <c r="D31" s="65"/>
      <c r="E31" s="65"/>
      <c r="F31" s="65"/>
      <c r="G31" s="66" t="str">
        <f>IF(A31=0,"",VLOOKUP(A31,[2]CO!$A$3:$F$5327,3,0))</f>
        <v/>
      </c>
      <c r="H31" s="92"/>
      <c r="I31" s="67"/>
      <c r="J31" s="67"/>
      <c r="K31" s="67"/>
      <c r="L31" s="67"/>
      <c r="M31" s="68" t="str">
        <f t="shared" si="40"/>
        <v/>
      </c>
      <c r="N31" s="68" t="str">
        <f>IF(B31=0,"",IF(H31="M",HLOOKUP(B31,$Y$12:$DT$13,2),IF(A31=0,"",VLOOKUP(A31,[2]CO!$A$3:$F$5327,4,0))))</f>
        <v/>
      </c>
      <c r="O31" s="68" t="str">
        <f t="shared" si="27"/>
        <v/>
      </c>
      <c r="P31" s="69"/>
      <c r="Q31" s="70" t="str">
        <f t="shared" si="41"/>
        <v/>
      </c>
      <c r="R31" s="71" t="str">
        <f t="shared" si="51"/>
        <v/>
      </c>
      <c r="T31" s="53" t="str">
        <f>IF(A31=0,"",VLOOKUP(A31,[2]CO!$A$3:$F$5318,5,0))</f>
        <v/>
      </c>
      <c r="U31" s="54">
        <f t="shared" si="42"/>
        <v>0</v>
      </c>
      <c r="V31" s="24"/>
      <c r="W31" s="25"/>
      <c r="X31" s="25"/>
      <c r="Y31" s="72" t="str">
        <f t="shared" si="43"/>
        <v/>
      </c>
      <c r="Z31" s="73" t="str">
        <f t="shared" si="43"/>
        <v/>
      </c>
      <c r="AA31" s="73" t="str">
        <f t="shared" si="43"/>
        <v/>
      </c>
      <c r="AB31" s="73" t="str">
        <f t="shared" si="43"/>
        <v/>
      </c>
      <c r="AC31" s="73" t="str">
        <f t="shared" si="43"/>
        <v/>
      </c>
      <c r="AD31" s="73" t="str">
        <f t="shared" si="43"/>
        <v/>
      </c>
      <c r="AE31" s="73" t="str">
        <f t="shared" si="43"/>
        <v/>
      </c>
      <c r="AF31" s="73" t="str">
        <f t="shared" si="43"/>
        <v/>
      </c>
      <c r="AG31" s="73" t="str">
        <f t="shared" si="43"/>
        <v/>
      </c>
      <c r="AH31" s="73" t="str">
        <f t="shared" si="43"/>
        <v/>
      </c>
      <c r="AI31" s="73" t="str">
        <f t="shared" si="43"/>
        <v/>
      </c>
      <c r="AJ31" s="73" t="str">
        <f t="shared" si="43"/>
        <v/>
      </c>
      <c r="AK31" s="73" t="str">
        <f t="shared" si="43"/>
        <v/>
      </c>
      <c r="AL31" s="73" t="str">
        <f t="shared" si="43"/>
        <v/>
      </c>
      <c r="AM31" s="73" t="str">
        <f t="shared" si="43"/>
        <v/>
      </c>
      <c r="AN31" s="73" t="str">
        <f t="shared" si="43"/>
        <v/>
      </c>
      <c r="AO31" s="73" t="str">
        <f t="shared" si="69"/>
        <v/>
      </c>
      <c r="AP31" s="73" t="str">
        <f t="shared" si="69"/>
        <v/>
      </c>
      <c r="AQ31" s="73" t="str">
        <f t="shared" si="69"/>
        <v/>
      </c>
      <c r="AR31" s="73" t="str">
        <f t="shared" si="69"/>
        <v/>
      </c>
      <c r="AS31" s="73" t="str">
        <f t="shared" si="69"/>
        <v/>
      </c>
      <c r="AT31" s="73" t="str">
        <f t="shared" si="69"/>
        <v/>
      </c>
      <c r="AU31" s="73" t="str">
        <f t="shared" si="69"/>
        <v/>
      </c>
      <c r="AV31" s="73" t="str">
        <f t="shared" si="69"/>
        <v/>
      </c>
      <c r="AW31" s="73" t="str">
        <f t="shared" si="69"/>
        <v/>
      </c>
      <c r="AX31" s="73" t="str">
        <f t="shared" si="69"/>
        <v/>
      </c>
      <c r="AY31" s="73" t="str">
        <f t="shared" si="69"/>
        <v/>
      </c>
      <c r="AZ31" s="73" t="str">
        <f t="shared" si="69"/>
        <v/>
      </c>
      <c r="BA31" s="73" t="str">
        <f t="shared" si="69"/>
        <v/>
      </c>
      <c r="BB31" s="73" t="str">
        <f t="shared" si="69"/>
        <v/>
      </c>
      <c r="BC31" s="73" t="str">
        <f t="shared" si="69"/>
        <v/>
      </c>
      <c r="BD31" s="73" t="str">
        <f t="shared" si="69"/>
        <v/>
      </c>
      <c r="BE31" s="73" t="str">
        <f t="shared" si="70"/>
        <v/>
      </c>
      <c r="BF31" s="73" t="str">
        <f t="shared" si="70"/>
        <v/>
      </c>
      <c r="BG31" s="73" t="str">
        <f t="shared" si="70"/>
        <v/>
      </c>
      <c r="BH31" s="73" t="str">
        <f t="shared" si="70"/>
        <v/>
      </c>
      <c r="BI31" s="73" t="str">
        <f t="shared" si="70"/>
        <v/>
      </c>
      <c r="BJ31" s="73" t="str">
        <f t="shared" si="70"/>
        <v/>
      </c>
      <c r="BK31" s="73" t="str">
        <f t="shared" si="70"/>
        <v/>
      </c>
      <c r="BL31" s="73" t="str">
        <f t="shared" si="70"/>
        <v/>
      </c>
      <c r="BM31" s="73" t="str">
        <f t="shared" si="70"/>
        <v/>
      </c>
      <c r="BN31" s="73" t="str">
        <f t="shared" si="70"/>
        <v/>
      </c>
      <c r="BO31" s="73" t="str">
        <f t="shared" si="70"/>
        <v/>
      </c>
      <c r="BP31" s="73" t="str">
        <f t="shared" si="70"/>
        <v/>
      </c>
      <c r="BQ31" s="73" t="str">
        <f t="shared" si="70"/>
        <v/>
      </c>
      <c r="BR31" s="73" t="str">
        <f t="shared" si="70"/>
        <v/>
      </c>
      <c r="BS31" s="73" t="str">
        <f t="shared" si="70"/>
        <v/>
      </c>
      <c r="BT31" s="73" t="str">
        <f t="shared" si="70"/>
        <v/>
      </c>
      <c r="BU31" s="73" t="str">
        <f t="shared" si="70"/>
        <v/>
      </c>
      <c r="BV31" s="73" t="str">
        <f t="shared" si="70"/>
        <v/>
      </c>
      <c r="BW31" s="73" t="str">
        <f t="shared" si="70"/>
        <v/>
      </c>
      <c r="BX31" s="73" t="str">
        <f t="shared" si="70"/>
        <v/>
      </c>
      <c r="BY31" s="73" t="str">
        <f t="shared" ref="BY31:CY31" si="75">IF($B31=BY$12,$U31,"")</f>
        <v/>
      </c>
      <c r="BZ31" s="73" t="str">
        <f t="shared" si="75"/>
        <v/>
      </c>
      <c r="CA31" s="73" t="str">
        <f t="shared" si="75"/>
        <v/>
      </c>
      <c r="CB31" s="73" t="str">
        <f t="shared" si="75"/>
        <v/>
      </c>
      <c r="CC31" s="73" t="str">
        <f t="shared" si="75"/>
        <v/>
      </c>
      <c r="CD31" s="73" t="str">
        <f t="shared" si="75"/>
        <v/>
      </c>
      <c r="CE31" s="73" t="str">
        <f t="shared" si="75"/>
        <v/>
      </c>
      <c r="CF31" s="73" t="str">
        <f t="shared" si="75"/>
        <v/>
      </c>
      <c r="CG31" s="73" t="str">
        <f t="shared" si="75"/>
        <v/>
      </c>
      <c r="CH31" s="73" t="str">
        <f t="shared" si="75"/>
        <v/>
      </c>
      <c r="CI31" s="73" t="str">
        <f t="shared" si="75"/>
        <v/>
      </c>
      <c r="CJ31" s="73" t="str">
        <f t="shared" si="75"/>
        <v/>
      </c>
      <c r="CK31" s="73" t="str">
        <f t="shared" si="75"/>
        <v/>
      </c>
      <c r="CL31" s="73" t="str">
        <f t="shared" si="75"/>
        <v/>
      </c>
      <c r="CM31" s="73" t="str">
        <f t="shared" si="75"/>
        <v/>
      </c>
      <c r="CN31" s="73" t="str">
        <f t="shared" si="75"/>
        <v/>
      </c>
      <c r="CO31" s="73" t="str">
        <f t="shared" si="75"/>
        <v/>
      </c>
      <c r="CP31" s="73" t="str">
        <f t="shared" si="75"/>
        <v/>
      </c>
      <c r="CQ31" s="73" t="str">
        <f t="shared" si="75"/>
        <v/>
      </c>
      <c r="CR31" s="73" t="str">
        <f t="shared" si="75"/>
        <v/>
      </c>
      <c r="CS31" s="73" t="str">
        <f t="shared" si="75"/>
        <v/>
      </c>
      <c r="CT31" s="73" t="str">
        <f t="shared" si="75"/>
        <v/>
      </c>
      <c r="CU31" s="73" t="str">
        <f t="shared" si="75"/>
        <v/>
      </c>
      <c r="CV31" s="73" t="str">
        <f t="shared" si="75"/>
        <v/>
      </c>
      <c r="CW31" s="73" t="str">
        <f t="shared" si="75"/>
        <v/>
      </c>
      <c r="CX31" s="73" t="str">
        <f t="shared" si="75"/>
        <v/>
      </c>
      <c r="CY31" s="73" t="str">
        <f t="shared" si="75"/>
        <v/>
      </c>
      <c r="CZ31" s="73" t="str">
        <f t="shared" si="71"/>
        <v/>
      </c>
      <c r="DA31" s="73" t="str">
        <f t="shared" si="71"/>
        <v/>
      </c>
      <c r="DB31" s="73" t="str">
        <f t="shared" si="71"/>
        <v/>
      </c>
      <c r="DC31" s="73" t="str">
        <f t="shared" si="71"/>
        <v/>
      </c>
      <c r="DD31" s="73" t="str">
        <f t="shared" si="71"/>
        <v/>
      </c>
      <c r="DE31" s="73" t="str">
        <f t="shared" si="71"/>
        <v/>
      </c>
      <c r="DF31" s="73" t="str">
        <f t="shared" si="71"/>
        <v/>
      </c>
      <c r="DG31" s="73" t="str">
        <f t="shared" si="71"/>
        <v/>
      </c>
      <c r="DH31" s="73" t="str">
        <f t="shared" si="71"/>
        <v/>
      </c>
      <c r="DI31" s="73" t="str">
        <f t="shared" si="71"/>
        <v/>
      </c>
      <c r="DJ31" s="73" t="str">
        <f t="shared" si="71"/>
        <v/>
      </c>
      <c r="DK31" s="73" t="str">
        <f t="shared" si="45"/>
        <v/>
      </c>
      <c r="DL31" s="73" t="str">
        <f t="shared" si="45"/>
        <v/>
      </c>
      <c r="DM31" s="73" t="str">
        <f t="shared" si="45"/>
        <v/>
      </c>
      <c r="DN31" s="73" t="str">
        <f t="shared" si="45"/>
        <v/>
      </c>
      <c r="DO31" s="73" t="str">
        <f t="shared" si="45"/>
        <v/>
      </c>
      <c r="DP31" s="73" t="str">
        <f t="shared" si="45"/>
        <v/>
      </c>
      <c r="DQ31" s="73" t="str">
        <f t="shared" si="46"/>
        <v/>
      </c>
      <c r="DR31" s="73" t="str">
        <f t="shared" si="46"/>
        <v/>
      </c>
      <c r="DS31" s="73" t="str">
        <f t="shared" si="46"/>
        <v/>
      </c>
      <c r="DT31" s="104" t="str">
        <f t="shared" si="46"/>
        <v/>
      </c>
      <c r="DU31" s="54"/>
      <c r="DV31" s="25"/>
      <c r="DW31" s="74" t="str">
        <f t="shared" si="47"/>
        <v/>
      </c>
      <c r="DX31" s="75" t="str">
        <f t="shared" si="47"/>
        <v/>
      </c>
      <c r="DY31" s="75" t="str">
        <f t="shared" si="47"/>
        <v/>
      </c>
      <c r="DZ31" s="75" t="str">
        <f t="shared" si="47"/>
        <v/>
      </c>
      <c r="EA31" s="75" t="str">
        <f t="shared" si="47"/>
        <v/>
      </c>
      <c r="EB31" s="75" t="str">
        <f t="shared" si="47"/>
        <v/>
      </c>
      <c r="EC31" s="75" t="str">
        <f t="shared" si="47"/>
        <v/>
      </c>
      <c r="ED31" s="75" t="str">
        <f t="shared" si="47"/>
        <v/>
      </c>
      <c r="EE31" s="75" t="str">
        <f t="shared" si="47"/>
        <v/>
      </c>
      <c r="EF31" s="75" t="str">
        <f t="shared" si="47"/>
        <v/>
      </c>
      <c r="EG31" s="75" t="str">
        <f t="shared" si="47"/>
        <v/>
      </c>
      <c r="EH31" s="75" t="str">
        <f t="shared" si="47"/>
        <v/>
      </c>
      <c r="EI31" s="75" t="str">
        <f t="shared" si="47"/>
        <v/>
      </c>
      <c r="EJ31" s="75" t="str">
        <f t="shared" si="47"/>
        <v/>
      </c>
      <c r="EK31" s="75" t="str">
        <f t="shared" si="47"/>
        <v/>
      </c>
      <c r="EL31" s="75" t="str">
        <f t="shared" si="47"/>
        <v/>
      </c>
      <c r="EM31" s="75" t="str">
        <f t="shared" si="72"/>
        <v/>
      </c>
      <c r="EN31" s="75" t="str">
        <f t="shared" si="72"/>
        <v/>
      </c>
      <c r="EO31" s="75" t="str">
        <f t="shared" si="72"/>
        <v/>
      </c>
      <c r="EP31" s="75" t="str">
        <f t="shared" si="72"/>
        <v/>
      </c>
      <c r="EQ31" s="75" t="str">
        <f t="shared" si="72"/>
        <v/>
      </c>
      <c r="ER31" s="75" t="str">
        <f t="shared" si="72"/>
        <v/>
      </c>
      <c r="ES31" s="75" t="str">
        <f t="shared" si="72"/>
        <v/>
      </c>
      <c r="ET31" s="75" t="str">
        <f t="shared" si="72"/>
        <v/>
      </c>
      <c r="EU31" s="75" t="str">
        <f t="shared" si="72"/>
        <v/>
      </c>
      <c r="EV31" s="75" t="str">
        <f t="shared" si="72"/>
        <v/>
      </c>
      <c r="EW31" s="75" t="str">
        <f t="shared" si="72"/>
        <v/>
      </c>
      <c r="EX31" s="75" t="str">
        <f t="shared" si="72"/>
        <v/>
      </c>
      <c r="EY31" s="75" t="str">
        <f t="shared" si="72"/>
        <v/>
      </c>
      <c r="EZ31" s="75" t="str">
        <f t="shared" si="72"/>
        <v/>
      </c>
      <c r="FA31" s="75" t="str">
        <f t="shared" si="72"/>
        <v/>
      </c>
      <c r="FB31" s="75" t="str">
        <f t="shared" si="72"/>
        <v/>
      </c>
      <c r="FC31" s="75" t="str">
        <f t="shared" si="73"/>
        <v/>
      </c>
      <c r="FD31" s="75" t="str">
        <f t="shared" si="73"/>
        <v/>
      </c>
      <c r="FE31" s="75" t="str">
        <f t="shared" si="73"/>
        <v/>
      </c>
      <c r="FF31" s="75" t="str">
        <f t="shared" si="73"/>
        <v/>
      </c>
      <c r="FG31" s="75" t="str">
        <f t="shared" si="73"/>
        <v/>
      </c>
      <c r="FH31" s="75" t="str">
        <f t="shared" si="73"/>
        <v/>
      </c>
      <c r="FI31" s="75" t="str">
        <f t="shared" si="73"/>
        <v/>
      </c>
      <c r="FJ31" s="75" t="str">
        <f t="shared" si="73"/>
        <v/>
      </c>
      <c r="FK31" s="75" t="str">
        <f t="shared" si="73"/>
        <v/>
      </c>
      <c r="FL31" s="75" t="str">
        <f t="shared" si="73"/>
        <v/>
      </c>
      <c r="FM31" s="75" t="str">
        <f t="shared" si="73"/>
        <v/>
      </c>
      <c r="FN31" s="75" t="str">
        <f t="shared" si="73"/>
        <v/>
      </c>
      <c r="FO31" s="75" t="str">
        <f t="shared" si="73"/>
        <v/>
      </c>
      <c r="FP31" s="75" t="str">
        <f t="shared" si="73"/>
        <v/>
      </c>
      <c r="FQ31" s="75" t="str">
        <f t="shared" si="73"/>
        <v/>
      </c>
      <c r="FR31" s="75" t="str">
        <f t="shared" si="73"/>
        <v/>
      </c>
      <c r="FS31" s="75" t="str">
        <f t="shared" si="73"/>
        <v/>
      </c>
      <c r="FT31" s="75" t="str">
        <f t="shared" si="73"/>
        <v/>
      </c>
      <c r="FU31" s="75" t="str">
        <f t="shared" si="73"/>
        <v/>
      </c>
      <c r="FV31" s="75" t="str">
        <f t="shared" si="73"/>
        <v/>
      </c>
      <c r="FW31" s="75" t="str">
        <f t="shared" ref="FW31:GW31" si="76">IF($B31=FW$12,$O31,"")</f>
        <v/>
      </c>
      <c r="FX31" s="75" t="str">
        <f t="shared" si="76"/>
        <v/>
      </c>
      <c r="FY31" s="75" t="str">
        <f t="shared" si="76"/>
        <v/>
      </c>
      <c r="FZ31" s="75" t="str">
        <f t="shared" si="76"/>
        <v/>
      </c>
      <c r="GA31" s="75" t="str">
        <f t="shared" si="76"/>
        <v/>
      </c>
      <c r="GB31" s="75" t="str">
        <f t="shared" si="76"/>
        <v/>
      </c>
      <c r="GC31" s="75" t="str">
        <f t="shared" si="76"/>
        <v/>
      </c>
      <c r="GD31" s="75" t="str">
        <f t="shared" si="76"/>
        <v/>
      </c>
      <c r="GE31" s="75" t="str">
        <f t="shared" si="76"/>
        <v/>
      </c>
      <c r="GF31" s="75" t="str">
        <f t="shared" si="76"/>
        <v/>
      </c>
      <c r="GG31" s="75" t="str">
        <f t="shared" si="76"/>
        <v/>
      </c>
      <c r="GH31" s="75" t="str">
        <f t="shared" si="76"/>
        <v/>
      </c>
      <c r="GI31" s="75" t="str">
        <f t="shared" si="76"/>
        <v/>
      </c>
      <c r="GJ31" s="75" t="str">
        <f t="shared" si="76"/>
        <v/>
      </c>
      <c r="GK31" s="75" t="str">
        <f t="shared" si="76"/>
        <v/>
      </c>
      <c r="GL31" s="75" t="str">
        <f t="shared" si="76"/>
        <v/>
      </c>
      <c r="GM31" s="75" t="str">
        <f t="shared" si="76"/>
        <v/>
      </c>
      <c r="GN31" s="75" t="str">
        <f t="shared" si="76"/>
        <v/>
      </c>
      <c r="GO31" s="75" t="str">
        <f t="shared" si="76"/>
        <v/>
      </c>
      <c r="GP31" s="75" t="str">
        <f t="shared" si="76"/>
        <v/>
      </c>
      <c r="GQ31" s="75" t="str">
        <f t="shared" si="76"/>
        <v/>
      </c>
      <c r="GR31" s="75" t="str">
        <f t="shared" si="76"/>
        <v/>
      </c>
      <c r="GS31" s="75" t="str">
        <f t="shared" si="76"/>
        <v/>
      </c>
      <c r="GT31" s="75" t="str">
        <f t="shared" si="76"/>
        <v/>
      </c>
      <c r="GU31" s="75" t="str">
        <f t="shared" si="76"/>
        <v/>
      </c>
      <c r="GV31" s="75" t="str">
        <f t="shared" si="76"/>
        <v/>
      </c>
      <c r="GW31" s="75" t="str">
        <f t="shared" si="76"/>
        <v/>
      </c>
      <c r="GX31" s="75" t="str">
        <f t="shared" si="74"/>
        <v/>
      </c>
      <c r="GY31" s="75" t="str">
        <f t="shared" si="74"/>
        <v/>
      </c>
      <c r="GZ31" s="75" t="str">
        <f t="shared" si="74"/>
        <v/>
      </c>
      <c r="HA31" s="75" t="str">
        <f t="shared" si="74"/>
        <v/>
      </c>
      <c r="HB31" s="75" t="str">
        <f t="shared" si="74"/>
        <v/>
      </c>
      <c r="HC31" s="75" t="str">
        <f t="shared" si="74"/>
        <v/>
      </c>
      <c r="HD31" s="75" t="str">
        <f t="shared" si="74"/>
        <v/>
      </c>
      <c r="HE31" s="75" t="str">
        <f t="shared" si="74"/>
        <v/>
      </c>
      <c r="HF31" s="75" t="str">
        <f t="shared" si="74"/>
        <v/>
      </c>
      <c r="HG31" s="75" t="str">
        <f t="shared" si="74"/>
        <v/>
      </c>
      <c r="HH31" s="75" t="str">
        <f t="shared" si="74"/>
        <v/>
      </c>
      <c r="HI31" s="75" t="str">
        <f t="shared" si="74"/>
        <v/>
      </c>
      <c r="HJ31" s="75" t="str">
        <f t="shared" si="74"/>
        <v/>
      </c>
      <c r="HK31" s="75" t="str">
        <f t="shared" si="74"/>
        <v/>
      </c>
      <c r="HL31" s="75" t="str">
        <f t="shared" si="74"/>
        <v/>
      </c>
      <c r="HM31" s="75" t="str">
        <f t="shared" si="74"/>
        <v/>
      </c>
      <c r="HN31" s="75" t="str">
        <f t="shared" si="50"/>
        <v/>
      </c>
      <c r="HO31" s="75" t="str">
        <f t="shared" si="50"/>
        <v/>
      </c>
      <c r="HP31" s="75" t="str">
        <f t="shared" si="50"/>
        <v/>
      </c>
      <c r="HQ31" s="75" t="str">
        <f t="shared" si="50"/>
        <v/>
      </c>
      <c r="HR31" s="109" t="str">
        <f t="shared" si="50"/>
        <v/>
      </c>
    </row>
    <row r="32" spans="1:226" ht="11.1" customHeight="1" thickTop="1" x14ac:dyDescent="0.25"/>
    <row r="33" spans="1:226" x14ac:dyDescent="0.25">
      <c r="L33" s="114"/>
      <c r="O33" s="48" t="s">
        <v>17</v>
      </c>
      <c r="P33" s="49"/>
      <c r="Q33" s="101">
        <f>SUM(Q24:Q31)</f>
        <v>6391</v>
      </c>
      <c r="R33" s="101">
        <f>SUM(R24:R31)</f>
        <v>6391</v>
      </c>
    </row>
    <row r="34" spans="1:226" ht="11.1" customHeight="1" thickBot="1" x14ac:dyDescent="0.3"/>
    <row r="35" spans="1:226" ht="16.2" thickBot="1" x14ac:dyDescent="0.3">
      <c r="A35" s="95"/>
      <c r="B35" s="96"/>
      <c r="C35" s="96"/>
      <c r="D35" s="96"/>
      <c r="E35" s="96"/>
      <c r="F35" s="96"/>
      <c r="G35" s="96" t="s">
        <v>19</v>
      </c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7"/>
    </row>
    <row r="36" spans="1:226" ht="11.1" customHeight="1" thickBot="1" x14ac:dyDescent="0.3"/>
    <row r="37" spans="1:226" ht="11.1" customHeight="1" thickTop="1" x14ac:dyDescent="0.25">
      <c r="A37" s="76"/>
      <c r="B37" s="77"/>
      <c r="C37" s="78" t="str">
        <f>IF(A37=0,"",VLOOKUP(A37,[2]CO!$A$3:$F$5327,2,0))</f>
        <v/>
      </c>
      <c r="D37" s="79"/>
      <c r="E37" s="79"/>
      <c r="F37" s="99" t="str">
        <f t="shared" ref="F37:F43" si="77">IF(AND(B37&gt;0,H37&gt;0),(H37*100) &amp; "% DE $" &amp;$Q$20,"")</f>
        <v/>
      </c>
      <c r="G37" s="80" t="str">
        <f>IF(A37=0,"",VLOOKUP(A37,[2]CO!$A$3:$F$5327,3,0))</f>
        <v/>
      </c>
      <c r="H37" s="90"/>
      <c r="I37" s="81"/>
      <c r="J37" s="81"/>
      <c r="K37" s="81"/>
      <c r="L37" s="81"/>
      <c r="M37" s="82" t="str">
        <f t="shared" ref="M37:M42" si="78">IF(L37=0,"",H37*Q$20/N37)</f>
        <v/>
      </c>
      <c r="N37" s="82" t="str">
        <f>IF(B37=0,"",IF(H37="M",HLOOKUP(B37,$Y$12:$DT$13,2),IF(A37=0,"",VLOOKUP(A37,[2]CO!$A$3:$F$5327,4,0))))</f>
        <v/>
      </c>
      <c r="O37" s="82" t="str">
        <f t="shared" si="27"/>
        <v/>
      </c>
      <c r="P37" s="83"/>
      <c r="Q37" s="84" t="str">
        <f t="shared" ref="Q37:Q43" si="79">IF(P37=0,"",(HLOOKUP(P37,$DW$12:$HR$13,2)))</f>
        <v/>
      </c>
      <c r="R37" s="85"/>
      <c r="T37" s="53" t="str">
        <f>IF(A37=0,"",VLOOKUP(A37,[2]CO!$A$3:$F$5318,5,0))</f>
        <v/>
      </c>
      <c r="U37" s="54">
        <f t="shared" si="42"/>
        <v>0</v>
      </c>
      <c r="V37" s="24"/>
      <c r="W37" s="25"/>
      <c r="X37" s="25"/>
      <c r="Y37" s="86" t="str">
        <f t="shared" ref="Y37:AN43" si="80">IF($B37=Y$12,$U37,"")</f>
        <v/>
      </c>
      <c r="Z37" s="87" t="str">
        <f t="shared" si="80"/>
        <v/>
      </c>
      <c r="AA37" s="87" t="str">
        <f t="shared" si="80"/>
        <v/>
      </c>
      <c r="AB37" s="87" t="str">
        <f t="shared" si="80"/>
        <v/>
      </c>
      <c r="AC37" s="87" t="str">
        <f t="shared" si="80"/>
        <v/>
      </c>
      <c r="AD37" s="87" t="str">
        <f t="shared" si="80"/>
        <v/>
      </c>
      <c r="AE37" s="87" t="str">
        <f t="shared" si="80"/>
        <v/>
      </c>
      <c r="AF37" s="87" t="str">
        <f t="shared" si="80"/>
        <v/>
      </c>
      <c r="AG37" s="87" t="str">
        <f t="shared" si="80"/>
        <v/>
      </c>
      <c r="AH37" s="87" t="str">
        <f t="shared" si="80"/>
        <v/>
      </c>
      <c r="AI37" s="87" t="str">
        <f t="shared" si="80"/>
        <v/>
      </c>
      <c r="AJ37" s="87" t="str">
        <f t="shared" si="80"/>
        <v/>
      </c>
      <c r="AK37" s="87" t="str">
        <f t="shared" si="80"/>
        <v/>
      </c>
      <c r="AL37" s="87" t="str">
        <f t="shared" si="80"/>
        <v/>
      </c>
      <c r="AM37" s="87" t="str">
        <f t="shared" si="80"/>
        <v/>
      </c>
      <c r="AN37" s="87" t="str">
        <f t="shared" si="80"/>
        <v/>
      </c>
      <c r="AO37" s="87" t="str">
        <f t="shared" ref="AO37:BD43" si="81">IF($B37=AO$12,$U37,"")</f>
        <v/>
      </c>
      <c r="AP37" s="87" t="str">
        <f t="shared" si="81"/>
        <v/>
      </c>
      <c r="AQ37" s="87" t="str">
        <f t="shared" si="81"/>
        <v/>
      </c>
      <c r="AR37" s="87" t="str">
        <f t="shared" si="81"/>
        <v/>
      </c>
      <c r="AS37" s="87" t="str">
        <f t="shared" si="81"/>
        <v/>
      </c>
      <c r="AT37" s="87" t="str">
        <f t="shared" si="81"/>
        <v/>
      </c>
      <c r="AU37" s="87" t="str">
        <f t="shared" si="81"/>
        <v/>
      </c>
      <c r="AV37" s="87" t="str">
        <f t="shared" si="81"/>
        <v/>
      </c>
      <c r="AW37" s="87" t="str">
        <f t="shared" si="81"/>
        <v/>
      </c>
      <c r="AX37" s="87" t="str">
        <f t="shared" si="81"/>
        <v/>
      </c>
      <c r="AY37" s="87" t="str">
        <f t="shared" si="81"/>
        <v/>
      </c>
      <c r="AZ37" s="87" t="str">
        <f t="shared" si="81"/>
        <v/>
      </c>
      <c r="BA37" s="87" t="str">
        <f t="shared" si="81"/>
        <v/>
      </c>
      <c r="BB37" s="87" t="str">
        <f t="shared" si="81"/>
        <v/>
      </c>
      <c r="BC37" s="87" t="str">
        <f t="shared" si="81"/>
        <v/>
      </c>
      <c r="BD37" s="87" t="str">
        <f t="shared" si="81"/>
        <v/>
      </c>
      <c r="BE37" s="87" t="str">
        <f t="shared" ref="BE37:BT43" si="82">IF($B37=BE$12,$U37,"")</f>
        <v/>
      </c>
      <c r="BF37" s="87" t="str">
        <f t="shared" si="82"/>
        <v/>
      </c>
      <c r="BG37" s="87" t="str">
        <f t="shared" si="82"/>
        <v/>
      </c>
      <c r="BH37" s="87" t="str">
        <f t="shared" si="82"/>
        <v/>
      </c>
      <c r="BI37" s="87" t="str">
        <f t="shared" si="82"/>
        <v/>
      </c>
      <c r="BJ37" s="87" t="str">
        <f t="shared" si="82"/>
        <v/>
      </c>
      <c r="BK37" s="87" t="str">
        <f t="shared" si="82"/>
        <v/>
      </c>
      <c r="BL37" s="87" t="str">
        <f t="shared" si="82"/>
        <v/>
      </c>
      <c r="BM37" s="87" t="str">
        <f t="shared" si="82"/>
        <v/>
      </c>
      <c r="BN37" s="87" t="str">
        <f t="shared" si="82"/>
        <v/>
      </c>
      <c r="BO37" s="87" t="str">
        <f t="shared" si="82"/>
        <v/>
      </c>
      <c r="BP37" s="87" t="str">
        <f t="shared" si="82"/>
        <v/>
      </c>
      <c r="BQ37" s="87" t="str">
        <f t="shared" si="82"/>
        <v/>
      </c>
      <c r="BR37" s="87" t="str">
        <f t="shared" si="82"/>
        <v/>
      </c>
      <c r="BS37" s="87" t="str">
        <f t="shared" si="82"/>
        <v/>
      </c>
      <c r="BT37" s="87" t="str">
        <f t="shared" si="82"/>
        <v/>
      </c>
      <c r="BU37" s="87" t="str">
        <f t="shared" ref="BU37:DT41" si="83">IF($B37=BU$12,$U37,"")</f>
        <v/>
      </c>
      <c r="BV37" s="87" t="str">
        <f t="shared" si="83"/>
        <v/>
      </c>
      <c r="BW37" s="87" t="str">
        <f t="shared" si="83"/>
        <v/>
      </c>
      <c r="BX37" s="87" t="str">
        <f t="shared" si="83"/>
        <v/>
      </c>
      <c r="BY37" s="87" t="str">
        <f t="shared" si="83"/>
        <v/>
      </c>
      <c r="BZ37" s="87" t="str">
        <f t="shared" si="83"/>
        <v/>
      </c>
      <c r="CA37" s="87" t="str">
        <f t="shared" si="83"/>
        <v/>
      </c>
      <c r="CB37" s="87" t="str">
        <f t="shared" si="83"/>
        <v/>
      </c>
      <c r="CC37" s="87" t="str">
        <f t="shared" si="83"/>
        <v/>
      </c>
      <c r="CD37" s="87" t="str">
        <f t="shared" si="83"/>
        <v/>
      </c>
      <c r="CE37" s="87" t="str">
        <f t="shared" si="83"/>
        <v/>
      </c>
      <c r="CF37" s="87" t="str">
        <f t="shared" si="83"/>
        <v/>
      </c>
      <c r="CG37" s="87" t="str">
        <f t="shared" si="83"/>
        <v/>
      </c>
      <c r="CH37" s="87" t="str">
        <f t="shared" si="83"/>
        <v/>
      </c>
      <c r="CI37" s="87" t="str">
        <f t="shared" si="83"/>
        <v/>
      </c>
      <c r="CJ37" s="87" t="str">
        <f t="shared" si="83"/>
        <v/>
      </c>
      <c r="CK37" s="87" t="str">
        <f t="shared" si="83"/>
        <v/>
      </c>
      <c r="CL37" s="87" t="str">
        <f t="shared" si="83"/>
        <v/>
      </c>
      <c r="CM37" s="87" t="str">
        <f t="shared" si="83"/>
        <v/>
      </c>
      <c r="CN37" s="87" t="str">
        <f t="shared" si="83"/>
        <v/>
      </c>
      <c r="CO37" s="87" t="str">
        <f t="shared" si="83"/>
        <v/>
      </c>
      <c r="CP37" s="87" t="str">
        <f t="shared" si="83"/>
        <v/>
      </c>
      <c r="CQ37" s="87" t="str">
        <f t="shared" si="83"/>
        <v/>
      </c>
      <c r="CR37" s="87" t="str">
        <f t="shared" si="83"/>
        <v/>
      </c>
      <c r="CS37" s="87" t="str">
        <f t="shared" si="83"/>
        <v/>
      </c>
      <c r="CT37" s="87" t="str">
        <f t="shared" si="83"/>
        <v/>
      </c>
      <c r="CU37" s="87" t="str">
        <f t="shared" si="83"/>
        <v/>
      </c>
      <c r="CV37" s="87" t="str">
        <f t="shared" si="83"/>
        <v/>
      </c>
      <c r="CW37" s="87" t="str">
        <f t="shared" si="83"/>
        <v/>
      </c>
      <c r="CX37" s="87" t="str">
        <f t="shared" si="83"/>
        <v/>
      </c>
      <c r="CY37" s="87" t="str">
        <f t="shared" si="83"/>
        <v/>
      </c>
      <c r="CZ37" s="87" t="str">
        <f t="shared" si="83"/>
        <v/>
      </c>
      <c r="DA37" s="87" t="str">
        <f t="shared" si="83"/>
        <v/>
      </c>
      <c r="DB37" s="87" t="str">
        <f t="shared" si="83"/>
        <v/>
      </c>
      <c r="DC37" s="87" t="str">
        <f t="shared" si="83"/>
        <v/>
      </c>
      <c r="DD37" s="87" t="str">
        <f t="shared" si="83"/>
        <v/>
      </c>
      <c r="DE37" s="87" t="str">
        <f t="shared" si="83"/>
        <v/>
      </c>
      <c r="DF37" s="87" t="str">
        <f t="shared" si="83"/>
        <v/>
      </c>
      <c r="DG37" s="87" t="str">
        <f t="shared" si="83"/>
        <v/>
      </c>
      <c r="DH37" s="87" t="str">
        <f t="shared" si="83"/>
        <v/>
      </c>
      <c r="DI37" s="87" t="str">
        <f t="shared" si="83"/>
        <v/>
      </c>
      <c r="DJ37" s="87" t="str">
        <f t="shared" si="83"/>
        <v/>
      </c>
      <c r="DK37" s="87" t="str">
        <f t="shared" si="83"/>
        <v/>
      </c>
      <c r="DL37" s="87" t="str">
        <f t="shared" si="83"/>
        <v/>
      </c>
      <c r="DM37" s="87" t="str">
        <f t="shared" si="83"/>
        <v/>
      </c>
      <c r="DN37" s="87" t="str">
        <f t="shared" si="83"/>
        <v/>
      </c>
      <c r="DO37" s="87" t="str">
        <f t="shared" si="83"/>
        <v/>
      </c>
      <c r="DP37" s="87" t="str">
        <f t="shared" si="83"/>
        <v/>
      </c>
      <c r="DQ37" s="87" t="str">
        <f t="shared" si="83"/>
        <v/>
      </c>
      <c r="DR37" s="87" t="str">
        <f t="shared" si="83"/>
        <v/>
      </c>
      <c r="DS37" s="87" t="str">
        <f t="shared" si="83"/>
        <v/>
      </c>
      <c r="DT37" s="102" t="str">
        <f t="shared" si="83"/>
        <v/>
      </c>
      <c r="DU37" s="54"/>
      <c r="DV37" s="25"/>
      <c r="DW37" s="88" t="str">
        <f t="shared" ref="DW37:EL43" si="84">IF($B37=DW$12,$O37,"")</f>
        <v/>
      </c>
      <c r="DX37" s="89" t="str">
        <f t="shared" si="84"/>
        <v/>
      </c>
      <c r="DY37" s="89" t="str">
        <f t="shared" si="84"/>
        <v/>
      </c>
      <c r="DZ37" s="89" t="str">
        <f t="shared" si="84"/>
        <v/>
      </c>
      <c r="EA37" s="89" t="str">
        <f t="shared" si="84"/>
        <v/>
      </c>
      <c r="EB37" s="89" t="str">
        <f t="shared" si="84"/>
        <v/>
      </c>
      <c r="EC37" s="89" t="str">
        <f t="shared" si="84"/>
        <v/>
      </c>
      <c r="ED37" s="89" t="str">
        <f t="shared" si="84"/>
        <v/>
      </c>
      <c r="EE37" s="89" t="str">
        <f t="shared" si="84"/>
        <v/>
      </c>
      <c r="EF37" s="89" t="str">
        <f t="shared" si="84"/>
        <v/>
      </c>
      <c r="EG37" s="89" t="str">
        <f t="shared" si="84"/>
        <v/>
      </c>
      <c r="EH37" s="89" t="str">
        <f t="shared" si="84"/>
        <v/>
      </c>
      <c r="EI37" s="89" t="str">
        <f t="shared" si="84"/>
        <v/>
      </c>
      <c r="EJ37" s="89" t="str">
        <f t="shared" si="84"/>
        <v/>
      </c>
      <c r="EK37" s="89" t="str">
        <f t="shared" si="84"/>
        <v/>
      </c>
      <c r="EL37" s="89" t="str">
        <f t="shared" si="84"/>
        <v/>
      </c>
      <c r="EM37" s="89" t="str">
        <f t="shared" ref="EM37:FB43" si="85">IF($B37=EM$12,$O37,"")</f>
        <v/>
      </c>
      <c r="EN37" s="89" t="str">
        <f t="shared" si="85"/>
        <v/>
      </c>
      <c r="EO37" s="89" t="str">
        <f t="shared" si="85"/>
        <v/>
      </c>
      <c r="EP37" s="89" t="str">
        <f t="shared" si="85"/>
        <v/>
      </c>
      <c r="EQ37" s="89" t="str">
        <f t="shared" si="85"/>
        <v/>
      </c>
      <c r="ER37" s="89" t="str">
        <f t="shared" si="85"/>
        <v/>
      </c>
      <c r="ES37" s="89" t="str">
        <f t="shared" si="85"/>
        <v/>
      </c>
      <c r="ET37" s="89" t="str">
        <f t="shared" si="85"/>
        <v/>
      </c>
      <c r="EU37" s="89" t="str">
        <f t="shared" si="85"/>
        <v/>
      </c>
      <c r="EV37" s="89" t="str">
        <f t="shared" si="85"/>
        <v/>
      </c>
      <c r="EW37" s="89" t="str">
        <f t="shared" si="85"/>
        <v/>
      </c>
      <c r="EX37" s="89" t="str">
        <f t="shared" si="85"/>
        <v/>
      </c>
      <c r="EY37" s="89" t="str">
        <f t="shared" si="85"/>
        <v/>
      </c>
      <c r="EZ37" s="89" t="str">
        <f t="shared" si="85"/>
        <v/>
      </c>
      <c r="FA37" s="89" t="str">
        <f t="shared" si="85"/>
        <v/>
      </c>
      <c r="FB37" s="89" t="str">
        <f t="shared" si="85"/>
        <v/>
      </c>
      <c r="FC37" s="89" t="str">
        <f t="shared" ref="FC37:FR43" si="86">IF($B37=FC$12,$O37,"")</f>
        <v/>
      </c>
      <c r="FD37" s="89" t="str">
        <f t="shared" si="86"/>
        <v/>
      </c>
      <c r="FE37" s="89" t="str">
        <f t="shared" si="86"/>
        <v/>
      </c>
      <c r="FF37" s="89" t="str">
        <f t="shared" si="86"/>
        <v/>
      </c>
      <c r="FG37" s="89" t="str">
        <f t="shared" si="86"/>
        <v/>
      </c>
      <c r="FH37" s="89" t="str">
        <f t="shared" si="86"/>
        <v/>
      </c>
      <c r="FI37" s="89" t="str">
        <f t="shared" si="86"/>
        <v/>
      </c>
      <c r="FJ37" s="89" t="str">
        <f t="shared" si="86"/>
        <v/>
      </c>
      <c r="FK37" s="89" t="str">
        <f t="shared" si="86"/>
        <v/>
      </c>
      <c r="FL37" s="89" t="str">
        <f t="shared" si="86"/>
        <v/>
      </c>
      <c r="FM37" s="89" t="str">
        <f t="shared" si="86"/>
        <v/>
      </c>
      <c r="FN37" s="89" t="str">
        <f t="shared" si="86"/>
        <v/>
      </c>
      <c r="FO37" s="89" t="str">
        <f t="shared" si="86"/>
        <v/>
      </c>
      <c r="FP37" s="89" t="str">
        <f t="shared" si="86"/>
        <v/>
      </c>
      <c r="FQ37" s="89" t="str">
        <f t="shared" si="86"/>
        <v/>
      </c>
      <c r="FR37" s="89" t="str">
        <f t="shared" si="86"/>
        <v/>
      </c>
      <c r="FS37" s="89" t="str">
        <f t="shared" ref="FS37:HR41" si="87">IF($B37=FS$12,$O37,"")</f>
        <v/>
      </c>
      <c r="FT37" s="89" t="str">
        <f t="shared" si="87"/>
        <v/>
      </c>
      <c r="FU37" s="89" t="str">
        <f t="shared" si="87"/>
        <v/>
      </c>
      <c r="FV37" s="89" t="str">
        <f t="shared" si="87"/>
        <v/>
      </c>
      <c r="FW37" s="89" t="str">
        <f t="shared" si="87"/>
        <v/>
      </c>
      <c r="FX37" s="89" t="str">
        <f t="shared" si="87"/>
        <v/>
      </c>
      <c r="FY37" s="89" t="str">
        <f t="shared" si="87"/>
        <v/>
      </c>
      <c r="FZ37" s="89" t="str">
        <f t="shared" si="87"/>
        <v/>
      </c>
      <c r="GA37" s="89" t="str">
        <f t="shared" si="87"/>
        <v/>
      </c>
      <c r="GB37" s="89" t="str">
        <f t="shared" si="87"/>
        <v/>
      </c>
      <c r="GC37" s="89" t="str">
        <f t="shared" si="87"/>
        <v/>
      </c>
      <c r="GD37" s="89" t="str">
        <f t="shared" si="87"/>
        <v/>
      </c>
      <c r="GE37" s="89" t="str">
        <f t="shared" si="87"/>
        <v/>
      </c>
      <c r="GF37" s="89" t="str">
        <f t="shared" si="87"/>
        <v/>
      </c>
      <c r="GG37" s="89" t="str">
        <f t="shared" si="87"/>
        <v/>
      </c>
      <c r="GH37" s="89" t="str">
        <f t="shared" si="87"/>
        <v/>
      </c>
      <c r="GI37" s="89" t="str">
        <f t="shared" si="87"/>
        <v/>
      </c>
      <c r="GJ37" s="89" t="str">
        <f t="shared" si="87"/>
        <v/>
      </c>
      <c r="GK37" s="89" t="str">
        <f t="shared" si="87"/>
        <v/>
      </c>
      <c r="GL37" s="89" t="str">
        <f t="shared" si="87"/>
        <v/>
      </c>
      <c r="GM37" s="89" t="str">
        <f t="shared" si="87"/>
        <v/>
      </c>
      <c r="GN37" s="89" t="str">
        <f t="shared" si="87"/>
        <v/>
      </c>
      <c r="GO37" s="89" t="str">
        <f t="shared" si="87"/>
        <v/>
      </c>
      <c r="GP37" s="89" t="str">
        <f t="shared" si="87"/>
        <v/>
      </c>
      <c r="GQ37" s="89" t="str">
        <f t="shared" si="87"/>
        <v/>
      </c>
      <c r="GR37" s="89" t="str">
        <f t="shared" si="87"/>
        <v/>
      </c>
      <c r="GS37" s="89" t="str">
        <f t="shared" si="87"/>
        <v/>
      </c>
      <c r="GT37" s="89" t="str">
        <f t="shared" si="87"/>
        <v/>
      </c>
      <c r="GU37" s="89" t="str">
        <f t="shared" si="87"/>
        <v/>
      </c>
      <c r="GV37" s="89" t="str">
        <f t="shared" si="87"/>
        <v/>
      </c>
      <c r="GW37" s="89" t="str">
        <f t="shared" si="87"/>
        <v/>
      </c>
      <c r="GX37" s="89" t="str">
        <f t="shared" si="87"/>
        <v/>
      </c>
      <c r="GY37" s="89" t="str">
        <f t="shared" si="87"/>
        <v/>
      </c>
      <c r="GZ37" s="89" t="str">
        <f t="shared" si="87"/>
        <v/>
      </c>
      <c r="HA37" s="89" t="str">
        <f t="shared" si="87"/>
        <v/>
      </c>
      <c r="HB37" s="89" t="str">
        <f t="shared" si="87"/>
        <v/>
      </c>
      <c r="HC37" s="89" t="str">
        <f t="shared" si="87"/>
        <v/>
      </c>
      <c r="HD37" s="89" t="str">
        <f t="shared" si="87"/>
        <v/>
      </c>
      <c r="HE37" s="89" t="str">
        <f t="shared" si="87"/>
        <v/>
      </c>
      <c r="HF37" s="89" t="str">
        <f t="shared" si="87"/>
        <v/>
      </c>
      <c r="HG37" s="89" t="str">
        <f t="shared" si="87"/>
        <v/>
      </c>
      <c r="HH37" s="89" t="str">
        <f t="shared" si="87"/>
        <v/>
      </c>
      <c r="HI37" s="89" t="str">
        <f t="shared" si="87"/>
        <v/>
      </c>
      <c r="HJ37" s="89" t="str">
        <f t="shared" si="87"/>
        <v/>
      </c>
      <c r="HK37" s="89" t="str">
        <f t="shared" si="87"/>
        <v/>
      </c>
      <c r="HL37" s="89" t="str">
        <f t="shared" si="87"/>
        <v/>
      </c>
      <c r="HM37" s="89" t="str">
        <f t="shared" si="87"/>
        <v/>
      </c>
      <c r="HN37" s="89" t="str">
        <f t="shared" si="87"/>
        <v/>
      </c>
      <c r="HO37" s="89" t="str">
        <f t="shared" si="87"/>
        <v/>
      </c>
      <c r="HP37" s="89" t="str">
        <f t="shared" si="87"/>
        <v/>
      </c>
      <c r="HQ37" s="89" t="str">
        <f t="shared" si="87"/>
        <v/>
      </c>
      <c r="HR37" s="107" t="str">
        <f t="shared" si="87"/>
        <v/>
      </c>
    </row>
    <row r="38" spans="1:226" ht="11.1" customHeight="1" x14ac:dyDescent="0.25">
      <c r="A38" s="26"/>
      <c r="B38" s="27"/>
      <c r="C38" s="28" t="str">
        <f>IF(A38=0,"",VLOOKUP(A38,[2]CO!$A$3:$F$5327,2,0))</f>
        <v/>
      </c>
      <c r="D38" s="29"/>
      <c r="E38" s="29"/>
      <c r="F38" s="98" t="str">
        <f t="shared" si="77"/>
        <v/>
      </c>
      <c r="G38" s="30" t="str">
        <f>IF(A38=0,"",VLOOKUP(A38,[2]CO!$A$3:$F$5327,3,0))</f>
        <v/>
      </c>
      <c r="H38" s="91"/>
      <c r="I38" s="31"/>
      <c r="J38" s="31"/>
      <c r="K38" s="31"/>
      <c r="L38" s="31"/>
      <c r="M38" s="32" t="str">
        <f t="shared" si="78"/>
        <v/>
      </c>
      <c r="N38" s="32" t="str">
        <f>IF(B38=0,"",IF(H38="M",HLOOKUP(B38,$Y$12:$DT$13,2),IF(A38=0,"",VLOOKUP(A38,[2]CO!$A$3:$F$5327,4,0))))</f>
        <v/>
      </c>
      <c r="O38" s="32" t="str">
        <f t="shared" si="27"/>
        <v/>
      </c>
      <c r="P38" s="33"/>
      <c r="Q38" s="34" t="str">
        <f t="shared" si="79"/>
        <v/>
      </c>
      <c r="R38" s="35"/>
      <c r="T38" s="53" t="str">
        <f>IF(A38=0,"",VLOOKUP(A38,[2]CO!$A$3:$F$5318,5,0))</f>
        <v/>
      </c>
      <c r="U38" s="54">
        <f t="shared" si="42"/>
        <v>0</v>
      </c>
      <c r="V38" s="24"/>
      <c r="W38" s="25"/>
      <c r="X38" s="25"/>
      <c r="Y38" s="60" t="str">
        <f t="shared" si="80"/>
        <v/>
      </c>
      <c r="Z38" s="55" t="str">
        <f t="shared" si="80"/>
        <v/>
      </c>
      <c r="AA38" s="55" t="str">
        <f t="shared" si="80"/>
        <v/>
      </c>
      <c r="AB38" s="55" t="str">
        <f t="shared" si="80"/>
        <v/>
      </c>
      <c r="AC38" s="55" t="str">
        <f t="shared" si="80"/>
        <v/>
      </c>
      <c r="AD38" s="55" t="str">
        <f t="shared" si="80"/>
        <v/>
      </c>
      <c r="AE38" s="55" t="str">
        <f t="shared" si="80"/>
        <v/>
      </c>
      <c r="AF38" s="55" t="str">
        <f t="shared" si="80"/>
        <v/>
      </c>
      <c r="AG38" s="55" t="str">
        <f t="shared" si="80"/>
        <v/>
      </c>
      <c r="AH38" s="55" t="str">
        <f t="shared" si="80"/>
        <v/>
      </c>
      <c r="AI38" s="55" t="str">
        <f t="shared" si="80"/>
        <v/>
      </c>
      <c r="AJ38" s="55" t="str">
        <f t="shared" si="80"/>
        <v/>
      </c>
      <c r="AK38" s="55" t="str">
        <f t="shared" si="80"/>
        <v/>
      </c>
      <c r="AL38" s="55" t="str">
        <f t="shared" si="80"/>
        <v/>
      </c>
      <c r="AM38" s="55" t="str">
        <f t="shared" si="80"/>
        <v/>
      </c>
      <c r="AN38" s="55" t="str">
        <f t="shared" si="80"/>
        <v/>
      </c>
      <c r="AO38" s="55" t="str">
        <f t="shared" si="81"/>
        <v/>
      </c>
      <c r="AP38" s="55" t="str">
        <f t="shared" si="81"/>
        <v/>
      </c>
      <c r="AQ38" s="55" t="str">
        <f t="shared" si="81"/>
        <v/>
      </c>
      <c r="AR38" s="55" t="str">
        <f t="shared" si="81"/>
        <v/>
      </c>
      <c r="AS38" s="55" t="str">
        <f t="shared" si="81"/>
        <v/>
      </c>
      <c r="AT38" s="55" t="str">
        <f t="shared" si="81"/>
        <v/>
      </c>
      <c r="AU38" s="55" t="str">
        <f t="shared" si="81"/>
        <v/>
      </c>
      <c r="AV38" s="55" t="str">
        <f t="shared" si="81"/>
        <v/>
      </c>
      <c r="AW38" s="55" t="str">
        <f t="shared" si="81"/>
        <v/>
      </c>
      <c r="AX38" s="55" t="str">
        <f t="shared" si="81"/>
        <v/>
      </c>
      <c r="AY38" s="55" t="str">
        <f t="shared" si="81"/>
        <v/>
      </c>
      <c r="AZ38" s="55" t="str">
        <f t="shared" si="81"/>
        <v/>
      </c>
      <c r="BA38" s="55" t="str">
        <f t="shared" si="81"/>
        <v/>
      </c>
      <c r="BB38" s="55" t="str">
        <f t="shared" si="81"/>
        <v/>
      </c>
      <c r="BC38" s="55" t="str">
        <f t="shared" si="81"/>
        <v/>
      </c>
      <c r="BD38" s="55" t="str">
        <f t="shared" si="81"/>
        <v/>
      </c>
      <c r="BE38" s="55" t="str">
        <f t="shared" si="82"/>
        <v/>
      </c>
      <c r="BF38" s="55" t="str">
        <f t="shared" si="82"/>
        <v/>
      </c>
      <c r="BG38" s="55" t="str">
        <f t="shared" si="82"/>
        <v/>
      </c>
      <c r="BH38" s="55" t="str">
        <f t="shared" si="82"/>
        <v/>
      </c>
      <c r="BI38" s="55" t="str">
        <f t="shared" si="82"/>
        <v/>
      </c>
      <c r="BJ38" s="55" t="str">
        <f t="shared" si="82"/>
        <v/>
      </c>
      <c r="BK38" s="55" t="str">
        <f t="shared" si="82"/>
        <v/>
      </c>
      <c r="BL38" s="55" t="str">
        <f t="shared" si="82"/>
        <v/>
      </c>
      <c r="BM38" s="55" t="str">
        <f t="shared" si="82"/>
        <v/>
      </c>
      <c r="BN38" s="55" t="str">
        <f t="shared" si="82"/>
        <v/>
      </c>
      <c r="BO38" s="55" t="str">
        <f t="shared" si="82"/>
        <v/>
      </c>
      <c r="BP38" s="55" t="str">
        <f t="shared" si="82"/>
        <v/>
      </c>
      <c r="BQ38" s="55" t="str">
        <f t="shared" si="82"/>
        <v/>
      </c>
      <c r="BR38" s="55" t="str">
        <f t="shared" si="82"/>
        <v/>
      </c>
      <c r="BS38" s="55" t="str">
        <f t="shared" si="82"/>
        <v/>
      </c>
      <c r="BT38" s="55" t="str">
        <f t="shared" si="82"/>
        <v/>
      </c>
      <c r="BU38" s="55" t="str">
        <f t="shared" si="83"/>
        <v/>
      </c>
      <c r="BV38" s="55" t="str">
        <f t="shared" si="83"/>
        <v/>
      </c>
      <c r="BW38" s="55" t="str">
        <f t="shared" si="83"/>
        <v/>
      </c>
      <c r="BX38" s="55" t="str">
        <f t="shared" si="83"/>
        <v/>
      </c>
      <c r="BY38" s="55" t="str">
        <f t="shared" si="83"/>
        <v/>
      </c>
      <c r="BZ38" s="55" t="str">
        <f t="shared" si="83"/>
        <v/>
      </c>
      <c r="CA38" s="55" t="str">
        <f t="shared" si="83"/>
        <v/>
      </c>
      <c r="CB38" s="55" t="str">
        <f t="shared" si="83"/>
        <v/>
      </c>
      <c r="CC38" s="55" t="str">
        <f t="shared" si="83"/>
        <v/>
      </c>
      <c r="CD38" s="55" t="str">
        <f t="shared" si="83"/>
        <v/>
      </c>
      <c r="CE38" s="55" t="str">
        <f t="shared" si="83"/>
        <v/>
      </c>
      <c r="CF38" s="55" t="str">
        <f t="shared" si="83"/>
        <v/>
      </c>
      <c r="CG38" s="55" t="str">
        <f t="shared" si="83"/>
        <v/>
      </c>
      <c r="CH38" s="55" t="str">
        <f t="shared" si="83"/>
        <v/>
      </c>
      <c r="CI38" s="55" t="str">
        <f t="shared" si="83"/>
        <v/>
      </c>
      <c r="CJ38" s="55" t="str">
        <f t="shared" si="83"/>
        <v/>
      </c>
      <c r="CK38" s="55" t="str">
        <f t="shared" si="83"/>
        <v/>
      </c>
      <c r="CL38" s="55" t="str">
        <f t="shared" si="83"/>
        <v/>
      </c>
      <c r="CM38" s="55" t="str">
        <f t="shared" si="83"/>
        <v/>
      </c>
      <c r="CN38" s="55" t="str">
        <f t="shared" si="83"/>
        <v/>
      </c>
      <c r="CO38" s="55" t="str">
        <f t="shared" si="83"/>
        <v/>
      </c>
      <c r="CP38" s="55" t="str">
        <f t="shared" si="83"/>
        <v/>
      </c>
      <c r="CQ38" s="55" t="str">
        <f t="shared" si="83"/>
        <v/>
      </c>
      <c r="CR38" s="55" t="str">
        <f t="shared" si="83"/>
        <v/>
      </c>
      <c r="CS38" s="55" t="str">
        <f t="shared" si="83"/>
        <v/>
      </c>
      <c r="CT38" s="55" t="str">
        <f t="shared" si="83"/>
        <v/>
      </c>
      <c r="CU38" s="55" t="str">
        <f t="shared" si="83"/>
        <v/>
      </c>
      <c r="CV38" s="55" t="str">
        <f t="shared" si="83"/>
        <v/>
      </c>
      <c r="CW38" s="55" t="str">
        <f t="shared" si="83"/>
        <v/>
      </c>
      <c r="CX38" s="55" t="str">
        <f t="shared" si="83"/>
        <v/>
      </c>
      <c r="CY38" s="55" t="str">
        <f t="shared" si="83"/>
        <v/>
      </c>
      <c r="CZ38" s="55" t="str">
        <f t="shared" si="83"/>
        <v/>
      </c>
      <c r="DA38" s="55" t="str">
        <f t="shared" si="83"/>
        <v/>
      </c>
      <c r="DB38" s="55" t="str">
        <f t="shared" si="83"/>
        <v/>
      </c>
      <c r="DC38" s="55" t="str">
        <f t="shared" si="83"/>
        <v/>
      </c>
      <c r="DD38" s="55" t="str">
        <f t="shared" si="83"/>
        <v/>
      </c>
      <c r="DE38" s="55" t="str">
        <f t="shared" si="83"/>
        <v/>
      </c>
      <c r="DF38" s="55" t="str">
        <f t="shared" si="83"/>
        <v/>
      </c>
      <c r="DG38" s="55" t="str">
        <f t="shared" si="83"/>
        <v/>
      </c>
      <c r="DH38" s="55" t="str">
        <f t="shared" si="83"/>
        <v/>
      </c>
      <c r="DI38" s="55" t="str">
        <f t="shared" si="83"/>
        <v/>
      </c>
      <c r="DJ38" s="55" t="str">
        <f t="shared" si="83"/>
        <v/>
      </c>
      <c r="DK38" s="55" t="str">
        <f t="shared" si="83"/>
        <v/>
      </c>
      <c r="DL38" s="55" t="str">
        <f t="shared" si="83"/>
        <v/>
      </c>
      <c r="DM38" s="55" t="str">
        <f t="shared" si="83"/>
        <v/>
      </c>
      <c r="DN38" s="55" t="str">
        <f t="shared" si="83"/>
        <v/>
      </c>
      <c r="DO38" s="55" t="str">
        <f t="shared" si="83"/>
        <v/>
      </c>
      <c r="DP38" s="55" t="str">
        <f t="shared" si="83"/>
        <v/>
      </c>
      <c r="DQ38" s="55" t="str">
        <f t="shared" si="83"/>
        <v/>
      </c>
      <c r="DR38" s="55" t="str">
        <f t="shared" si="83"/>
        <v/>
      </c>
      <c r="DS38" s="55" t="str">
        <f t="shared" si="83"/>
        <v/>
      </c>
      <c r="DT38" s="103" t="str">
        <f t="shared" si="83"/>
        <v/>
      </c>
      <c r="DU38" s="54"/>
      <c r="DV38" s="25"/>
      <c r="DW38" s="59" t="str">
        <f t="shared" si="84"/>
        <v/>
      </c>
      <c r="DX38" s="50" t="str">
        <f t="shared" si="84"/>
        <v/>
      </c>
      <c r="DY38" s="50" t="str">
        <f t="shared" si="84"/>
        <v/>
      </c>
      <c r="DZ38" s="50" t="str">
        <f t="shared" si="84"/>
        <v/>
      </c>
      <c r="EA38" s="50" t="str">
        <f t="shared" si="84"/>
        <v/>
      </c>
      <c r="EB38" s="50" t="str">
        <f t="shared" si="84"/>
        <v/>
      </c>
      <c r="EC38" s="50" t="str">
        <f t="shared" si="84"/>
        <v/>
      </c>
      <c r="ED38" s="50" t="str">
        <f t="shared" si="84"/>
        <v/>
      </c>
      <c r="EE38" s="50" t="str">
        <f t="shared" si="84"/>
        <v/>
      </c>
      <c r="EF38" s="50" t="str">
        <f t="shared" si="84"/>
        <v/>
      </c>
      <c r="EG38" s="50" t="str">
        <f t="shared" si="84"/>
        <v/>
      </c>
      <c r="EH38" s="50" t="str">
        <f t="shared" si="84"/>
        <v/>
      </c>
      <c r="EI38" s="50" t="str">
        <f t="shared" si="84"/>
        <v/>
      </c>
      <c r="EJ38" s="50" t="str">
        <f t="shared" si="84"/>
        <v/>
      </c>
      <c r="EK38" s="50" t="str">
        <f t="shared" si="84"/>
        <v/>
      </c>
      <c r="EL38" s="50" t="str">
        <f t="shared" si="84"/>
        <v/>
      </c>
      <c r="EM38" s="50" t="str">
        <f t="shared" si="85"/>
        <v/>
      </c>
      <c r="EN38" s="50" t="str">
        <f t="shared" si="85"/>
        <v/>
      </c>
      <c r="EO38" s="50" t="str">
        <f t="shared" si="85"/>
        <v/>
      </c>
      <c r="EP38" s="50" t="str">
        <f t="shared" si="85"/>
        <v/>
      </c>
      <c r="EQ38" s="50" t="str">
        <f t="shared" si="85"/>
        <v/>
      </c>
      <c r="ER38" s="50" t="str">
        <f t="shared" si="85"/>
        <v/>
      </c>
      <c r="ES38" s="50" t="str">
        <f t="shared" si="85"/>
        <v/>
      </c>
      <c r="ET38" s="50" t="str">
        <f t="shared" si="85"/>
        <v/>
      </c>
      <c r="EU38" s="50" t="str">
        <f t="shared" si="85"/>
        <v/>
      </c>
      <c r="EV38" s="50" t="str">
        <f t="shared" si="85"/>
        <v/>
      </c>
      <c r="EW38" s="50" t="str">
        <f t="shared" si="85"/>
        <v/>
      </c>
      <c r="EX38" s="50" t="str">
        <f t="shared" si="85"/>
        <v/>
      </c>
      <c r="EY38" s="50" t="str">
        <f t="shared" si="85"/>
        <v/>
      </c>
      <c r="EZ38" s="50" t="str">
        <f t="shared" si="85"/>
        <v/>
      </c>
      <c r="FA38" s="50" t="str">
        <f t="shared" si="85"/>
        <v/>
      </c>
      <c r="FB38" s="50" t="str">
        <f t="shared" si="85"/>
        <v/>
      </c>
      <c r="FC38" s="50" t="str">
        <f t="shared" si="86"/>
        <v/>
      </c>
      <c r="FD38" s="50" t="str">
        <f t="shared" si="86"/>
        <v/>
      </c>
      <c r="FE38" s="50" t="str">
        <f t="shared" si="86"/>
        <v/>
      </c>
      <c r="FF38" s="50" t="str">
        <f t="shared" si="86"/>
        <v/>
      </c>
      <c r="FG38" s="50" t="str">
        <f t="shared" si="86"/>
        <v/>
      </c>
      <c r="FH38" s="50" t="str">
        <f t="shared" si="86"/>
        <v/>
      </c>
      <c r="FI38" s="50" t="str">
        <f t="shared" si="86"/>
        <v/>
      </c>
      <c r="FJ38" s="50" t="str">
        <f t="shared" si="86"/>
        <v/>
      </c>
      <c r="FK38" s="50" t="str">
        <f t="shared" si="86"/>
        <v/>
      </c>
      <c r="FL38" s="50" t="str">
        <f t="shared" si="86"/>
        <v/>
      </c>
      <c r="FM38" s="50" t="str">
        <f t="shared" si="86"/>
        <v/>
      </c>
      <c r="FN38" s="50" t="str">
        <f t="shared" si="86"/>
        <v/>
      </c>
      <c r="FO38" s="50" t="str">
        <f t="shared" si="86"/>
        <v/>
      </c>
      <c r="FP38" s="50" t="str">
        <f t="shared" si="86"/>
        <v/>
      </c>
      <c r="FQ38" s="50" t="str">
        <f t="shared" si="86"/>
        <v/>
      </c>
      <c r="FR38" s="50" t="str">
        <f t="shared" si="86"/>
        <v/>
      </c>
      <c r="FS38" s="50" t="str">
        <f t="shared" si="87"/>
        <v/>
      </c>
      <c r="FT38" s="50" t="str">
        <f t="shared" si="87"/>
        <v/>
      </c>
      <c r="FU38" s="50" t="str">
        <f t="shared" si="87"/>
        <v/>
      </c>
      <c r="FV38" s="50" t="str">
        <f t="shared" si="87"/>
        <v/>
      </c>
      <c r="FW38" s="50" t="str">
        <f t="shared" si="87"/>
        <v/>
      </c>
      <c r="FX38" s="50" t="str">
        <f t="shared" si="87"/>
        <v/>
      </c>
      <c r="FY38" s="50" t="str">
        <f t="shared" si="87"/>
        <v/>
      </c>
      <c r="FZ38" s="50" t="str">
        <f t="shared" si="87"/>
        <v/>
      </c>
      <c r="GA38" s="50" t="str">
        <f t="shared" si="87"/>
        <v/>
      </c>
      <c r="GB38" s="50" t="str">
        <f t="shared" si="87"/>
        <v/>
      </c>
      <c r="GC38" s="50" t="str">
        <f t="shared" si="87"/>
        <v/>
      </c>
      <c r="GD38" s="50" t="str">
        <f t="shared" si="87"/>
        <v/>
      </c>
      <c r="GE38" s="50" t="str">
        <f t="shared" si="87"/>
        <v/>
      </c>
      <c r="GF38" s="50" t="str">
        <f t="shared" si="87"/>
        <v/>
      </c>
      <c r="GG38" s="50" t="str">
        <f t="shared" si="87"/>
        <v/>
      </c>
      <c r="GH38" s="50" t="str">
        <f t="shared" si="87"/>
        <v/>
      </c>
      <c r="GI38" s="50" t="str">
        <f t="shared" si="87"/>
        <v/>
      </c>
      <c r="GJ38" s="50" t="str">
        <f t="shared" si="87"/>
        <v/>
      </c>
      <c r="GK38" s="50" t="str">
        <f t="shared" si="87"/>
        <v/>
      </c>
      <c r="GL38" s="50" t="str">
        <f t="shared" si="87"/>
        <v/>
      </c>
      <c r="GM38" s="50" t="str">
        <f t="shared" si="87"/>
        <v/>
      </c>
      <c r="GN38" s="50" t="str">
        <f t="shared" si="87"/>
        <v/>
      </c>
      <c r="GO38" s="50" t="str">
        <f t="shared" si="87"/>
        <v/>
      </c>
      <c r="GP38" s="50" t="str">
        <f t="shared" si="87"/>
        <v/>
      </c>
      <c r="GQ38" s="50" t="str">
        <f t="shared" si="87"/>
        <v/>
      </c>
      <c r="GR38" s="50" t="str">
        <f t="shared" si="87"/>
        <v/>
      </c>
      <c r="GS38" s="50" t="str">
        <f t="shared" si="87"/>
        <v/>
      </c>
      <c r="GT38" s="50" t="str">
        <f t="shared" si="87"/>
        <v/>
      </c>
      <c r="GU38" s="50" t="str">
        <f t="shared" si="87"/>
        <v/>
      </c>
      <c r="GV38" s="50" t="str">
        <f t="shared" si="87"/>
        <v/>
      </c>
      <c r="GW38" s="50" t="str">
        <f t="shared" si="87"/>
        <v/>
      </c>
      <c r="GX38" s="50" t="str">
        <f t="shared" si="87"/>
        <v/>
      </c>
      <c r="GY38" s="50" t="str">
        <f t="shared" si="87"/>
        <v/>
      </c>
      <c r="GZ38" s="50" t="str">
        <f t="shared" si="87"/>
        <v/>
      </c>
      <c r="HA38" s="50" t="str">
        <f t="shared" si="87"/>
        <v/>
      </c>
      <c r="HB38" s="50" t="str">
        <f t="shared" si="87"/>
        <v/>
      </c>
      <c r="HC38" s="50" t="str">
        <f t="shared" si="87"/>
        <v/>
      </c>
      <c r="HD38" s="50" t="str">
        <f t="shared" si="87"/>
        <v/>
      </c>
      <c r="HE38" s="50" t="str">
        <f t="shared" si="87"/>
        <v/>
      </c>
      <c r="HF38" s="50" t="str">
        <f t="shared" si="87"/>
        <v/>
      </c>
      <c r="HG38" s="50" t="str">
        <f t="shared" si="87"/>
        <v/>
      </c>
      <c r="HH38" s="50" t="str">
        <f t="shared" si="87"/>
        <v/>
      </c>
      <c r="HI38" s="50" t="str">
        <f t="shared" si="87"/>
        <v/>
      </c>
      <c r="HJ38" s="50" t="str">
        <f t="shared" si="87"/>
        <v/>
      </c>
      <c r="HK38" s="50" t="str">
        <f t="shared" si="87"/>
        <v/>
      </c>
      <c r="HL38" s="50" t="str">
        <f t="shared" si="87"/>
        <v/>
      </c>
      <c r="HM38" s="50" t="str">
        <f t="shared" si="87"/>
        <v/>
      </c>
      <c r="HN38" s="50" t="str">
        <f t="shared" si="87"/>
        <v/>
      </c>
      <c r="HO38" s="50" t="str">
        <f t="shared" si="87"/>
        <v/>
      </c>
      <c r="HP38" s="50" t="str">
        <f t="shared" si="87"/>
        <v/>
      </c>
      <c r="HQ38" s="50" t="str">
        <f t="shared" si="87"/>
        <v/>
      </c>
      <c r="HR38" s="108" t="str">
        <f t="shared" si="87"/>
        <v/>
      </c>
    </row>
    <row r="39" spans="1:226" ht="11.1" customHeight="1" x14ac:dyDescent="0.25">
      <c r="A39" s="26"/>
      <c r="B39" s="27"/>
      <c r="C39" s="28" t="str">
        <f>IF(A39=0,"",VLOOKUP(A39,[2]CO!$A$3:$F$5327,2,0))</f>
        <v/>
      </c>
      <c r="D39" s="29"/>
      <c r="E39" s="29"/>
      <c r="F39" s="98" t="str">
        <f t="shared" si="77"/>
        <v/>
      </c>
      <c r="G39" s="30" t="str">
        <f>IF(A39=0,"",VLOOKUP(A39,[2]CO!$A$3:$F$5327,3,0))</f>
        <v/>
      </c>
      <c r="H39" s="91"/>
      <c r="I39" s="31"/>
      <c r="J39" s="31"/>
      <c r="K39" s="31"/>
      <c r="L39" s="31"/>
      <c r="M39" s="32" t="str">
        <f t="shared" si="78"/>
        <v/>
      </c>
      <c r="N39" s="32" t="str">
        <f>IF(B39=0,"",IF(H39="M",HLOOKUP(B39,$Y$12:$DT$13,2),IF(A39=0,"",VLOOKUP(A39,[2]CO!$A$3:$F$5327,4,0))))</f>
        <v/>
      </c>
      <c r="O39" s="32" t="str">
        <f t="shared" si="27"/>
        <v/>
      </c>
      <c r="P39" s="33"/>
      <c r="Q39" s="34" t="str">
        <f t="shared" si="79"/>
        <v/>
      </c>
      <c r="R39" s="35"/>
      <c r="T39" s="53" t="str">
        <f>IF(A39=0,"",VLOOKUP(A39,[2]CO!$A$3:$F$5318,5,0))</f>
        <v/>
      </c>
      <c r="U39" s="54">
        <f t="shared" si="42"/>
        <v>0</v>
      </c>
      <c r="V39" s="24"/>
      <c r="W39" s="25"/>
      <c r="X39" s="25"/>
      <c r="Y39" s="60" t="str">
        <f t="shared" si="80"/>
        <v/>
      </c>
      <c r="Z39" s="55" t="str">
        <f t="shared" si="80"/>
        <v/>
      </c>
      <c r="AA39" s="55" t="str">
        <f t="shared" si="80"/>
        <v/>
      </c>
      <c r="AB39" s="55" t="str">
        <f t="shared" si="80"/>
        <v/>
      </c>
      <c r="AC39" s="55" t="str">
        <f t="shared" si="80"/>
        <v/>
      </c>
      <c r="AD39" s="55" t="str">
        <f t="shared" si="80"/>
        <v/>
      </c>
      <c r="AE39" s="55" t="str">
        <f t="shared" si="80"/>
        <v/>
      </c>
      <c r="AF39" s="55" t="str">
        <f t="shared" si="80"/>
        <v/>
      </c>
      <c r="AG39" s="55" t="str">
        <f t="shared" si="80"/>
        <v/>
      </c>
      <c r="AH39" s="55" t="str">
        <f t="shared" si="80"/>
        <v/>
      </c>
      <c r="AI39" s="55" t="str">
        <f t="shared" si="80"/>
        <v/>
      </c>
      <c r="AJ39" s="55" t="str">
        <f t="shared" si="80"/>
        <v/>
      </c>
      <c r="AK39" s="55" t="str">
        <f t="shared" si="80"/>
        <v/>
      </c>
      <c r="AL39" s="55" t="str">
        <f t="shared" si="80"/>
        <v/>
      </c>
      <c r="AM39" s="55" t="str">
        <f t="shared" si="80"/>
        <v/>
      </c>
      <c r="AN39" s="55" t="str">
        <f t="shared" si="80"/>
        <v/>
      </c>
      <c r="AO39" s="55" t="str">
        <f t="shared" si="81"/>
        <v/>
      </c>
      <c r="AP39" s="55" t="str">
        <f t="shared" si="81"/>
        <v/>
      </c>
      <c r="AQ39" s="55" t="str">
        <f t="shared" si="81"/>
        <v/>
      </c>
      <c r="AR39" s="55" t="str">
        <f t="shared" si="81"/>
        <v/>
      </c>
      <c r="AS39" s="55" t="str">
        <f t="shared" si="81"/>
        <v/>
      </c>
      <c r="AT39" s="55" t="str">
        <f t="shared" si="81"/>
        <v/>
      </c>
      <c r="AU39" s="55" t="str">
        <f t="shared" si="81"/>
        <v/>
      </c>
      <c r="AV39" s="55" t="str">
        <f t="shared" si="81"/>
        <v/>
      </c>
      <c r="AW39" s="55" t="str">
        <f t="shared" si="81"/>
        <v/>
      </c>
      <c r="AX39" s="55" t="str">
        <f t="shared" si="81"/>
        <v/>
      </c>
      <c r="AY39" s="55" t="str">
        <f t="shared" si="81"/>
        <v/>
      </c>
      <c r="AZ39" s="55" t="str">
        <f t="shared" si="81"/>
        <v/>
      </c>
      <c r="BA39" s="55" t="str">
        <f t="shared" si="81"/>
        <v/>
      </c>
      <c r="BB39" s="55" t="str">
        <f t="shared" si="81"/>
        <v/>
      </c>
      <c r="BC39" s="55" t="str">
        <f t="shared" si="81"/>
        <v/>
      </c>
      <c r="BD39" s="55" t="str">
        <f t="shared" si="81"/>
        <v/>
      </c>
      <c r="BE39" s="55" t="str">
        <f t="shared" si="82"/>
        <v/>
      </c>
      <c r="BF39" s="55" t="str">
        <f t="shared" si="82"/>
        <v/>
      </c>
      <c r="BG39" s="55" t="str">
        <f t="shared" si="82"/>
        <v/>
      </c>
      <c r="BH39" s="55" t="str">
        <f t="shared" si="82"/>
        <v/>
      </c>
      <c r="BI39" s="55" t="str">
        <f t="shared" si="82"/>
        <v/>
      </c>
      <c r="BJ39" s="55" t="str">
        <f t="shared" si="82"/>
        <v/>
      </c>
      <c r="BK39" s="55" t="str">
        <f t="shared" si="82"/>
        <v/>
      </c>
      <c r="BL39" s="55" t="str">
        <f t="shared" si="82"/>
        <v/>
      </c>
      <c r="BM39" s="55" t="str">
        <f t="shared" si="82"/>
        <v/>
      </c>
      <c r="BN39" s="55" t="str">
        <f t="shared" si="82"/>
        <v/>
      </c>
      <c r="BO39" s="55" t="str">
        <f t="shared" si="82"/>
        <v/>
      </c>
      <c r="BP39" s="55" t="str">
        <f t="shared" si="82"/>
        <v/>
      </c>
      <c r="BQ39" s="55" t="str">
        <f t="shared" si="82"/>
        <v/>
      </c>
      <c r="BR39" s="55" t="str">
        <f t="shared" si="82"/>
        <v/>
      </c>
      <c r="BS39" s="55" t="str">
        <f t="shared" si="82"/>
        <v/>
      </c>
      <c r="BT39" s="55" t="str">
        <f t="shared" si="82"/>
        <v/>
      </c>
      <c r="BU39" s="55" t="str">
        <f t="shared" si="83"/>
        <v/>
      </c>
      <c r="BV39" s="55" t="str">
        <f t="shared" si="83"/>
        <v/>
      </c>
      <c r="BW39" s="55" t="str">
        <f t="shared" si="83"/>
        <v/>
      </c>
      <c r="BX39" s="55" t="str">
        <f t="shared" si="83"/>
        <v/>
      </c>
      <c r="BY39" s="55" t="str">
        <f t="shared" si="83"/>
        <v/>
      </c>
      <c r="BZ39" s="55" t="str">
        <f t="shared" si="83"/>
        <v/>
      </c>
      <c r="CA39" s="55" t="str">
        <f t="shared" si="83"/>
        <v/>
      </c>
      <c r="CB39" s="55" t="str">
        <f t="shared" si="83"/>
        <v/>
      </c>
      <c r="CC39" s="55" t="str">
        <f t="shared" si="83"/>
        <v/>
      </c>
      <c r="CD39" s="55" t="str">
        <f t="shared" si="83"/>
        <v/>
      </c>
      <c r="CE39" s="55" t="str">
        <f t="shared" si="83"/>
        <v/>
      </c>
      <c r="CF39" s="55" t="str">
        <f t="shared" si="83"/>
        <v/>
      </c>
      <c r="CG39" s="55" t="str">
        <f t="shared" si="83"/>
        <v/>
      </c>
      <c r="CH39" s="55" t="str">
        <f t="shared" si="83"/>
        <v/>
      </c>
      <c r="CI39" s="55" t="str">
        <f t="shared" si="83"/>
        <v/>
      </c>
      <c r="CJ39" s="55" t="str">
        <f t="shared" si="83"/>
        <v/>
      </c>
      <c r="CK39" s="55" t="str">
        <f t="shared" si="83"/>
        <v/>
      </c>
      <c r="CL39" s="55" t="str">
        <f t="shared" si="83"/>
        <v/>
      </c>
      <c r="CM39" s="55" t="str">
        <f t="shared" si="83"/>
        <v/>
      </c>
      <c r="CN39" s="55" t="str">
        <f t="shared" si="83"/>
        <v/>
      </c>
      <c r="CO39" s="55" t="str">
        <f t="shared" si="83"/>
        <v/>
      </c>
      <c r="CP39" s="55" t="str">
        <f t="shared" si="83"/>
        <v/>
      </c>
      <c r="CQ39" s="55" t="str">
        <f t="shared" si="83"/>
        <v/>
      </c>
      <c r="CR39" s="55" t="str">
        <f t="shared" si="83"/>
        <v/>
      </c>
      <c r="CS39" s="55" t="str">
        <f t="shared" si="83"/>
        <v/>
      </c>
      <c r="CT39" s="55" t="str">
        <f t="shared" si="83"/>
        <v/>
      </c>
      <c r="CU39" s="55" t="str">
        <f t="shared" si="83"/>
        <v/>
      </c>
      <c r="CV39" s="55" t="str">
        <f t="shared" si="83"/>
        <v/>
      </c>
      <c r="CW39" s="55" t="str">
        <f t="shared" si="83"/>
        <v/>
      </c>
      <c r="CX39" s="55" t="str">
        <f t="shared" si="83"/>
        <v/>
      </c>
      <c r="CY39" s="55" t="str">
        <f t="shared" si="83"/>
        <v/>
      </c>
      <c r="CZ39" s="55" t="str">
        <f t="shared" si="83"/>
        <v/>
      </c>
      <c r="DA39" s="55" t="str">
        <f t="shared" si="83"/>
        <v/>
      </c>
      <c r="DB39" s="55" t="str">
        <f t="shared" si="83"/>
        <v/>
      </c>
      <c r="DC39" s="55" t="str">
        <f t="shared" si="83"/>
        <v/>
      </c>
      <c r="DD39" s="55" t="str">
        <f t="shared" si="83"/>
        <v/>
      </c>
      <c r="DE39" s="55" t="str">
        <f t="shared" si="83"/>
        <v/>
      </c>
      <c r="DF39" s="55" t="str">
        <f t="shared" si="83"/>
        <v/>
      </c>
      <c r="DG39" s="55" t="str">
        <f t="shared" si="83"/>
        <v/>
      </c>
      <c r="DH39" s="55" t="str">
        <f t="shared" si="83"/>
        <v/>
      </c>
      <c r="DI39" s="55" t="str">
        <f t="shared" si="83"/>
        <v/>
      </c>
      <c r="DJ39" s="55" t="str">
        <f t="shared" si="83"/>
        <v/>
      </c>
      <c r="DK39" s="55" t="str">
        <f t="shared" si="83"/>
        <v/>
      </c>
      <c r="DL39" s="55" t="str">
        <f t="shared" si="83"/>
        <v/>
      </c>
      <c r="DM39" s="55" t="str">
        <f t="shared" si="83"/>
        <v/>
      </c>
      <c r="DN39" s="55" t="str">
        <f t="shared" si="83"/>
        <v/>
      </c>
      <c r="DO39" s="55" t="str">
        <f t="shared" si="83"/>
        <v/>
      </c>
      <c r="DP39" s="55" t="str">
        <f t="shared" si="83"/>
        <v/>
      </c>
      <c r="DQ39" s="55" t="str">
        <f t="shared" si="83"/>
        <v/>
      </c>
      <c r="DR39" s="55" t="str">
        <f t="shared" si="83"/>
        <v/>
      </c>
      <c r="DS39" s="55" t="str">
        <f t="shared" si="83"/>
        <v/>
      </c>
      <c r="DT39" s="103" t="str">
        <f t="shared" si="83"/>
        <v/>
      </c>
      <c r="DU39" s="54"/>
      <c r="DV39" s="25"/>
      <c r="DW39" s="59" t="str">
        <f t="shared" si="84"/>
        <v/>
      </c>
      <c r="DX39" s="50" t="str">
        <f t="shared" si="84"/>
        <v/>
      </c>
      <c r="DY39" s="50" t="str">
        <f t="shared" si="84"/>
        <v/>
      </c>
      <c r="DZ39" s="50" t="str">
        <f t="shared" si="84"/>
        <v/>
      </c>
      <c r="EA39" s="50" t="str">
        <f t="shared" si="84"/>
        <v/>
      </c>
      <c r="EB39" s="50" t="str">
        <f t="shared" si="84"/>
        <v/>
      </c>
      <c r="EC39" s="50" t="str">
        <f t="shared" si="84"/>
        <v/>
      </c>
      <c r="ED39" s="50" t="str">
        <f t="shared" si="84"/>
        <v/>
      </c>
      <c r="EE39" s="50" t="str">
        <f t="shared" si="84"/>
        <v/>
      </c>
      <c r="EF39" s="50" t="str">
        <f t="shared" si="84"/>
        <v/>
      </c>
      <c r="EG39" s="50" t="str">
        <f t="shared" si="84"/>
        <v/>
      </c>
      <c r="EH39" s="50" t="str">
        <f t="shared" si="84"/>
        <v/>
      </c>
      <c r="EI39" s="50" t="str">
        <f t="shared" si="84"/>
        <v/>
      </c>
      <c r="EJ39" s="50" t="str">
        <f t="shared" si="84"/>
        <v/>
      </c>
      <c r="EK39" s="50" t="str">
        <f t="shared" si="84"/>
        <v/>
      </c>
      <c r="EL39" s="50" t="str">
        <f t="shared" si="84"/>
        <v/>
      </c>
      <c r="EM39" s="50" t="str">
        <f t="shared" si="85"/>
        <v/>
      </c>
      <c r="EN39" s="50" t="str">
        <f t="shared" si="85"/>
        <v/>
      </c>
      <c r="EO39" s="50" t="str">
        <f t="shared" si="85"/>
        <v/>
      </c>
      <c r="EP39" s="50" t="str">
        <f t="shared" si="85"/>
        <v/>
      </c>
      <c r="EQ39" s="50" t="str">
        <f t="shared" si="85"/>
        <v/>
      </c>
      <c r="ER39" s="50" t="str">
        <f t="shared" si="85"/>
        <v/>
      </c>
      <c r="ES39" s="50" t="str">
        <f t="shared" si="85"/>
        <v/>
      </c>
      <c r="ET39" s="50" t="str">
        <f t="shared" si="85"/>
        <v/>
      </c>
      <c r="EU39" s="50" t="str">
        <f t="shared" si="85"/>
        <v/>
      </c>
      <c r="EV39" s="50" t="str">
        <f t="shared" si="85"/>
        <v/>
      </c>
      <c r="EW39" s="50" t="str">
        <f t="shared" si="85"/>
        <v/>
      </c>
      <c r="EX39" s="50" t="str">
        <f t="shared" si="85"/>
        <v/>
      </c>
      <c r="EY39" s="50" t="str">
        <f t="shared" si="85"/>
        <v/>
      </c>
      <c r="EZ39" s="50" t="str">
        <f t="shared" si="85"/>
        <v/>
      </c>
      <c r="FA39" s="50" t="str">
        <f t="shared" si="85"/>
        <v/>
      </c>
      <c r="FB39" s="50" t="str">
        <f t="shared" si="85"/>
        <v/>
      </c>
      <c r="FC39" s="50" t="str">
        <f t="shared" si="86"/>
        <v/>
      </c>
      <c r="FD39" s="50" t="str">
        <f t="shared" si="86"/>
        <v/>
      </c>
      <c r="FE39" s="50" t="str">
        <f t="shared" si="86"/>
        <v/>
      </c>
      <c r="FF39" s="50" t="str">
        <f t="shared" si="86"/>
        <v/>
      </c>
      <c r="FG39" s="50" t="str">
        <f t="shared" si="86"/>
        <v/>
      </c>
      <c r="FH39" s="50" t="str">
        <f t="shared" si="86"/>
        <v/>
      </c>
      <c r="FI39" s="50" t="str">
        <f t="shared" si="86"/>
        <v/>
      </c>
      <c r="FJ39" s="50" t="str">
        <f t="shared" si="86"/>
        <v/>
      </c>
      <c r="FK39" s="50" t="str">
        <f t="shared" si="86"/>
        <v/>
      </c>
      <c r="FL39" s="50" t="str">
        <f t="shared" si="86"/>
        <v/>
      </c>
      <c r="FM39" s="50" t="str">
        <f t="shared" si="86"/>
        <v/>
      </c>
      <c r="FN39" s="50" t="str">
        <f t="shared" si="86"/>
        <v/>
      </c>
      <c r="FO39" s="50" t="str">
        <f t="shared" si="86"/>
        <v/>
      </c>
      <c r="FP39" s="50" t="str">
        <f t="shared" si="86"/>
        <v/>
      </c>
      <c r="FQ39" s="50" t="str">
        <f t="shared" si="86"/>
        <v/>
      </c>
      <c r="FR39" s="50" t="str">
        <f t="shared" si="86"/>
        <v/>
      </c>
      <c r="FS39" s="50" t="str">
        <f t="shared" si="87"/>
        <v/>
      </c>
      <c r="FT39" s="50" t="str">
        <f t="shared" si="87"/>
        <v/>
      </c>
      <c r="FU39" s="50" t="str">
        <f t="shared" si="87"/>
        <v/>
      </c>
      <c r="FV39" s="50" t="str">
        <f t="shared" si="87"/>
        <v/>
      </c>
      <c r="FW39" s="50" t="str">
        <f t="shared" si="87"/>
        <v/>
      </c>
      <c r="FX39" s="50" t="str">
        <f t="shared" si="87"/>
        <v/>
      </c>
      <c r="FY39" s="50" t="str">
        <f t="shared" si="87"/>
        <v/>
      </c>
      <c r="FZ39" s="50" t="str">
        <f t="shared" si="87"/>
        <v/>
      </c>
      <c r="GA39" s="50" t="str">
        <f t="shared" si="87"/>
        <v/>
      </c>
      <c r="GB39" s="50" t="str">
        <f t="shared" si="87"/>
        <v/>
      </c>
      <c r="GC39" s="50" t="str">
        <f t="shared" si="87"/>
        <v/>
      </c>
      <c r="GD39" s="50" t="str">
        <f t="shared" si="87"/>
        <v/>
      </c>
      <c r="GE39" s="50" t="str">
        <f t="shared" si="87"/>
        <v/>
      </c>
      <c r="GF39" s="50" t="str">
        <f t="shared" si="87"/>
        <v/>
      </c>
      <c r="GG39" s="50" t="str">
        <f t="shared" si="87"/>
        <v/>
      </c>
      <c r="GH39" s="50" t="str">
        <f t="shared" si="87"/>
        <v/>
      </c>
      <c r="GI39" s="50" t="str">
        <f t="shared" si="87"/>
        <v/>
      </c>
      <c r="GJ39" s="50" t="str">
        <f t="shared" si="87"/>
        <v/>
      </c>
      <c r="GK39" s="50" t="str">
        <f t="shared" si="87"/>
        <v/>
      </c>
      <c r="GL39" s="50" t="str">
        <f t="shared" si="87"/>
        <v/>
      </c>
      <c r="GM39" s="50" t="str">
        <f t="shared" si="87"/>
        <v/>
      </c>
      <c r="GN39" s="50" t="str">
        <f t="shared" si="87"/>
        <v/>
      </c>
      <c r="GO39" s="50" t="str">
        <f t="shared" si="87"/>
        <v/>
      </c>
      <c r="GP39" s="50" t="str">
        <f t="shared" si="87"/>
        <v/>
      </c>
      <c r="GQ39" s="50" t="str">
        <f t="shared" si="87"/>
        <v/>
      </c>
      <c r="GR39" s="50" t="str">
        <f t="shared" si="87"/>
        <v/>
      </c>
      <c r="GS39" s="50" t="str">
        <f t="shared" si="87"/>
        <v/>
      </c>
      <c r="GT39" s="50" t="str">
        <f t="shared" si="87"/>
        <v/>
      </c>
      <c r="GU39" s="50" t="str">
        <f t="shared" si="87"/>
        <v/>
      </c>
      <c r="GV39" s="50" t="str">
        <f t="shared" si="87"/>
        <v/>
      </c>
      <c r="GW39" s="50" t="str">
        <f t="shared" si="87"/>
        <v/>
      </c>
      <c r="GX39" s="50" t="str">
        <f t="shared" si="87"/>
        <v/>
      </c>
      <c r="GY39" s="50" t="str">
        <f t="shared" si="87"/>
        <v/>
      </c>
      <c r="GZ39" s="50" t="str">
        <f t="shared" si="87"/>
        <v/>
      </c>
      <c r="HA39" s="50" t="str">
        <f t="shared" si="87"/>
        <v/>
      </c>
      <c r="HB39" s="50" t="str">
        <f t="shared" si="87"/>
        <v/>
      </c>
      <c r="HC39" s="50" t="str">
        <f t="shared" si="87"/>
        <v/>
      </c>
      <c r="HD39" s="50" t="str">
        <f t="shared" si="87"/>
        <v/>
      </c>
      <c r="HE39" s="50" t="str">
        <f t="shared" si="87"/>
        <v/>
      </c>
      <c r="HF39" s="50" t="str">
        <f t="shared" si="87"/>
        <v/>
      </c>
      <c r="HG39" s="50" t="str">
        <f t="shared" si="87"/>
        <v/>
      </c>
      <c r="HH39" s="50" t="str">
        <f t="shared" si="87"/>
        <v/>
      </c>
      <c r="HI39" s="50" t="str">
        <f t="shared" si="87"/>
        <v/>
      </c>
      <c r="HJ39" s="50" t="str">
        <f t="shared" si="87"/>
        <v/>
      </c>
      <c r="HK39" s="50" t="str">
        <f t="shared" si="87"/>
        <v/>
      </c>
      <c r="HL39" s="50" t="str">
        <f t="shared" si="87"/>
        <v/>
      </c>
      <c r="HM39" s="50" t="str">
        <f t="shared" si="87"/>
        <v/>
      </c>
      <c r="HN39" s="50" t="str">
        <f t="shared" si="87"/>
        <v/>
      </c>
      <c r="HO39" s="50" t="str">
        <f t="shared" si="87"/>
        <v/>
      </c>
      <c r="HP39" s="50" t="str">
        <f t="shared" si="87"/>
        <v/>
      </c>
      <c r="HQ39" s="50" t="str">
        <f t="shared" si="87"/>
        <v/>
      </c>
      <c r="HR39" s="108" t="str">
        <f t="shared" si="87"/>
        <v/>
      </c>
    </row>
    <row r="40" spans="1:226" ht="11.1" customHeight="1" x14ac:dyDescent="0.25">
      <c r="A40" s="26"/>
      <c r="B40" s="27"/>
      <c r="C40" s="28" t="str">
        <f>IF(A40=0,"",VLOOKUP(A40,[2]CO!$A$3:$F$5327,2,0))</f>
        <v/>
      </c>
      <c r="D40" s="29"/>
      <c r="E40" s="29"/>
      <c r="F40" s="98" t="str">
        <f t="shared" si="77"/>
        <v/>
      </c>
      <c r="G40" s="30" t="str">
        <f>IF(A40=0,"",VLOOKUP(A40,[2]CO!$A$3:$F$5327,3,0))</f>
        <v/>
      </c>
      <c r="H40" s="91"/>
      <c r="I40" s="31"/>
      <c r="J40" s="31"/>
      <c r="K40" s="31"/>
      <c r="L40" s="31"/>
      <c r="M40" s="32" t="str">
        <f t="shared" si="78"/>
        <v/>
      </c>
      <c r="N40" s="32" t="str">
        <f>IF(B40=0,"",IF(H40="M",HLOOKUP(B40,$Y$12:$DT$13,2),IF(A40=0,"",VLOOKUP(A40,[2]CO!$A$3:$F$5327,4,0))))</f>
        <v/>
      </c>
      <c r="O40" s="32" t="str">
        <f t="shared" si="27"/>
        <v/>
      </c>
      <c r="P40" s="33"/>
      <c r="Q40" s="34" t="str">
        <f t="shared" si="79"/>
        <v/>
      </c>
      <c r="R40" s="35"/>
      <c r="T40" s="53" t="str">
        <f>IF(A40=0,"",VLOOKUP(A40,[2]CO!$A$3:$F$5318,5,0))</f>
        <v/>
      </c>
      <c r="U40" s="54">
        <f t="shared" si="42"/>
        <v>0</v>
      </c>
      <c r="V40" s="24"/>
      <c r="W40" s="25"/>
      <c r="X40" s="25"/>
      <c r="Y40" s="60" t="str">
        <f t="shared" si="80"/>
        <v/>
      </c>
      <c r="Z40" s="55" t="str">
        <f t="shared" si="80"/>
        <v/>
      </c>
      <c r="AA40" s="55" t="str">
        <f t="shared" si="80"/>
        <v/>
      </c>
      <c r="AB40" s="55" t="str">
        <f t="shared" si="80"/>
        <v/>
      </c>
      <c r="AC40" s="55" t="str">
        <f t="shared" si="80"/>
        <v/>
      </c>
      <c r="AD40" s="55" t="str">
        <f t="shared" si="80"/>
        <v/>
      </c>
      <c r="AE40" s="55" t="str">
        <f t="shared" si="80"/>
        <v/>
      </c>
      <c r="AF40" s="55" t="str">
        <f t="shared" si="80"/>
        <v/>
      </c>
      <c r="AG40" s="55" t="str">
        <f t="shared" si="80"/>
        <v/>
      </c>
      <c r="AH40" s="55" t="str">
        <f t="shared" si="80"/>
        <v/>
      </c>
      <c r="AI40" s="55" t="str">
        <f t="shared" si="80"/>
        <v/>
      </c>
      <c r="AJ40" s="55" t="str">
        <f t="shared" si="80"/>
        <v/>
      </c>
      <c r="AK40" s="55" t="str">
        <f t="shared" si="80"/>
        <v/>
      </c>
      <c r="AL40" s="55" t="str">
        <f t="shared" si="80"/>
        <v/>
      </c>
      <c r="AM40" s="55" t="str">
        <f t="shared" si="80"/>
        <v/>
      </c>
      <c r="AN40" s="55" t="str">
        <f t="shared" si="80"/>
        <v/>
      </c>
      <c r="AO40" s="55" t="str">
        <f t="shared" si="81"/>
        <v/>
      </c>
      <c r="AP40" s="55" t="str">
        <f t="shared" si="81"/>
        <v/>
      </c>
      <c r="AQ40" s="55" t="str">
        <f t="shared" si="81"/>
        <v/>
      </c>
      <c r="AR40" s="55" t="str">
        <f t="shared" si="81"/>
        <v/>
      </c>
      <c r="AS40" s="55" t="str">
        <f t="shared" si="81"/>
        <v/>
      </c>
      <c r="AT40" s="55" t="str">
        <f t="shared" si="81"/>
        <v/>
      </c>
      <c r="AU40" s="55" t="str">
        <f t="shared" si="81"/>
        <v/>
      </c>
      <c r="AV40" s="55" t="str">
        <f t="shared" si="81"/>
        <v/>
      </c>
      <c r="AW40" s="55" t="str">
        <f t="shared" si="81"/>
        <v/>
      </c>
      <c r="AX40" s="55" t="str">
        <f t="shared" si="81"/>
        <v/>
      </c>
      <c r="AY40" s="55" t="str">
        <f t="shared" si="81"/>
        <v/>
      </c>
      <c r="AZ40" s="55" t="str">
        <f t="shared" si="81"/>
        <v/>
      </c>
      <c r="BA40" s="55" t="str">
        <f t="shared" si="81"/>
        <v/>
      </c>
      <c r="BB40" s="55" t="str">
        <f t="shared" si="81"/>
        <v/>
      </c>
      <c r="BC40" s="55" t="str">
        <f t="shared" si="81"/>
        <v/>
      </c>
      <c r="BD40" s="55" t="str">
        <f t="shared" si="81"/>
        <v/>
      </c>
      <c r="BE40" s="55" t="str">
        <f t="shared" si="82"/>
        <v/>
      </c>
      <c r="BF40" s="55" t="str">
        <f t="shared" si="82"/>
        <v/>
      </c>
      <c r="BG40" s="55" t="str">
        <f t="shared" si="82"/>
        <v/>
      </c>
      <c r="BH40" s="55" t="str">
        <f t="shared" si="82"/>
        <v/>
      </c>
      <c r="BI40" s="55" t="str">
        <f t="shared" si="82"/>
        <v/>
      </c>
      <c r="BJ40" s="55" t="str">
        <f t="shared" si="82"/>
        <v/>
      </c>
      <c r="BK40" s="55" t="str">
        <f t="shared" si="82"/>
        <v/>
      </c>
      <c r="BL40" s="55" t="str">
        <f t="shared" si="82"/>
        <v/>
      </c>
      <c r="BM40" s="55" t="str">
        <f t="shared" si="82"/>
        <v/>
      </c>
      <c r="BN40" s="55" t="str">
        <f t="shared" si="82"/>
        <v/>
      </c>
      <c r="BO40" s="55" t="str">
        <f t="shared" si="82"/>
        <v/>
      </c>
      <c r="BP40" s="55" t="str">
        <f t="shared" si="82"/>
        <v/>
      </c>
      <c r="BQ40" s="55" t="str">
        <f t="shared" si="82"/>
        <v/>
      </c>
      <c r="BR40" s="55" t="str">
        <f t="shared" si="82"/>
        <v/>
      </c>
      <c r="BS40" s="55" t="str">
        <f t="shared" si="82"/>
        <v/>
      </c>
      <c r="BT40" s="55" t="str">
        <f t="shared" si="82"/>
        <v/>
      </c>
      <c r="BU40" s="55" t="str">
        <f t="shared" si="83"/>
        <v/>
      </c>
      <c r="BV40" s="55" t="str">
        <f t="shared" si="83"/>
        <v/>
      </c>
      <c r="BW40" s="55" t="str">
        <f t="shared" si="83"/>
        <v/>
      </c>
      <c r="BX40" s="55" t="str">
        <f t="shared" si="83"/>
        <v/>
      </c>
      <c r="BY40" s="55" t="str">
        <f t="shared" si="83"/>
        <v/>
      </c>
      <c r="BZ40" s="55" t="str">
        <f t="shared" si="83"/>
        <v/>
      </c>
      <c r="CA40" s="55" t="str">
        <f t="shared" si="83"/>
        <v/>
      </c>
      <c r="CB40" s="55" t="str">
        <f t="shared" si="83"/>
        <v/>
      </c>
      <c r="CC40" s="55" t="str">
        <f t="shared" si="83"/>
        <v/>
      </c>
      <c r="CD40" s="55" t="str">
        <f t="shared" si="83"/>
        <v/>
      </c>
      <c r="CE40" s="55" t="str">
        <f t="shared" si="83"/>
        <v/>
      </c>
      <c r="CF40" s="55" t="str">
        <f t="shared" si="83"/>
        <v/>
      </c>
      <c r="CG40" s="55" t="str">
        <f t="shared" si="83"/>
        <v/>
      </c>
      <c r="CH40" s="55" t="str">
        <f t="shared" si="83"/>
        <v/>
      </c>
      <c r="CI40" s="55" t="str">
        <f t="shared" si="83"/>
        <v/>
      </c>
      <c r="CJ40" s="55" t="str">
        <f t="shared" si="83"/>
        <v/>
      </c>
      <c r="CK40" s="55" t="str">
        <f t="shared" si="83"/>
        <v/>
      </c>
      <c r="CL40" s="55" t="str">
        <f t="shared" si="83"/>
        <v/>
      </c>
      <c r="CM40" s="55" t="str">
        <f t="shared" si="83"/>
        <v/>
      </c>
      <c r="CN40" s="55" t="str">
        <f t="shared" si="83"/>
        <v/>
      </c>
      <c r="CO40" s="55" t="str">
        <f t="shared" si="83"/>
        <v/>
      </c>
      <c r="CP40" s="55" t="str">
        <f t="shared" si="83"/>
        <v/>
      </c>
      <c r="CQ40" s="55" t="str">
        <f t="shared" si="83"/>
        <v/>
      </c>
      <c r="CR40" s="55" t="str">
        <f t="shared" si="83"/>
        <v/>
      </c>
      <c r="CS40" s="55" t="str">
        <f t="shared" si="83"/>
        <v/>
      </c>
      <c r="CT40" s="55" t="str">
        <f t="shared" si="83"/>
        <v/>
      </c>
      <c r="CU40" s="55" t="str">
        <f t="shared" si="83"/>
        <v/>
      </c>
      <c r="CV40" s="55" t="str">
        <f t="shared" si="83"/>
        <v/>
      </c>
      <c r="CW40" s="55" t="str">
        <f t="shared" si="83"/>
        <v/>
      </c>
      <c r="CX40" s="55" t="str">
        <f t="shared" si="83"/>
        <v/>
      </c>
      <c r="CY40" s="55" t="str">
        <f t="shared" si="83"/>
        <v/>
      </c>
      <c r="CZ40" s="55" t="str">
        <f t="shared" si="83"/>
        <v/>
      </c>
      <c r="DA40" s="55" t="str">
        <f t="shared" si="83"/>
        <v/>
      </c>
      <c r="DB40" s="55" t="str">
        <f t="shared" si="83"/>
        <v/>
      </c>
      <c r="DC40" s="55" t="str">
        <f t="shared" si="83"/>
        <v/>
      </c>
      <c r="DD40" s="55" t="str">
        <f t="shared" si="83"/>
        <v/>
      </c>
      <c r="DE40" s="55" t="str">
        <f t="shared" si="83"/>
        <v/>
      </c>
      <c r="DF40" s="55" t="str">
        <f t="shared" si="83"/>
        <v/>
      </c>
      <c r="DG40" s="55" t="str">
        <f t="shared" si="83"/>
        <v/>
      </c>
      <c r="DH40" s="55" t="str">
        <f t="shared" si="83"/>
        <v/>
      </c>
      <c r="DI40" s="55" t="str">
        <f t="shared" si="83"/>
        <v/>
      </c>
      <c r="DJ40" s="55" t="str">
        <f t="shared" si="83"/>
        <v/>
      </c>
      <c r="DK40" s="55" t="str">
        <f t="shared" si="83"/>
        <v/>
      </c>
      <c r="DL40" s="55" t="str">
        <f t="shared" si="83"/>
        <v/>
      </c>
      <c r="DM40" s="55" t="str">
        <f t="shared" si="83"/>
        <v/>
      </c>
      <c r="DN40" s="55" t="str">
        <f t="shared" si="83"/>
        <v/>
      </c>
      <c r="DO40" s="55" t="str">
        <f t="shared" si="83"/>
        <v/>
      </c>
      <c r="DP40" s="55" t="str">
        <f t="shared" si="83"/>
        <v/>
      </c>
      <c r="DQ40" s="55" t="str">
        <f t="shared" si="83"/>
        <v/>
      </c>
      <c r="DR40" s="55" t="str">
        <f t="shared" si="83"/>
        <v/>
      </c>
      <c r="DS40" s="55" t="str">
        <f t="shared" si="83"/>
        <v/>
      </c>
      <c r="DT40" s="103" t="str">
        <f t="shared" si="83"/>
        <v/>
      </c>
      <c r="DU40" s="54"/>
      <c r="DV40" s="25"/>
      <c r="DW40" s="59" t="str">
        <f t="shared" si="84"/>
        <v/>
      </c>
      <c r="DX40" s="50" t="str">
        <f t="shared" si="84"/>
        <v/>
      </c>
      <c r="DY40" s="50" t="str">
        <f t="shared" si="84"/>
        <v/>
      </c>
      <c r="DZ40" s="50" t="str">
        <f t="shared" si="84"/>
        <v/>
      </c>
      <c r="EA40" s="50" t="str">
        <f t="shared" si="84"/>
        <v/>
      </c>
      <c r="EB40" s="50" t="str">
        <f t="shared" si="84"/>
        <v/>
      </c>
      <c r="EC40" s="50" t="str">
        <f t="shared" si="84"/>
        <v/>
      </c>
      <c r="ED40" s="50" t="str">
        <f t="shared" si="84"/>
        <v/>
      </c>
      <c r="EE40" s="50" t="str">
        <f t="shared" si="84"/>
        <v/>
      </c>
      <c r="EF40" s="50" t="str">
        <f t="shared" si="84"/>
        <v/>
      </c>
      <c r="EG40" s="50" t="str">
        <f t="shared" si="84"/>
        <v/>
      </c>
      <c r="EH40" s="50" t="str">
        <f t="shared" si="84"/>
        <v/>
      </c>
      <c r="EI40" s="50" t="str">
        <f t="shared" si="84"/>
        <v/>
      </c>
      <c r="EJ40" s="50" t="str">
        <f t="shared" si="84"/>
        <v/>
      </c>
      <c r="EK40" s="50" t="str">
        <f t="shared" si="84"/>
        <v/>
      </c>
      <c r="EL40" s="50" t="str">
        <f t="shared" si="84"/>
        <v/>
      </c>
      <c r="EM40" s="50" t="str">
        <f t="shared" si="85"/>
        <v/>
      </c>
      <c r="EN40" s="50" t="str">
        <f t="shared" si="85"/>
        <v/>
      </c>
      <c r="EO40" s="50" t="str">
        <f t="shared" si="85"/>
        <v/>
      </c>
      <c r="EP40" s="50" t="str">
        <f t="shared" si="85"/>
        <v/>
      </c>
      <c r="EQ40" s="50" t="str">
        <f t="shared" si="85"/>
        <v/>
      </c>
      <c r="ER40" s="50" t="str">
        <f t="shared" si="85"/>
        <v/>
      </c>
      <c r="ES40" s="50" t="str">
        <f t="shared" si="85"/>
        <v/>
      </c>
      <c r="ET40" s="50" t="str">
        <f t="shared" si="85"/>
        <v/>
      </c>
      <c r="EU40" s="50" t="str">
        <f t="shared" si="85"/>
        <v/>
      </c>
      <c r="EV40" s="50" t="str">
        <f t="shared" si="85"/>
        <v/>
      </c>
      <c r="EW40" s="50" t="str">
        <f t="shared" si="85"/>
        <v/>
      </c>
      <c r="EX40" s="50" t="str">
        <f t="shared" si="85"/>
        <v/>
      </c>
      <c r="EY40" s="50" t="str">
        <f t="shared" si="85"/>
        <v/>
      </c>
      <c r="EZ40" s="50" t="str">
        <f t="shared" si="85"/>
        <v/>
      </c>
      <c r="FA40" s="50" t="str">
        <f t="shared" si="85"/>
        <v/>
      </c>
      <c r="FB40" s="50" t="str">
        <f t="shared" si="85"/>
        <v/>
      </c>
      <c r="FC40" s="50" t="str">
        <f t="shared" si="86"/>
        <v/>
      </c>
      <c r="FD40" s="50" t="str">
        <f t="shared" si="86"/>
        <v/>
      </c>
      <c r="FE40" s="50" t="str">
        <f t="shared" si="86"/>
        <v/>
      </c>
      <c r="FF40" s="50" t="str">
        <f t="shared" si="86"/>
        <v/>
      </c>
      <c r="FG40" s="50" t="str">
        <f t="shared" si="86"/>
        <v/>
      </c>
      <c r="FH40" s="50" t="str">
        <f t="shared" si="86"/>
        <v/>
      </c>
      <c r="FI40" s="50" t="str">
        <f t="shared" si="86"/>
        <v/>
      </c>
      <c r="FJ40" s="50" t="str">
        <f t="shared" si="86"/>
        <v/>
      </c>
      <c r="FK40" s="50" t="str">
        <f t="shared" si="86"/>
        <v/>
      </c>
      <c r="FL40" s="50" t="str">
        <f t="shared" si="86"/>
        <v/>
      </c>
      <c r="FM40" s="50" t="str">
        <f t="shared" si="86"/>
        <v/>
      </c>
      <c r="FN40" s="50" t="str">
        <f t="shared" si="86"/>
        <v/>
      </c>
      <c r="FO40" s="50" t="str">
        <f t="shared" si="86"/>
        <v/>
      </c>
      <c r="FP40" s="50" t="str">
        <f t="shared" si="86"/>
        <v/>
      </c>
      <c r="FQ40" s="50" t="str">
        <f t="shared" si="86"/>
        <v/>
      </c>
      <c r="FR40" s="50" t="str">
        <f t="shared" si="86"/>
        <v/>
      </c>
      <c r="FS40" s="50" t="str">
        <f t="shared" si="87"/>
        <v/>
      </c>
      <c r="FT40" s="50" t="str">
        <f t="shared" si="87"/>
        <v/>
      </c>
      <c r="FU40" s="50" t="str">
        <f t="shared" si="87"/>
        <v/>
      </c>
      <c r="FV40" s="50" t="str">
        <f t="shared" si="87"/>
        <v/>
      </c>
      <c r="FW40" s="50" t="str">
        <f t="shared" si="87"/>
        <v/>
      </c>
      <c r="FX40" s="50" t="str">
        <f t="shared" si="87"/>
        <v/>
      </c>
      <c r="FY40" s="50" t="str">
        <f t="shared" si="87"/>
        <v/>
      </c>
      <c r="FZ40" s="50" t="str">
        <f t="shared" si="87"/>
        <v/>
      </c>
      <c r="GA40" s="50" t="str">
        <f t="shared" si="87"/>
        <v/>
      </c>
      <c r="GB40" s="50" t="str">
        <f t="shared" si="87"/>
        <v/>
      </c>
      <c r="GC40" s="50" t="str">
        <f t="shared" si="87"/>
        <v/>
      </c>
      <c r="GD40" s="50" t="str">
        <f t="shared" si="87"/>
        <v/>
      </c>
      <c r="GE40" s="50" t="str">
        <f t="shared" si="87"/>
        <v/>
      </c>
      <c r="GF40" s="50" t="str">
        <f t="shared" si="87"/>
        <v/>
      </c>
      <c r="GG40" s="50" t="str">
        <f t="shared" si="87"/>
        <v/>
      </c>
      <c r="GH40" s="50" t="str">
        <f t="shared" si="87"/>
        <v/>
      </c>
      <c r="GI40" s="50" t="str">
        <f t="shared" si="87"/>
        <v/>
      </c>
      <c r="GJ40" s="50" t="str">
        <f t="shared" si="87"/>
        <v/>
      </c>
      <c r="GK40" s="50" t="str">
        <f t="shared" si="87"/>
        <v/>
      </c>
      <c r="GL40" s="50" t="str">
        <f t="shared" si="87"/>
        <v/>
      </c>
      <c r="GM40" s="50" t="str">
        <f t="shared" si="87"/>
        <v/>
      </c>
      <c r="GN40" s="50" t="str">
        <f t="shared" si="87"/>
        <v/>
      </c>
      <c r="GO40" s="50" t="str">
        <f t="shared" si="87"/>
        <v/>
      </c>
      <c r="GP40" s="50" t="str">
        <f t="shared" si="87"/>
        <v/>
      </c>
      <c r="GQ40" s="50" t="str">
        <f t="shared" si="87"/>
        <v/>
      </c>
      <c r="GR40" s="50" t="str">
        <f t="shared" si="87"/>
        <v/>
      </c>
      <c r="GS40" s="50" t="str">
        <f t="shared" si="87"/>
        <v/>
      </c>
      <c r="GT40" s="50" t="str">
        <f t="shared" si="87"/>
        <v/>
      </c>
      <c r="GU40" s="50" t="str">
        <f t="shared" si="87"/>
        <v/>
      </c>
      <c r="GV40" s="50" t="str">
        <f t="shared" si="87"/>
        <v/>
      </c>
      <c r="GW40" s="50" t="str">
        <f t="shared" si="87"/>
        <v/>
      </c>
      <c r="GX40" s="50" t="str">
        <f t="shared" si="87"/>
        <v/>
      </c>
      <c r="GY40" s="50" t="str">
        <f t="shared" si="87"/>
        <v/>
      </c>
      <c r="GZ40" s="50" t="str">
        <f t="shared" si="87"/>
        <v/>
      </c>
      <c r="HA40" s="50" t="str">
        <f t="shared" si="87"/>
        <v/>
      </c>
      <c r="HB40" s="50" t="str">
        <f t="shared" si="87"/>
        <v/>
      </c>
      <c r="HC40" s="50" t="str">
        <f t="shared" si="87"/>
        <v/>
      </c>
      <c r="HD40" s="50" t="str">
        <f t="shared" si="87"/>
        <v/>
      </c>
      <c r="HE40" s="50" t="str">
        <f t="shared" si="87"/>
        <v/>
      </c>
      <c r="HF40" s="50" t="str">
        <f t="shared" si="87"/>
        <v/>
      </c>
      <c r="HG40" s="50" t="str">
        <f t="shared" si="87"/>
        <v/>
      </c>
      <c r="HH40" s="50" t="str">
        <f t="shared" si="87"/>
        <v/>
      </c>
      <c r="HI40" s="50" t="str">
        <f t="shared" si="87"/>
        <v/>
      </c>
      <c r="HJ40" s="50" t="str">
        <f t="shared" si="87"/>
        <v/>
      </c>
      <c r="HK40" s="50" t="str">
        <f t="shared" si="87"/>
        <v/>
      </c>
      <c r="HL40" s="50" t="str">
        <f t="shared" si="87"/>
        <v/>
      </c>
      <c r="HM40" s="50" t="str">
        <f t="shared" si="87"/>
        <v/>
      </c>
      <c r="HN40" s="50" t="str">
        <f t="shared" si="87"/>
        <v/>
      </c>
      <c r="HO40" s="50" t="str">
        <f t="shared" si="87"/>
        <v/>
      </c>
      <c r="HP40" s="50" t="str">
        <f t="shared" si="87"/>
        <v/>
      </c>
      <c r="HQ40" s="50" t="str">
        <f t="shared" si="87"/>
        <v/>
      </c>
      <c r="HR40" s="108" t="str">
        <f t="shared" si="87"/>
        <v/>
      </c>
    </row>
    <row r="41" spans="1:226" ht="11.1" customHeight="1" x14ac:dyDescent="0.25">
      <c r="A41" s="26"/>
      <c r="B41" s="27"/>
      <c r="C41" s="28" t="str">
        <f>IF(A41=0,"",VLOOKUP(A41,[2]CO!$A$3:$F$5327,2,0))</f>
        <v/>
      </c>
      <c r="D41" s="29"/>
      <c r="E41" s="29"/>
      <c r="F41" s="98" t="str">
        <f t="shared" si="77"/>
        <v/>
      </c>
      <c r="G41" s="30" t="str">
        <f>IF(A41=0,"",VLOOKUP(A41,[2]CO!$A$3:$F$5327,3,0))</f>
        <v/>
      </c>
      <c r="H41" s="91"/>
      <c r="I41" s="31"/>
      <c r="J41" s="31"/>
      <c r="K41" s="31"/>
      <c r="L41" s="31"/>
      <c r="M41" s="32" t="str">
        <f t="shared" si="78"/>
        <v/>
      </c>
      <c r="N41" s="32" t="str">
        <f>IF(B41=0,"",IF(H41="M",HLOOKUP(B41,$Y$12:$DT$13,2),IF(A41=0,"",VLOOKUP(A41,[2]CO!$A$3:$F$5327,4,0))))</f>
        <v/>
      </c>
      <c r="O41" s="32" t="str">
        <f t="shared" si="27"/>
        <v/>
      </c>
      <c r="P41" s="33"/>
      <c r="Q41" s="34" t="str">
        <f t="shared" si="79"/>
        <v/>
      </c>
      <c r="R41" s="35"/>
      <c r="T41" s="53" t="str">
        <f>IF(A41=0,"",VLOOKUP(A41,[2]CO!$A$3:$F$5318,5,0))</f>
        <v/>
      </c>
      <c r="U41" s="54">
        <f t="shared" si="42"/>
        <v>0</v>
      </c>
      <c r="V41" s="24"/>
      <c r="W41" s="25"/>
      <c r="X41" s="25"/>
      <c r="Y41" s="60" t="str">
        <f t="shared" si="80"/>
        <v/>
      </c>
      <c r="Z41" s="55" t="str">
        <f t="shared" si="80"/>
        <v/>
      </c>
      <c r="AA41" s="55" t="str">
        <f t="shared" si="80"/>
        <v/>
      </c>
      <c r="AB41" s="55" t="str">
        <f t="shared" si="80"/>
        <v/>
      </c>
      <c r="AC41" s="55" t="str">
        <f t="shared" si="80"/>
        <v/>
      </c>
      <c r="AD41" s="55" t="str">
        <f t="shared" si="80"/>
        <v/>
      </c>
      <c r="AE41" s="55" t="str">
        <f t="shared" si="80"/>
        <v/>
      </c>
      <c r="AF41" s="55" t="str">
        <f t="shared" si="80"/>
        <v/>
      </c>
      <c r="AG41" s="55" t="str">
        <f t="shared" si="80"/>
        <v/>
      </c>
      <c r="AH41" s="55" t="str">
        <f t="shared" si="80"/>
        <v/>
      </c>
      <c r="AI41" s="55" t="str">
        <f t="shared" si="80"/>
        <v/>
      </c>
      <c r="AJ41" s="55" t="str">
        <f t="shared" si="80"/>
        <v/>
      </c>
      <c r="AK41" s="55" t="str">
        <f t="shared" si="80"/>
        <v/>
      </c>
      <c r="AL41" s="55" t="str">
        <f t="shared" si="80"/>
        <v/>
      </c>
      <c r="AM41" s="55" t="str">
        <f t="shared" si="80"/>
        <v/>
      </c>
      <c r="AN41" s="55" t="str">
        <f t="shared" si="80"/>
        <v/>
      </c>
      <c r="AO41" s="55" t="str">
        <f t="shared" si="81"/>
        <v/>
      </c>
      <c r="AP41" s="55" t="str">
        <f t="shared" si="81"/>
        <v/>
      </c>
      <c r="AQ41" s="55" t="str">
        <f t="shared" si="81"/>
        <v/>
      </c>
      <c r="AR41" s="55" t="str">
        <f t="shared" si="81"/>
        <v/>
      </c>
      <c r="AS41" s="55" t="str">
        <f t="shared" si="81"/>
        <v/>
      </c>
      <c r="AT41" s="55" t="str">
        <f t="shared" si="81"/>
        <v/>
      </c>
      <c r="AU41" s="55" t="str">
        <f t="shared" si="81"/>
        <v/>
      </c>
      <c r="AV41" s="55" t="str">
        <f t="shared" si="81"/>
        <v/>
      </c>
      <c r="AW41" s="55" t="str">
        <f t="shared" si="81"/>
        <v/>
      </c>
      <c r="AX41" s="55" t="str">
        <f t="shared" si="81"/>
        <v/>
      </c>
      <c r="AY41" s="55" t="str">
        <f t="shared" si="81"/>
        <v/>
      </c>
      <c r="AZ41" s="55" t="str">
        <f t="shared" si="81"/>
        <v/>
      </c>
      <c r="BA41" s="55" t="str">
        <f t="shared" si="81"/>
        <v/>
      </c>
      <c r="BB41" s="55" t="str">
        <f t="shared" si="81"/>
        <v/>
      </c>
      <c r="BC41" s="55" t="str">
        <f t="shared" si="81"/>
        <v/>
      </c>
      <c r="BD41" s="55" t="str">
        <f t="shared" si="81"/>
        <v/>
      </c>
      <c r="BE41" s="55" t="str">
        <f t="shared" si="82"/>
        <v/>
      </c>
      <c r="BF41" s="55" t="str">
        <f t="shared" si="82"/>
        <v/>
      </c>
      <c r="BG41" s="55" t="str">
        <f t="shared" si="82"/>
        <v/>
      </c>
      <c r="BH41" s="55" t="str">
        <f t="shared" si="82"/>
        <v/>
      </c>
      <c r="BI41" s="55" t="str">
        <f t="shared" si="82"/>
        <v/>
      </c>
      <c r="BJ41" s="55" t="str">
        <f t="shared" si="82"/>
        <v/>
      </c>
      <c r="BK41" s="55" t="str">
        <f t="shared" si="82"/>
        <v/>
      </c>
      <c r="BL41" s="55" t="str">
        <f t="shared" si="82"/>
        <v/>
      </c>
      <c r="BM41" s="55" t="str">
        <f t="shared" si="82"/>
        <v/>
      </c>
      <c r="BN41" s="55" t="str">
        <f t="shared" si="82"/>
        <v/>
      </c>
      <c r="BO41" s="55" t="str">
        <f t="shared" si="82"/>
        <v/>
      </c>
      <c r="BP41" s="55" t="str">
        <f t="shared" si="82"/>
        <v/>
      </c>
      <c r="BQ41" s="55" t="str">
        <f t="shared" si="82"/>
        <v/>
      </c>
      <c r="BR41" s="55" t="str">
        <f t="shared" si="82"/>
        <v/>
      </c>
      <c r="BS41" s="55" t="str">
        <f t="shared" si="82"/>
        <v/>
      </c>
      <c r="BT41" s="55" t="str">
        <f t="shared" si="82"/>
        <v/>
      </c>
      <c r="BU41" s="55" t="str">
        <f t="shared" si="83"/>
        <v/>
      </c>
      <c r="BV41" s="55" t="str">
        <f t="shared" si="83"/>
        <v/>
      </c>
      <c r="BW41" s="55" t="str">
        <f t="shared" si="83"/>
        <v/>
      </c>
      <c r="BX41" s="55" t="str">
        <f t="shared" si="83"/>
        <v/>
      </c>
      <c r="BY41" s="55" t="str">
        <f t="shared" si="83"/>
        <v/>
      </c>
      <c r="BZ41" s="55" t="str">
        <f t="shared" si="83"/>
        <v/>
      </c>
      <c r="CA41" s="55" t="str">
        <f t="shared" si="83"/>
        <v/>
      </c>
      <c r="CB41" s="55" t="str">
        <f t="shared" si="83"/>
        <v/>
      </c>
      <c r="CC41" s="55" t="str">
        <f t="shared" si="83"/>
        <v/>
      </c>
      <c r="CD41" s="55" t="str">
        <f t="shared" si="83"/>
        <v/>
      </c>
      <c r="CE41" s="55" t="str">
        <f t="shared" si="83"/>
        <v/>
      </c>
      <c r="CF41" s="55" t="str">
        <f t="shared" si="83"/>
        <v/>
      </c>
      <c r="CG41" s="55" t="str">
        <f t="shared" si="83"/>
        <v/>
      </c>
      <c r="CH41" s="55" t="str">
        <f t="shared" si="83"/>
        <v/>
      </c>
      <c r="CI41" s="55" t="str">
        <f t="shared" si="83"/>
        <v/>
      </c>
      <c r="CJ41" s="55" t="str">
        <f t="shared" si="83"/>
        <v/>
      </c>
      <c r="CK41" s="55" t="str">
        <f t="shared" si="83"/>
        <v/>
      </c>
      <c r="CL41" s="55" t="str">
        <f t="shared" si="83"/>
        <v/>
      </c>
      <c r="CM41" s="55" t="str">
        <f t="shared" si="83"/>
        <v/>
      </c>
      <c r="CN41" s="55" t="str">
        <f t="shared" si="83"/>
        <v/>
      </c>
      <c r="CO41" s="55" t="str">
        <f t="shared" si="83"/>
        <v/>
      </c>
      <c r="CP41" s="55" t="str">
        <f t="shared" si="83"/>
        <v/>
      </c>
      <c r="CQ41" s="55" t="str">
        <f t="shared" si="83"/>
        <v/>
      </c>
      <c r="CR41" s="55" t="str">
        <f t="shared" si="83"/>
        <v/>
      </c>
      <c r="CS41" s="55" t="str">
        <f t="shared" si="83"/>
        <v/>
      </c>
      <c r="CT41" s="55" t="str">
        <f t="shared" si="83"/>
        <v/>
      </c>
      <c r="CU41" s="55" t="str">
        <f t="shared" si="83"/>
        <v/>
      </c>
      <c r="CV41" s="55" t="str">
        <f t="shared" si="83"/>
        <v/>
      </c>
      <c r="CW41" s="55" t="str">
        <f t="shared" si="83"/>
        <v/>
      </c>
      <c r="CX41" s="55" t="str">
        <f t="shared" si="83"/>
        <v/>
      </c>
      <c r="CY41" s="55" t="str">
        <f t="shared" si="83"/>
        <v/>
      </c>
      <c r="CZ41" s="55" t="str">
        <f t="shared" si="83"/>
        <v/>
      </c>
      <c r="DA41" s="55" t="str">
        <f t="shared" si="83"/>
        <v/>
      </c>
      <c r="DB41" s="55" t="str">
        <f t="shared" si="83"/>
        <v/>
      </c>
      <c r="DC41" s="55" t="str">
        <f t="shared" si="83"/>
        <v/>
      </c>
      <c r="DD41" s="55" t="str">
        <f t="shared" si="83"/>
        <v/>
      </c>
      <c r="DE41" s="55" t="str">
        <f t="shared" si="83"/>
        <v/>
      </c>
      <c r="DF41" s="55" t="str">
        <f t="shared" si="83"/>
        <v/>
      </c>
      <c r="DG41" s="55" t="str">
        <f t="shared" si="83"/>
        <v/>
      </c>
      <c r="DH41" s="55" t="str">
        <f t="shared" si="83"/>
        <v/>
      </c>
      <c r="DI41" s="55" t="str">
        <f t="shared" si="83"/>
        <v/>
      </c>
      <c r="DJ41" s="55" t="str">
        <f t="shared" si="83"/>
        <v/>
      </c>
      <c r="DK41" s="55" t="str">
        <f t="shared" si="83"/>
        <v/>
      </c>
      <c r="DL41" s="55" t="str">
        <f t="shared" si="83"/>
        <v/>
      </c>
      <c r="DM41" s="55" t="str">
        <f t="shared" si="83"/>
        <v/>
      </c>
      <c r="DN41" s="55" t="str">
        <f t="shared" si="83"/>
        <v/>
      </c>
      <c r="DO41" s="55" t="str">
        <f t="shared" si="83"/>
        <v/>
      </c>
      <c r="DP41" s="55" t="str">
        <f t="shared" ref="DP41:DT43" si="88">IF($B41=DP$12,$U41,"")</f>
        <v/>
      </c>
      <c r="DQ41" s="55" t="str">
        <f t="shared" si="88"/>
        <v/>
      </c>
      <c r="DR41" s="55" t="str">
        <f t="shared" si="88"/>
        <v/>
      </c>
      <c r="DS41" s="55" t="str">
        <f t="shared" si="88"/>
        <v/>
      </c>
      <c r="DT41" s="103" t="str">
        <f t="shared" si="88"/>
        <v/>
      </c>
      <c r="DU41" s="54"/>
      <c r="DV41" s="25"/>
      <c r="DW41" s="59" t="str">
        <f t="shared" si="84"/>
        <v/>
      </c>
      <c r="DX41" s="50" t="str">
        <f t="shared" si="84"/>
        <v/>
      </c>
      <c r="DY41" s="50" t="str">
        <f t="shared" si="84"/>
        <v/>
      </c>
      <c r="DZ41" s="50" t="str">
        <f t="shared" si="84"/>
        <v/>
      </c>
      <c r="EA41" s="50" t="str">
        <f t="shared" si="84"/>
        <v/>
      </c>
      <c r="EB41" s="50" t="str">
        <f t="shared" si="84"/>
        <v/>
      </c>
      <c r="EC41" s="50" t="str">
        <f t="shared" si="84"/>
        <v/>
      </c>
      <c r="ED41" s="50" t="str">
        <f t="shared" si="84"/>
        <v/>
      </c>
      <c r="EE41" s="50" t="str">
        <f t="shared" si="84"/>
        <v/>
      </c>
      <c r="EF41" s="50" t="str">
        <f t="shared" si="84"/>
        <v/>
      </c>
      <c r="EG41" s="50" t="str">
        <f t="shared" si="84"/>
        <v/>
      </c>
      <c r="EH41" s="50" t="str">
        <f t="shared" si="84"/>
        <v/>
      </c>
      <c r="EI41" s="50" t="str">
        <f t="shared" si="84"/>
        <v/>
      </c>
      <c r="EJ41" s="50" t="str">
        <f t="shared" si="84"/>
        <v/>
      </c>
      <c r="EK41" s="50" t="str">
        <f t="shared" si="84"/>
        <v/>
      </c>
      <c r="EL41" s="50" t="str">
        <f t="shared" si="84"/>
        <v/>
      </c>
      <c r="EM41" s="50" t="str">
        <f t="shared" si="85"/>
        <v/>
      </c>
      <c r="EN41" s="50" t="str">
        <f t="shared" si="85"/>
        <v/>
      </c>
      <c r="EO41" s="50" t="str">
        <f t="shared" si="85"/>
        <v/>
      </c>
      <c r="EP41" s="50" t="str">
        <f t="shared" si="85"/>
        <v/>
      </c>
      <c r="EQ41" s="50" t="str">
        <f t="shared" si="85"/>
        <v/>
      </c>
      <c r="ER41" s="50" t="str">
        <f t="shared" si="85"/>
        <v/>
      </c>
      <c r="ES41" s="50" t="str">
        <f t="shared" si="85"/>
        <v/>
      </c>
      <c r="ET41" s="50" t="str">
        <f t="shared" si="85"/>
        <v/>
      </c>
      <c r="EU41" s="50" t="str">
        <f t="shared" si="85"/>
        <v/>
      </c>
      <c r="EV41" s="50" t="str">
        <f t="shared" si="85"/>
        <v/>
      </c>
      <c r="EW41" s="50" t="str">
        <f t="shared" si="85"/>
        <v/>
      </c>
      <c r="EX41" s="50" t="str">
        <f t="shared" si="85"/>
        <v/>
      </c>
      <c r="EY41" s="50" t="str">
        <f t="shared" si="85"/>
        <v/>
      </c>
      <c r="EZ41" s="50" t="str">
        <f t="shared" si="85"/>
        <v/>
      </c>
      <c r="FA41" s="50" t="str">
        <f t="shared" si="85"/>
        <v/>
      </c>
      <c r="FB41" s="50" t="str">
        <f t="shared" si="85"/>
        <v/>
      </c>
      <c r="FC41" s="50" t="str">
        <f t="shared" si="86"/>
        <v/>
      </c>
      <c r="FD41" s="50" t="str">
        <f t="shared" si="86"/>
        <v/>
      </c>
      <c r="FE41" s="50" t="str">
        <f t="shared" si="86"/>
        <v/>
      </c>
      <c r="FF41" s="50" t="str">
        <f t="shared" si="86"/>
        <v/>
      </c>
      <c r="FG41" s="50" t="str">
        <f t="shared" si="86"/>
        <v/>
      </c>
      <c r="FH41" s="50" t="str">
        <f t="shared" si="86"/>
        <v/>
      </c>
      <c r="FI41" s="50" t="str">
        <f t="shared" si="86"/>
        <v/>
      </c>
      <c r="FJ41" s="50" t="str">
        <f t="shared" si="86"/>
        <v/>
      </c>
      <c r="FK41" s="50" t="str">
        <f t="shared" si="86"/>
        <v/>
      </c>
      <c r="FL41" s="50" t="str">
        <f t="shared" si="86"/>
        <v/>
      </c>
      <c r="FM41" s="50" t="str">
        <f t="shared" si="86"/>
        <v/>
      </c>
      <c r="FN41" s="50" t="str">
        <f t="shared" si="86"/>
        <v/>
      </c>
      <c r="FO41" s="50" t="str">
        <f t="shared" si="86"/>
        <v/>
      </c>
      <c r="FP41" s="50" t="str">
        <f t="shared" si="86"/>
        <v/>
      </c>
      <c r="FQ41" s="50" t="str">
        <f t="shared" si="86"/>
        <v/>
      </c>
      <c r="FR41" s="50" t="str">
        <f t="shared" si="86"/>
        <v/>
      </c>
      <c r="FS41" s="50" t="str">
        <f t="shared" si="87"/>
        <v/>
      </c>
      <c r="FT41" s="50" t="str">
        <f t="shared" si="87"/>
        <v/>
      </c>
      <c r="FU41" s="50" t="str">
        <f t="shared" si="87"/>
        <v/>
      </c>
      <c r="FV41" s="50" t="str">
        <f t="shared" si="87"/>
        <v/>
      </c>
      <c r="FW41" s="50" t="str">
        <f t="shared" si="87"/>
        <v/>
      </c>
      <c r="FX41" s="50" t="str">
        <f t="shared" si="87"/>
        <v/>
      </c>
      <c r="FY41" s="50" t="str">
        <f t="shared" si="87"/>
        <v/>
      </c>
      <c r="FZ41" s="50" t="str">
        <f t="shared" si="87"/>
        <v/>
      </c>
      <c r="GA41" s="50" t="str">
        <f t="shared" si="87"/>
        <v/>
      </c>
      <c r="GB41" s="50" t="str">
        <f t="shared" si="87"/>
        <v/>
      </c>
      <c r="GC41" s="50" t="str">
        <f t="shared" si="87"/>
        <v/>
      </c>
      <c r="GD41" s="50" t="str">
        <f t="shared" si="87"/>
        <v/>
      </c>
      <c r="GE41" s="50" t="str">
        <f t="shared" si="87"/>
        <v/>
      </c>
      <c r="GF41" s="50" t="str">
        <f t="shared" si="87"/>
        <v/>
      </c>
      <c r="GG41" s="50" t="str">
        <f t="shared" si="87"/>
        <v/>
      </c>
      <c r="GH41" s="50" t="str">
        <f t="shared" si="87"/>
        <v/>
      </c>
      <c r="GI41" s="50" t="str">
        <f t="shared" si="87"/>
        <v/>
      </c>
      <c r="GJ41" s="50" t="str">
        <f t="shared" si="87"/>
        <v/>
      </c>
      <c r="GK41" s="50" t="str">
        <f t="shared" si="87"/>
        <v/>
      </c>
      <c r="GL41" s="50" t="str">
        <f t="shared" si="87"/>
        <v/>
      </c>
      <c r="GM41" s="50" t="str">
        <f t="shared" si="87"/>
        <v/>
      </c>
      <c r="GN41" s="50" t="str">
        <f t="shared" si="87"/>
        <v/>
      </c>
      <c r="GO41" s="50" t="str">
        <f t="shared" si="87"/>
        <v/>
      </c>
      <c r="GP41" s="50" t="str">
        <f t="shared" si="87"/>
        <v/>
      </c>
      <c r="GQ41" s="50" t="str">
        <f t="shared" si="87"/>
        <v/>
      </c>
      <c r="GR41" s="50" t="str">
        <f t="shared" si="87"/>
        <v/>
      </c>
      <c r="GS41" s="50" t="str">
        <f t="shared" si="87"/>
        <v/>
      </c>
      <c r="GT41" s="50" t="str">
        <f t="shared" si="87"/>
        <v/>
      </c>
      <c r="GU41" s="50" t="str">
        <f t="shared" si="87"/>
        <v/>
      </c>
      <c r="GV41" s="50" t="str">
        <f t="shared" si="87"/>
        <v/>
      </c>
      <c r="GW41" s="50" t="str">
        <f t="shared" si="87"/>
        <v/>
      </c>
      <c r="GX41" s="50" t="str">
        <f t="shared" si="87"/>
        <v/>
      </c>
      <c r="GY41" s="50" t="str">
        <f t="shared" si="87"/>
        <v/>
      </c>
      <c r="GZ41" s="50" t="str">
        <f t="shared" si="87"/>
        <v/>
      </c>
      <c r="HA41" s="50" t="str">
        <f t="shared" si="87"/>
        <v/>
      </c>
      <c r="HB41" s="50" t="str">
        <f t="shared" si="87"/>
        <v/>
      </c>
      <c r="HC41" s="50" t="str">
        <f t="shared" si="87"/>
        <v/>
      </c>
      <c r="HD41" s="50" t="str">
        <f t="shared" si="87"/>
        <v/>
      </c>
      <c r="HE41" s="50" t="str">
        <f t="shared" si="87"/>
        <v/>
      </c>
      <c r="HF41" s="50" t="str">
        <f t="shared" si="87"/>
        <v/>
      </c>
      <c r="HG41" s="50" t="str">
        <f t="shared" si="87"/>
        <v/>
      </c>
      <c r="HH41" s="50" t="str">
        <f t="shared" si="87"/>
        <v/>
      </c>
      <c r="HI41" s="50" t="str">
        <f t="shared" si="87"/>
        <v/>
      </c>
      <c r="HJ41" s="50" t="str">
        <f t="shared" si="87"/>
        <v/>
      </c>
      <c r="HK41" s="50" t="str">
        <f t="shared" si="87"/>
        <v/>
      </c>
      <c r="HL41" s="50" t="str">
        <f t="shared" si="87"/>
        <v/>
      </c>
      <c r="HM41" s="50" t="str">
        <f t="shared" si="87"/>
        <v/>
      </c>
      <c r="HN41" s="50" t="str">
        <f t="shared" ref="HN41:HR43" si="89">IF($B41=HN$12,$O41,"")</f>
        <v/>
      </c>
      <c r="HO41" s="50" t="str">
        <f t="shared" si="89"/>
        <v/>
      </c>
      <c r="HP41" s="50" t="str">
        <f t="shared" si="89"/>
        <v/>
      </c>
      <c r="HQ41" s="50" t="str">
        <f t="shared" si="89"/>
        <v/>
      </c>
      <c r="HR41" s="108" t="str">
        <f t="shared" si="89"/>
        <v/>
      </c>
    </row>
    <row r="42" spans="1:226" ht="11.1" customHeight="1" x14ac:dyDescent="0.25">
      <c r="A42" s="26"/>
      <c r="B42" s="27"/>
      <c r="C42" s="28" t="str">
        <f>IF(A42=0,"",VLOOKUP(A42,[2]CO!$A$3:$F$5327,2,0))</f>
        <v/>
      </c>
      <c r="D42" s="29"/>
      <c r="E42" s="29"/>
      <c r="F42" s="98" t="str">
        <f t="shared" si="77"/>
        <v/>
      </c>
      <c r="G42" s="30" t="str">
        <f>IF(A42=0,"",VLOOKUP(A42,[2]CO!$A$3:$F$5327,3,0))</f>
        <v/>
      </c>
      <c r="H42" s="91"/>
      <c r="I42" s="31"/>
      <c r="J42" s="31"/>
      <c r="K42" s="31"/>
      <c r="L42" s="31"/>
      <c r="M42" s="32" t="str">
        <f t="shared" si="78"/>
        <v/>
      </c>
      <c r="N42" s="32" t="str">
        <f>IF(B42=0,"",IF(H42="M",HLOOKUP(B42,$Y$12:$DT$13,2),IF(A42=0,"",VLOOKUP(A42,[2]CO!$A$3:$F$5327,4,0))))</f>
        <v/>
      </c>
      <c r="O42" s="32" t="str">
        <f t="shared" si="27"/>
        <v/>
      </c>
      <c r="P42" s="33"/>
      <c r="Q42" s="34" t="str">
        <f t="shared" si="79"/>
        <v/>
      </c>
      <c r="R42" s="35"/>
      <c r="T42" s="53" t="str">
        <f>IF(A42=0,"",VLOOKUP(A42,[2]CO!$A$3:$F$5318,5,0))</f>
        <v/>
      </c>
      <c r="U42" s="54">
        <f t="shared" si="42"/>
        <v>0</v>
      </c>
      <c r="V42" s="24"/>
      <c r="W42" s="25"/>
      <c r="X42" s="25"/>
      <c r="Y42" s="60" t="str">
        <f t="shared" si="80"/>
        <v/>
      </c>
      <c r="Z42" s="55" t="str">
        <f t="shared" si="80"/>
        <v/>
      </c>
      <c r="AA42" s="55" t="str">
        <f t="shared" si="80"/>
        <v/>
      </c>
      <c r="AB42" s="55" t="str">
        <f t="shared" si="80"/>
        <v/>
      </c>
      <c r="AC42" s="55" t="str">
        <f t="shared" si="80"/>
        <v/>
      </c>
      <c r="AD42" s="55" t="str">
        <f t="shared" si="80"/>
        <v/>
      </c>
      <c r="AE42" s="55" t="str">
        <f t="shared" si="80"/>
        <v/>
      </c>
      <c r="AF42" s="55" t="str">
        <f t="shared" si="80"/>
        <v/>
      </c>
      <c r="AG42" s="55" t="str">
        <f t="shared" si="80"/>
        <v/>
      </c>
      <c r="AH42" s="55" t="str">
        <f t="shared" si="80"/>
        <v/>
      </c>
      <c r="AI42" s="55" t="str">
        <f t="shared" si="80"/>
        <v/>
      </c>
      <c r="AJ42" s="55" t="str">
        <f t="shared" si="80"/>
        <v/>
      </c>
      <c r="AK42" s="55" t="str">
        <f t="shared" si="80"/>
        <v/>
      </c>
      <c r="AL42" s="55" t="str">
        <f t="shared" si="80"/>
        <v/>
      </c>
      <c r="AM42" s="55" t="str">
        <f t="shared" si="80"/>
        <v/>
      </c>
      <c r="AN42" s="55" t="str">
        <f t="shared" si="80"/>
        <v/>
      </c>
      <c r="AO42" s="55" t="str">
        <f t="shared" si="81"/>
        <v/>
      </c>
      <c r="AP42" s="55" t="str">
        <f t="shared" si="81"/>
        <v/>
      </c>
      <c r="AQ42" s="55" t="str">
        <f t="shared" si="81"/>
        <v/>
      </c>
      <c r="AR42" s="55" t="str">
        <f t="shared" si="81"/>
        <v/>
      </c>
      <c r="AS42" s="55" t="str">
        <f t="shared" si="81"/>
        <v/>
      </c>
      <c r="AT42" s="55" t="str">
        <f t="shared" si="81"/>
        <v/>
      </c>
      <c r="AU42" s="55" t="str">
        <f t="shared" si="81"/>
        <v/>
      </c>
      <c r="AV42" s="55" t="str">
        <f t="shared" si="81"/>
        <v/>
      </c>
      <c r="AW42" s="55" t="str">
        <f t="shared" si="81"/>
        <v/>
      </c>
      <c r="AX42" s="55" t="str">
        <f t="shared" si="81"/>
        <v/>
      </c>
      <c r="AY42" s="55" t="str">
        <f t="shared" si="81"/>
        <v/>
      </c>
      <c r="AZ42" s="55" t="str">
        <f t="shared" si="81"/>
        <v/>
      </c>
      <c r="BA42" s="55" t="str">
        <f t="shared" si="81"/>
        <v/>
      </c>
      <c r="BB42" s="55" t="str">
        <f t="shared" si="81"/>
        <v/>
      </c>
      <c r="BC42" s="55" t="str">
        <f t="shared" si="81"/>
        <v/>
      </c>
      <c r="BD42" s="55" t="str">
        <f t="shared" si="81"/>
        <v/>
      </c>
      <c r="BE42" s="55" t="str">
        <f t="shared" si="82"/>
        <v/>
      </c>
      <c r="BF42" s="55" t="str">
        <f t="shared" si="82"/>
        <v/>
      </c>
      <c r="BG42" s="55" t="str">
        <f t="shared" si="82"/>
        <v/>
      </c>
      <c r="BH42" s="55" t="str">
        <f t="shared" si="82"/>
        <v/>
      </c>
      <c r="BI42" s="55" t="str">
        <f t="shared" si="82"/>
        <v/>
      </c>
      <c r="BJ42" s="55" t="str">
        <f t="shared" si="82"/>
        <v/>
      </c>
      <c r="BK42" s="55" t="str">
        <f t="shared" si="82"/>
        <v/>
      </c>
      <c r="BL42" s="55" t="str">
        <f t="shared" si="82"/>
        <v/>
      </c>
      <c r="BM42" s="55" t="str">
        <f t="shared" si="82"/>
        <v/>
      </c>
      <c r="BN42" s="55" t="str">
        <f t="shared" si="82"/>
        <v/>
      </c>
      <c r="BO42" s="55" t="str">
        <f t="shared" si="82"/>
        <v/>
      </c>
      <c r="BP42" s="55" t="str">
        <f t="shared" si="82"/>
        <v/>
      </c>
      <c r="BQ42" s="55" t="str">
        <f t="shared" si="82"/>
        <v/>
      </c>
      <c r="BR42" s="55" t="str">
        <f t="shared" si="82"/>
        <v/>
      </c>
      <c r="BS42" s="55" t="str">
        <f t="shared" si="82"/>
        <v/>
      </c>
      <c r="BT42" s="55" t="str">
        <f t="shared" si="82"/>
        <v/>
      </c>
      <c r="BU42" s="55" t="str">
        <f t="shared" ref="BU42:DP43" si="90">IF($B42=BU$12,$U42,"")</f>
        <v/>
      </c>
      <c r="BV42" s="55" t="str">
        <f t="shared" si="90"/>
        <v/>
      </c>
      <c r="BW42" s="55" t="str">
        <f t="shared" si="90"/>
        <v/>
      </c>
      <c r="BX42" s="55" t="str">
        <f t="shared" si="90"/>
        <v/>
      </c>
      <c r="BY42" s="55" t="str">
        <f t="shared" si="90"/>
        <v/>
      </c>
      <c r="BZ42" s="55" t="str">
        <f t="shared" si="90"/>
        <v/>
      </c>
      <c r="CA42" s="55" t="str">
        <f t="shared" si="90"/>
        <v/>
      </c>
      <c r="CB42" s="55" t="str">
        <f t="shared" si="90"/>
        <v/>
      </c>
      <c r="CC42" s="55" t="str">
        <f t="shared" si="90"/>
        <v/>
      </c>
      <c r="CD42" s="55" t="str">
        <f t="shared" si="90"/>
        <v/>
      </c>
      <c r="CE42" s="55" t="str">
        <f t="shared" si="90"/>
        <v/>
      </c>
      <c r="CF42" s="55" t="str">
        <f t="shared" si="90"/>
        <v/>
      </c>
      <c r="CG42" s="55" t="str">
        <f t="shared" si="90"/>
        <v/>
      </c>
      <c r="CH42" s="55" t="str">
        <f t="shared" si="90"/>
        <v/>
      </c>
      <c r="CI42" s="55" t="str">
        <f t="shared" si="90"/>
        <v/>
      </c>
      <c r="CJ42" s="55" t="str">
        <f t="shared" si="90"/>
        <v/>
      </c>
      <c r="CK42" s="55" t="str">
        <f t="shared" si="90"/>
        <v/>
      </c>
      <c r="CL42" s="55" t="str">
        <f t="shared" si="90"/>
        <v/>
      </c>
      <c r="CM42" s="55" t="str">
        <f t="shared" si="90"/>
        <v/>
      </c>
      <c r="CN42" s="55" t="str">
        <f t="shared" si="90"/>
        <v/>
      </c>
      <c r="CO42" s="55" t="str">
        <f t="shared" si="90"/>
        <v/>
      </c>
      <c r="CP42" s="55" t="str">
        <f t="shared" si="90"/>
        <v/>
      </c>
      <c r="CQ42" s="55" t="str">
        <f t="shared" si="90"/>
        <v/>
      </c>
      <c r="CR42" s="55" t="str">
        <f t="shared" si="90"/>
        <v/>
      </c>
      <c r="CS42" s="55" t="str">
        <f t="shared" si="90"/>
        <v/>
      </c>
      <c r="CT42" s="55" t="str">
        <f t="shared" si="90"/>
        <v/>
      </c>
      <c r="CU42" s="55" t="str">
        <f t="shared" si="90"/>
        <v/>
      </c>
      <c r="CV42" s="55" t="str">
        <f t="shared" si="90"/>
        <v/>
      </c>
      <c r="CW42" s="55" t="str">
        <f t="shared" si="90"/>
        <v/>
      </c>
      <c r="CX42" s="55" t="str">
        <f t="shared" si="90"/>
        <v/>
      </c>
      <c r="CY42" s="55" t="str">
        <f t="shared" si="90"/>
        <v/>
      </c>
      <c r="CZ42" s="55" t="str">
        <f t="shared" si="90"/>
        <v/>
      </c>
      <c r="DA42" s="55" t="str">
        <f t="shared" si="90"/>
        <v/>
      </c>
      <c r="DB42" s="55" t="str">
        <f t="shared" si="90"/>
        <v/>
      </c>
      <c r="DC42" s="55" t="str">
        <f t="shared" si="90"/>
        <v/>
      </c>
      <c r="DD42" s="55" t="str">
        <f t="shared" si="90"/>
        <v/>
      </c>
      <c r="DE42" s="55" t="str">
        <f t="shared" si="90"/>
        <v/>
      </c>
      <c r="DF42" s="55" t="str">
        <f t="shared" si="90"/>
        <v/>
      </c>
      <c r="DG42" s="55" t="str">
        <f t="shared" si="90"/>
        <v/>
      </c>
      <c r="DH42" s="55" t="str">
        <f t="shared" si="90"/>
        <v/>
      </c>
      <c r="DI42" s="55" t="str">
        <f t="shared" si="90"/>
        <v/>
      </c>
      <c r="DJ42" s="55" t="str">
        <f t="shared" si="90"/>
        <v/>
      </c>
      <c r="DK42" s="55" t="str">
        <f t="shared" si="90"/>
        <v/>
      </c>
      <c r="DL42" s="55" t="str">
        <f t="shared" si="90"/>
        <v/>
      </c>
      <c r="DM42" s="55" t="str">
        <f t="shared" si="90"/>
        <v/>
      </c>
      <c r="DN42" s="55" t="str">
        <f t="shared" si="90"/>
        <v/>
      </c>
      <c r="DO42" s="55" t="str">
        <f t="shared" si="90"/>
        <v/>
      </c>
      <c r="DP42" s="55" t="str">
        <f t="shared" si="88"/>
        <v/>
      </c>
      <c r="DQ42" s="55" t="str">
        <f t="shared" si="88"/>
        <v/>
      </c>
      <c r="DR42" s="55" t="str">
        <f t="shared" si="88"/>
        <v/>
      </c>
      <c r="DS42" s="55" t="str">
        <f t="shared" si="88"/>
        <v/>
      </c>
      <c r="DT42" s="103" t="str">
        <f t="shared" si="88"/>
        <v/>
      </c>
      <c r="DU42" s="54"/>
      <c r="DV42" s="25"/>
      <c r="DW42" s="59" t="str">
        <f t="shared" si="84"/>
        <v/>
      </c>
      <c r="DX42" s="50" t="str">
        <f t="shared" si="84"/>
        <v/>
      </c>
      <c r="DY42" s="50" t="str">
        <f t="shared" si="84"/>
        <v/>
      </c>
      <c r="DZ42" s="50" t="str">
        <f t="shared" si="84"/>
        <v/>
      </c>
      <c r="EA42" s="50" t="str">
        <f t="shared" si="84"/>
        <v/>
      </c>
      <c r="EB42" s="50" t="str">
        <f t="shared" si="84"/>
        <v/>
      </c>
      <c r="EC42" s="50" t="str">
        <f t="shared" si="84"/>
        <v/>
      </c>
      <c r="ED42" s="50" t="str">
        <f t="shared" si="84"/>
        <v/>
      </c>
      <c r="EE42" s="50" t="str">
        <f t="shared" si="84"/>
        <v/>
      </c>
      <c r="EF42" s="50" t="str">
        <f t="shared" si="84"/>
        <v/>
      </c>
      <c r="EG42" s="50" t="str">
        <f t="shared" si="84"/>
        <v/>
      </c>
      <c r="EH42" s="50" t="str">
        <f t="shared" si="84"/>
        <v/>
      </c>
      <c r="EI42" s="50" t="str">
        <f t="shared" si="84"/>
        <v/>
      </c>
      <c r="EJ42" s="50" t="str">
        <f t="shared" si="84"/>
        <v/>
      </c>
      <c r="EK42" s="50" t="str">
        <f t="shared" si="84"/>
        <v/>
      </c>
      <c r="EL42" s="50" t="str">
        <f t="shared" si="84"/>
        <v/>
      </c>
      <c r="EM42" s="50" t="str">
        <f t="shared" si="85"/>
        <v/>
      </c>
      <c r="EN42" s="50" t="str">
        <f t="shared" si="85"/>
        <v/>
      </c>
      <c r="EO42" s="50" t="str">
        <f t="shared" si="85"/>
        <v/>
      </c>
      <c r="EP42" s="50" t="str">
        <f t="shared" si="85"/>
        <v/>
      </c>
      <c r="EQ42" s="50" t="str">
        <f t="shared" si="85"/>
        <v/>
      </c>
      <c r="ER42" s="50" t="str">
        <f t="shared" si="85"/>
        <v/>
      </c>
      <c r="ES42" s="50" t="str">
        <f t="shared" si="85"/>
        <v/>
      </c>
      <c r="ET42" s="50" t="str">
        <f t="shared" si="85"/>
        <v/>
      </c>
      <c r="EU42" s="50" t="str">
        <f t="shared" si="85"/>
        <v/>
      </c>
      <c r="EV42" s="50" t="str">
        <f t="shared" si="85"/>
        <v/>
      </c>
      <c r="EW42" s="50" t="str">
        <f t="shared" si="85"/>
        <v/>
      </c>
      <c r="EX42" s="50" t="str">
        <f t="shared" si="85"/>
        <v/>
      </c>
      <c r="EY42" s="50" t="str">
        <f t="shared" si="85"/>
        <v/>
      </c>
      <c r="EZ42" s="50" t="str">
        <f t="shared" si="85"/>
        <v/>
      </c>
      <c r="FA42" s="50" t="str">
        <f t="shared" si="85"/>
        <v/>
      </c>
      <c r="FB42" s="50" t="str">
        <f t="shared" si="85"/>
        <v/>
      </c>
      <c r="FC42" s="50" t="str">
        <f t="shared" si="86"/>
        <v/>
      </c>
      <c r="FD42" s="50" t="str">
        <f t="shared" si="86"/>
        <v/>
      </c>
      <c r="FE42" s="50" t="str">
        <f t="shared" si="86"/>
        <v/>
      </c>
      <c r="FF42" s="50" t="str">
        <f t="shared" si="86"/>
        <v/>
      </c>
      <c r="FG42" s="50" t="str">
        <f t="shared" si="86"/>
        <v/>
      </c>
      <c r="FH42" s="50" t="str">
        <f t="shared" si="86"/>
        <v/>
      </c>
      <c r="FI42" s="50" t="str">
        <f t="shared" si="86"/>
        <v/>
      </c>
      <c r="FJ42" s="50" t="str">
        <f t="shared" si="86"/>
        <v/>
      </c>
      <c r="FK42" s="50" t="str">
        <f t="shared" si="86"/>
        <v/>
      </c>
      <c r="FL42" s="50" t="str">
        <f t="shared" si="86"/>
        <v/>
      </c>
      <c r="FM42" s="50" t="str">
        <f t="shared" si="86"/>
        <v/>
      </c>
      <c r="FN42" s="50" t="str">
        <f t="shared" si="86"/>
        <v/>
      </c>
      <c r="FO42" s="50" t="str">
        <f t="shared" si="86"/>
        <v/>
      </c>
      <c r="FP42" s="50" t="str">
        <f t="shared" si="86"/>
        <v/>
      </c>
      <c r="FQ42" s="50" t="str">
        <f t="shared" si="86"/>
        <v/>
      </c>
      <c r="FR42" s="50" t="str">
        <f t="shared" si="86"/>
        <v/>
      </c>
      <c r="FS42" s="50" t="str">
        <f t="shared" ref="FS42:HN43" si="91">IF($B42=FS$12,$O42,"")</f>
        <v/>
      </c>
      <c r="FT42" s="50" t="str">
        <f t="shared" si="91"/>
        <v/>
      </c>
      <c r="FU42" s="50" t="str">
        <f t="shared" si="91"/>
        <v/>
      </c>
      <c r="FV42" s="50" t="str">
        <f t="shared" si="91"/>
        <v/>
      </c>
      <c r="FW42" s="50" t="str">
        <f t="shared" si="91"/>
        <v/>
      </c>
      <c r="FX42" s="50" t="str">
        <f t="shared" si="91"/>
        <v/>
      </c>
      <c r="FY42" s="50" t="str">
        <f t="shared" si="91"/>
        <v/>
      </c>
      <c r="FZ42" s="50" t="str">
        <f t="shared" si="91"/>
        <v/>
      </c>
      <c r="GA42" s="50" t="str">
        <f t="shared" si="91"/>
        <v/>
      </c>
      <c r="GB42" s="50" t="str">
        <f t="shared" si="91"/>
        <v/>
      </c>
      <c r="GC42" s="50" t="str">
        <f t="shared" si="91"/>
        <v/>
      </c>
      <c r="GD42" s="50" t="str">
        <f t="shared" si="91"/>
        <v/>
      </c>
      <c r="GE42" s="50" t="str">
        <f t="shared" si="91"/>
        <v/>
      </c>
      <c r="GF42" s="50" t="str">
        <f t="shared" si="91"/>
        <v/>
      </c>
      <c r="GG42" s="50" t="str">
        <f t="shared" si="91"/>
        <v/>
      </c>
      <c r="GH42" s="50" t="str">
        <f t="shared" si="91"/>
        <v/>
      </c>
      <c r="GI42" s="50" t="str">
        <f t="shared" si="91"/>
        <v/>
      </c>
      <c r="GJ42" s="50" t="str">
        <f t="shared" si="91"/>
        <v/>
      </c>
      <c r="GK42" s="50" t="str">
        <f t="shared" si="91"/>
        <v/>
      </c>
      <c r="GL42" s="50" t="str">
        <f t="shared" si="91"/>
        <v/>
      </c>
      <c r="GM42" s="50" t="str">
        <f t="shared" si="91"/>
        <v/>
      </c>
      <c r="GN42" s="50" t="str">
        <f t="shared" si="91"/>
        <v/>
      </c>
      <c r="GO42" s="50" t="str">
        <f t="shared" si="91"/>
        <v/>
      </c>
      <c r="GP42" s="50" t="str">
        <f t="shared" si="91"/>
        <v/>
      </c>
      <c r="GQ42" s="50" t="str">
        <f t="shared" si="91"/>
        <v/>
      </c>
      <c r="GR42" s="50" t="str">
        <f t="shared" si="91"/>
        <v/>
      </c>
      <c r="GS42" s="50" t="str">
        <f t="shared" si="91"/>
        <v/>
      </c>
      <c r="GT42" s="50" t="str">
        <f t="shared" si="91"/>
        <v/>
      </c>
      <c r="GU42" s="50" t="str">
        <f t="shared" si="91"/>
        <v/>
      </c>
      <c r="GV42" s="50" t="str">
        <f t="shared" si="91"/>
        <v/>
      </c>
      <c r="GW42" s="50" t="str">
        <f t="shared" si="91"/>
        <v/>
      </c>
      <c r="GX42" s="50" t="str">
        <f t="shared" si="91"/>
        <v/>
      </c>
      <c r="GY42" s="50" t="str">
        <f t="shared" si="91"/>
        <v/>
      </c>
      <c r="GZ42" s="50" t="str">
        <f t="shared" si="91"/>
        <v/>
      </c>
      <c r="HA42" s="50" t="str">
        <f t="shared" si="91"/>
        <v/>
      </c>
      <c r="HB42" s="50" t="str">
        <f t="shared" si="91"/>
        <v/>
      </c>
      <c r="HC42" s="50" t="str">
        <f t="shared" si="91"/>
        <v/>
      </c>
      <c r="HD42" s="50" t="str">
        <f t="shared" si="91"/>
        <v/>
      </c>
      <c r="HE42" s="50" t="str">
        <f t="shared" si="91"/>
        <v/>
      </c>
      <c r="HF42" s="50" t="str">
        <f t="shared" si="91"/>
        <v/>
      </c>
      <c r="HG42" s="50" t="str">
        <f t="shared" si="91"/>
        <v/>
      </c>
      <c r="HH42" s="50" t="str">
        <f t="shared" si="91"/>
        <v/>
      </c>
      <c r="HI42" s="50" t="str">
        <f t="shared" si="91"/>
        <v/>
      </c>
      <c r="HJ42" s="50" t="str">
        <f t="shared" si="91"/>
        <v/>
      </c>
      <c r="HK42" s="50" t="str">
        <f t="shared" si="91"/>
        <v/>
      </c>
      <c r="HL42" s="50" t="str">
        <f t="shared" si="91"/>
        <v/>
      </c>
      <c r="HM42" s="50" t="str">
        <f t="shared" si="91"/>
        <v/>
      </c>
      <c r="HN42" s="50" t="str">
        <f t="shared" si="89"/>
        <v/>
      </c>
      <c r="HO42" s="50" t="str">
        <f t="shared" si="89"/>
        <v/>
      </c>
      <c r="HP42" s="50" t="str">
        <f t="shared" si="89"/>
        <v/>
      </c>
      <c r="HQ42" s="50" t="str">
        <f t="shared" si="89"/>
        <v/>
      </c>
      <c r="HR42" s="108" t="str">
        <f t="shared" si="89"/>
        <v/>
      </c>
    </row>
    <row r="43" spans="1:226" ht="11.1" customHeight="1" thickBot="1" x14ac:dyDescent="0.3">
      <c r="A43" s="36"/>
      <c r="B43" s="37"/>
      <c r="C43" s="38" t="str">
        <f>IF(A43=0,"",VLOOKUP(A43,[2]CO!$A$3:$F$5327,2,0))</f>
        <v/>
      </c>
      <c r="D43" s="39"/>
      <c r="E43" s="39"/>
      <c r="F43" s="100" t="str">
        <f t="shared" si="77"/>
        <v/>
      </c>
      <c r="G43" s="40" t="str">
        <f>IF(A43=0,"",VLOOKUP(A43,[2]CO!$A$3:$F$5327,3,0))</f>
        <v/>
      </c>
      <c r="H43" s="93"/>
      <c r="I43" s="41"/>
      <c r="J43" s="41"/>
      <c r="K43" s="41"/>
      <c r="L43" s="41"/>
      <c r="M43" s="42" t="str">
        <f>IF(L43=0,"",PRODUCT(I43:L43))</f>
        <v/>
      </c>
      <c r="N43" s="42" t="str">
        <f>IF(B43=0,"",IF(H43="M",HLOOKUP(B43,$Y$12:$DT$13,2),IF(A43=0,"",VLOOKUP(A43,[2]CO!$A$3:$F$5327,4,0))))</f>
        <v/>
      </c>
      <c r="O43" s="42" t="str">
        <f t="shared" si="27"/>
        <v/>
      </c>
      <c r="P43" s="37"/>
      <c r="Q43" s="43" t="str">
        <f t="shared" si="79"/>
        <v/>
      </c>
      <c r="R43" s="44"/>
      <c r="T43" s="53" t="str">
        <f>IF(A43=0,"",VLOOKUP(A43,[2]CO!$A$3:$F$5318,5,0))</f>
        <v/>
      </c>
      <c r="U43" s="54">
        <f t="shared" si="42"/>
        <v>0</v>
      </c>
      <c r="V43" s="24"/>
      <c r="W43" s="24"/>
      <c r="X43" s="24"/>
      <c r="Y43" s="72" t="str">
        <f t="shared" si="80"/>
        <v/>
      </c>
      <c r="Z43" s="73" t="str">
        <f t="shared" si="80"/>
        <v/>
      </c>
      <c r="AA43" s="73" t="str">
        <f t="shared" si="80"/>
        <v/>
      </c>
      <c r="AB43" s="73" t="str">
        <f t="shared" si="80"/>
        <v/>
      </c>
      <c r="AC43" s="73" t="str">
        <f t="shared" si="80"/>
        <v/>
      </c>
      <c r="AD43" s="73" t="str">
        <f t="shared" si="80"/>
        <v/>
      </c>
      <c r="AE43" s="73" t="str">
        <f t="shared" si="80"/>
        <v/>
      </c>
      <c r="AF43" s="73" t="str">
        <f t="shared" si="80"/>
        <v/>
      </c>
      <c r="AG43" s="73" t="str">
        <f t="shared" si="80"/>
        <v/>
      </c>
      <c r="AH43" s="73" t="str">
        <f t="shared" si="80"/>
        <v/>
      </c>
      <c r="AI43" s="73" t="str">
        <f t="shared" si="80"/>
        <v/>
      </c>
      <c r="AJ43" s="73" t="str">
        <f t="shared" si="80"/>
        <v/>
      </c>
      <c r="AK43" s="73" t="str">
        <f t="shared" si="80"/>
        <v/>
      </c>
      <c r="AL43" s="73" t="str">
        <f t="shared" si="80"/>
        <v/>
      </c>
      <c r="AM43" s="73" t="str">
        <f t="shared" si="80"/>
        <v/>
      </c>
      <c r="AN43" s="73" t="str">
        <f t="shared" si="80"/>
        <v/>
      </c>
      <c r="AO43" s="73" t="str">
        <f t="shared" si="81"/>
        <v/>
      </c>
      <c r="AP43" s="73" t="str">
        <f t="shared" si="81"/>
        <v/>
      </c>
      <c r="AQ43" s="73" t="str">
        <f t="shared" si="81"/>
        <v/>
      </c>
      <c r="AR43" s="73" t="str">
        <f t="shared" si="81"/>
        <v/>
      </c>
      <c r="AS43" s="73" t="str">
        <f t="shared" si="81"/>
        <v/>
      </c>
      <c r="AT43" s="73" t="str">
        <f t="shared" si="81"/>
        <v/>
      </c>
      <c r="AU43" s="73" t="str">
        <f t="shared" si="81"/>
        <v/>
      </c>
      <c r="AV43" s="73" t="str">
        <f t="shared" si="81"/>
        <v/>
      </c>
      <c r="AW43" s="73" t="str">
        <f t="shared" si="81"/>
        <v/>
      </c>
      <c r="AX43" s="73" t="str">
        <f t="shared" si="81"/>
        <v/>
      </c>
      <c r="AY43" s="73" t="str">
        <f t="shared" si="81"/>
        <v/>
      </c>
      <c r="AZ43" s="73" t="str">
        <f t="shared" si="81"/>
        <v/>
      </c>
      <c r="BA43" s="73" t="str">
        <f t="shared" si="81"/>
        <v/>
      </c>
      <c r="BB43" s="73" t="str">
        <f t="shared" si="81"/>
        <v/>
      </c>
      <c r="BC43" s="73" t="str">
        <f t="shared" si="81"/>
        <v/>
      </c>
      <c r="BD43" s="73" t="str">
        <f t="shared" si="81"/>
        <v/>
      </c>
      <c r="BE43" s="73" t="str">
        <f t="shared" si="82"/>
        <v/>
      </c>
      <c r="BF43" s="73" t="str">
        <f t="shared" si="82"/>
        <v/>
      </c>
      <c r="BG43" s="73" t="str">
        <f t="shared" si="82"/>
        <v/>
      </c>
      <c r="BH43" s="73" t="str">
        <f t="shared" si="82"/>
        <v/>
      </c>
      <c r="BI43" s="73" t="str">
        <f t="shared" si="82"/>
        <v/>
      </c>
      <c r="BJ43" s="73" t="str">
        <f t="shared" si="82"/>
        <v/>
      </c>
      <c r="BK43" s="73" t="str">
        <f t="shared" si="82"/>
        <v/>
      </c>
      <c r="BL43" s="73" t="str">
        <f t="shared" si="82"/>
        <v/>
      </c>
      <c r="BM43" s="73" t="str">
        <f t="shared" si="82"/>
        <v/>
      </c>
      <c r="BN43" s="73" t="str">
        <f t="shared" si="82"/>
        <v/>
      </c>
      <c r="BO43" s="73" t="str">
        <f t="shared" si="82"/>
        <v/>
      </c>
      <c r="BP43" s="73" t="str">
        <f t="shared" si="82"/>
        <v/>
      </c>
      <c r="BQ43" s="73" t="str">
        <f t="shared" si="82"/>
        <v/>
      </c>
      <c r="BR43" s="73" t="str">
        <f t="shared" si="82"/>
        <v/>
      </c>
      <c r="BS43" s="73" t="str">
        <f t="shared" si="82"/>
        <v/>
      </c>
      <c r="BT43" s="73" t="str">
        <f t="shared" si="82"/>
        <v/>
      </c>
      <c r="BU43" s="73" t="str">
        <f t="shared" si="90"/>
        <v/>
      </c>
      <c r="BV43" s="73" t="str">
        <f t="shared" si="90"/>
        <v/>
      </c>
      <c r="BW43" s="73" t="str">
        <f t="shared" si="90"/>
        <v/>
      </c>
      <c r="BX43" s="73" t="str">
        <f t="shared" si="90"/>
        <v/>
      </c>
      <c r="BY43" s="73" t="str">
        <f t="shared" si="90"/>
        <v/>
      </c>
      <c r="BZ43" s="73" t="str">
        <f t="shared" si="90"/>
        <v/>
      </c>
      <c r="CA43" s="73" t="str">
        <f t="shared" si="90"/>
        <v/>
      </c>
      <c r="CB43" s="73" t="str">
        <f t="shared" si="90"/>
        <v/>
      </c>
      <c r="CC43" s="73" t="str">
        <f t="shared" si="90"/>
        <v/>
      </c>
      <c r="CD43" s="73" t="str">
        <f t="shared" si="90"/>
        <v/>
      </c>
      <c r="CE43" s="73" t="str">
        <f t="shared" si="90"/>
        <v/>
      </c>
      <c r="CF43" s="73" t="str">
        <f t="shared" si="90"/>
        <v/>
      </c>
      <c r="CG43" s="73" t="str">
        <f t="shared" si="90"/>
        <v/>
      </c>
      <c r="CH43" s="73" t="str">
        <f t="shared" si="90"/>
        <v/>
      </c>
      <c r="CI43" s="73" t="str">
        <f t="shared" si="90"/>
        <v/>
      </c>
      <c r="CJ43" s="73" t="str">
        <f t="shared" si="90"/>
        <v/>
      </c>
      <c r="CK43" s="73" t="str">
        <f t="shared" si="90"/>
        <v/>
      </c>
      <c r="CL43" s="73" t="str">
        <f t="shared" si="90"/>
        <v/>
      </c>
      <c r="CM43" s="73" t="str">
        <f t="shared" si="90"/>
        <v/>
      </c>
      <c r="CN43" s="73" t="str">
        <f t="shared" si="90"/>
        <v/>
      </c>
      <c r="CO43" s="73" t="str">
        <f t="shared" si="90"/>
        <v/>
      </c>
      <c r="CP43" s="73" t="str">
        <f t="shared" si="90"/>
        <v/>
      </c>
      <c r="CQ43" s="73" t="str">
        <f t="shared" si="90"/>
        <v/>
      </c>
      <c r="CR43" s="73" t="str">
        <f t="shared" si="90"/>
        <v/>
      </c>
      <c r="CS43" s="73" t="str">
        <f t="shared" si="90"/>
        <v/>
      </c>
      <c r="CT43" s="73" t="str">
        <f t="shared" si="90"/>
        <v/>
      </c>
      <c r="CU43" s="73" t="str">
        <f t="shared" si="90"/>
        <v/>
      </c>
      <c r="CV43" s="73" t="str">
        <f t="shared" si="90"/>
        <v/>
      </c>
      <c r="CW43" s="73" t="str">
        <f t="shared" si="90"/>
        <v/>
      </c>
      <c r="CX43" s="73" t="str">
        <f t="shared" si="90"/>
        <v/>
      </c>
      <c r="CY43" s="73" t="str">
        <f t="shared" si="90"/>
        <v/>
      </c>
      <c r="CZ43" s="73" t="str">
        <f t="shared" si="90"/>
        <v/>
      </c>
      <c r="DA43" s="73" t="str">
        <f t="shared" si="90"/>
        <v/>
      </c>
      <c r="DB43" s="73" t="str">
        <f t="shared" si="90"/>
        <v/>
      </c>
      <c r="DC43" s="73" t="str">
        <f t="shared" si="90"/>
        <v/>
      </c>
      <c r="DD43" s="73" t="str">
        <f t="shared" si="90"/>
        <v/>
      </c>
      <c r="DE43" s="73" t="str">
        <f t="shared" si="90"/>
        <v/>
      </c>
      <c r="DF43" s="73" t="str">
        <f t="shared" si="90"/>
        <v/>
      </c>
      <c r="DG43" s="73" t="str">
        <f t="shared" si="90"/>
        <v/>
      </c>
      <c r="DH43" s="73" t="str">
        <f t="shared" si="90"/>
        <v/>
      </c>
      <c r="DI43" s="73" t="str">
        <f t="shared" si="90"/>
        <v/>
      </c>
      <c r="DJ43" s="73" t="str">
        <f t="shared" si="90"/>
        <v/>
      </c>
      <c r="DK43" s="73" t="str">
        <f t="shared" si="90"/>
        <v/>
      </c>
      <c r="DL43" s="73" t="str">
        <f t="shared" si="90"/>
        <v/>
      </c>
      <c r="DM43" s="73" t="str">
        <f t="shared" si="90"/>
        <v/>
      </c>
      <c r="DN43" s="73" t="str">
        <f t="shared" si="90"/>
        <v/>
      </c>
      <c r="DO43" s="73" t="str">
        <f t="shared" si="90"/>
        <v/>
      </c>
      <c r="DP43" s="73" t="str">
        <f t="shared" si="90"/>
        <v/>
      </c>
      <c r="DQ43" s="73" t="str">
        <f t="shared" si="88"/>
        <v/>
      </c>
      <c r="DR43" s="73" t="str">
        <f t="shared" si="88"/>
        <v/>
      </c>
      <c r="DS43" s="73" t="str">
        <f t="shared" si="88"/>
        <v/>
      </c>
      <c r="DT43" s="104" t="str">
        <f t="shared" si="88"/>
        <v/>
      </c>
      <c r="DU43" s="54"/>
      <c r="DV43" s="21"/>
      <c r="DW43" s="74" t="str">
        <f t="shared" si="84"/>
        <v/>
      </c>
      <c r="DX43" s="75" t="str">
        <f t="shared" si="84"/>
        <v/>
      </c>
      <c r="DY43" s="75" t="str">
        <f t="shared" si="84"/>
        <v/>
      </c>
      <c r="DZ43" s="75" t="str">
        <f t="shared" si="84"/>
        <v/>
      </c>
      <c r="EA43" s="75" t="str">
        <f t="shared" si="84"/>
        <v/>
      </c>
      <c r="EB43" s="75" t="str">
        <f t="shared" si="84"/>
        <v/>
      </c>
      <c r="EC43" s="75" t="str">
        <f t="shared" si="84"/>
        <v/>
      </c>
      <c r="ED43" s="75" t="str">
        <f t="shared" si="84"/>
        <v/>
      </c>
      <c r="EE43" s="75" t="str">
        <f t="shared" si="84"/>
        <v/>
      </c>
      <c r="EF43" s="75" t="str">
        <f t="shared" si="84"/>
        <v/>
      </c>
      <c r="EG43" s="75" t="str">
        <f t="shared" si="84"/>
        <v/>
      </c>
      <c r="EH43" s="75" t="str">
        <f t="shared" si="84"/>
        <v/>
      </c>
      <c r="EI43" s="75" t="str">
        <f t="shared" si="84"/>
        <v/>
      </c>
      <c r="EJ43" s="75" t="str">
        <f t="shared" si="84"/>
        <v/>
      </c>
      <c r="EK43" s="75" t="str">
        <f t="shared" si="84"/>
        <v/>
      </c>
      <c r="EL43" s="75" t="str">
        <f t="shared" si="84"/>
        <v/>
      </c>
      <c r="EM43" s="75" t="str">
        <f t="shared" si="85"/>
        <v/>
      </c>
      <c r="EN43" s="75" t="str">
        <f t="shared" si="85"/>
        <v/>
      </c>
      <c r="EO43" s="75" t="str">
        <f t="shared" si="85"/>
        <v/>
      </c>
      <c r="EP43" s="75" t="str">
        <f t="shared" si="85"/>
        <v/>
      </c>
      <c r="EQ43" s="75" t="str">
        <f t="shared" si="85"/>
        <v/>
      </c>
      <c r="ER43" s="75" t="str">
        <f t="shared" si="85"/>
        <v/>
      </c>
      <c r="ES43" s="75" t="str">
        <f t="shared" si="85"/>
        <v/>
      </c>
      <c r="ET43" s="75" t="str">
        <f t="shared" si="85"/>
        <v/>
      </c>
      <c r="EU43" s="75" t="str">
        <f t="shared" si="85"/>
        <v/>
      </c>
      <c r="EV43" s="75" t="str">
        <f t="shared" si="85"/>
        <v/>
      </c>
      <c r="EW43" s="75" t="str">
        <f t="shared" si="85"/>
        <v/>
      </c>
      <c r="EX43" s="75" t="str">
        <f t="shared" si="85"/>
        <v/>
      </c>
      <c r="EY43" s="75" t="str">
        <f t="shared" si="85"/>
        <v/>
      </c>
      <c r="EZ43" s="75" t="str">
        <f t="shared" si="85"/>
        <v/>
      </c>
      <c r="FA43" s="75" t="str">
        <f t="shared" si="85"/>
        <v/>
      </c>
      <c r="FB43" s="75" t="str">
        <f t="shared" si="85"/>
        <v/>
      </c>
      <c r="FC43" s="75" t="str">
        <f t="shared" si="86"/>
        <v/>
      </c>
      <c r="FD43" s="75" t="str">
        <f t="shared" si="86"/>
        <v/>
      </c>
      <c r="FE43" s="75" t="str">
        <f t="shared" si="86"/>
        <v/>
      </c>
      <c r="FF43" s="75" t="str">
        <f t="shared" si="86"/>
        <v/>
      </c>
      <c r="FG43" s="75" t="str">
        <f t="shared" si="86"/>
        <v/>
      </c>
      <c r="FH43" s="75" t="str">
        <f t="shared" si="86"/>
        <v/>
      </c>
      <c r="FI43" s="75" t="str">
        <f t="shared" si="86"/>
        <v/>
      </c>
      <c r="FJ43" s="75" t="str">
        <f t="shared" si="86"/>
        <v/>
      </c>
      <c r="FK43" s="75" t="str">
        <f t="shared" si="86"/>
        <v/>
      </c>
      <c r="FL43" s="75" t="str">
        <f t="shared" si="86"/>
        <v/>
      </c>
      <c r="FM43" s="75" t="str">
        <f t="shared" si="86"/>
        <v/>
      </c>
      <c r="FN43" s="75" t="str">
        <f t="shared" si="86"/>
        <v/>
      </c>
      <c r="FO43" s="75" t="str">
        <f t="shared" si="86"/>
        <v/>
      </c>
      <c r="FP43" s="75" t="str">
        <f t="shared" si="86"/>
        <v/>
      </c>
      <c r="FQ43" s="75" t="str">
        <f t="shared" si="86"/>
        <v/>
      </c>
      <c r="FR43" s="75" t="str">
        <f t="shared" si="86"/>
        <v/>
      </c>
      <c r="FS43" s="75" t="str">
        <f t="shared" si="91"/>
        <v/>
      </c>
      <c r="FT43" s="75" t="str">
        <f t="shared" si="91"/>
        <v/>
      </c>
      <c r="FU43" s="75" t="str">
        <f t="shared" si="91"/>
        <v/>
      </c>
      <c r="FV43" s="75" t="str">
        <f t="shared" si="91"/>
        <v/>
      </c>
      <c r="FW43" s="75" t="str">
        <f t="shared" si="91"/>
        <v/>
      </c>
      <c r="FX43" s="75" t="str">
        <f t="shared" si="91"/>
        <v/>
      </c>
      <c r="FY43" s="75" t="str">
        <f t="shared" si="91"/>
        <v/>
      </c>
      <c r="FZ43" s="75" t="str">
        <f t="shared" si="91"/>
        <v/>
      </c>
      <c r="GA43" s="75" t="str">
        <f t="shared" si="91"/>
        <v/>
      </c>
      <c r="GB43" s="75" t="str">
        <f t="shared" si="91"/>
        <v/>
      </c>
      <c r="GC43" s="75" t="str">
        <f t="shared" si="91"/>
        <v/>
      </c>
      <c r="GD43" s="75" t="str">
        <f t="shared" si="91"/>
        <v/>
      </c>
      <c r="GE43" s="75" t="str">
        <f t="shared" si="91"/>
        <v/>
      </c>
      <c r="GF43" s="75" t="str">
        <f t="shared" si="91"/>
        <v/>
      </c>
      <c r="GG43" s="75" t="str">
        <f t="shared" si="91"/>
        <v/>
      </c>
      <c r="GH43" s="75" t="str">
        <f t="shared" si="91"/>
        <v/>
      </c>
      <c r="GI43" s="75" t="str">
        <f t="shared" si="91"/>
        <v/>
      </c>
      <c r="GJ43" s="75" t="str">
        <f t="shared" si="91"/>
        <v/>
      </c>
      <c r="GK43" s="75" t="str">
        <f t="shared" si="91"/>
        <v/>
      </c>
      <c r="GL43" s="75" t="str">
        <f t="shared" si="91"/>
        <v/>
      </c>
      <c r="GM43" s="75" t="str">
        <f t="shared" si="91"/>
        <v/>
      </c>
      <c r="GN43" s="75" t="str">
        <f t="shared" si="91"/>
        <v/>
      </c>
      <c r="GO43" s="75" t="str">
        <f t="shared" si="91"/>
        <v/>
      </c>
      <c r="GP43" s="75" t="str">
        <f t="shared" si="91"/>
        <v/>
      </c>
      <c r="GQ43" s="75" t="str">
        <f t="shared" si="91"/>
        <v/>
      </c>
      <c r="GR43" s="75" t="str">
        <f t="shared" si="91"/>
        <v/>
      </c>
      <c r="GS43" s="75" t="str">
        <f t="shared" si="91"/>
        <v/>
      </c>
      <c r="GT43" s="75" t="str">
        <f t="shared" si="91"/>
        <v/>
      </c>
      <c r="GU43" s="75" t="str">
        <f t="shared" si="91"/>
        <v/>
      </c>
      <c r="GV43" s="75" t="str">
        <f t="shared" si="91"/>
        <v/>
      </c>
      <c r="GW43" s="75" t="str">
        <f t="shared" si="91"/>
        <v/>
      </c>
      <c r="GX43" s="75" t="str">
        <f t="shared" si="91"/>
        <v/>
      </c>
      <c r="GY43" s="75" t="str">
        <f t="shared" si="91"/>
        <v/>
      </c>
      <c r="GZ43" s="75" t="str">
        <f t="shared" si="91"/>
        <v/>
      </c>
      <c r="HA43" s="75" t="str">
        <f t="shared" si="91"/>
        <v/>
      </c>
      <c r="HB43" s="75" t="str">
        <f t="shared" si="91"/>
        <v/>
      </c>
      <c r="HC43" s="75" t="str">
        <f t="shared" si="91"/>
        <v/>
      </c>
      <c r="HD43" s="75" t="str">
        <f t="shared" si="91"/>
        <v/>
      </c>
      <c r="HE43" s="75" t="str">
        <f t="shared" si="91"/>
        <v/>
      </c>
      <c r="HF43" s="75" t="str">
        <f t="shared" si="91"/>
        <v/>
      </c>
      <c r="HG43" s="75" t="str">
        <f t="shared" si="91"/>
        <v/>
      </c>
      <c r="HH43" s="75" t="str">
        <f t="shared" si="91"/>
        <v/>
      </c>
      <c r="HI43" s="75" t="str">
        <f t="shared" si="91"/>
        <v/>
      </c>
      <c r="HJ43" s="75" t="str">
        <f t="shared" si="91"/>
        <v/>
      </c>
      <c r="HK43" s="75" t="str">
        <f t="shared" si="91"/>
        <v/>
      </c>
      <c r="HL43" s="75" t="str">
        <f t="shared" si="91"/>
        <v/>
      </c>
      <c r="HM43" s="75" t="str">
        <f t="shared" si="91"/>
        <v/>
      </c>
      <c r="HN43" s="75" t="str">
        <f t="shared" si="91"/>
        <v/>
      </c>
      <c r="HO43" s="75" t="str">
        <f t="shared" si="89"/>
        <v/>
      </c>
      <c r="HP43" s="75" t="str">
        <f t="shared" si="89"/>
        <v/>
      </c>
      <c r="HQ43" s="75" t="str">
        <f t="shared" si="89"/>
        <v/>
      </c>
      <c r="HR43" s="109" t="str">
        <f t="shared" si="89"/>
        <v/>
      </c>
    </row>
    <row r="44" spans="1:226" ht="10.199999999999999" customHeight="1" x14ac:dyDescent="0.25">
      <c r="A44" s="45"/>
      <c r="B44" s="23"/>
      <c r="C44" s="23" t="str">
        <f>IF(A44=0,"",VLOOKUP(A44,#REF!,2,0))</f>
        <v/>
      </c>
      <c r="D44" s="23"/>
      <c r="E44" s="23"/>
      <c r="F44" s="23"/>
      <c r="G44" s="23"/>
      <c r="H44" s="23"/>
      <c r="I44" s="46"/>
      <c r="J44" s="46"/>
      <c r="K44" s="46"/>
      <c r="L44" s="46"/>
      <c r="M44" s="47"/>
      <c r="N44" s="47"/>
      <c r="O44" s="47"/>
      <c r="P44" s="23"/>
      <c r="Q44" s="23"/>
      <c r="R44" s="23"/>
      <c r="T44" s="21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2"/>
      <c r="EU44" s="22"/>
      <c r="EV44" s="22"/>
    </row>
    <row r="45" spans="1:226" x14ac:dyDescent="0.25">
      <c r="A45" s="45"/>
      <c r="B45" s="23"/>
      <c r="C45" s="23"/>
      <c r="D45" s="23"/>
      <c r="E45" s="23"/>
      <c r="F45" s="23"/>
      <c r="G45" s="23"/>
      <c r="H45" s="23"/>
      <c r="I45" s="46"/>
      <c r="J45" s="46"/>
      <c r="K45" s="46"/>
      <c r="L45" s="46"/>
      <c r="M45" s="47"/>
      <c r="N45" s="47"/>
      <c r="O45" s="48" t="s">
        <v>17</v>
      </c>
      <c r="P45" s="49"/>
      <c r="Q45" s="101">
        <f>SUM(Q37:Q43)</f>
        <v>0</v>
      </c>
      <c r="R45" s="101">
        <f>SUM(R37:R43)</f>
        <v>0</v>
      </c>
      <c r="T45" s="21"/>
      <c r="U45" s="24"/>
      <c r="V45" s="24"/>
      <c r="W45" s="24"/>
      <c r="X45" s="24"/>
      <c r="EV45" s="22"/>
    </row>
    <row r="46" spans="1:226" x14ac:dyDescent="0.25">
      <c r="A46" s="45"/>
      <c r="B46" s="23"/>
      <c r="C46" s="23"/>
      <c r="D46" s="23"/>
      <c r="E46" s="23"/>
      <c r="F46" s="23"/>
      <c r="G46" s="23"/>
      <c r="H46" s="23"/>
      <c r="I46" s="46"/>
      <c r="J46" s="46"/>
      <c r="K46" s="46"/>
      <c r="L46" s="46"/>
      <c r="M46" s="47"/>
      <c r="N46" s="47"/>
      <c r="O46" s="47"/>
      <c r="P46" s="23"/>
      <c r="Q46" s="23"/>
      <c r="R46" s="23"/>
      <c r="T46" s="21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  <c r="EG46" s="21"/>
      <c r="EH46" s="21"/>
      <c r="EI46" s="21"/>
      <c r="EJ46" s="21"/>
      <c r="EK46" s="21"/>
      <c r="EL46" s="21"/>
      <c r="EM46" s="21"/>
      <c r="EN46" s="21"/>
      <c r="EO46" s="21"/>
      <c r="EP46" s="21"/>
      <c r="EQ46" s="21"/>
      <c r="ER46" s="21"/>
      <c r="ES46" s="21"/>
      <c r="ET46" s="22"/>
      <c r="EU46" s="22"/>
      <c r="EV46" s="22"/>
    </row>
    <row r="47" spans="1:226" x14ac:dyDescent="0.25">
      <c r="A47" s="45"/>
      <c r="B47" s="23"/>
      <c r="C47" s="23"/>
      <c r="D47" s="23"/>
      <c r="E47" s="23"/>
      <c r="F47" s="23"/>
      <c r="G47" s="23"/>
      <c r="H47" s="23"/>
      <c r="I47" s="46"/>
      <c r="J47" s="46"/>
      <c r="K47" s="46"/>
      <c r="L47" s="46"/>
      <c r="M47" s="47"/>
      <c r="N47" s="47"/>
      <c r="O47" s="48" t="s">
        <v>18</v>
      </c>
      <c r="P47" s="23"/>
      <c r="Q47" s="101">
        <f>Q20+Q33+Q45</f>
        <v>6391</v>
      </c>
      <c r="R47" s="101"/>
      <c r="T47" s="21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1"/>
      <c r="EE47" s="21"/>
      <c r="EF47" s="21"/>
      <c r="EG47" s="21"/>
      <c r="EH47" s="21"/>
      <c r="EI47" s="21"/>
      <c r="EJ47" s="21"/>
      <c r="EK47" s="21"/>
      <c r="EL47" s="21"/>
      <c r="EM47" s="21"/>
      <c r="EN47" s="21"/>
      <c r="EO47" s="21"/>
      <c r="EP47" s="21"/>
      <c r="EQ47" s="21"/>
      <c r="ER47" s="21"/>
      <c r="ES47" s="21"/>
      <c r="ET47" s="22"/>
      <c r="EU47" s="22"/>
      <c r="EV47" s="22"/>
    </row>
    <row r="48" spans="1:226" ht="10.199999999999999" customHeight="1" x14ac:dyDescent="0.25"/>
    <row r="49" ht="10.199999999999999" customHeight="1" x14ac:dyDescent="0.25"/>
    <row r="50" ht="10.199999999999999" customHeight="1" x14ac:dyDescent="0.25"/>
    <row r="1047580" spans="9:9" x14ac:dyDescent="0.25">
      <c r="I1047580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2026-06-23T16:54:15Z</dcterms:modified>
</cp:coreProperties>
</file>