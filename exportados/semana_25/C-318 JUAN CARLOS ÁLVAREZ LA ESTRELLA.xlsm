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9EAFB6AA-B3C0-4B66-A7BB-2E44F22F654B}" xr6:coauthVersionLast="47" xr6:coauthVersionMax="47" xr10:uidLastSave="{00000000-0000-0000-0000-000000000000}"/>
  <bookViews>
    <workbookView xWindow="1920" yWindow="1920" windowWidth="17280" windowHeight="8880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'026'!$A$1:$R$56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8" i="491" l="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T38" i="491"/>
  <c r="U38" i="491" s="1"/>
  <c r="R38" i="491"/>
  <c r="Q38" i="491"/>
  <c r="O38" i="49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W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Y20" i="491"/>
  <c r="T20" i="491"/>
  <c r="U20" i="491" s="1"/>
  <c r="R20" i="491"/>
  <c r="Q20" i="491"/>
  <c r="O20" i="491"/>
  <c r="N20" i="491"/>
  <c r="M20" i="49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W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Y19" i="491"/>
  <c r="T19" i="491"/>
  <c r="U19" i="491" s="1"/>
  <c r="R19" i="491"/>
  <c r="Q19" i="491"/>
  <c r="O19" i="491"/>
  <c r="N19" i="491"/>
  <c r="M19" i="49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T18" i="491"/>
  <c r="U18" i="491" s="1"/>
  <c r="Y18" i="491" s="1"/>
  <c r="R18" i="491"/>
  <c r="Q18" i="491"/>
  <c r="O18" i="491"/>
  <c r="DW18" i="491" s="1"/>
  <c r="N18" i="491"/>
  <c r="M18" i="491"/>
  <c r="G18" i="491"/>
  <c r="C18" i="491"/>
  <c r="R54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W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Y52" i="491"/>
  <c r="T52" i="491"/>
  <c r="U52" i="491" s="1"/>
  <c r="Q52" i="491"/>
  <c r="O52" i="491"/>
  <c r="N52" i="491"/>
  <c r="M52" i="491"/>
  <c r="G52" i="491"/>
  <c r="F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W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Q51" i="491"/>
  <c r="O51" i="491"/>
  <c r="N51" i="491"/>
  <c r="M51" i="491"/>
  <c r="G51" i="491"/>
  <c r="F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W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Y50" i="491"/>
  <c r="T50" i="491"/>
  <c r="U50" i="491" s="1"/>
  <c r="Q50" i="491"/>
  <c r="O50" i="491"/>
  <c r="N50" i="491"/>
  <c r="M50" i="491"/>
  <c r="G50" i="491"/>
  <c r="F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Q49" i="491"/>
  <c r="O49" i="491"/>
  <c r="N49" i="491"/>
  <c r="M49" i="491"/>
  <c r="G49" i="491"/>
  <c r="F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Q48" i="491"/>
  <c r="O48" i="491"/>
  <c r="N48" i="491"/>
  <c r="M48" i="491"/>
  <c r="G48" i="491"/>
  <c r="F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CU47" i="491" s="1"/>
  <c r="N47" i="49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Q46" i="491"/>
  <c r="O46" i="491"/>
  <c r="N46" i="491"/>
  <c r="M46" i="491"/>
  <c r="G46" i="491"/>
  <c r="F46" i="491"/>
  <c r="C46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R39" i="491"/>
  <c r="Q39" i="491"/>
  <c r="O39" i="491"/>
  <c r="N39" i="491"/>
  <c r="M39" i="491"/>
  <c r="G39" i="491"/>
  <c r="C39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T35" i="491"/>
  <c r="U35" i="491" s="1"/>
  <c r="Y35" i="491" s="1"/>
  <c r="R35" i="491"/>
  <c r="N35" i="491"/>
  <c r="O35" i="491" s="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Y34" i="491"/>
  <c r="T34" i="491"/>
  <c r="U34" i="491" s="1"/>
  <c r="R34" i="491"/>
  <c r="Q34" i="491"/>
  <c r="O34" i="491"/>
  <c r="DW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T33" i="491"/>
  <c r="U33" i="491" s="1"/>
  <c r="Y33" i="491" s="1"/>
  <c r="R33" i="491"/>
  <c r="Q33" i="491"/>
  <c r="O33" i="491"/>
  <c r="DW33" i="491" s="1"/>
  <c r="N33" i="491"/>
  <c r="M33" i="49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T32" i="491"/>
  <c r="U32" i="491" s="1"/>
  <c r="CG32" i="491" s="1"/>
  <c r="N32" i="491"/>
  <c r="M32" i="49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W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Y31" i="491"/>
  <c r="T31" i="491"/>
  <c r="U31" i="491" s="1"/>
  <c r="R31" i="491"/>
  <c r="Q31" i="491"/>
  <c r="O31" i="491"/>
  <c r="N31" i="49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CF30" i="491" s="1"/>
  <c r="R30" i="491"/>
  <c r="N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CF29" i="491" s="1"/>
  <c r="Q29" i="491"/>
  <c r="O29" i="491"/>
  <c r="GD29" i="491" s="1"/>
  <c r="N29" i="49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W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Y28" i="491"/>
  <c r="T28" i="491"/>
  <c r="U28" i="491" s="1"/>
  <c r="R28" i="491"/>
  <c r="Q28" i="491"/>
  <c r="O28" i="491"/>
  <c r="N28" i="491"/>
  <c r="M28" i="491"/>
  <c r="G28" i="491"/>
  <c r="C28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W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Y22" i="491"/>
  <c r="T22" i="491"/>
  <c r="U22" i="491" s="1"/>
  <c r="R22" i="491"/>
  <c r="Q22" i="491"/>
  <c r="O22" i="49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W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Y21" i="491"/>
  <c r="T21" i="491"/>
  <c r="U21" i="491" s="1"/>
  <c r="R21" i="491"/>
  <c r="Q21" i="491"/>
  <c r="O21" i="491"/>
  <c r="N21" i="491"/>
  <c r="M21" i="491"/>
  <c r="G21" i="491"/>
  <c r="C21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T17" i="491"/>
  <c r="U17" i="491" s="1"/>
  <c r="Y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17" i="491" l="1"/>
  <c r="DW17" i="491" s="1"/>
  <c r="DW35" i="491"/>
  <c r="GE35" i="491"/>
  <c r="CG35" i="491"/>
  <c r="O32" i="491"/>
  <c r="GE32" i="491" s="1"/>
  <c r="O15" i="491"/>
  <c r="DW15" i="491" s="1"/>
  <c r="Z17" i="491"/>
  <c r="Y32" i="491"/>
  <c r="DW32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DX17" i="491" l="1"/>
  <c r="DX13" i="491" s="1"/>
  <c r="Q32" i="491"/>
  <c r="Q35" i="491"/>
  <c r="Y13" i="491"/>
  <c r="DW13" i="491" s="1"/>
  <c r="Z13" i="491"/>
  <c r="Q17" i="491" l="1"/>
  <c r="R16" i="491"/>
  <c r="Q15" i="491"/>
  <c r="R15" i="491" s="1"/>
  <c r="R17" i="491"/>
  <c r="Q24" i="491" l="1"/>
  <c r="M47" i="491" s="1"/>
  <c r="O47" i="491" s="1"/>
  <c r="GS47" i="491" s="1"/>
  <c r="GS13" i="491" s="1"/>
  <c r="Q47" i="491" s="1"/>
  <c r="Q54" i="491" s="1"/>
  <c r="R24" i="491"/>
  <c r="M30" i="491" l="1"/>
  <c r="O30" i="491" s="1"/>
  <c r="GD30" i="491" s="1"/>
  <c r="GD13" i="491" s="1"/>
  <c r="Q30" i="491" s="1"/>
  <c r="Q42" i="491" s="1"/>
  <c r="Q56" i="491" s="1"/>
  <c r="F47" i="491"/>
  <c r="R32" i="491"/>
  <c r="R29" i="491" l="1"/>
  <c r="R42" i="491" s="1"/>
</calcChain>
</file>

<file path=xl/sharedStrings.xml><?xml version="1.0" encoding="utf-8"?>
<sst xmlns="http://schemas.openxmlformats.org/spreadsheetml/2006/main" count="42" uniqueCount="35">
  <si>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</si>
  <si>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</si>
  <si>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</si>
  <si>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</si>
  <si>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</si>
  <si>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</si>
  <si>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</si>
  <si>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</si>
  <si>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</si>
  <si>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</si>
  <si>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</si>
  <si>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</si>
  <si>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</si>
  <si>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</si>
  <si>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</si>
  <si>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</si>
  <si>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</si>
  <si>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</si>
  <si>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</si>
  <si>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</si>
  <si>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</si>
  <si>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</si>
  <si>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</si>
  <si>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</si>
  <si>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</si>
  <si>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</si>
  <si>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C-318</t>
  </si>
  <si>
    <t>TAPALPA</t>
  </si>
  <si>
    <t>22/06/26</t>
  </si>
  <si>
    <t>28/06/26</t>
  </si>
  <si>
    <t>destaj</t>
  </si>
  <si>
    <t>RESID</t>
  </si>
  <si>
    <t>No trabajo</t>
  </si>
  <si>
    <t>lote</t>
  </si>
  <si>
    <t>Domingo trabajado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</si>
</sst>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7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9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8" width="6.33203125" bestFit="1" customWidth="1"/>
    <col min="129" max="135" width="1.5546875" bestFit="1" customWidth="1"/>
    <col min="136" max="185" width="2.33203125" bestFit="1" customWidth="1"/>
    <col min="186" max="186" width="5.109375" bestFit="1" customWidth="1"/>
    <col min="187" max="187" width="7.109375" bestFit="1" customWidth="1"/>
    <col min="188" max="200" width="2.33203125" bestFit="1" customWidth="1"/>
    <col min="201" max="201" width="5.10937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5" t="str">
        <f>LEFT(D6,2)</f>
        <v>C-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-318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str">
        <f>VLOOKUP($D$6,[1]OB!$A$2:$I$5052,4,FALSE)</f>
        <v>JUAN CARLOS ÁLVAREZ LA ESTRELLA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SUM(Y14:Y52)</f>
        <v>0</v>
      </c>
      <c r="Z13" s="57">
        <f>SUM(Z14:Z52)</f>
        <v>0</v>
      </c>
      <c r="AA13" s="57">
        <f>SUM(AA14:AA52)</f>
        <v>0</v>
      </c>
      <c r="AB13" s="57">
        <f>SUM(AB14:AB52)</f>
        <v>0</v>
      </c>
      <c r="AC13" s="57">
        <f>SUM(AC14:AC52)</f>
        <v>0</v>
      </c>
      <c r="AD13" s="57">
        <f>SUM(AD14:AD52)</f>
        <v>0</v>
      </c>
      <c r="AE13" s="57">
        <f>SUM(AE14:AE52)</f>
        <v>0</v>
      </c>
      <c r="AF13" s="57">
        <f>SUM(AF14:AF52)</f>
        <v>0</v>
      </c>
      <c r="AG13" s="57">
        <f>SUM(AG14:AG52)</f>
        <v>0</v>
      </c>
      <c r="AH13" s="57">
        <f>SUM(AH14:AH52)</f>
        <v>0</v>
      </c>
      <c r="AI13" s="57">
        <f>SUM(AI14:AI52)</f>
        <v>0</v>
      </c>
      <c r="AJ13" s="57">
        <f>SUM(AJ14:AJ52)</f>
        <v>0</v>
      </c>
      <c r="AK13" s="57">
        <f>SUM(AK14:AK52)</f>
        <v>0</v>
      </c>
      <c r="AL13" s="57">
        <f>SUM(AL14:AL52)</f>
        <v>0</v>
      </c>
      <c r="AM13" s="57">
        <f>SUM(AM14:AM52)</f>
        <v>0</v>
      </c>
      <c r="AN13" s="57">
        <f>SUM(AN14:AN52)</f>
        <v>0</v>
      </c>
      <c r="AO13" s="57">
        <f>SUM(AO14:AO52)</f>
        <v>0</v>
      </c>
      <c r="AP13" s="57">
        <f>SUM(AP14:AP52)</f>
        <v>0</v>
      </c>
      <c r="AQ13" s="57">
        <f>SUM(AQ14:AQ52)</f>
        <v>0</v>
      </c>
      <c r="AR13" s="57">
        <f>SUM(AR14:AR52)</f>
        <v>0</v>
      </c>
      <c r="AS13" s="57">
        <f>SUM(AS14:AS52)</f>
        <v>0</v>
      </c>
      <c r="AT13" s="57">
        <f>SUM(AT14:AT52)</f>
        <v>0</v>
      </c>
      <c r="AU13" s="57">
        <f>SUM(AU14:AU52)</f>
        <v>0</v>
      </c>
      <c r="AV13" s="57">
        <f>SUM(AV14:AV52)</f>
        <v>0</v>
      </c>
      <c r="AW13" s="57">
        <f>SUM(AW14:AW52)</f>
        <v>0</v>
      </c>
      <c r="AX13" s="57">
        <f>SUM(AX14:AX52)</f>
        <v>0</v>
      </c>
      <c r="AY13" s="57">
        <f>SUM(AY14:AY52)</f>
        <v>0</v>
      </c>
      <c r="AZ13" s="57">
        <f>SUM(AZ14:AZ52)</f>
        <v>0</v>
      </c>
      <c r="BA13" s="57">
        <f>SUM(BA14:BA52)</f>
        <v>0</v>
      </c>
      <c r="BB13" s="57">
        <f>SUM(BB14:BB52)</f>
        <v>0</v>
      </c>
      <c r="BC13" s="57">
        <f>SUM(BC14:BC52)</f>
        <v>0</v>
      </c>
      <c r="BD13" s="57">
        <f>SUM(BD14:BD52)</f>
        <v>0</v>
      </c>
      <c r="BE13" s="57">
        <f>SUM(BE14:BE52)</f>
        <v>0</v>
      </c>
      <c r="BF13" s="57">
        <f>SUM(BF14:BF52)</f>
        <v>0</v>
      </c>
      <c r="BG13" s="57">
        <f>SUM(BG14:BG52)</f>
        <v>0</v>
      </c>
      <c r="BH13" s="57">
        <f>SUM(BH14:BH52)</f>
        <v>0</v>
      </c>
      <c r="BI13" s="57">
        <f>SUM(BI14:BI52)</f>
        <v>0</v>
      </c>
      <c r="BJ13" s="57">
        <f>SUM(BJ14:BJ52)</f>
        <v>0</v>
      </c>
      <c r="BK13" s="57">
        <f>SUM(BK14:BK52)</f>
        <v>0</v>
      </c>
      <c r="BL13" s="57">
        <f>SUM(BL14:BL52)</f>
        <v>0</v>
      </c>
      <c r="BM13" s="57">
        <f>SUM(BM14:BM52)</f>
        <v>0</v>
      </c>
      <c r="BN13" s="57">
        <f>SUM(BN14:BN52)</f>
        <v>0</v>
      </c>
      <c r="BO13" s="57">
        <f>SUM(BO14:BO52)</f>
        <v>0</v>
      </c>
      <c r="BP13" s="57">
        <f>SUM(BP14:BP52)</f>
        <v>0</v>
      </c>
      <c r="BQ13" s="57">
        <f>SUM(BQ14:BQ52)</f>
        <v>0</v>
      </c>
      <c r="BR13" s="57">
        <f>SUM(BR14:BR52)</f>
        <v>0</v>
      </c>
      <c r="BS13" s="57">
        <f>SUM(BS14:BS52)</f>
        <v>0</v>
      </c>
      <c r="BT13" s="57">
        <f>SUM(BT14:BT52)</f>
        <v>0</v>
      </c>
      <c r="BU13" s="57">
        <f>SUM(BU14:BU52)</f>
        <v>0</v>
      </c>
      <c r="BV13" s="57">
        <f>SUM(BV14:BV52)</f>
        <v>0</v>
      </c>
      <c r="BW13" s="57">
        <f>SUM(BW14:BW52)</f>
        <v>0</v>
      </c>
      <c r="BX13" s="57">
        <f>SUM(BX14:BX52)</f>
        <v>0</v>
      </c>
      <c r="BY13" s="57">
        <f>SUM(BY14:BY52)</f>
        <v>0</v>
      </c>
      <c r="BZ13" s="57">
        <f>SUM(BZ14:BZ52)</f>
        <v>0</v>
      </c>
      <c r="CA13" s="57">
        <f>SUM(CA14:CA52)</f>
        <v>0</v>
      </c>
      <c r="CB13" s="57">
        <f>SUM(CB14:CB52)</f>
        <v>0</v>
      </c>
      <c r="CC13" s="57">
        <f>SUM(CC14:CC52)</f>
        <v>0</v>
      </c>
      <c r="CD13" s="57">
        <f>SUM(CD14:CD52)</f>
        <v>0</v>
      </c>
      <c r="CE13" s="57">
        <f>SUM(CE14:CE52)</f>
        <v>0</v>
      </c>
      <c r="CF13" s="57">
        <f>SUM(CF14:CF52)</f>
        <v>0</v>
      </c>
      <c r="CG13" s="57">
        <f>SUM(CG14:CG52)</f>
        <v>0</v>
      </c>
      <c r="CH13" s="57">
        <f>SUM(CH14:CH52)</f>
        <v>0</v>
      </c>
      <c r="CI13" s="57">
        <f>SUM(CI14:CI52)</f>
        <v>0</v>
      </c>
      <c r="CJ13" s="57">
        <f>SUM(CJ14:CJ52)</f>
        <v>0</v>
      </c>
      <c r="CK13" s="57">
        <f>SUM(CK14:CK52)</f>
        <v>0</v>
      </c>
      <c r="CL13" s="57">
        <f>SUM(CL14:CL52)</f>
        <v>0</v>
      </c>
      <c r="CM13" s="57">
        <f>SUM(CM14:CM52)</f>
        <v>0</v>
      </c>
      <c r="CN13" s="57">
        <f>SUM(CN14:CN52)</f>
        <v>0</v>
      </c>
      <c r="CO13" s="57">
        <f>SUM(CO14:CO52)</f>
        <v>0</v>
      </c>
      <c r="CP13" s="57">
        <f>SUM(CP14:CP52)</f>
        <v>0</v>
      </c>
      <c r="CQ13" s="57">
        <f>SUM(CQ14:CQ52)</f>
        <v>0</v>
      </c>
      <c r="CR13" s="57">
        <f>SUM(CR14:CR52)</f>
        <v>0</v>
      </c>
      <c r="CS13" s="57">
        <f>SUM(CS14:CS52)</f>
        <v>0</v>
      </c>
      <c r="CT13" s="57">
        <f>SUM(CT14:CT52)</f>
        <v>0</v>
      </c>
      <c r="CU13" s="57">
        <f>SUM(CU14:CU52)</f>
        <v>0</v>
      </c>
      <c r="CV13" s="57">
        <f>SUM(CV14:CV52)</f>
        <v>0</v>
      </c>
      <c r="CW13" s="57">
        <f>SUM(CW14:CW52)</f>
        <v>0</v>
      </c>
      <c r="CX13" s="57">
        <f>SUM(CX14:CX52)</f>
        <v>0</v>
      </c>
      <c r="CY13" s="57">
        <f>SUM(CY14:CY52)</f>
        <v>0</v>
      </c>
      <c r="CZ13" s="57">
        <f>SUM(CZ14:CZ52)</f>
        <v>0</v>
      </c>
      <c r="DA13" s="57">
        <f>SUM(DA14:DA52)</f>
        <v>0</v>
      </c>
      <c r="DB13" s="57">
        <f>SUM(DB14:DB52)</f>
        <v>0</v>
      </c>
      <c r="DC13" s="57">
        <f>SUM(DC14:DC52)</f>
        <v>0</v>
      </c>
      <c r="DD13" s="57">
        <f>SUM(DD14:DD52)</f>
        <v>0</v>
      </c>
      <c r="DE13" s="57">
        <f>SUM(DE14:DE52)</f>
        <v>0</v>
      </c>
      <c r="DF13" s="57">
        <f>SUM(DF14:DF52)</f>
        <v>0</v>
      </c>
      <c r="DG13" s="57">
        <f>SUM(DG14:DG52)</f>
        <v>0</v>
      </c>
      <c r="DH13" s="57">
        <f>SUM(DH14:DH52)</f>
        <v>0</v>
      </c>
      <c r="DI13" s="57">
        <f>SUM(DI14:DI52)</f>
        <v>0</v>
      </c>
      <c r="DJ13" s="57">
        <f>SUM(DJ14:DJ52)</f>
        <v>0</v>
      </c>
      <c r="DK13" s="57">
        <f>SUM(DK14:DK52)</f>
        <v>0</v>
      </c>
      <c r="DL13" s="57">
        <f>SUM(DL14:DL52)</f>
        <v>0</v>
      </c>
      <c r="DM13" s="57">
        <f>SUM(DM14:DM52)</f>
        <v>0</v>
      </c>
      <c r="DN13" s="57">
        <f>SUM(DN14:DN52)</f>
        <v>0</v>
      </c>
      <c r="DO13" s="57">
        <f>SUM(DO14:DO52)</f>
        <v>0</v>
      </c>
      <c r="DP13" s="57">
        <f>SUM(DP14:DP52)</f>
        <v>0</v>
      </c>
      <c r="DQ13" s="57">
        <f>SUM(DQ14:DQ52)</f>
        <v>0</v>
      </c>
      <c r="DR13" s="57">
        <f>SUM(DR14:DR52)</f>
        <v>0</v>
      </c>
      <c r="DS13" s="57">
        <f>SUM(DS14:DS52)</f>
        <v>0</v>
      </c>
      <c r="DT13" s="109">
        <f>SUM(DT14:DT52)</f>
        <v>0</v>
      </c>
      <c r="DU13" s="54"/>
      <c r="DV13" s="58" t="s">
        <v>16</v>
      </c>
      <c r="DW13" s="56">
        <f>SUM(DW14:DW52)</f>
        <v>4471.5999999999995</v>
      </c>
      <c r="DX13" s="57">
        <f>SUM(DX14:DX52)</f>
        <v>3194</v>
      </c>
      <c r="DY13" s="57">
        <f>SUM(DY14:DY52)</f>
        <v>0</v>
      </c>
      <c r="DZ13" s="57">
        <f>SUM(DZ14:DZ52)</f>
        <v>0</v>
      </c>
      <c r="EA13" s="57">
        <f>SUM(EA14:EA52)</f>
        <v>0</v>
      </c>
      <c r="EB13" s="57">
        <f>SUM(EB14:EB52)</f>
        <v>0</v>
      </c>
      <c r="EC13" s="57">
        <f>SUM(EC14:EC52)</f>
        <v>0</v>
      </c>
      <c r="ED13" s="57">
        <f>SUM(ED14:ED52)</f>
        <v>0</v>
      </c>
      <c r="EE13" s="57">
        <f>SUM(EE14:EE52)</f>
        <v>0</v>
      </c>
      <c r="EF13" s="57">
        <f>SUM(EF14:EF52)</f>
        <v>0</v>
      </c>
      <c r="EG13" s="57">
        <f>SUM(EG14:EG52)</f>
        <v>0</v>
      </c>
      <c r="EH13" s="57">
        <f>SUM(EH14:EH52)</f>
        <v>0</v>
      </c>
      <c r="EI13" s="57">
        <f>SUM(EI14:EI52)</f>
        <v>0</v>
      </c>
      <c r="EJ13" s="57">
        <f>SUM(EJ14:EJ52)</f>
        <v>0</v>
      </c>
      <c r="EK13" s="57">
        <f>SUM(EK14:EK52)</f>
        <v>0</v>
      </c>
      <c r="EL13" s="57">
        <f>SUM(EL14:EL52)</f>
        <v>0</v>
      </c>
      <c r="EM13" s="57">
        <f>SUM(EM14:EM52)</f>
        <v>0</v>
      </c>
      <c r="EN13" s="57">
        <f>SUM(EN14:EN52)</f>
        <v>0</v>
      </c>
      <c r="EO13" s="57">
        <f>SUM(EO14:EO52)</f>
        <v>0</v>
      </c>
      <c r="EP13" s="57">
        <f>SUM(EP14:EP52)</f>
        <v>0</v>
      </c>
      <c r="EQ13" s="57">
        <f>SUM(EQ14:EQ52)</f>
        <v>0</v>
      </c>
      <c r="ER13" s="57">
        <f>SUM(ER14:ER52)</f>
        <v>0</v>
      </c>
      <c r="ES13" s="57">
        <f>SUM(ES14:ES52)</f>
        <v>0</v>
      </c>
      <c r="ET13" s="57">
        <f>SUM(ET14:ET52)</f>
        <v>0</v>
      </c>
      <c r="EU13" s="57">
        <f>SUM(EU14:EU52)</f>
        <v>0</v>
      </c>
      <c r="EV13" s="57">
        <f>SUM(EV14:EV52)</f>
        <v>0</v>
      </c>
      <c r="EW13" s="57">
        <f>SUM(EW14:EW52)</f>
        <v>0</v>
      </c>
      <c r="EX13" s="57">
        <f>SUM(EX14:EX52)</f>
        <v>0</v>
      </c>
      <c r="EY13" s="57">
        <f>SUM(EY14:EY52)</f>
        <v>0</v>
      </c>
      <c r="EZ13" s="57">
        <f>SUM(EZ14:EZ52)</f>
        <v>0</v>
      </c>
      <c r="FA13" s="57">
        <f>SUM(FA14:FA52)</f>
        <v>0</v>
      </c>
      <c r="FB13" s="57">
        <f>SUM(FB14:FB52)</f>
        <v>0</v>
      </c>
      <c r="FC13" s="57">
        <f>SUM(FC14:FC52)</f>
        <v>0</v>
      </c>
      <c r="FD13" s="57">
        <f>SUM(FD14:FD52)</f>
        <v>0</v>
      </c>
      <c r="FE13" s="57">
        <f>SUM(FE14:FE52)</f>
        <v>0</v>
      </c>
      <c r="FF13" s="57">
        <f>SUM(FF14:FF52)</f>
        <v>0</v>
      </c>
      <c r="FG13" s="57">
        <f>SUM(FG14:FG52)</f>
        <v>0</v>
      </c>
      <c r="FH13" s="57">
        <f>SUM(FH14:FH52)</f>
        <v>0</v>
      </c>
      <c r="FI13" s="57">
        <f>SUM(FI14:FI52)</f>
        <v>0</v>
      </c>
      <c r="FJ13" s="57">
        <f>SUM(FJ14:FJ52)</f>
        <v>0</v>
      </c>
      <c r="FK13" s="57">
        <f>SUM(FK14:FK52)</f>
        <v>0</v>
      </c>
      <c r="FL13" s="57">
        <f>SUM(FL14:FL52)</f>
        <v>0</v>
      </c>
      <c r="FM13" s="57">
        <f>SUM(FM14:FM52)</f>
        <v>0</v>
      </c>
      <c r="FN13" s="57">
        <f>SUM(FN14:FN52)</f>
        <v>0</v>
      </c>
      <c r="FO13" s="57">
        <f>SUM(FO14:FO52)</f>
        <v>0</v>
      </c>
      <c r="FP13" s="57">
        <f>SUM(FP14:FP52)</f>
        <v>0</v>
      </c>
      <c r="FQ13" s="57">
        <f>SUM(FQ14:FQ52)</f>
        <v>0</v>
      </c>
      <c r="FR13" s="57">
        <f>SUM(FR14:FR52)</f>
        <v>0</v>
      </c>
      <c r="FS13" s="57">
        <f>SUM(FS14:FS52)</f>
        <v>0</v>
      </c>
      <c r="FT13" s="57">
        <f>SUM(FT14:FT52)</f>
        <v>0</v>
      </c>
      <c r="FU13" s="57">
        <f>SUM(FU14:FU52)</f>
        <v>0</v>
      </c>
      <c r="FV13" s="57">
        <f>SUM(FV14:FV52)</f>
        <v>0</v>
      </c>
      <c r="FW13" s="57">
        <f>SUM(FW14:FW52)</f>
        <v>0</v>
      </c>
      <c r="FX13" s="57">
        <f>SUM(FX14:FX52)</f>
        <v>0</v>
      </c>
      <c r="FY13" s="57">
        <f>SUM(FY14:FY52)</f>
        <v>0</v>
      </c>
      <c r="FZ13" s="57">
        <f>SUM(FZ14:FZ52)</f>
        <v>0</v>
      </c>
      <c r="GA13" s="57">
        <f>SUM(GA14:GA52)</f>
        <v>0</v>
      </c>
      <c r="GB13" s="57">
        <f>SUM(GB14:GB52)</f>
        <v>0</v>
      </c>
      <c r="GC13" s="57">
        <f>SUM(GC14:GC52)</f>
        <v>0</v>
      </c>
      <c r="GD13" s="57">
        <f>SUM(GD14:GD52)</f>
        <v>306.62399999999997</v>
      </c>
      <c r="GE13" s="57">
        <f>SUM(GE14:GE52)</f>
        <v>17477.759999999998</v>
      </c>
      <c r="GF13" s="57">
        <f>SUM(GF14:GF52)</f>
        <v>0</v>
      </c>
      <c r="GG13" s="57">
        <f>SUM(GG14:GG52)</f>
        <v>0</v>
      </c>
      <c r="GH13" s="57">
        <f>SUM(GH14:GH52)</f>
        <v>0</v>
      </c>
      <c r="GI13" s="57">
        <f>SUM(GI14:GI52)</f>
        <v>0</v>
      </c>
      <c r="GJ13" s="57">
        <f>SUM(GJ14:GJ52)</f>
        <v>0</v>
      </c>
      <c r="GK13" s="57">
        <f>SUM(GK14:GK52)</f>
        <v>0</v>
      </c>
      <c r="GL13" s="57">
        <f>SUM(GL14:GL52)</f>
        <v>0</v>
      </c>
      <c r="GM13" s="57">
        <f>SUM(GM14:GM52)</f>
        <v>0</v>
      </c>
      <c r="GN13" s="57">
        <f>SUM(GN14:GN52)</f>
        <v>0</v>
      </c>
      <c r="GO13" s="57">
        <f>SUM(GO14:GO52)</f>
        <v>0</v>
      </c>
      <c r="GP13" s="57">
        <f>SUM(GP14:GP52)</f>
        <v>0</v>
      </c>
      <c r="GQ13" s="57">
        <f>SUM(GQ14:GQ52)</f>
        <v>0</v>
      </c>
      <c r="GR13" s="57">
        <f>SUM(GR14:GR52)</f>
        <v>0</v>
      </c>
      <c r="GS13" s="57">
        <f>SUM(GS14:GS52)</f>
        <v>919.87199999999996</v>
      </c>
      <c r="GT13" s="57">
        <f>SUM(GT14:GT52)</f>
        <v>0</v>
      </c>
      <c r="GU13" s="57">
        <f>SUM(GU14:GU52)</f>
        <v>0</v>
      </c>
      <c r="GV13" s="57">
        <f>SUM(GV14:GV52)</f>
        <v>0</v>
      </c>
      <c r="GW13" s="57">
        <f>SUM(GW14:GW52)</f>
        <v>0</v>
      </c>
      <c r="GX13" s="57">
        <f>SUM(GX14:GX52)</f>
        <v>0</v>
      </c>
      <c r="GY13" s="57">
        <f>SUM(GY14:GY52)</f>
        <v>0</v>
      </c>
      <c r="GZ13" s="57">
        <f>SUM(GZ14:GZ52)</f>
        <v>0</v>
      </c>
      <c r="HA13" s="57">
        <f>SUM(HA14:HA52)</f>
        <v>0</v>
      </c>
      <c r="HB13" s="57">
        <f>SUM(HB14:HB52)</f>
        <v>0</v>
      </c>
      <c r="HC13" s="57">
        <f>SUM(HC14:HC52)</f>
        <v>0</v>
      </c>
      <c r="HD13" s="57">
        <f>SUM(HD14:HD52)</f>
        <v>0</v>
      </c>
      <c r="HE13" s="57">
        <f>SUM(HE14:HE52)</f>
        <v>0</v>
      </c>
      <c r="HF13" s="57">
        <f>SUM(HF14:HF52)</f>
        <v>0</v>
      </c>
      <c r="HG13" s="57">
        <f>SUM(HG14:HG52)</f>
        <v>0</v>
      </c>
      <c r="HH13" s="57">
        <f>SUM(HH14:HH52)</f>
        <v>0</v>
      </c>
      <c r="HI13" s="57">
        <f>SUM(HI14:HI52)</f>
        <v>0</v>
      </c>
      <c r="HJ13" s="57">
        <f>SUM(HJ14:HJ52)</f>
        <v>0</v>
      </c>
      <c r="HK13" s="57">
        <f>SUM(HK14:HK52)</f>
        <v>0</v>
      </c>
      <c r="HL13" s="57">
        <f>SUM(HL14:HL52)</f>
        <v>0</v>
      </c>
      <c r="HM13" s="57">
        <f>SUM(HM14:HM52)</f>
        <v>0</v>
      </c>
      <c r="HN13" s="57">
        <f>SUM(HN14:HN52)</f>
        <v>0</v>
      </c>
      <c r="HO13" s="57">
        <f>SUM(HO14:HO52)</f>
        <v>0</v>
      </c>
      <c r="HP13" s="57">
        <f>SUM(HP14:HP52)</f>
        <v>0</v>
      </c>
      <c r="HQ13" s="57">
        <f>SUM(HQ14:HQ52)</f>
        <v>0</v>
      </c>
      <c r="HR13" s="109">
        <f>SUM(HR14:HR52)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22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22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RESIDENTE"),VLOOKUP(B14,P$14:Q$52,2),"")*S14)</f>
        <v/>
      </c>
      <c r="T14" s="53" t="str">
        <f>IF(A14=0,"",VLOOKUP(A14,[2]CO!$A$3:$F$5318,5,0))</f>
        <v/>
      </c>
      <c r="U14" s="54">
        <f t="shared" ref="U14:U22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17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17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4537</v>
      </c>
      <c r="B15" s="144">
        <v>1</v>
      </c>
      <c r="C15" s="28" t="str">
        <f>IF(A15=0,"",VLOOKUP(A15,[2]CO!$A$3:$F$5327,2,0))</f>
        <v>VILLA LÓPEZ RUBÉN ERASMO</v>
      </c>
      <c r="D15" s="148"/>
      <c r="E15" s="29"/>
      <c r="F15" s="29"/>
      <c r="G15" s="30" t="str">
        <f>IF(A15=0,"",VLOOKUP(A15,[2]CO!$A$3:$F$5327,3,0))</f>
        <v>OF</v>
      </c>
      <c r="H15" s="142"/>
      <c r="I15" s="143"/>
      <c r="J15" s="143"/>
      <c r="K15" s="143"/>
      <c r="L15" s="143">
        <v>7</v>
      </c>
      <c r="M15" s="32">
        <f t="shared" si="0"/>
        <v>7</v>
      </c>
      <c r="N15" s="32">
        <f>IF(B15=0,"",IF(H15="M",HLOOKUP(B15,$Y$12:$DT$13,2),IF(A15=0,"",VLOOKUP(A15,[2]CO!$A$3:$F$5327,4,0))))</f>
        <v>638.79999999999995</v>
      </c>
      <c r="O15" s="32">
        <f t="shared" ref="O15:O52" si="7">IF(L15=0,"",PRODUCT(M15:N15))</f>
        <v>4471.5999999999995</v>
      </c>
      <c r="P15" s="33">
        <v>1</v>
      </c>
      <c r="Q15" s="34">
        <f t="shared" si="1"/>
        <v>4471.5999999999995</v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RESIDENTE"),VLOOKUP(B15,P$14:Q$52,2),"")*S15)</f>
        <v>4471.5999999999995</v>
      </c>
      <c r="S15" s="127">
        <v>1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>
        <f t="shared" si="5"/>
        <v>4471.5999999999995</v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/>
      <c r="B16" s="144"/>
      <c r="C16" s="28" t="str">
        <f>IF(A16=0,"",VLOOKUP(A16,[2]CO!$A$3:$F$5327,2,0))</f>
        <v/>
      </c>
      <c r="D16" s="148"/>
      <c r="E16" s="29"/>
      <c r="F16" s="29"/>
      <c r="G16" s="30" t="str">
        <f>IF(A16=0,"",VLOOKUP(A16,[2]CO!$A$3:$F$5327,3,0))</f>
        <v/>
      </c>
      <c r="H16" s="142"/>
      <c r="I16" s="143"/>
      <c r="J16" s="143"/>
      <c r="K16" s="143"/>
      <c r="L16" s="143"/>
      <c r="M16" s="32" t="str">
        <f t="shared" si="0"/>
        <v/>
      </c>
      <c r="N16" s="32" t="str">
        <f>IF(B16=0,"",IF(H16="M",HLOOKUP(B16,$Y$12:$DT$13,2),IF(A16=0,"",VLOOKUP(A16,[2]CO!$A$3:$F$5327,4,0))))</f>
        <v/>
      </c>
      <c r="O16" s="32" t="str">
        <f t="shared" si="7"/>
        <v/>
      </c>
      <c r="P16" s="33"/>
      <c r="Q16" s="34" t="str">
        <f t="shared" si="1"/>
        <v/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RESIDENTE"),VLOOKUP(B16,P$14:Q$52,2),"")*S16)</f>
        <v/>
      </c>
      <c r="S16" s="127"/>
      <c r="T16" s="53" t="str">
        <f>IF(A16=0,"",VLOOKUP(A16,[2]CO!$A$3:$F$5318,5,0))</f>
        <v/>
      </c>
      <c r="U16" s="54">
        <f t="shared" si="2"/>
        <v>0</v>
      </c>
      <c r="V16" s="24"/>
      <c r="W16" s="25"/>
      <c r="X16" s="25"/>
      <c r="Y16" s="64" t="str">
        <f t="shared" si="3"/>
        <v/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6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2" t="str">
        <f t="shared" si="6"/>
        <v/>
      </c>
    </row>
    <row r="17" spans="1:226" ht="11.1" customHeight="1" x14ac:dyDescent="0.25">
      <c r="A17" s="26">
        <v>4587</v>
      </c>
      <c r="B17" s="144">
        <v>2</v>
      </c>
      <c r="C17" s="28" t="str">
        <f>IF(A17=0,"",VLOOKUP(A17,[2]CO!$A$3:$F$5327,2,0))</f>
        <v>VILLA LÓPEZ DAVID RIGOBERTO</v>
      </c>
      <c r="D17" s="148"/>
      <c r="E17" s="29"/>
      <c r="F17" s="29"/>
      <c r="G17" s="30" t="str">
        <f>IF(A17=0,"",VLOOKUP(A17,[2]CO!$A$3:$F$5327,3,0))</f>
        <v>OF</v>
      </c>
      <c r="H17" s="142"/>
      <c r="I17" s="143"/>
      <c r="J17" s="143"/>
      <c r="K17" s="143"/>
      <c r="L17" s="143">
        <v>5</v>
      </c>
      <c r="M17" s="32">
        <f t="shared" si="0"/>
        <v>5</v>
      </c>
      <c r="N17" s="32">
        <f>IF(B17=0,"",IF(H17="M",HLOOKUP(B17,$Y$12:$DT$13,2),IF(A17=0,"",VLOOKUP(A17,[2]CO!$A$3:$F$5327,4,0))))</f>
        <v>638.79999999999995</v>
      </c>
      <c r="O17" s="32">
        <f t="shared" si="7"/>
        <v>3194</v>
      </c>
      <c r="P17" s="33">
        <v>2</v>
      </c>
      <c r="Q17" s="34">
        <f t="shared" si="1"/>
        <v>3194</v>
      </c>
      <c r="R17" s="35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RESIDENTE"),VLOOKUP(B17,P$14:Q$52,2),"")*S17)</f>
        <v>3194</v>
      </c>
      <c r="S17" s="127">
        <v>1</v>
      </c>
      <c r="T17" s="53">
        <f>IF(A17=0,"",VLOOKUP(A17,[2]CO!$A$3:$F$5318,5,0))</f>
        <v>0</v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>
        <f t="shared" si="3"/>
        <v>0</v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6" t="str">
        <f t="shared" si="4"/>
        <v/>
      </c>
      <c r="DU17" s="54"/>
      <c r="DV17" s="25"/>
      <c r="DW17" s="61" t="str">
        <f t="shared" si="5"/>
        <v/>
      </c>
      <c r="DX17" s="50">
        <f t="shared" si="5"/>
        <v>3194</v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2" t="str">
        <f t="shared" si="6"/>
        <v/>
      </c>
    </row>
    <row r="18" spans="1:226" ht="11.1" customHeight="1" x14ac:dyDescent="0.25">
      <c r="A18" s="26"/>
      <c r="B18" s="27"/>
      <c r="C18" s="28" t="str">
        <f>IF(A18=0,"",VLOOKUP(A18,[2]CO!$A$3:$F$5327,2,0))</f>
        <v/>
      </c>
      <c r="D18" s="29"/>
      <c r="E18" s="29"/>
      <c r="F18" s="29"/>
      <c r="G18" s="30" t="str">
        <f>IF(A18=0,"",VLOOKUP(A18,[2]CO!$A$3:$F$5327,3,0))</f>
        <v/>
      </c>
      <c r="H18" s="29"/>
      <c r="I18" s="31"/>
      <c r="J18" s="31"/>
      <c r="K18" s="31"/>
      <c r="L18" s="31"/>
      <c r="M18" s="32" t="str">
        <f t="shared" ref="M18:M20" si="10">IF(L18=0,"",PRODUCT(I18:L18))</f>
        <v/>
      </c>
      <c r="N18" s="32" t="str">
        <f>IF(B18=0,"",IF(H18="M",HLOOKUP(B18,$Y$12:$DT$13,2),IF(A18=0,"",VLOOKUP(A18,[2]CO!$A$3:$F$5327,4,0))))</f>
        <v/>
      </c>
      <c r="O18" s="32" t="str">
        <f t="shared" ref="O18:O20" si="11">IF(L18=0,"",PRODUCT(M18:N18))</f>
        <v/>
      </c>
      <c r="P18" s="33"/>
      <c r="Q18" s="34" t="str">
        <f t="shared" ref="Q18:Q20" si="12">IF(P18=0,"",(HLOOKUP(P18,$DW$12:$HR$13,2)))</f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RESIDENTE"),VLOOKUP(B18,P$14:Q$52,2),"")*S18)</f>
        <v/>
      </c>
      <c r="T18" s="53" t="str">
        <f>IF(A18=0,"",VLOOKUP(A18,[2]CO!$A$3:$F$5318,5,0))</f>
        <v/>
      </c>
      <c r="U18" s="54">
        <f t="shared" ref="U18:U20" si="13">IF(T18=1,O18*0.1,)</f>
        <v>0</v>
      </c>
      <c r="V18" s="24"/>
      <c r="W18" s="25"/>
      <c r="X18" s="25"/>
      <c r="Y18" s="64" t="str">
        <f t="shared" ref="Y18:AA18" si="14">IF($B18=Y$12,$U18,"")</f>
        <v/>
      </c>
      <c r="Z18" s="55" t="str">
        <f t="shared" si="14"/>
        <v/>
      </c>
      <c r="AA18" s="55" t="str">
        <f t="shared" si="14"/>
        <v/>
      </c>
      <c r="AB18" s="55" t="str">
        <f t="shared" ref="AB18:CI18" si="15">IF($B18=AB$12,$U18,"")</f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si="15"/>
        <v/>
      </c>
      <c r="BE18" s="55" t="str">
        <f t="shared" si="15"/>
        <v/>
      </c>
      <c r="BF18" s="55" t="str">
        <f t="shared" si="15"/>
        <v/>
      </c>
      <c r="BG18" s="55" t="str">
        <f t="shared" si="15"/>
        <v/>
      </c>
      <c r="BH18" s="55" t="str">
        <f t="shared" si="15"/>
        <v/>
      </c>
      <c r="BI18" s="55" t="str">
        <f t="shared" si="15"/>
        <v/>
      </c>
      <c r="BJ18" s="55" t="str">
        <f t="shared" si="15"/>
        <v/>
      </c>
      <c r="BK18" s="55" t="str">
        <f t="shared" si="15"/>
        <v/>
      </c>
      <c r="BL18" s="55" t="str">
        <f t="shared" si="15"/>
        <v/>
      </c>
      <c r="BM18" s="55" t="str">
        <f t="shared" si="15"/>
        <v/>
      </c>
      <c r="BN18" s="55" t="str">
        <f t="shared" si="15"/>
        <v/>
      </c>
      <c r="BO18" s="55" t="str">
        <f t="shared" si="15"/>
        <v/>
      </c>
      <c r="BP18" s="55" t="str">
        <f t="shared" si="15"/>
        <v/>
      </c>
      <c r="BQ18" s="55" t="str">
        <f t="shared" si="15"/>
        <v/>
      </c>
      <c r="BR18" s="55" t="str">
        <f t="shared" si="15"/>
        <v/>
      </c>
      <c r="BS18" s="55" t="str">
        <f t="shared" si="15"/>
        <v/>
      </c>
      <c r="BT18" s="55" t="str">
        <f t="shared" si="15"/>
        <v/>
      </c>
      <c r="BU18" s="55" t="str">
        <f t="shared" si="15"/>
        <v/>
      </c>
      <c r="BV18" s="55" t="str">
        <f t="shared" si="15"/>
        <v/>
      </c>
      <c r="BW18" s="55" t="str">
        <f t="shared" si="15"/>
        <v/>
      </c>
      <c r="BX18" s="55" t="str">
        <f t="shared" si="15"/>
        <v/>
      </c>
      <c r="BY18" s="55" t="str">
        <f t="shared" si="15"/>
        <v/>
      </c>
      <c r="BZ18" s="55" t="str">
        <f t="shared" si="15"/>
        <v/>
      </c>
      <c r="CA18" s="55" t="str">
        <f t="shared" si="15"/>
        <v/>
      </c>
      <c r="CB18" s="55" t="str">
        <f t="shared" si="15"/>
        <v/>
      </c>
      <c r="CC18" s="55" t="str">
        <f t="shared" si="15"/>
        <v/>
      </c>
      <c r="CD18" s="55" t="str">
        <f t="shared" si="15"/>
        <v/>
      </c>
      <c r="CE18" s="55" t="str">
        <f t="shared" si="15"/>
        <v/>
      </c>
      <c r="CF18" s="55" t="str">
        <f t="shared" si="15"/>
        <v/>
      </c>
      <c r="CG18" s="55" t="str">
        <f t="shared" si="15"/>
        <v/>
      </c>
      <c r="CH18" s="55" t="str">
        <f t="shared" si="15"/>
        <v/>
      </c>
      <c r="CI18" s="55" t="str">
        <f t="shared" si="15"/>
        <v/>
      </c>
      <c r="CJ18" s="55" t="str">
        <f t="shared" ref="CJ18:CY20" si="16">IF($B18=CJ$12,$U18,"")</f>
        <v/>
      </c>
      <c r="CK18" s="55" t="str">
        <f t="shared" si="16"/>
        <v/>
      </c>
      <c r="CL18" s="55" t="str">
        <f t="shared" si="16"/>
        <v/>
      </c>
      <c r="CM18" s="55" t="str">
        <f t="shared" si="16"/>
        <v/>
      </c>
      <c r="CN18" s="55" t="str">
        <f t="shared" ref="CN18:CY19" si="17">IF($B18=CN$12,$U18,"")</f>
        <v/>
      </c>
      <c r="CO18" s="55" t="str">
        <f t="shared" si="17"/>
        <v/>
      </c>
      <c r="CP18" s="55" t="str">
        <f t="shared" si="17"/>
        <v/>
      </c>
      <c r="CQ18" s="55" t="str">
        <f t="shared" si="17"/>
        <v/>
      </c>
      <c r="CR18" s="55" t="str">
        <f t="shared" si="17"/>
        <v/>
      </c>
      <c r="CS18" s="55" t="str">
        <f t="shared" si="17"/>
        <v/>
      </c>
      <c r="CT18" s="55" t="str">
        <f t="shared" si="17"/>
        <v/>
      </c>
      <c r="CU18" s="55" t="str">
        <f t="shared" si="17"/>
        <v/>
      </c>
      <c r="CV18" s="55" t="str">
        <f t="shared" si="17"/>
        <v/>
      </c>
      <c r="CW18" s="55" t="str">
        <f t="shared" si="17"/>
        <v/>
      </c>
      <c r="CX18" s="55" t="str">
        <f t="shared" si="17"/>
        <v/>
      </c>
      <c r="CY18" s="55" t="str">
        <f t="shared" si="17"/>
        <v/>
      </c>
      <c r="CZ18" s="55" t="str">
        <f t="shared" ref="CZ18:DN20" si="18">IF($B18=CZ$12,$U18,"")</f>
        <v/>
      </c>
      <c r="DA18" s="55" t="str">
        <f t="shared" si="18"/>
        <v/>
      </c>
      <c r="DB18" s="55" t="str">
        <f t="shared" si="18"/>
        <v/>
      </c>
      <c r="DC18" s="55" t="str">
        <f t="shared" si="18"/>
        <v/>
      </c>
      <c r="DD18" s="55" t="str">
        <f t="shared" si="18"/>
        <v/>
      </c>
      <c r="DE18" s="55" t="str">
        <f t="shared" si="18"/>
        <v/>
      </c>
      <c r="DF18" s="55" t="str">
        <f t="shared" si="18"/>
        <v/>
      </c>
      <c r="DG18" s="55" t="str">
        <f t="shared" si="18"/>
        <v/>
      </c>
      <c r="DH18" s="55" t="str">
        <f t="shared" si="18"/>
        <v/>
      </c>
      <c r="DI18" s="55" t="str">
        <f t="shared" si="18"/>
        <v/>
      </c>
      <c r="DJ18" s="55" t="str">
        <f t="shared" si="18"/>
        <v/>
      </c>
      <c r="DK18" s="55" t="str">
        <f t="shared" si="18"/>
        <v/>
      </c>
      <c r="DL18" s="55" t="str">
        <f t="shared" si="18"/>
        <v/>
      </c>
      <c r="DM18" s="55" t="str">
        <f t="shared" si="18"/>
        <v/>
      </c>
      <c r="DN18" s="55" t="str">
        <f t="shared" si="18"/>
        <v/>
      </c>
      <c r="DO18" s="55" t="str">
        <f t="shared" ref="DO18:DT20" si="19">IF($B18=DO$12,$U18,"")</f>
        <v/>
      </c>
      <c r="DP18" s="55" t="str">
        <f t="shared" si="19"/>
        <v/>
      </c>
      <c r="DQ18" s="55" t="str">
        <f t="shared" si="19"/>
        <v/>
      </c>
      <c r="DR18" s="55" t="str">
        <f t="shared" si="19"/>
        <v/>
      </c>
      <c r="DS18" s="55" t="str">
        <f t="shared" si="19"/>
        <v/>
      </c>
      <c r="DT18" s="106" t="str">
        <f t="shared" si="19"/>
        <v/>
      </c>
      <c r="DU18" s="54"/>
      <c r="DV18" s="25"/>
      <c r="DW18" s="61" t="str">
        <f t="shared" ref="DW18:DY18" si="20">IF($B18=DW$12,$O18,"")</f>
        <v/>
      </c>
      <c r="DX18" s="50" t="str">
        <f t="shared" si="20"/>
        <v/>
      </c>
      <c r="DY18" s="50" t="str">
        <f t="shared" si="20"/>
        <v/>
      </c>
      <c r="DZ18" s="50" t="str">
        <f t="shared" ref="DZ18:GG18" si="21">IF($B18=DZ$12,$O18,"")</f>
        <v/>
      </c>
      <c r="EA18" s="50" t="str">
        <f t="shared" si="21"/>
        <v/>
      </c>
      <c r="EB18" s="50" t="str">
        <f t="shared" si="21"/>
        <v/>
      </c>
      <c r="EC18" s="50" t="str">
        <f t="shared" si="21"/>
        <v/>
      </c>
      <c r="ED18" s="50" t="str">
        <f t="shared" si="21"/>
        <v/>
      </c>
      <c r="EE18" s="50" t="str">
        <f t="shared" si="21"/>
        <v/>
      </c>
      <c r="EF18" s="50" t="str">
        <f t="shared" si="21"/>
        <v/>
      </c>
      <c r="EG18" s="50" t="str">
        <f t="shared" si="21"/>
        <v/>
      </c>
      <c r="EH18" s="50" t="str">
        <f t="shared" si="21"/>
        <v/>
      </c>
      <c r="EI18" s="50" t="str">
        <f t="shared" si="21"/>
        <v/>
      </c>
      <c r="EJ18" s="50" t="str">
        <f t="shared" si="21"/>
        <v/>
      </c>
      <c r="EK18" s="50" t="str">
        <f t="shared" si="21"/>
        <v/>
      </c>
      <c r="EL18" s="50" t="str">
        <f t="shared" si="21"/>
        <v/>
      </c>
      <c r="EM18" s="50" t="str">
        <f t="shared" si="21"/>
        <v/>
      </c>
      <c r="EN18" s="50" t="str">
        <f t="shared" si="21"/>
        <v/>
      </c>
      <c r="EO18" s="50" t="str">
        <f t="shared" si="21"/>
        <v/>
      </c>
      <c r="EP18" s="50" t="str">
        <f t="shared" si="21"/>
        <v/>
      </c>
      <c r="EQ18" s="50" t="str">
        <f t="shared" si="21"/>
        <v/>
      </c>
      <c r="ER18" s="50" t="str">
        <f t="shared" si="21"/>
        <v/>
      </c>
      <c r="ES18" s="50" t="str">
        <f t="shared" si="21"/>
        <v/>
      </c>
      <c r="ET18" s="50" t="str">
        <f t="shared" si="21"/>
        <v/>
      </c>
      <c r="EU18" s="50" t="str">
        <f t="shared" si="21"/>
        <v/>
      </c>
      <c r="EV18" s="50" t="str">
        <f t="shared" si="21"/>
        <v/>
      </c>
      <c r="EW18" s="50" t="str">
        <f t="shared" si="21"/>
        <v/>
      </c>
      <c r="EX18" s="50" t="str">
        <f t="shared" si="21"/>
        <v/>
      </c>
      <c r="EY18" s="50" t="str">
        <f t="shared" si="21"/>
        <v/>
      </c>
      <c r="EZ18" s="50" t="str">
        <f t="shared" si="21"/>
        <v/>
      </c>
      <c r="FA18" s="50" t="str">
        <f t="shared" si="21"/>
        <v/>
      </c>
      <c r="FB18" s="50" t="str">
        <f t="shared" si="21"/>
        <v/>
      </c>
      <c r="FC18" s="50" t="str">
        <f t="shared" si="21"/>
        <v/>
      </c>
      <c r="FD18" s="50" t="str">
        <f t="shared" si="21"/>
        <v/>
      </c>
      <c r="FE18" s="50" t="str">
        <f t="shared" si="21"/>
        <v/>
      </c>
      <c r="FF18" s="50" t="str">
        <f t="shared" si="21"/>
        <v/>
      </c>
      <c r="FG18" s="50" t="str">
        <f t="shared" si="21"/>
        <v/>
      </c>
      <c r="FH18" s="50" t="str">
        <f t="shared" si="21"/>
        <v/>
      </c>
      <c r="FI18" s="50" t="str">
        <f t="shared" si="21"/>
        <v/>
      </c>
      <c r="FJ18" s="50" t="str">
        <f t="shared" si="21"/>
        <v/>
      </c>
      <c r="FK18" s="50" t="str">
        <f t="shared" si="21"/>
        <v/>
      </c>
      <c r="FL18" s="50" t="str">
        <f t="shared" si="21"/>
        <v/>
      </c>
      <c r="FM18" s="50" t="str">
        <f t="shared" si="21"/>
        <v/>
      </c>
      <c r="FN18" s="50" t="str">
        <f t="shared" si="21"/>
        <v/>
      </c>
      <c r="FO18" s="50" t="str">
        <f t="shared" si="21"/>
        <v/>
      </c>
      <c r="FP18" s="50" t="str">
        <f t="shared" si="21"/>
        <v/>
      </c>
      <c r="FQ18" s="50" t="str">
        <f t="shared" si="21"/>
        <v/>
      </c>
      <c r="FR18" s="50" t="str">
        <f t="shared" si="21"/>
        <v/>
      </c>
      <c r="FS18" s="50" t="str">
        <f t="shared" si="21"/>
        <v/>
      </c>
      <c r="FT18" s="50" t="str">
        <f t="shared" si="21"/>
        <v/>
      </c>
      <c r="FU18" s="50" t="str">
        <f t="shared" si="21"/>
        <v/>
      </c>
      <c r="FV18" s="50" t="str">
        <f t="shared" si="21"/>
        <v/>
      </c>
      <c r="FW18" s="50" t="str">
        <f t="shared" si="21"/>
        <v/>
      </c>
      <c r="FX18" s="50" t="str">
        <f t="shared" si="21"/>
        <v/>
      </c>
      <c r="FY18" s="50" t="str">
        <f t="shared" si="21"/>
        <v/>
      </c>
      <c r="FZ18" s="50" t="str">
        <f t="shared" si="21"/>
        <v/>
      </c>
      <c r="GA18" s="50" t="str">
        <f t="shared" si="21"/>
        <v/>
      </c>
      <c r="GB18" s="50" t="str">
        <f t="shared" si="21"/>
        <v/>
      </c>
      <c r="GC18" s="50" t="str">
        <f t="shared" si="21"/>
        <v/>
      </c>
      <c r="GD18" s="50" t="str">
        <f t="shared" si="21"/>
        <v/>
      </c>
      <c r="GE18" s="50" t="str">
        <f t="shared" si="21"/>
        <v/>
      </c>
      <c r="GF18" s="50" t="str">
        <f t="shared" si="21"/>
        <v/>
      </c>
      <c r="GG18" s="50" t="str">
        <f t="shared" si="21"/>
        <v/>
      </c>
      <c r="GH18" s="50" t="str">
        <f t="shared" ref="GH18:GW20" si="22">IF($B18=GH$12,$O18,"")</f>
        <v/>
      </c>
      <c r="GI18" s="50" t="str">
        <f t="shared" si="22"/>
        <v/>
      </c>
      <c r="GJ18" s="50" t="str">
        <f t="shared" si="22"/>
        <v/>
      </c>
      <c r="GK18" s="50" t="str">
        <f t="shared" si="22"/>
        <v/>
      </c>
      <c r="GL18" s="50" t="str">
        <f t="shared" ref="GL18:GW19" si="23">IF($B18=GL$12,$O18,"")</f>
        <v/>
      </c>
      <c r="GM18" s="50" t="str">
        <f t="shared" si="23"/>
        <v/>
      </c>
      <c r="GN18" s="50" t="str">
        <f t="shared" si="23"/>
        <v/>
      </c>
      <c r="GO18" s="50" t="str">
        <f t="shared" si="23"/>
        <v/>
      </c>
      <c r="GP18" s="50" t="str">
        <f t="shared" si="23"/>
        <v/>
      </c>
      <c r="GQ18" s="50" t="str">
        <f t="shared" si="23"/>
        <v/>
      </c>
      <c r="GR18" s="50" t="str">
        <f t="shared" si="23"/>
        <v/>
      </c>
      <c r="GS18" s="50" t="str">
        <f t="shared" si="23"/>
        <v/>
      </c>
      <c r="GT18" s="50" t="str">
        <f t="shared" si="23"/>
        <v/>
      </c>
      <c r="GU18" s="50" t="str">
        <f t="shared" si="23"/>
        <v/>
      </c>
      <c r="GV18" s="50" t="str">
        <f t="shared" si="23"/>
        <v/>
      </c>
      <c r="GW18" s="50" t="str">
        <f t="shared" si="23"/>
        <v/>
      </c>
      <c r="GX18" s="50" t="str">
        <f t="shared" ref="GX18:HL20" si="24">IF($B18=GX$12,$O18,"")</f>
        <v/>
      </c>
      <c r="GY18" s="50" t="str">
        <f t="shared" si="24"/>
        <v/>
      </c>
      <c r="GZ18" s="50" t="str">
        <f t="shared" si="24"/>
        <v/>
      </c>
      <c r="HA18" s="50" t="str">
        <f t="shared" si="24"/>
        <v/>
      </c>
      <c r="HB18" s="50" t="str">
        <f t="shared" si="24"/>
        <v/>
      </c>
      <c r="HC18" s="50" t="str">
        <f t="shared" si="24"/>
        <v/>
      </c>
      <c r="HD18" s="50" t="str">
        <f t="shared" si="24"/>
        <v/>
      </c>
      <c r="HE18" s="50" t="str">
        <f t="shared" si="24"/>
        <v/>
      </c>
      <c r="HF18" s="50" t="str">
        <f t="shared" si="24"/>
        <v/>
      </c>
      <c r="HG18" s="50" t="str">
        <f t="shared" si="24"/>
        <v/>
      </c>
      <c r="HH18" s="50" t="str">
        <f t="shared" si="24"/>
        <v/>
      </c>
      <c r="HI18" s="50" t="str">
        <f t="shared" si="24"/>
        <v/>
      </c>
      <c r="HJ18" s="50" t="str">
        <f t="shared" si="24"/>
        <v/>
      </c>
      <c r="HK18" s="50" t="str">
        <f t="shared" si="24"/>
        <v/>
      </c>
      <c r="HL18" s="50" t="str">
        <f t="shared" si="24"/>
        <v/>
      </c>
      <c r="HM18" s="50" t="str">
        <f t="shared" ref="HM18:HR20" si="25">IF($B18=HM$12,$O18,"")</f>
        <v/>
      </c>
      <c r="HN18" s="50" t="str">
        <f t="shared" si="25"/>
        <v/>
      </c>
      <c r="HO18" s="50" t="str">
        <f t="shared" si="25"/>
        <v/>
      </c>
      <c r="HP18" s="50" t="str">
        <f t="shared" si="25"/>
        <v/>
      </c>
      <c r="HQ18" s="50" t="str">
        <f t="shared" si="25"/>
        <v/>
      </c>
      <c r="HR18" s="112" t="str">
        <f t="shared" si="25"/>
        <v/>
      </c>
    </row>
    <row r="19" spans="1:226" ht="11.1" customHeight="1" x14ac:dyDescent="0.25">
      <c r="A19" s="26"/>
      <c r="B19" s="27"/>
      <c r="C19" s="28" t="str">
        <f>IF(A19=0,"",VLOOKUP(A19,[2]CO!$A$3:$F$5327,2,0))</f>
        <v/>
      </c>
      <c r="D19" s="29"/>
      <c r="E19" s="29"/>
      <c r="F19" s="29"/>
      <c r="G19" s="30" t="str">
        <f>IF(A19=0,"",VLOOKUP(A19,[2]CO!$A$3:$F$5327,3,0))</f>
        <v/>
      </c>
      <c r="H19" s="29"/>
      <c r="I19" s="31"/>
      <c r="J19" s="31"/>
      <c r="K19" s="31"/>
      <c r="L19" s="31"/>
      <c r="M19" s="32" t="str">
        <f t="shared" si="10"/>
        <v/>
      </c>
      <c r="N19" s="32" t="str">
        <f>IF(B19=0,"",IF(H19="M",HLOOKUP(B19,$Y$12:$DT$13,2),IF(A19=0,"",VLOOKUP(A19,[2]CO!$A$3:$F$5327,4,0))))</f>
        <v/>
      </c>
      <c r="O19" s="32" t="str">
        <f t="shared" si="11"/>
        <v/>
      </c>
      <c r="P19" s="33"/>
      <c r="Q19" s="34" t="str">
        <f t="shared" si="12"/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RESIDENTE"),VLOOKUP(B19,P$14:Q$52,2),"")*S19)</f>
        <v/>
      </c>
      <c r="T19" s="53" t="str">
        <f>IF(A19=0,"",VLOOKUP(A19,[2]CO!$A$3:$F$5318,5,0))</f>
        <v/>
      </c>
      <c r="U19" s="54">
        <f t="shared" si="13"/>
        <v>0</v>
      </c>
      <c r="V19" s="24"/>
      <c r="W19" s="25"/>
      <c r="X19" s="25"/>
      <c r="Y19" s="64" t="str">
        <f t="shared" ref="Y19:CI20" si="26">IF($B19=Y$12,$U19,"")</f>
        <v/>
      </c>
      <c r="Z19" s="55" t="str">
        <f t="shared" si="26"/>
        <v/>
      </c>
      <c r="AA19" s="55" t="str">
        <f t="shared" si="26"/>
        <v/>
      </c>
      <c r="AB19" s="55" t="str">
        <f t="shared" si="26"/>
        <v/>
      </c>
      <c r="AC19" s="55" t="str">
        <f t="shared" si="26"/>
        <v/>
      </c>
      <c r="AD19" s="55" t="str">
        <f t="shared" si="26"/>
        <v/>
      </c>
      <c r="AE19" s="55" t="str">
        <f t="shared" si="26"/>
        <v/>
      </c>
      <c r="AF19" s="55" t="str">
        <f t="shared" si="26"/>
        <v/>
      </c>
      <c r="AG19" s="55" t="str">
        <f t="shared" si="26"/>
        <v/>
      </c>
      <c r="AH19" s="55" t="str">
        <f t="shared" si="26"/>
        <v/>
      </c>
      <c r="AI19" s="55" t="str">
        <f t="shared" si="26"/>
        <v/>
      </c>
      <c r="AJ19" s="55" t="str">
        <f t="shared" si="26"/>
        <v/>
      </c>
      <c r="AK19" s="55" t="str">
        <f t="shared" si="26"/>
        <v/>
      </c>
      <c r="AL19" s="55" t="str">
        <f t="shared" si="26"/>
        <v/>
      </c>
      <c r="AM19" s="55" t="str">
        <f t="shared" si="26"/>
        <v/>
      </c>
      <c r="AN19" s="55" t="str">
        <f t="shared" si="26"/>
        <v/>
      </c>
      <c r="AO19" s="55" t="str">
        <f t="shared" si="26"/>
        <v/>
      </c>
      <c r="AP19" s="55" t="str">
        <f t="shared" si="26"/>
        <v/>
      </c>
      <c r="AQ19" s="55" t="str">
        <f t="shared" si="26"/>
        <v/>
      </c>
      <c r="AR19" s="55" t="str">
        <f t="shared" si="26"/>
        <v/>
      </c>
      <c r="AS19" s="55" t="str">
        <f t="shared" si="26"/>
        <v/>
      </c>
      <c r="AT19" s="55" t="str">
        <f t="shared" si="26"/>
        <v/>
      </c>
      <c r="AU19" s="55" t="str">
        <f t="shared" si="26"/>
        <v/>
      </c>
      <c r="AV19" s="55" t="str">
        <f t="shared" si="26"/>
        <v/>
      </c>
      <c r="AW19" s="55" t="str">
        <f t="shared" si="26"/>
        <v/>
      </c>
      <c r="AX19" s="55" t="str">
        <f t="shared" si="26"/>
        <v/>
      </c>
      <c r="AY19" s="55" t="str">
        <f t="shared" si="26"/>
        <v/>
      </c>
      <c r="AZ19" s="55" t="str">
        <f t="shared" si="26"/>
        <v/>
      </c>
      <c r="BA19" s="55" t="str">
        <f t="shared" si="26"/>
        <v/>
      </c>
      <c r="BB19" s="55" t="str">
        <f t="shared" si="26"/>
        <v/>
      </c>
      <c r="BC19" s="55" t="str">
        <f t="shared" si="26"/>
        <v/>
      </c>
      <c r="BD19" s="55" t="str">
        <f t="shared" si="26"/>
        <v/>
      </c>
      <c r="BE19" s="55" t="str">
        <f t="shared" si="26"/>
        <v/>
      </c>
      <c r="BF19" s="55" t="str">
        <f t="shared" si="26"/>
        <v/>
      </c>
      <c r="BG19" s="55" t="str">
        <f t="shared" si="26"/>
        <v/>
      </c>
      <c r="BH19" s="55" t="str">
        <f t="shared" si="26"/>
        <v/>
      </c>
      <c r="BI19" s="55" t="str">
        <f t="shared" si="26"/>
        <v/>
      </c>
      <c r="BJ19" s="55" t="str">
        <f t="shared" si="26"/>
        <v/>
      </c>
      <c r="BK19" s="55" t="str">
        <f t="shared" si="26"/>
        <v/>
      </c>
      <c r="BL19" s="55" t="str">
        <f t="shared" si="26"/>
        <v/>
      </c>
      <c r="BM19" s="55" t="str">
        <f t="shared" si="26"/>
        <v/>
      </c>
      <c r="BN19" s="55" t="str">
        <f t="shared" si="26"/>
        <v/>
      </c>
      <c r="BO19" s="55" t="str">
        <f t="shared" si="26"/>
        <v/>
      </c>
      <c r="BP19" s="55" t="str">
        <f t="shared" si="26"/>
        <v/>
      </c>
      <c r="BQ19" s="55" t="str">
        <f t="shared" si="26"/>
        <v/>
      </c>
      <c r="BR19" s="55" t="str">
        <f t="shared" si="26"/>
        <v/>
      </c>
      <c r="BS19" s="55" t="str">
        <f t="shared" si="26"/>
        <v/>
      </c>
      <c r="BT19" s="55" t="str">
        <f t="shared" si="26"/>
        <v/>
      </c>
      <c r="BU19" s="55" t="str">
        <f t="shared" si="26"/>
        <v/>
      </c>
      <c r="BV19" s="55" t="str">
        <f t="shared" si="26"/>
        <v/>
      </c>
      <c r="BW19" s="55" t="str">
        <f t="shared" si="26"/>
        <v/>
      </c>
      <c r="BX19" s="55" t="str">
        <f t="shared" si="26"/>
        <v/>
      </c>
      <c r="BY19" s="55" t="str">
        <f t="shared" si="26"/>
        <v/>
      </c>
      <c r="BZ19" s="55" t="str">
        <f t="shared" si="26"/>
        <v/>
      </c>
      <c r="CA19" s="55" t="str">
        <f t="shared" si="26"/>
        <v/>
      </c>
      <c r="CB19" s="55" t="str">
        <f t="shared" si="26"/>
        <v/>
      </c>
      <c r="CC19" s="55" t="str">
        <f t="shared" si="26"/>
        <v/>
      </c>
      <c r="CD19" s="55" t="str">
        <f t="shared" si="26"/>
        <v/>
      </c>
      <c r="CE19" s="55" t="str">
        <f t="shared" si="26"/>
        <v/>
      </c>
      <c r="CF19" s="55" t="str">
        <f t="shared" si="26"/>
        <v/>
      </c>
      <c r="CG19" s="55" t="str">
        <f t="shared" si="26"/>
        <v/>
      </c>
      <c r="CH19" s="55" t="str">
        <f t="shared" si="26"/>
        <v/>
      </c>
      <c r="CI19" s="55" t="str">
        <f t="shared" si="26"/>
        <v/>
      </c>
      <c r="CJ19" s="55" t="str">
        <f t="shared" si="16"/>
        <v/>
      </c>
      <c r="CK19" s="55" t="str">
        <f t="shared" si="16"/>
        <v/>
      </c>
      <c r="CL19" s="55" t="str">
        <f t="shared" si="16"/>
        <v/>
      </c>
      <c r="CM19" s="55" t="str">
        <f t="shared" si="16"/>
        <v/>
      </c>
      <c r="CN19" s="55" t="str">
        <f t="shared" si="17"/>
        <v/>
      </c>
      <c r="CO19" s="55" t="str">
        <f t="shared" si="17"/>
        <v/>
      </c>
      <c r="CP19" s="55" t="str">
        <f t="shared" si="17"/>
        <v/>
      </c>
      <c r="CQ19" s="55" t="str">
        <f t="shared" si="17"/>
        <v/>
      </c>
      <c r="CR19" s="55" t="str">
        <f t="shared" si="17"/>
        <v/>
      </c>
      <c r="CS19" s="55" t="str">
        <f t="shared" si="17"/>
        <v/>
      </c>
      <c r="CT19" s="55" t="str">
        <f t="shared" si="17"/>
        <v/>
      </c>
      <c r="CU19" s="55" t="str">
        <f t="shared" si="17"/>
        <v/>
      </c>
      <c r="CV19" s="55" t="str">
        <f t="shared" si="17"/>
        <v/>
      </c>
      <c r="CW19" s="55" t="str">
        <f t="shared" si="17"/>
        <v/>
      </c>
      <c r="CX19" s="55" t="str">
        <f t="shared" si="17"/>
        <v/>
      </c>
      <c r="CY19" s="55" t="str">
        <f t="shared" si="17"/>
        <v/>
      </c>
      <c r="CZ19" s="55" t="str">
        <f t="shared" si="18"/>
        <v/>
      </c>
      <c r="DA19" s="55" t="str">
        <f t="shared" si="18"/>
        <v/>
      </c>
      <c r="DB19" s="55" t="str">
        <f t="shared" si="18"/>
        <v/>
      </c>
      <c r="DC19" s="55" t="str">
        <f t="shared" si="18"/>
        <v/>
      </c>
      <c r="DD19" s="55" t="str">
        <f t="shared" si="18"/>
        <v/>
      </c>
      <c r="DE19" s="55" t="str">
        <f t="shared" si="18"/>
        <v/>
      </c>
      <c r="DF19" s="55" t="str">
        <f t="shared" si="18"/>
        <v/>
      </c>
      <c r="DG19" s="55" t="str">
        <f t="shared" si="18"/>
        <v/>
      </c>
      <c r="DH19" s="55" t="str">
        <f t="shared" si="18"/>
        <v/>
      </c>
      <c r="DI19" s="55" t="str">
        <f t="shared" si="18"/>
        <v/>
      </c>
      <c r="DJ19" s="55" t="str">
        <f t="shared" si="18"/>
        <v/>
      </c>
      <c r="DK19" s="55" t="str">
        <f t="shared" si="18"/>
        <v/>
      </c>
      <c r="DL19" s="55" t="str">
        <f t="shared" si="18"/>
        <v/>
      </c>
      <c r="DM19" s="55" t="str">
        <f t="shared" si="18"/>
        <v/>
      </c>
      <c r="DN19" s="55" t="str">
        <f t="shared" si="18"/>
        <v/>
      </c>
      <c r="DO19" s="55" t="str">
        <f t="shared" si="19"/>
        <v/>
      </c>
      <c r="DP19" s="55" t="str">
        <f t="shared" si="19"/>
        <v/>
      </c>
      <c r="DQ19" s="55" t="str">
        <f t="shared" si="19"/>
        <v/>
      </c>
      <c r="DR19" s="55" t="str">
        <f t="shared" si="19"/>
        <v/>
      </c>
      <c r="DS19" s="55" t="str">
        <f t="shared" si="19"/>
        <v/>
      </c>
      <c r="DT19" s="106" t="str">
        <f t="shared" si="19"/>
        <v/>
      </c>
      <c r="DU19" s="54"/>
      <c r="DV19" s="25"/>
      <c r="DW19" s="61" t="str">
        <f t="shared" ref="DW19:GG20" si="27">IF($B19=DW$12,$O19,"")</f>
        <v/>
      </c>
      <c r="DX19" s="50" t="str">
        <f t="shared" si="27"/>
        <v/>
      </c>
      <c r="DY19" s="50" t="str">
        <f t="shared" si="27"/>
        <v/>
      </c>
      <c r="DZ19" s="50" t="str">
        <f t="shared" si="27"/>
        <v/>
      </c>
      <c r="EA19" s="50" t="str">
        <f t="shared" si="27"/>
        <v/>
      </c>
      <c r="EB19" s="50" t="str">
        <f t="shared" si="27"/>
        <v/>
      </c>
      <c r="EC19" s="50" t="str">
        <f t="shared" si="27"/>
        <v/>
      </c>
      <c r="ED19" s="50" t="str">
        <f t="shared" si="27"/>
        <v/>
      </c>
      <c r="EE19" s="50" t="str">
        <f t="shared" si="27"/>
        <v/>
      </c>
      <c r="EF19" s="50" t="str">
        <f t="shared" si="27"/>
        <v/>
      </c>
      <c r="EG19" s="50" t="str">
        <f t="shared" si="27"/>
        <v/>
      </c>
      <c r="EH19" s="50" t="str">
        <f t="shared" si="27"/>
        <v/>
      </c>
      <c r="EI19" s="50" t="str">
        <f t="shared" si="27"/>
        <v/>
      </c>
      <c r="EJ19" s="50" t="str">
        <f t="shared" si="27"/>
        <v/>
      </c>
      <c r="EK19" s="50" t="str">
        <f t="shared" si="27"/>
        <v/>
      </c>
      <c r="EL19" s="50" t="str">
        <f t="shared" si="27"/>
        <v/>
      </c>
      <c r="EM19" s="50" t="str">
        <f t="shared" si="27"/>
        <v/>
      </c>
      <c r="EN19" s="50" t="str">
        <f t="shared" si="27"/>
        <v/>
      </c>
      <c r="EO19" s="50" t="str">
        <f t="shared" si="27"/>
        <v/>
      </c>
      <c r="EP19" s="50" t="str">
        <f t="shared" si="27"/>
        <v/>
      </c>
      <c r="EQ19" s="50" t="str">
        <f t="shared" si="27"/>
        <v/>
      </c>
      <c r="ER19" s="50" t="str">
        <f t="shared" si="27"/>
        <v/>
      </c>
      <c r="ES19" s="50" t="str">
        <f t="shared" si="27"/>
        <v/>
      </c>
      <c r="ET19" s="50" t="str">
        <f t="shared" si="27"/>
        <v/>
      </c>
      <c r="EU19" s="50" t="str">
        <f t="shared" si="27"/>
        <v/>
      </c>
      <c r="EV19" s="50" t="str">
        <f t="shared" si="27"/>
        <v/>
      </c>
      <c r="EW19" s="50" t="str">
        <f t="shared" si="27"/>
        <v/>
      </c>
      <c r="EX19" s="50" t="str">
        <f t="shared" si="27"/>
        <v/>
      </c>
      <c r="EY19" s="50" t="str">
        <f t="shared" si="27"/>
        <v/>
      </c>
      <c r="EZ19" s="50" t="str">
        <f t="shared" si="27"/>
        <v/>
      </c>
      <c r="FA19" s="50" t="str">
        <f t="shared" si="27"/>
        <v/>
      </c>
      <c r="FB19" s="50" t="str">
        <f t="shared" si="27"/>
        <v/>
      </c>
      <c r="FC19" s="50" t="str">
        <f t="shared" si="27"/>
        <v/>
      </c>
      <c r="FD19" s="50" t="str">
        <f t="shared" si="27"/>
        <v/>
      </c>
      <c r="FE19" s="50" t="str">
        <f t="shared" si="27"/>
        <v/>
      </c>
      <c r="FF19" s="50" t="str">
        <f t="shared" si="27"/>
        <v/>
      </c>
      <c r="FG19" s="50" t="str">
        <f t="shared" si="27"/>
        <v/>
      </c>
      <c r="FH19" s="50" t="str">
        <f t="shared" si="27"/>
        <v/>
      </c>
      <c r="FI19" s="50" t="str">
        <f t="shared" si="27"/>
        <v/>
      </c>
      <c r="FJ19" s="50" t="str">
        <f t="shared" si="27"/>
        <v/>
      </c>
      <c r="FK19" s="50" t="str">
        <f t="shared" si="27"/>
        <v/>
      </c>
      <c r="FL19" s="50" t="str">
        <f t="shared" si="27"/>
        <v/>
      </c>
      <c r="FM19" s="50" t="str">
        <f t="shared" si="27"/>
        <v/>
      </c>
      <c r="FN19" s="50" t="str">
        <f t="shared" si="27"/>
        <v/>
      </c>
      <c r="FO19" s="50" t="str">
        <f t="shared" si="27"/>
        <v/>
      </c>
      <c r="FP19" s="50" t="str">
        <f t="shared" si="27"/>
        <v/>
      </c>
      <c r="FQ19" s="50" t="str">
        <f t="shared" si="27"/>
        <v/>
      </c>
      <c r="FR19" s="50" t="str">
        <f t="shared" si="27"/>
        <v/>
      </c>
      <c r="FS19" s="50" t="str">
        <f t="shared" si="27"/>
        <v/>
      </c>
      <c r="FT19" s="50" t="str">
        <f t="shared" si="27"/>
        <v/>
      </c>
      <c r="FU19" s="50" t="str">
        <f t="shared" si="27"/>
        <v/>
      </c>
      <c r="FV19" s="50" t="str">
        <f t="shared" si="27"/>
        <v/>
      </c>
      <c r="FW19" s="50" t="str">
        <f t="shared" si="27"/>
        <v/>
      </c>
      <c r="FX19" s="50" t="str">
        <f t="shared" si="27"/>
        <v/>
      </c>
      <c r="FY19" s="50" t="str">
        <f t="shared" si="27"/>
        <v/>
      </c>
      <c r="FZ19" s="50" t="str">
        <f t="shared" si="27"/>
        <v/>
      </c>
      <c r="GA19" s="50" t="str">
        <f t="shared" si="27"/>
        <v/>
      </c>
      <c r="GB19" s="50" t="str">
        <f t="shared" si="27"/>
        <v/>
      </c>
      <c r="GC19" s="50" t="str">
        <f t="shared" si="27"/>
        <v/>
      </c>
      <c r="GD19" s="50" t="str">
        <f t="shared" si="27"/>
        <v/>
      </c>
      <c r="GE19" s="50" t="str">
        <f t="shared" si="27"/>
        <v/>
      </c>
      <c r="GF19" s="50" t="str">
        <f t="shared" si="27"/>
        <v/>
      </c>
      <c r="GG19" s="50" t="str">
        <f t="shared" si="27"/>
        <v/>
      </c>
      <c r="GH19" s="50" t="str">
        <f t="shared" si="22"/>
        <v/>
      </c>
      <c r="GI19" s="50" t="str">
        <f t="shared" si="22"/>
        <v/>
      </c>
      <c r="GJ19" s="50" t="str">
        <f t="shared" si="22"/>
        <v/>
      </c>
      <c r="GK19" s="50" t="str">
        <f t="shared" si="22"/>
        <v/>
      </c>
      <c r="GL19" s="50" t="str">
        <f t="shared" si="23"/>
        <v/>
      </c>
      <c r="GM19" s="50" t="str">
        <f t="shared" si="23"/>
        <v/>
      </c>
      <c r="GN19" s="50" t="str">
        <f t="shared" si="23"/>
        <v/>
      </c>
      <c r="GO19" s="50" t="str">
        <f t="shared" si="23"/>
        <v/>
      </c>
      <c r="GP19" s="50" t="str">
        <f t="shared" si="23"/>
        <v/>
      </c>
      <c r="GQ19" s="50" t="str">
        <f t="shared" si="23"/>
        <v/>
      </c>
      <c r="GR19" s="50" t="str">
        <f t="shared" si="23"/>
        <v/>
      </c>
      <c r="GS19" s="50" t="str">
        <f t="shared" si="23"/>
        <v/>
      </c>
      <c r="GT19" s="50" t="str">
        <f t="shared" si="23"/>
        <v/>
      </c>
      <c r="GU19" s="50" t="str">
        <f t="shared" si="23"/>
        <v/>
      </c>
      <c r="GV19" s="50" t="str">
        <f t="shared" si="23"/>
        <v/>
      </c>
      <c r="GW19" s="50" t="str">
        <f t="shared" si="23"/>
        <v/>
      </c>
      <c r="GX19" s="50" t="str">
        <f t="shared" si="24"/>
        <v/>
      </c>
      <c r="GY19" s="50" t="str">
        <f t="shared" si="24"/>
        <v/>
      </c>
      <c r="GZ19" s="50" t="str">
        <f t="shared" si="24"/>
        <v/>
      </c>
      <c r="HA19" s="50" t="str">
        <f t="shared" si="24"/>
        <v/>
      </c>
      <c r="HB19" s="50" t="str">
        <f t="shared" si="24"/>
        <v/>
      </c>
      <c r="HC19" s="50" t="str">
        <f t="shared" si="24"/>
        <v/>
      </c>
      <c r="HD19" s="50" t="str">
        <f t="shared" si="24"/>
        <v/>
      </c>
      <c r="HE19" s="50" t="str">
        <f t="shared" si="24"/>
        <v/>
      </c>
      <c r="HF19" s="50" t="str">
        <f t="shared" si="24"/>
        <v/>
      </c>
      <c r="HG19" s="50" t="str">
        <f t="shared" si="24"/>
        <v/>
      </c>
      <c r="HH19" s="50" t="str">
        <f t="shared" si="24"/>
        <v/>
      </c>
      <c r="HI19" s="50" t="str">
        <f t="shared" si="24"/>
        <v/>
      </c>
      <c r="HJ19" s="50" t="str">
        <f t="shared" si="24"/>
        <v/>
      </c>
      <c r="HK19" s="50" t="str">
        <f t="shared" si="24"/>
        <v/>
      </c>
      <c r="HL19" s="50" t="str">
        <f t="shared" si="24"/>
        <v/>
      </c>
      <c r="HM19" s="50" t="str">
        <f t="shared" si="25"/>
        <v/>
      </c>
      <c r="HN19" s="50" t="str">
        <f t="shared" si="25"/>
        <v/>
      </c>
      <c r="HO19" s="50" t="str">
        <f t="shared" si="25"/>
        <v/>
      </c>
      <c r="HP19" s="50" t="str">
        <f t="shared" si="25"/>
        <v/>
      </c>
      <c r="HQ19" s="50" t="str">
        <f t="shared" si="25"/>
        <v/>
      </c>
      <c r="HR19" s="112" t="str">
        <f t="shared" si="25"/>
        <v/>
      </c>
    </row>
    <row r="20" spans="1:226" ht="11.1" customHeight="1" x14ac:dyDescent="0.25">
      <c r="A20" s="26"/>
      <c r="B20" s="27"/>
      <c r="C20" s="28" t="str">
        <f>IF(A20=0,"",VLOOKUP(A20,[2]CO!$A$3:$F$5327,2,0))</f>
        <v/>
      </c>
      <c r="D20" s="29"/>
      <c r="E20" s="29"/>
      <c r="F20" s="29"/>
      <c r="G20" s="30" t="str">
        <f>IF(A20=0,"",VLOOKUP(A20,[2]CO!$A$3:$F$5327,3,0))</f>
        <v/>
      </c>
      <c r="H20" s="29"/>
      <c r="I20" s="31"/>
      <c r="J20" s="31"/>
      <c r="K20" s="31"/>
      <c r="L20" s="31"/>
      <c r="M20" s="32" t="str">
        <f t="shared" si="10"/>
        <v/>
      </c>
      <c r="N20" s="32" t="str">
        <f>IF(B20=0,"",IF(H20="M",HLOOKUP(B20,$Y$12:$DT$13,2),IF(A20=0,"",VLOOKUP(A20,[2]CO!$A$3:$F$5327,4,0))))</f>
        <v/>
      </c>
      <c r="O20" s="32" t="str">
        <f t="shared" si="11"/>
        <v/>
      </c>
      <c r="P20" s="33"/>
      <c r="Q20" s="34" t="str">
        <f t="shared" si="12"/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RESIDENTE"),VLOOKUP(B20,P$14:Q$52,2),"")*S20)</f>
        <v/>
      </c>
      <c r="T20" s="53" t="str">
        <f>IF(A20=0,"",VLOOKUP(A20,[2]CO!$A$3:$F$5318,5,0))</f>
        <v/>
      </c>
      <c r="U20" s="54">
        <f t="shared" si="13"/>
        <v>0</v>
      </c>
      <c r="V20" s="24"/>
      <c r="W20" s="25"/>
      <c r="X20" s="25"/>
      <c r="Y20" s="64" t="str">
        <f t="shared" si="26"/>
        <v/>
      </c>
      <c r="Z20" s="55" t="str">
        <f t="shared" si="26"/>
        <v/>
      </c>
      <c r="AA20" s="55" t="str">
        <f t="shared" si="26"/>
        <v/>
      </c>
      <c r="AB20" s="55" t="str">
        <f t="shared" si="26"/>
        <v/>
      </c>
      <c r="AC20" s="55" t="str">
        <f t="shared" si="26"/>
        <v/>
      </c>
      <c r="AD20" s="55" t="str">
        <f t="shared" si="26"/>
        <v/>
      </c>
      <c r="AE20" s="55" t="str">
        <f t="shared" si="26"/>
        <v/>
      </c>
      <c r="AF20" s="55" t="str">
        <f t="shared" si="26"/>
        <v/>
      </c>
      <c r="AG20" s="55" t="str">
        <f t="shared" si="26"/>
        <v/>
      </c>
      <c r="AH20" s="55" t="str">
        <f t="shared" si="26"/>
        <v/>
      </c>
      <c r="AI20" s="55" t="str">
        <f t="shared" si="26"/>
        <v/>
      </c>
      <c r="AJ20" s="55" t="str">
        <f t="shared" si="26"/>
        <v/>
      </c>
      <c r="AK20" s="55" t="str">
        <f t="shared" si="26"/>
        <v/>
      </c>
      <c r="AL20" s="55" t="str">
        <f t="shared" si="26"/>
        <v/>
      </c>
      <c r="AM20" s="55" t="str">
        <f t="shared" si="26"/>
        <v/>
      </c>
      <c r="AN20" s="55" t="str">
        <f t="shared" si="26"/>
        <v/>
      </c>
      <c r="AO20" s="55" t="str">
        <f t="shared" si="26"/>
        <v/>
      </c>
      <c r="AP20" s="55" t="str">
        <f t="shared" si="26"/>
        <v/>
      </c>
      <c r="AQ20" s="55" t="str">
        <f t="shared" si="26"/>
        <v/>
      </c>
      <c r="AR20" s="55" t="str">
        <f t="shared" si="26"/>
        <v/>
      </c>
      <c r="AS20" s="55" t="str">
        <f t="shared" si="26"/>
        <v/>
      </c>
      <c r="AT20" s="55" t="str">
        <f t="shared" si="26"/>
        <v/>
      </c>
      <c r="AU20" s="55" t="str">
        <f t="shared" si="26"/>
        <v/>
      </c>
      <c r="AV20" s="55" t="str">
        <f t="shared" si="26"/>
        <v/>
      </c>
      <c r="AW20" s="55" t="str">
        <f t="shared" si="26"/>
        <v/>
      </c>
      <c r="AX20" s="55" t="str">
        <f t="shared" si="26"/>
        <v/>
      </c>
      <c r="AY20" s="55" t="str">
        <f t="shared" si="26"/>
        <v/>
      </c>
      <c r="AZ20" s="55" t="str">
        <f t="shared" si="26"/>
        <v/>
      </c>
      <c r="BA20" s="55" t="str">
        <f t="shared" si="26"/>
        <v/>
      </c>
      <c r="BB20" s="55" t="str">
        <f t="shared" si="26"/>
        <v/>
      </c>
      <c r="BC20" s="55" t="str">
        <f t="shared" si="26"/>
        <v/>
      </c>
      <c r="BD20" s="55" t="str">
        <f t="shared" si="26"/>
        <v/>
      </c>
      <c r="BE20" s="55" t="str">
        <f t="shared" si="26"/>
        <v/>
      </c>
      <c r="BF20" s="55" t="str">
        <f t="shared" si="26"/>
        <v/>
      </c>
      <c r="BG20" s="55" t="str">
        <f t="shared" si="26"/>
        <v/>
      </c>
      <c r="BH20" s="55" t="str">
        <f t="shared" si="26"/>
        <v/>
      </c>
      <c r="BI20" s="55" t="str">
        <f t="shared" si="26"/>
        <v/>
      </c>
      <c r="BJ20" s="55" t="str">
        <f t="shared" si="26"/>
        <v/>
      </c>
      <c r="BK20" s="55" t="str">
        <f t="shared" si="26"/>
        <v/>
      </c>
      <c r="BL20" s="55" t="str">
        <f t="shared" si="26"/>
        <v/>
      </c>
      <c r="BM20" s="55" t="str">
        <f t="shared" si="26"/>
        <v/>
      </c>
      <c r="BN20" s="55" t="str">
        <f t="shared" si="26"/>
        <v/>
      </c>
      <c r="BO20" s="55" t="str">
        <f t="shared" si="26"/>
        <v/>
      </c>
      <c r="BP20" s="55" t="str">
        <f t="shared" si="26"/>
        <v/>
      </c>
      <c r="BQ20" s="55" t="str">
        <f t="shared" si="26"/>
        <v/>
      </c>
      <c r="BR20" s="55" t="str">
        <f t="shared" si="26"/>
        <v/>
      </c>
      <c r="BS20" s="55" t="str">
        <f t="shared" si="26"/>
        <v/>
      </c>
      <c r="BT20" s="55" t="str">
        <f t="shared" si="26"/>
        <v/>
      </c>
      <c r="BU20" s="55" t="str">
        <f t="shared" si="26"/>
        <v/>
      </c>
      <c r="BV20" s="55" t="str">
        <f t="shared" si="26"/>
        <v/>
      </c>
      <c r="BW20" s="55" t="str">
        <f t="shared" si="26"/>
        <v/>
      </c>
      <c r="BX20" s="55" t="str">
        <f t="shared" si="26"/>
        <v/>
      </c>
      <c r="BY20" s="55" t="str">
        <f t="shared" si="26"/>
        <v/>
      </c>
      <c r="BZ20" s="55" t="str">
        <f t="shared" si="26"/>
        <v/>
      </c>
      <c r="CA20" s="55" t="str">
        <f t="shared" si="26"/>
        <v/>
      </c>
      <c r="CB20" s="55" t="str">
        <f t="shared" si="26"/>
        <v/>
      </c>
      <c r="CC20" s="55" t="str">
        <f t="shared" si="26"/>
        <v/>
      </c>
      <c r="CD20" s="55" t="str">
        <f t="shared" si="26"/>
        <v/>
      </c>
      <c r="CE20" s="55" t="str">
        <f t="shared" si="26"/>
        <v/>
      </c>
      <c r="CF20" s="55" t="str">
        <f t="shared" si="26"/>
        <v/>
      </c>
      <c r="CG20" s="55" t="str">
        <f t="shared" si="26"/>
        <v/>
      </c>
      <c r="CH20" s="55" t="str">
        <f t="shared" si="26"/>
        <v/>
      </c>
      <c r="CI20" s="55" t="str">
        <f t="shared" si="26"/>
        <v/>
      </c>
      <c r="CJ20" s="55" t="str">
        <f t="shared" si="16"/>
        <v/>
      </c>
      <c r="CK20" s="55" t="str">
        <f t="shared" si="16"/>
        <v/>
      </c>
      <c r="CL20" s="55" t="str">
        <f t="shared" si="16"/>
        <v/>
      </c>
      <c r="CM20" s="55" t="str">
        <f t="shared" si="16"/>
        <v/>
      </c>
      <c r="CN20" s="55" t="str">
        <f t="shared" si="16"/>
        <v/>
      </c>
      <c r="CO20" s="55" t="str">
        <f t="shared" si="16"/>
        <v/>
      </c>
      <c r="CP20" s="55" t="str">
        <f t="shared" si="16"/>
        <v/>
      </c>
      <c r="CQ20" s="55" t="str">
        <f t="shared" si="16"/>
        <v/>
      </c>
      <c r="CR20" s="55" t="str">
        <f t="shared" si="16"/>
        <v/>
      </c>
      <c r="CS20" s="55" t="str">
        <f t="shared" si="16"/>
        <v/>
      </c>
      <c r="CT20" s="55" t="str">
        <f t="shared" si="16"/>
        <v/>
      </c>
      <c r="CU20" s="55" t="str">
        <f t="shared" si="16"/>
        <v/>
      </c>
      <c r="CV20" s="55" t="str">
        <f t="shared" si="16"/>
        <v/>
      </c>
      <c r="CW20" s="55" t="str">
        <f t="shared" si="16"/>
        <v/>
      </c>
      <c r="CX20" s="55" t="str">
        <f t="shared" si="16"/>
        <v/>
      </c>
      <c r="CY20" s="55" t="str">
        <f t="shared" si="16"/>
        <v/>
      </c>
      <c r="CZ20" s="55" t="str">
        <f t="shared" si="18"/>
        <v/>
      </c>
      <c r="DA20" s="55" t="str">
        <f t="shared" si="18"/>
        <v/>
      </c>
      <c r="DB20" s="55" t="str">
        <f t="shared" si="18"/>
        <v/>
      </c>
      <c r="DC20" s="55" t="str">
        <f t="shared" si="18"/>
        <v/>
      </c>
      <c r="DD20" s="55" t="str">
        <f t="shared" si="18"/>
        <v/>
      </c>
      <c r="DE20" s="55" t="str">
        <f t="shared" si="18"/>
        <v/>
      </c>
      <c r="DF20" s="55" t="str">
        <f t="shared" si="18"/>
        <v/>
      </c>
      <c r="DG20" s="55" t="str">
        <f t="shared" si="18"/>
        <v/>
      </c>
      <c r="DH20" s="55" t="str">
        <f t="shared" si="18"/>
        <v/>
      </c>
      <c r="DI20" s="55" t="str">
        <f t="shared" si="18"/>
        <v/>
      </c>
      <c r="DJ20" s="55" t="str">
        <f t="shared" si="18"/>
        <v/>
      </c>
      <c r="DK20" s="55" t="str">
        <f t="shared" si="18"/>
        <v/>
      </c>
      <c r="DL20" s="55" t="str">
        <f t="shared" si="18"/>
        <v/>
      </c>
      <c r="DM20" s="55" t="str">
        <f t="shared" si="18"/>
        <v/>
      </c>
      <c r="DN20" s="55" t="str">
        <f t="shared" si="18"/>
        <v/>
      </c>
      <c r="DO20" s="55" t="str">
        <f t="shared" si="19"/>
        <v/>
      </c>
      <c r="DP20" s="55" t="str">
        <f t="shared" si="19"/>
        <v/>
      </c>
      <c r="DQ20" s="55" t="str">
        <f t="shared" si="19"/>
        <v/>
      </c>
      <c r="DR20" s="55" t="str">
        <f t="shared" si="19"/>
        <v/>
      </c>
      <c r="DS20" s="55" t="str">
        <f t="shared" si="19"/>
        <v/>
      </c>
      <c r="DT20" s="106" t="str">
        <f t="shared" si="19"/>
        <v/>
      </c>
      <c r="DU20" s="54"/>
      <c r="DV20" s="25"/>
      <c r="DW20" s="61" t="str">
        <f t="shared" si="27"/>
        <v/>
      </c>
      <c r="DX20" s="50" t="str">
        <f t="shared" si="27"/>
        <v/>
      </c>
      <c r="DY20" s="50" t="str">
        <f t="shared" si="27"/>
        <v/>
      </c>
      <c r="DZ20" s="50" t="str">
        <f t="shared" si="27"/>
        <v/>
      </c>
      <c r="EA20" s="50" t="str">
        <f t="shared" si="27"/>
        <v/>
      </c>
      <c r="EB20" s="50" t="str">
        <f t="shared" si="27"/>
        <v/>
      </c>
      <c r="EC20" s="50" t="str">
        <f t="shared" si="27"/>
        <v/>
      </c>
      <c r="ED20" s="50" t="str">
        <f t="shared" si="27"/>
        <v/>
      </c>
      <c r="EE20" s="50" t="str">
        <f t="shared" si="27"/>
        <v/>
      </c>
      <c r="EF20" s="50" t="str">
        <f t="shared" si="27"/>
        <v/>
      </c>
      <c r="EG20" s="50" t="str">
        <f t="shared" si="27"/>
        <v/>
      </c>
      <c r="EH20" s="50" t="str">
        <f t="shared" si="27"/>
        <v/>
      </c>
      <c r="EI20" s="50" t="str">
        <f t="shared" si="27"/>
        <v/>
      </c>
      <c r="EJ20" s="50" t="str">
        <f t="shared" si="27"/>
        <v/>
      </c>
      <c r="EK20" s="50" t="str">
        <f t="shared" si="27"/>
        <v/>
      </c>
      <c r="EL20" s="50" t="str">
        <f t="shared" si="27"/>
        <v/>
      </c>
      <c r="EM20" s="50" t="str">
        <f t="shared" si="27"/>
        <v/>
      </c>
      <c r="EN20" s="50" t="str">
        <f t="shared" si="27"/>
        <v/>
      </c>
      <c r="EO20" s="50" t="str">
        <f t="shared" si="27"/>
        <v/>
      </c>
      <c r="EP20" s="50" t="str">
        <f t="shared" si="27"/>
        <v/>
      </c>
      <c r="EQ20" s="50" t="str">
        <f t="shared" si="27"/>
        <v/>
      </c>
      <c r="ER20" s="50" t="str">
        <f t="shared" si="27"/>
        <v/>
      </c>
      <c r="ES20" s="50" t="str">
        <f t="shared" si="27"/>
        <v/>
      </c>
      <c r="ET20" s="50" t="str">
        <f t="shared" si="27"/>
        <v/>
      </c>
      <c r="EU20" s="50" t="str">
        <f t="shared" si="27"/>
        <v/>
      </c>
      <c r="EV20" s="50" t="str">
        <f t="shared" si="27"/>
        <v/>
      </c>
      <c r="EW20" s="50" t="str">
        <f t="shared" si="27"/>
        <v/>
      </c>
      <c r="EX20" s="50" t="str">
        <f t="shared" si="27"/>
        <v/>
      </c>
      <c r="EY20" s="50" t="str">
        <f t="shared" si="27"/>
        <v/>
      </c>
      <c r="EZ20" s="50" t="str">
        <f t="shared" si="27"/>
        <v/>
      </c>
      <c r="FA20" s="50" t="str">
        <f t="shared" si="27"/>
        <v/>
      </c>
      <c r="FB20" s="50" t="str">
        <f t="shared" si="27"/>
        <v/>
      </c>
      <c r="FC20" s="50" t="str">
        <f t="shared" si="27"/>
        <v/>
      </c>
      <c r="FD20" s="50" t="str">
        <f t="shared" si="27"/>
        <v/>
      </c>
      <c r="FE20" s="50" t="str">
        <f t="shared" si="27"/>
        <v/>
      </c>
      <c r="FF20" s="50" t="str">
        <f t="shared" si="27"/>
        <v/>
      </c>
      <c r="FG20" s="50" t="str">
        <f t="shared" si="27"/>
        <v/>
      </c>
      <c r="FH20" s="50" t="str">
        <f t="shared" si="27"/>
        <v/>
      </c>
      <c r="FI20" s="50" t="str">
        <f t="shared" si="27"/>
        <v/>
      </c>
      <c r="FJ20" s="50" t="str">
        <f t="shared" si="27"/>
        <v/>
      </c>
      <c r="FK20" s="50" t="str">
        <f t="shared" si="27"/>
        <v/>
      </c>
      <c r="FL20" s="50" t="str">
        <f t="shared" si="27"/>
        <v/>
      </c>
      <c r="FM20" s="50" t="str">
        <f t="shared" si="27"/>
        <v/>
      </c>
      <c r="FN20" s="50" t="str">
        <f t="shared" si="27"/>
        <v/>
      </c>
      <c r="FO20" s="50" t="str">
        <f t="shared" si="27"/>
        <v/>
      </c>
      <c r="FP20" s="50" t="str">
        <f t="shared" si="27"/>
        <v/>
      </c>
      <c r="FQ20" s="50" t="str">
        <f t="shared" si="27"/>
        <v/>
      </c>
      <c r="FR20" s="50" t="str">
        <f t="shared" si="27"/>
        <v/>
      </c>
      <c r="FS20" s="50" t="str">
        <f t="shared" si="27"/>
        <v/>
      </c>
      <c r="FT20" s="50" t="str">
        <f t="shared" si="27"/>
        <v/>
      </c>
      <c r="FU20" s="50" t="str">
        <f t="shared" si="27"/>
        <v/>
      </c>
      <c r="FV20" s="50" t="str">
        <f t="shared" si="27"/>
        <v/>
      </c>
      <c r="FW20" s="50" t="str">
        <f t="shared" si="27"/>
        <v/>
      </c>
      <c r="FX20" s="50" t="str">
        <f t="shared" si="27"/>
        <v/>
      </c>
      <c r="FY20" s="50" t="str">
        <f t="shared" si="27"/>
        <v/>
      </c>
      <c r="FZ20" s="50" t="str">
        <f t="shared" si="27"/>
        <v/>
      </c>
      <c r="GA20" s="50" t="str">
        <f t="shared" si="27"/>
        <v/>
      </c>
      <c r="GB20" s="50" t="str">
        <f t="shared" si="27"/>
        <v/>
      </c>
      <c r="GC20" s="50" t="str">
        <f t="shared" si="27"/>
        <v/>
      </c>
      <c r="GD20" s="50" t="str">
        <f t="shared" si="27"/>
        <v/>
      </c>
      <c r="GE20" s="50" t="str">
        <f t="shared" si="27"/>
        <v/>
      </c>
      <c r="GF20" s="50" t="str">
        <f t="shared" si="27"/>
        <v/>
      </c>
      <c r="GG20" s="50" t="str">
        <f t="shared" si="27"/>
        <v/>
      </c>
      <c r="GH20" s="50" t="str">
        <f t="shared" si="22"/>
        <v/>
      </c>
      <c r="GI20" s="50" t="str">
        <f t="shared" si="22"/>
        <v/>
      </c>
      <c r="GJ20" s="50" t="str">
        <f t="shared" si="22"/>
        <v/>
      </c>
      <c r="GK20" s="50" t="str">
        <f t="shared" si="22"/>
        <v/>
      </c>
      <c r="GL20" s="50" t="str">
        <f t="shared" si="22"/>
        <v/>
      </c>
      <c r="GM20" s="50" t="str">
        <f t="shared" si="22"/>
        <v/>
      </c>
      <c r="GN20" s="50" t="str">
        <f t="shared" si="22"/>
        <v/>
      </c>
      <c r="GO20" s="50" t="str">
        <f t="shared" si="22"/>
        <v/>
      </c>
      <c r="GP20" s="50" t="str">
        <f t="shared" si="22"/>
        <v/>
      </c>
      <c r="GQ20" s="50" t="str">
        <f t="shared" si="22"/>
        <v/>
      </c>
      <c r="GR20" s="50" t="str">
        <f t="shared" si="22"/>
        <v/>
      </c>
      <c r="GS20" s="50" t="str">
        <f t="shared" si="22"/>
        <v/>
      </c>
      <c r="GT20" s="50" t="str">
        <f t="shared" si="22"/>
        <v/>
      </c>
      <c r="GU20" s="50" t="str">
        <f t="shared" si="22"/>
        <v/>
      </c>
      <c r="GV20" s="50" t="str">
        <f t="shared" si="22"/>
        <v/>
      </c>
      <c r="GW20" s="50" t="str">
        <f t="shared" si="22"/>
        <v/>
      </c>
      <c r="GX20" s="50" t="str">
        <f t="shared" si="24"/>
        <v/>
      </c>
      <c r="GY20" s="50" t="str">
        <f t="shared" si="24"/>
        <v/>
      </c>
      <c r="GZ20" s="50" t="str">
        <f t="shared" si="24"/>
        <v/>
      </c>
      <c r="HA20" s="50" t="str">
        <f t="shared" si="24"/>
        <v/>
      </c>
      <c r="HB20" s="50" t="str">
        <f t="shared" si="24"/>
        <v/>
      </c>
      <c r="HC20" s="50" t="str">
        <f t="shared" si="24"/>
        <v/>
      </c>
      <c r="HD20" s="50" t="str">
        <f t="shared" si="24"/>
        <v/>
      </c>
      <c r="HE20" s="50" t="str">
        <f t="shared" si="24"/>
        <v/>
      </c>
      <c r="HF20" s="50" t="str">
        <f t="shared" si="24"/>
        <v/>
      </c>
      <c r="HG20" s="50" t="str">
        <f t="shared" si="24"/>
        <v/>
      </c>
      <c r="HH20" s="50" t="str">
        <f t="shared" si="24"/>
        <v/>
      </c>
      <c r="HI20" s="50" t="str">
        <f t="shared" si="24"/>
        <v/>
      </c>
      <c r="HJ20" s="50" t="str">
        <f t="shared" si="24"/>
        <v/>
      </c>
      <c r="HK20" s="50" t="str">
        <f t="shared" si="24"/>
        <v/>
      </c>
      <c r="HL20" s="50" t="str">
        <f t="shared" si="24"/>
        <v/>
      </c>
      <c r="HM20" s="50" t="str">
        <f t="shared" si="25"/>
        <v/>
      </c>
      <c r="HN20" s="50" t="str">
        <f t="shared" si="25"/>
        <v/>
      </c>
      <c r="HO20" s="50" t="str">
        <f t="shared" si="25"/>
        <v/>
      </c>
      <c r="HP20" s="50" t="str">
        <f t="shared" si="25"/>
        <v/>
      </c>
      <c r="HQ20" s="50" t="str">
        <f t="shared" si="25"/>
        <v/>
      </c>
      <c r="HR20" s="112" t="str">
        <f t="shared" si="25"/>
        <v/>
      </c>
    </row>
    <row r="21" spans="1:226" ht="11.1" customHeight="1" x14ac:dyDescent="0.25">
      <c r="A21" s="26"/>
      <c r="B21" s="27"/>
      <c r="C21" s="28" t="str">
        <f>IF(A21=0,"",VLOOKUP(A21,[2]CO!$A$3:$F$5327,2,0))</f>
        <v/>
      </c>
      <c r="D21" s="29"/>
      <c r="E21" s="29"/>
      <c r="F21" s="29"/>
      <c r="G21" s="30" t="str">
        <f>IF(A21=0,"",VLOOKUP(A21,[2]CO!$A$3:$F$5327,3,0))</f>
        <v/>
      </c>
      <c r="H21" s="29"/>
      <c r="I21" s="31"/>
      <c r="J21" s="31"/>
      <c r="K21" s="31"/>
      <c r="L21" s="31"/>
      <c r="M21" s="32" t="str">
        <f t="shared" si="0"/>
        <v/>
      </c>
      <c r="N21" s="32" t="str">
        <f>IF(B21=0,"",IF(H21="M",HLOOKUP(B21,$Y$12:$DT$13,2),IF(A21=0,"",VLOOKUP(A21,[2]CO!$A$3:$F$5327,4,0))))</f>
        <v/>
      </c>
      <c r="O21" s="32" t="str">
        <f t="shared" si="7"/>
        <v/>
      </c>
      <c r="P21" s="33"/>
      <c r="Q21" s="34" t="str">
        <f t="shared" si="1"/>
        <v/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RESIDENTE"),VLOOKUP(B21,P$14:Q$52,2),"")*S21)</f>
        <v/>
      </c>
      <c r="T21" s="53" t="str">
        <f>IF(A21=0,"",VLOOKUP(A21,[2]CO!$A$3:$F$5318,5,0))</f>
        <v/>
      </c>
      <c r="U21" s="54">
        <f t="shared" si="2"/>
        <v>0</v>
      </c>
      <c r="V21" s="24"/>
      <c r="W21" s="25"/>
      <c r="X21" s="25"/>
      <c r="Y21" s="64" t="str">
        <f t="shared" ref="Y21:CI22" si="28">IF($B21=Y$12,$U21,"")</f>
        <v/>
      </c>
      <c r="Z21" s="55" t="str">
        <f t="shared" si="28"/>
        <v/>
      </c>
      <c r="AA21" s="55" t="str">
        <f t="shared" si="28"/>
        <v/>
      </c>
      <c r="AB21" s="55" t="str">
        <f t="shared" si="28"/>
        <v/>
      </c>
      <c r="AC21" s="55" t="str">
        <f t="shared" si="28"/>
        <v/>
      </c>
      <c r="AD21" s="55" t="str">
        <f t="shared" si="28"/>
        <v/>
      </c>
      <c r="AE21" s="55" t="str">
        <f t="shared" si="28"/>
        <v/>
      </c>
      <c r="AF21" s="55" t="str">
        <f t="shared" si="28"/>
        <v/>
      </c>
      <c r="AG21" s="55" t="str">
        <f t="shared" si="28"/>
        <v/>
      </c>
      <c r="AH21" s="55" t="str">
        <f t="shared" si="28"/>
        <v/>
      </c>
      <c r="AI21" s="55" t="str">
        <f t="shared" si="28"/>
        <v/>
      </c>
      <c r="AJ21" s="55" t="str">
        <f t="shared" si="28"/>
        <v/>
      </c>
      <c r="AK21" s="55" t="str">
        <f t="shared" si="28"/>
        <v/>
      </c>
      <c r="AL21" s="55" t="str">
        <f t="shared" si="28"/>
        <v/>
      </c>
      <c r="AM21" s="55" t="str">
        <f t="shared" si="28"/>
        <v/>
      </c>
      <c r="AN21" s="55" t="str">
        <f t="shared" si="28"/>
        <v/>
      </c>
      <c r="AO21" s="55" t="str">
        <f t="shared" si="28"/>
        <v/>
      </c>
      <c r="AP21" s="55" t="str">
        <f t="shared" si="28"/>
        <v/>
      </c>
      <c r="AQ21" s="55" t="str">
        <f t="shared" si="28"/>
        <v/>
      </c>
      <c r="AR21" s="55" t="str">
        <f t="shared" si="28"/>
        <v/>
      </c>
      <c r="AS21" s="55" t="str">
        <f t="shared" si="28"/>
        <v/>
      </c>
      <c r="AT21" s="55" t="str">
        <f t="shared" si="28"/>
        <v/>
      </c>
      <c r="AU21" s="55" t="str">
        <f t="shared" si="28"/>
        <v/>
      </c>
      <c r="AV21" s="55" t="str">
        <f t="shared" si="28"/>
        <v/>
      </c>
      <c r="AW21" s="55" t="str">
        <f t="shared" si="28"/>
        <v/>
      </c>
      <c r="AX21" s="55" t="str">
        <f t="shared" si="28"/>
        <v/>
      </c>
      <c r="AY21" s="55" t="str">
        <f t="shared" si="28"/>
        <v/>
      </c>
      <c r="AZ21" s="55" t="str">
        <f t="shared" si="28"/>
        <v/>
      </c>
      <c r="BA21" s="55" t="str">
        <f t="shared" si="28"/>
        <v/>
      </c>
      <c r="BB21" s="55" t="str">
        <f t="shared" si="28"/>
        <v/>
      </c>
      <c r="BC21" s="55" t="str">
        <f t="shared" si="28"/>
        <v/>
      </c>
      <c r="BD21" s="55" t="str">
        <f t="shared" si="28"/>
        <v/>
      </c>
      <c r="BE21" s="55" t="str">
        <f t="shared" si="28"/>
        <v/>
      </c>
      <c r="BF21" s="55" t="str">
        <f t="shared" si="28"/>
        <v/>
      </c>
      <c r="BG21" s="55" t="str">
        <f t="shared" si="28"/>
        <v/>
      </c>
      <c r="BH21" s="55" t="str">
        <f t="shared" si="28"/>
        <v/>
      </c>
      <c r="BI21" s="55" t="str">
        <f t="shared" si="28"/>
        <v/>
      </c>
      <c r="BJ21" s="55" t="str">
        <f t="shared" si="28"/>
        <v/>
      </c>
      <c r="BK21" s="55" t="str">
        <f t="shared" si="28"/>
        <v/>
      </c>
      <c r="BL21" s="55" t="str">
        <f t="shared" si="28"/>
        <v/>
      </c>
      <c r="BM21" s="55" t="str">
        <f t="shared" si="28"/>
        <v/>
      </c>
      <c r="BN21" s="55" t="str">
        <f t="shared" si="28"/>
        <v/>
      </c>
      <c r="BO21" s="55" t="str">
        <f t="shared" si="28"/>
        <v/>
      </c>
      <c r="BP21" s="55" t="str">
        <f t="shared" si="28"/>
        <v/>
      </c>
      <c r="BQ21" s="55" t="str">
        <f t="shared" si="28"/>
        <v/>
      </c>
      <c r="BR21" s="55" t="str">
        <f t="shared" si="28"/>
        <v/>
      </c>
      <c r="BS21" s="55" t="str">
        <f t="shared" si="28"/>
        <v/>
      </c>
      <c r="BT21" s="55" t="str">
        <f t="shared" si="28"/>
        <v/>
      </c>
      <c r="BU21" s="55" t="str">
        <f t="shared" si="28"/>
        <v/>
      </c>
      <c r="BV21" s="55" t="str">
        <f t="shared" si="28"/>
        <v/>
      </c>
      <c r="BW21" s="55" t="str">
        <f t="shared" si="28"/>
        <v/>
      </c>
      <c r="BX21" s="55" t="str">
        <f t="shared" si="28"/>
        <v/>
      </c>
      <c r="BY21" s="55" t="str">
        <f t="shared" si="28"/>
        <v/>
      </c>
      <c r="BZ21" s="55" t="str">
        <f t="shared" si="28"/>
        <v/>
      </c>
      <c r="CA21" s="55" t="str">
        <f t="shared" si="28"/>
        <v/>
      </c>
      <c r="CB21" s="55" t="str">
        <f t="shared" si="28"/>
        <v/>
      </c>
      <c r="CC21" s="55" t="str">
        <f t="shared" si="28"/>
        <v/>
      </c>
      <c r="CD21" s="55" t="str">
        <f t="shared" si="28"/>
        <v/>
      </c>
      <c r="CE21" s="55" t="str">
        <f t="shared" si="28"/>
        <v/>
      </c>
      <c r="CF21" s="55" t="str">
        <f t="shared" si="28"/>
        <v/>
      </c>
      <c r="CG21" s="55" t="str">
        <f t="shared" si="28"/>
        <v/>
      </c>
      <c r="CH21" s="55" t="str">
        <f t="shared" si="28"/>
        <v/>
      </c>
      <c r="CI21" s="55" t="str">
        <f t="shared" si="28"/>
        <v/>
      </c>
      <c r="CJ21" s="55" t="str">
        <f t="shared" ref="CJ21:CY22" si="29">IF($B21=CJ$12,$U21,"")</f>
        <v/>
      </c>
      <c r="CK21" s="55" t="str">
        <f t="shared" si="29"/>
        <v/>
      </c>
      <c r="CL21" s="55" t="str">
        <f t="shared" si="29"/>
        <v/>
      </c>
      <c r="CM21" s="55" t="str">
        <f t="shared" si="29"/>
        <v/>
      </c>
      <c r="CN21" s="55" t="str">
        <f t="shared" si="29"/>
        <v/>
      </c>
      <c r="CO21" s="55" t="str">
        <f t="shared" si="29"/>
        <v/>
      </c>
      <c r="CP21" s="55" t="str">
        <f t="shared" si="29"/>
        <v/>
      </c>
      <c r="CQ21" s="55" t="str">
        <f t="shared" si="29"/>
        <v/>
      </c>
      <c r="CR21" s="55" t="str">
        <f t="shared" si="29"/>
        <v/>
      </c>
      <c r="CS21" s="55" t="str">
        <f t="shared" si="29"/>
        <v/>
      </c>
      <c r="CT21" s="55" t="str">
        <f t="shared" si="29"/>
        <v/>
      </c>
      <c r="CU21" s="55" t="str">
        <f t="shared" si="29"/>
        <v/>
      </c>
      <c r="CV21" s="55" t="str">
        <f t="shared" si="29"/>
        <v/>
      </c>
      <c r="CW21" s="55" t="str">
        <f t="shared" si="29"/>
        <v/>
      </c>
      <c r="CX21" s="55" t="str">
        <f t="shared" si="29"/>
        <v/>
      </c>
      <c r="CY21" s="55" t="str">
        <f t="shared" si="29"/>
        <v/>
      </c>
      <c r="CZ21" s="55" t="str">
        <f t="shared" ref="CZ21:DO22" si="30">IF($B21=CZ$12,$U21,"")</f>
        <v/>
      </c>
      <c r="DA21" s="55" t="str">
        <f t="shared" si="30"/>
        <v/>
      </c>
      <c r="DB21" s="55" t="str">
        <f t="shared" si="30"/>
        <v/>
      </c>
      <c r="DC21" s="55" t="str">
        <f t="shared" si="30"/>
        <v/>
      </c>
      <c r="DD21" s="55" t="str">
        <f t="shared" si="30"/>
        <v/>
      </c>
      <c r="DE21" s="55" t="str">
        <f t="shared" si="30"/>
        <v/>
      </c>
      <c r="DF21" s="55" t="str">
        <f t="shared" si="30"/>
        <v/>
      </c>
      <c r="DG21" s="55" t="str">
        <f t="shared" si="30"/>
        <v/>
      </c>
      <c r="DH21" s="55" t="str">
        <f t="shared" si="30"/>
        <v/>
      </c>
      <c r="DI21" s="55" t="str">
        <f t="shared" si="30"/>
        <v/>
      </c>
      <c r="DJ21" s="55" t="str">
        <f t="shared" si="30"/>
        <v/>
      </c>
      <c r="DK21" s="55" t="str">
        <f t="shared" si="30"/>
        <v/>
      </c>
      <c r="DL21" s="55" t="str">
        <f t="shared" si="30"/>
        <v/>
      </c>
      <c r="DM21" s="55" t="str">
        <f t="shared" si="30"/>
        <v/>
      </c>
      <c r="DN21" s="55" t="str">
        <f t="shared" si="30"/>
        <v/>
      </c>
      <c r="DO21" s="55" t="str">
        <f t="shared" ref="DO21:DT22" si="31">IF($B21=DO$12,$U21,"")</f>
        <v/>
      </c>
      <c r="DP21" s="55" t="str">
        <f t="shared" si="31"/>
        <v/>
      </c>
      <c r="DQ21" s="55" t="str">
        <f t="shared" si="31"/>
        <v/>
      </c>
      <c r="DR21" s="55" t="str">
        <f t="shared" si="31"/>
        <v/>
      </c>
      <c r="DS21" s="55" t="str">
        <f t="shared" si="31"/>
        <v/>
      </c>
      <c r="DT21" s="106" t="str">
        <f t="shared" si="31"/>
        <v/>
      </c>
      <c r="DU21" s="54"/>
      <c r="DV21" s="25"/>
      <c r="DW21" s="61" t="str">
        <f t="shared" ref="DW21:GG22" si="32">IF($B21=DW$12,$O21,"")</f>
        <v/>
      </c>
      <c r="DX21" s="50" t="str">
        <f t="shared" si="32"/>
        <v/>
      </c>
      <c r="DY21" s="50" t="str">
        <f t="shared" si="32"/>
        <v/>
      </c>
      <c r="DZ21" s="50" t="str">
        <f t="shared" si="32"/>
        <v/>
      </c>
      <c r="EA21" s="50" t="str">
        <f t="shared" si="32"/>
        <v/>
      </c>
      <c r="EB21" s="50" t="str">
        <f t="shared" si="32"/>
        <v/>
      </c>
      <c r="EC21" s="50" t="str">
        <f t="shared" si="32"/>
        <v/>
      </c>
      <c r="ED21" s="50" t="str">
        <f t="shared" si="32"/>
        <v/>
      </c>
      <c r="EE21" s="50" t="str">
        <f t="shared" si="32"/>
        <v/>
      </c>
      <c r="EF21" s="50" t="str">
        <f t="shared" si="32"/>
        <v/>
      </c>
      <c r="EG21" s="50" t="str">
        <f t="shared" si="32"/>
        <v/>
      </c>
      <c r="EH21" s="50" t="str">
        <f t="shared" si="32"/>
        <v/>
      </c>
      <c r="EI21" s="50" t="str">
        <f t="shared" si="32"/>
        <v/>
      </c>
      <c r="EJ21" s="50" t="str">
        <f t="shared" si="32"/>
        <v/>
      </c>
      <c r="EK21" s="50" t="str">
        <f t="shared" si="32"/>
        <v/>
      </c>
      <c r="EL21" s="50" t="str">
        <f t="shared" si="32"/>
        <v/>
      </c>
      <c r="EM21" s="50" t="str">
        <f t="shared" si="32"/>
        <v/>
      </c>
      <c r="EN21" s="50" t="str">
        <f t="shared" si="32"/>
        <v/>
      </c>
      <c r="EO21" s="50" t="str">
        <f t="shared" si="32"/>
        <v/>
      </c>
      <c r="EP21" s="50" t="str">
        <f t="shared" si="32"/>
        <v/>
      </c>
      <c r="EQ21" s="50" t="str">
        <f t="shared" si="32"/>
        <v/>
      </c>
      <c r="ER21" s="50" t="str">
        <f t="shared" si="32"/>
        <v/>
      </c>
      <c r="ES21" s="50" t="str">
        <f t="shared" si="32"/>
        <v/>
      </c>
      <c r="ET21" s="50" t="str">
        <f t="shared" si="32"/>
        <v/>
      </c>
      <c r="EU21" s="50" t="str">
        <f t="shared" si="32"/>
        <v/>
      </c>
      <c r="EV21" s="50" t="str">
        <f t="shared" si="32"/>
        <v/>
      </c>
      <c r="EW21" s="50" t="str">
        <f t="shared" si="32"/>
        <v/>
      </c>
      <c r="EX21" s="50" t="str">
        <f t="shared" si="32"/>
        <v/>
      </c>
      <c r="EY21" s="50" t="str">
        <f t="shared" si="32"/>
        <v/>
      </c>
      <c r="EZ21" s="50" t="str">
        <f t="shared" si="32"/>
        <v/>
      </c>
      <c r="FA21" s="50" t="str">
        <f t="shared" si="32"/>
        <v/>
      </c>
      <c r="FB21" s="50" t="str">
        <f t="shared" si="32"/>
        <v/>
      </c>
      <c r="FC21" s="50" t="str">
        <f t="shared" si="32"/>
        <v/>
      </c>
      <c r="FD21" s="50" t="str">
        <f t="shared" si="32"/>
        <v/>
      </c>
      <c r="FE21" s="50" t="str">
        <f t="shared" si="32"/>
        <v/>
      </c>
      <c r="FF21" s="50" t="str">
        <f t="shared" si="32"/>
        <v/>
      </c>
      <c r="FG21" s="50" t="str">
        <f t="shared" si="32"/>
        <v/>
      </c>
      <c r="FH21" s="50" t="str">
        <f t="shared" si="32"/>
        <v/>
      </c>
      <c r="FI21" s="50" t="str">
        <f t="shared" si="32"/>
        <v/>
      </c>
      <c r="FJ21" s="50" t="str">
        <f t="shared" si="32"/>
        <v/>
      </c>
      <c r="FK21" s="50" t="str">
        <f t="shared" si="32"/>
        <v/>
      </c>
      <c r="FL21" s="50" t="str">
        <f t="shared" si="32"/>
        <v/>
      </c>
      <c r="FM21" s="50" t="str">
        <f t="shared" si="32"/>
        <v/>
      </c>
      <c r="FN21" s="50" t="str">
        <f t="shared" si="32"/>
        <v/>
      </c>
      <c r="FO21" s="50" t="str">
        <f t="shared" si="32"/>
        <v/>
      </c>
      <c r="FP21" s="50" t="str">
        <f t="shared" si="32"/>
        <v/>
      </c>
      <c r="FQ21" s="50" t="str">
        <f t="shared" si="32"/>
        <v/>
      </c>
      <c r="FR21" s="50" t="str">
        <f t="shared" si="32"/>
        <v/>
      </c>
      <c r="FS21" s="50" t="str">
        <f t="shared" si="32"/>
        <v/>
      </c>
      <c r="FT21" s="50" t="str">
        <f t="shared" si="32"/>
        <v/>
      </c>
      <c r="FU21" s="50" t="str">
        <f t="shared" si="32"/>
        <v/>
      </c>
      <c r="FV21" s="50" t="str">
        <f t="shared" si="32"/>
        <v/>
      </c>
      <c r="FW21" s="50" t="str">
        <f t="shared" si="32"/>
        <v/>
      </c>
      <c r="FX21" s="50" t="str">
        <f t="shared" si="32"/>
        <v/>
      </c>
      <c r="FY21" s="50" t="str">
        <f t="shared" si="32"/>
        <v/>
      </c>
      <c r="FZ21" s="50" t="str">
        <f t="shared" si="32"/>
        <v/>
      </c>
      <c r="GA21" s="50" t="str">
        <f t="shared" si="32"/>
        <v/>
      </c>
      <c r="GB21" s="50" t="str">
        <f t="shared" si="32"/>
        <v/>
      </c>
      <c r="GC21" s="50" t="str">
        <f t="shared" si="32"/>
        <v/>
      </c>
      <c r="GD21" s="50" t="str">
        <f t="shared" si="32"/>
        <v/>
      </c>
      <c r="GE21" s="50" t="str">
        <f t="shared" si="32"/>
        <v/>
      </c>
      <c r="GF21" s="50" t="str">
        <f t="shared" si="32"/>
        <v/>
      </c>
      <c r="GG21" s="50" t="str">
        <f t="shared" si="32"/>
        <v/>
      </c>
      <c r="GH21" s="50" t="str">
        <f t="shared" ref="GH21:GW22" si="33">IF($B21=GH$12,$O21,"")</f>
        <v/>
      </c>
      <c r="GI21" s="50" t="str">
        <f t="shared" si="33"/>
        <v/>
      </c>
      <c r="GJ21" s="50" t="str">
        <f t="shared" si="33"/>
        <v/>
      </c>
      <c r="GK21" s="50" t="str">
        <f t="shared" si="33"/>
        <v/>
      </c>
      <c r="GL21" s="50" t="str">
        <f t="shared" si="33"/>
        <v/>
      </c>
      <c r="GM21" s="50" t="str">
        <f t="shared" si="33"/>
        <v/>
      </c>
      <c r="GN21" s="50" t="str">
        <f t="shared" si="33"/>
        <v/>
      </c>
      <c r="GO21" s="50" t="str">
        <f t="shared" si="33"/>
        <v/>
      </c>
      <c r="GP21" s="50" t="str">
        <f t="shared" si="33"/>
        <v/>
      </c>
      <c r="GQ21" s="50" t="str">
        <f t="shared" si="33"/>
        <v/>
      </c>
      <c r="GR21" s="50" t="str">
        <f t="shared" si="33"/>
        <v/>
      </c>
      <c r="GS21" s="50" t="str">
        <f t="shared" si="33"/>
        <v/>
      </c>
      <c r="GT21" s="50" t="str">
        <f t="shared" si="33"/>
        <v/>
      </c>
      <c r="GU21" s="50" t="str">
        <f t="shared" si="33"/>
        <v/>
      </c>
      <c r="GV21" s="50" t="str">
        <f t="shared" si="33"/>
        <v/>
      </c>
      <c r="GW21" s="50" t="str">
        <f t="shared" si="33"/>
        <v/>
      </c>
      <c r="GX21" s="50" t="str">
        <f t="shared" ref="GX21:HM22" si="34">IF($B21=GX$12,$O21,"")</f>
        <v/>
      </c>
      <c r="GY21" s="50" t="str">
        <f t="shared" si="34"/>
        <v/>
      </c>
      <c r="GZ21" s="50" t="str">
        <f t="shared" si="34"/>
        <v/>
      </c>
      <c r="HA21" s="50" t="str">
        <f t="shared" si="34"/>
        <v/>
      </c>
      <c r="HB21" s="50" t="str">
        <f t="shared" si="34"/>
        <v/>
      </c>
      <c r="HC21" s="50" t="str">
        <f t="shared" si="34"/>
        <v/>
      </c>
      <c r="HD21" s="50" t="str">
        <f t="shared" si="34"/>
        <v/>
      </c>
      <c r="HE21" s="50" t="str">
        <f t="shared" si="34"/>
        <v/>
      </c>
      <c r="HF21" s="50" t="str">
        <f t="shared" si="34"/>
        <v/>
      </c>
      <c r="HG21" s="50" t="str">
        <f t="shared" si="34"/>
        <v/>
      </c>
      <c r="HH21" s="50" t="str">
        <f t="shared" si="34"/>
        <v/>
      </c>
      <c r="HI21" s="50" t="str">
        <f t="shared" si="34"/>
        <v/>
      </c>
      <c r="HJ21" s="50" t="str">
        <f t="shared" si="34"/>
        <v/>
      </c>
      <c r="HK21" s="50" t="str">
        <f t="shared" si="34"/>
        <v/>
      </c>
      <c r="HL21" s="50" t="str">
        <f t="shared" si="34"/>
        <v/>
      </c>
      <c r="HM21" s="50" t="str">
        <f t="shared" ref="HM21:HR22" si="35">IF($B21=HM$12,$O21,"")</f>
        <v/>
      </c>
      <c r="HN21" s="50" t="str">
        <f t="shared" si="35"/>
        <v/>
      </c>
      <c r="HO21" s="50" t="str">
        <f t="shared" si="35"/>
        <v/>
      </c>
      <c r="HP21" s="50" t="str">
        <f t="shared" si="35"/>
        <v/>
      </c>
      <c r="HQ21" s="50" t="str">
        <f t="shared" si="35"/>
        <v/>
      </c>
      <c r="HR21" s="112" t="str">
        <f t="shared" si="35"/>
        <v/>
      </c>
    </row>
    <row r="22" spans="1:226" ht="11.1" customHeight="1" thickBot="1" x14ac:dyDescent="0.3">
      <c r="A22" s="66"/>
      <c r="B22" s="67"/>
      <c r="C22" s="68" t="str">
        <f>IF(A22=0,"",VLOOKUP(A22,[2]CO!$A$3:$F$5311,2,0))</f>
        <v/>
      </c>
      <c r="D22" s="69"/>
      <c r="E22" s="69"/>
      <c r="F22" s="69"/>
      <c r="G22" s="70" t="str">
        <f>IF(A22=0,"",VLOOKUP(A22,[2]CO!$A$3:$F$5327,3,0))</f>
        <v/>
      </c>
      <c r="H22" s="69"/>
      <c r="I22" s="71"/>
      <c r="J22" s="71"/>
      <c r="K22" s="71"/>
      <c r="L22" s="71"/>
      <c r="M22" s="72" t="str">
        <f t="shared" si="0"/>
        <v/>
      </c>
      <c r="N22" s="72" t="str">
        <f>IF(B22=0,"",IF(H22="M",HLOOKUP(B22,$Y$12:$DT$13,2),IF(A22=0,"",VLOOKUP(A22,[2]CO!$A$3:$F$5327,4,0))))</f>
        <v/>
      </c>
      <c r="O22" s="72" t="str">
        <f t="shared" si="7"/>
        <v/>
      </c>
      <c r="P22" s="73"/>
      <c r="Q22" s="74" t="str">
        <f t="shared" si="1"/>
        <v/>
      </c>
      <c r="R22" s="7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RESIDENTE"),VLOOKUP(B22,P$14:Q$52,2),"")*S22)</f>
        <v/>
      </c>
      <c r="T22" s="53" t="str">
        <f>IF(A22=0,"",VLOOKUP(A22,[2]CO!$A$3:$F$5318,5,0))</f>
        <v/>
      </c>
      <c r="U22" s="54">
        <f t="shared" si="2"/>
        <v>0</v>
      </c>
      <c r="V22" s="24"/>
      <c r="W22" s="25"/>
      <c r="X22" s="25"/>
      <c r="Y22" s="76" t="str">
        <f t="shared" si="28"/>
        <v/>
      </c>
      <c r="Z22" s="77" t="str">
        <f t="shared" si="28"/>
        <v/>
      </c>
      <c r="AA22" s="77" t="str">
        <f t="shared" si="28"/>
        <v/>
      </c>
      <c r="AB22" s="77" t="str">
        <f t="shared" ref="AB22:CI22" si="36">IF($B22=AB$12,$U22,"")</f>
        <v/>
      </c>
      <c r="AC22" s="77" t="str">
        <f t="shared" si="36"/>
        <v/>
      </c>
      <c r="AD22" s="77" t="str">
        <f t="shared" si="36"/>
        <v/>
      </c>
      <c r="AE22" s="77" t="str">
        <f t="shared" si="36"/>
        <v/>
      </c>
      <c r="AF22" s="77" t="str">
        <f t="shared" si="36"/>
        <v/>
      </c>
      <c r="AG22" s="77" t="str">
        <f t="shared" si="36"/>
        <v/>
      </c>
      <c r="AH22" s="77" t="str">
        <f t="shared" si="36"/>
        <v/>
      </c>
      <c r="AI22" s="77" t="str">
        <f t="shared" si="36"/>
        <v/>
      </c>
      <c r="AJ22" s="77" t="str">
        <f t="shared" si="36"/>
        <v/>
      </c>
      <c r="AK22" s="77" t="str">
        <f t="shared" si="36"/>
        <v/>
      </c>
      <c r="AL22" s="77" t="str">
        <f t="shared" si="36"/>
        <v/>
      </c>
      <c r="AM22" s="77" t="str">
        <f t="shared" si="36"/>
        <v/>
      </c>
      <c r="AN22" s="77" t="str">
        <f t="shared" si="36"/>
        <v/>
      </c>
      <c r="AO22" s="77" t="str">
        <f t="shared" si="36"/>
        <v/>
      </c>
      <c r="AP22" s="77" t="str">
        <f t="shared" si="36"/>
        <v/>
      </c>
      <c r="AQ22" s="77" t="str">
        <f t="shared" si="36"/>
        <v/>
      </c>
      <c r="AR22" s="77" t="str">
        <f t="shared" si="36"/>
        <v/>
      </c>
      <c r="AS22" s="77" t="str">
        <f t="shared" si="36"/>
        <v/>
      </c>
      <c r="AT22" s="77" t="str">
        <f t="shared" si="36"/>
        <v/>
      </c>
      <c r="AU22" s="77" t="str">
        <f t="shared" si="36"/>
        <v/>
      </c>
      <c r="AV22" s="77" t="str">
        <f t="shared" si="36"/>
        <v/>
      </c>
      <c r="AW22" s="77" t="str">
        <f t="shared" si="36"/>
        <v/>
      </c>
      <c r="AX22" s="77" t="str">
        <f t="shared" si="36"/>
        <v/>
      </c>
      <c r="AY22" s="77" t="str">
        <f t="shared" si="36"/>
        <v/>
      </c>
      <c r="AZ22" s="77" t="str">
        <f t="shared" si="36"/>
        <v/>
      </c>
      <c r="BA22" s="77" t="str">
        <f t="shared" si="36"/>
        <v/>
      </c>
      <c r="BB22" s="77" t="str">
        <f t="shared" si="36"/>
        <v/>
      </c>
      <c r="BC22" s="77" t="str">
        <f t="shared" si="36"/>
        <v/>
      </c>
      <c r="BD22" s="77" t="str">
        <f t="shared" si="36"/>
        <v/>
      </c>
      <c r="BE22" s="77" t="str">
        <f t="shared" si="36"/>
        <v/>
      </c>
      <c r="BF22" s="77" t="str">
        <f t="shared" si="36"/>
        <v/>
      </c>
      <c r="BG22" s="77" t="str">
        <f t="shared" si="36"/>
        <v/>
      </c>
      <c r="BH22" s="77" t="str">
        <f t="shared" si="36"/>
        <v/>
      </c>
      <c r="BI22" s="77" t="str">
        <f t="shared" si="36"/>
        <v/>
      </c>
      <c r="BJ22" s="77" t="str">
        <f t="shared" si="36"/>
        <v/>
      </c>
      <c r="BK22" s="77" t="str">
        <f t="shared" si="36"/>
        <v/>
      </c>
      <c r="BL22" s="77" t="str">
        <f t="shared" si="36"/>
        <v/>
      </c>
      <c r="BM22" s="77" t="str">
        <f t="shared" si="36"/>
        <v/>
      </c>
      <c r="BN22" s="77" t="str">
        <f t="shared" si="36"/>
        <v/>
      </c>
      <c r="BO22" s="77" t="str">
        <f t="shared" si="36"/>
        <v/>
      </c>
      <c r="BP22" s="77" t="str">
        <f t="shared" si="36"/>
        <v/>
      </c>
      <c r="BQ22" s="77" t="str">
        <f t="shared" si="36"/>
        <v/>
      </c>
      <c r="BR22" s="77" t="str">
        <f t="shared" si="36"/>
        <v/>
      </c>
      <c r="BS22" s="77" t="str">
        <f t="shared" si="36"/>
        <v/>
      </c>
      <c r="BT22" s="77" t="str">
        <f t="shared" si="36"/>
        <v/>
      </c>
      <c r="BU22" s="77" t="str">
        <f t="shared" si="36"/>
        <v/>
      </c>
      <c r="BV22" s="77" t="str">
        <f t="shared" si="36"/>
        <v/>
      </c>
      <c r="BW22" s="77" t="str">
        <f t="shared" si="36"/>
        <v/>
      </c>
      <c r="BX22" s="77" t="str">
        <f t="shared" si="36"/>
        <v/>
      </c>
      <c r="BY22" s="77" t="str">
        <f t="shared" si="36"/>
        <v/>
      </c>
      <c r="BZ22" s="77" t="str">
        <f t="shared" si="36"/>
        <v/>
      </c>
      <c r="CA22" s="77" t="str">
        <f t="shared" si="36"/>
        <v/>
      </c>
      <c r="CB22" s="77" t="str">
        <f t="shared" si="36"/>
        <v/>
      </c>
      <c r="CC22" s="77" t="str">
        <f t="shared" si="36"/>
        <v/>
      </c>
      <c r="CD22" s="77" t="str">
        <f t="shared" si="36"/>
        <v/>
      </c>
      <c r="CE22" s="77" t="str">
        <f t="shared" si="36"/>
        <v/>
      </c>
      <c r="CF22" s="77" t="str">
        <f t="shared" si="36"/>
        <v/>
      </c>
      <c r="CG22" s="77" t="str">
        <f t="shared" si="36"/>
        <v/>
      </c>
      <c r="CH22" s="77" t="str">
        <f t="shared" si="36"/>
        <v/>
      </c>
      <c r="CI22" s="77" t="str">
        <f t="shared" si="36"/>
        <v/>
      </c>
      <c r="CJ22" s="77" t="str">
        <f t="shared" si="29"/>
        <v/>
      </c>
      <c r="CK22" s="77" t="str">
        <f t="shared" si="29"/>
        <v/>
      </c>
      <c r="CL22" s="77" t="str">
        <f t="shared" si="29"/>
        <v/>
      </c>
      <c r="CM22" s="77" t="str">
        <f t="shared" si="29"/>
        <v/>
      </c>
      <c r="CN22" s="77" t="str">
        <f t="shared" si="29"/>
        <v/>
      </c>
      <c r="CO22" s="77" t="str">
        <f t="shared" si="29"/>
        <v/>
      </c>
      <c r="CP22" s="77" t="str">
        <f t="shared" si="29"/>
        <v/>
      </c>
      <c r="CQ22" s="77" t="str">
        <f t="shared" si="29"/>
        <v/>
      </c>
      <c r="CR22" s="77" t="str">
        <f t="shared" si="29"/>
        <v/>
      </c>
      <c r="CS22" s="77" t="str">
        <f t="shared" si="29"/>
        <v/>
      </c>
      <c r="CT22" s="77" t="str">
        <f t="shared" si="29"/>
        <v/>
      </c>
      <c r="CU22" s="77" t="str">
        <f t="shared" si="29"/>
        <v/>
      </c>
      <c r="CV22" s="77" t="str">
        <f t="shared" si="29"/>
        <v/>
      </c>
      <c r="CW22" s="77" t="str">
        <f t="shared" si="29"/>
        <v/>
      </c>
      <c r="CX22" s="77" t="str">
        <f t="shared" si="29"/>
        <v/>
      </c>
      <c r="CY22" s="77" t="str">
        <f t="shared" si="29"/>
        <v/>
      </c>
      <c r="CZ22" s="77" t="str">
        <f t="shared" si="30"/>
        <v/>
      </c>
      <c r="DA22" s="77" t="str">
        <f t="shared" si="30"/>
        <v/>
      </c>
      <c r="DB22" s="77" t="str">
        <f t="shared" si="30"/>
        <v/>
      </c>
      <c r="DC22" s="77" t="str">
        <f t="shared" si="30"/>
        <v/>
      </c>
      <c r="DD22" s="77" t="str">
        <f t="shared" si="30"/>
        <v/>
      </c>
      <c r="DE22" s="77" t="str">
        <f t="shared" si="30"/>
        <v/>
      </c>
      <c r="DF22" s="77" t="str">
        <f t="shared" si="30"/>
        <v/>
      </c>
      <c r="DG22" s="77" t="str">
        <f t="shared" si="30"/>
        <v/>
      </c>
      <c r="DH22" s="77" t="str">
        <f t="shared" si="30"/>
        <v/>
      </c>
      <c r="DI22" s="77" t="str">
        <f t="shared" si="30"/>
        <v/>
      </c>
      <c r="DJ22" s="77" t="str">
        <f t="shared" si="30"/>
        <v/>
      </c>
      <c r="DK22" s="77" t="str">
        <f t="shared" si="30"/>
        <v/>
      </c>
      <c r="DL22" s="77" t="str">
        <f t="shared" si="30"/>
        <v/>
      </c>
      <c r="DM22" s="77" t="str">
        <f t="shared" si="30"/>
        <v/>
      </c>
      <c r="DN22" s="77" t="str">
        <f t="shared" si="30"/>
        <v/>
      </c>
      <c r="DO22" s="77" t="str">
        <f t="shared" si="30"/>
        <v/>
      </c>
      <c r="DP22" s="77" t="str">
        <f t="shared" si="31"/>
        <v/>
      </c>
      <c r="DQ22" s="77" t="str">
        <f t="shared" si="31"/>
        <v/>
      </c>
      <c r="DR22" s="77" t="str">
        <f t="shared" si="31"/>
        <v/>
      </c>
      <c r="DS22" s="77" t="str">
        <f t="shared" si="31"/>
        <v/>
      </c>
      <c r="DT22" s="107" t="str">
        <f t="shared" si="31"/>
        <v/>
      </c>
      <c r="DU22" s="54"/>
      <c r="DV22" s="25"/>
      <c r="DW22" s="78" t="str">
        <f t="shared" si="32"/>
        <v/>
      </c>
      <c r="DX22" s="79" t="str">
        <f t="shared" si="32"/>
        <v/>
      </c>
      <c r="DY22" s="79" t="str">
        <f t="shared" si="32"/>
        <v/>
      </c>
      <c r="DZ22" s="79" t="str">
        <f t="shared" ref="DZ22:GG22" si="37">IF($B22=DZ$12,$O22,"")</f>
        <v/>
      </c>
      <c r="EA22" s="79" t="str">
        <f t="shared" si="37"/>
        <v/>
      </c>
      <c r="EB22" s="79" t="str">
        <f t="shared" si="37"/>
        <v/>
      </c>
      <c r="EC22" s="79" t="str">
        <f t="shared" si="37"/>
        <v/>
      </c>
      <c r="ED22" s="79" t="str">
        <f t="shared" si="37"/>
        <v/>
      </c>
      <c r="EE22" s="79" t="str">
        <f t="shared" si="37"/>
        <v/>
      </c>
      <c r="EF22" s="79" t="str">
        <f t="shared" si="37"/>
        <v/>
      </c>
      <c r="EG22" s="79" t="str">
        <f t="shared" si="37"/>
        <v/>
      </c>
      <c r="EH22" s="79" t="str">
        <f t="shared" si="37"/>
        <v/>
      </c>
      <c r="EI22" s="79" t="str">
        <f t="shared" si="37"/>
        <v/>
      </c>
      <c r="EJ22" s="79" t="str">
        <f t="shared" si="37"/>
        <v/>
      </c>
      <c r="EK22" s="79" t="str">
        <f t="shared" si="37"/>
        <v/>
      </c>
      <c r="EL22" s="79" t="str">
        <f t="shared" si="37"/>
        <v/>
      </c>
      <c r="EM22" s="79" t="str">
        <f t="shared" si="37"/>
        <v/>
      </c>
      <c r="EN22" s="79" t="str">
        <f t="shared" si="37"/>
        <v/>
      </c>
      <c r="EO22" s="79" t="str">
        <f t="shared" si="37"/>
        <v/>
      </c>
      <c r="EP22" s="79" t="str">
        <f t="shared" si="37"/>
        <v/>
      </c>
      <c r="EQ22" s="79" t="str">
        <f t="shared" si="37"/>
        <v/>
      </c>
      <c r="ER22" s="79" t="str">
        <f t="shared" si="37"/>
        <v/>
      </c>
      <c r="ES22" s="79" t="str">
        <f t="shared" si="37"/>
        <v/>
      </c>
      <c r="ET22" s="79" t="str">
        <f t="shared" si="37"/>
        <v/>
      </c>
      <c r="EU22" s="79" t="str">
        <f t="shared" si="37"/>
        <v/>
      </c>
      <c r="EV22" s="79" t="str">
        <f t="shared" si="37"/>
        <v/>
      </c>
      <c r="EW22" s="79" t="str">
        <f t="shared" si="37"/>
        <v/>
      </c>
      <c r="EX22" s="79" t="str">
        <f t="shared" si="37"/>
        <v/>
      </c>
      <c r="EY22" s="79" t="str">
        <f t="shared" si="37"/>
        <v/>
      </c>
      <c r="EZ22" s="79" t="str">
        <f t="shared" si="37"/>
        <v/>
      </c>
      <c r="FA22" s="79" t="str">
        <f t="shared" si="37"/>
        <v/>
      </c>
      <c r="FB22" s="79" t="str">
        <f t="shared" si="37"/>
        <v/>
      </c>
      <c r="FC22" s="79" t="str">
        <f t="shared" si="37"/>
        <v/>
      </c>
      <c r="FD22" s="79" t="str">
        <f t="shared" si="37"/>
        <v/>
      </c>
      <c r="FE22" s="79" t="str">
        <f t="shared" si="37"/>
        <v/>
      </c>
      <c r="FF22" s="79" t="str">
        <f t="shared" si="37"/>
        <v/>
      </c>
      <c r="FG22" s="79" t="str">
        <f t="shared" si="37"/>
        <v/>
      </c>
      <c r="FH22" s="79" t="str">
        <f t="shared" si="37"/>
        <v/>
      </c>
      <c r="FI22" s="79" t="str">
        <f t="shared" si="37"/>
        <v/>
      </c>
      <c r="FJ22" s="79" t="str">
        <f t="shared" si="37"/>
        <v/>
      </c>
      <c r="FK22" s="79" t="str">
        <f t="shared" si="37"/>
        <v/>
      </c>
      <c r="FL22" s="79" t="str">
        <f t="shared" si="37"/>
        <v/>
      </c>
      <c r="FM22" s="79" t="str">
        <f t="shared" si="37"/>
        <v/>
      </c>
      <c r="FN22" s="79" t="str">
        <f t="shared" si="37"/>
        <v/>
      </c>
      <c r="FO22" s="79" t="str">
        <f t="shared" si="37"/>
        <v/>
      </c>
      <c r="FP22" s="79" t="str">
        <f t="shared" si="37"/>
        <v/>
      </c>
      <c r="FQ22" s="79" t="str">
        <f t="shared" si="37"/>
        <v/>
      </c>
      <c r="FR22" s="79" t="str">
        <f t="shared" si="37"/>
        <v/>
      </c>
      <c r="FS22" s="79" t="str">
        <f t="shared" si="37"/>
        <v/>
      </c>
      <c r="FT22" s="79" t="str">
        <f t="shared" si="37"/>
        <v/>
      </c>
      <c r="FU22" s="79" t="str">
        <f t="shared" si="37"/>
        <v/>
      </c>
      <c r="FV22" s="79" t="str">
        <f t="shared" si="37"/>
        <v/>
      </c>
      <c r="FW22" s="79" t="str">
        <f t="shared" si="37"/>
        <v/>
      </c>
      <c r="FX22" s="79" t="str">
        <f t="shared" si="37"/>
        <v/>
      </c>
      <c r="FY22" s="79" t="str">
        <f t="shared" si="37"/>
        <v/>
      </c>
      <c r="FZ22" s="79" t="str">
        <f t="shared" si="37"/>
        <v/>
      </c>
      <c r="GA22" s="79" t="str">
        <f t="shared" si="37"/>
        <v/>
      </c>
      <c r="GB22" s="79" t="str">
        <f t="shared" si="37"/>
        <v/>
      </c>
      <c r="GC22" s="79" t="str">
        <f t="shared" si="37"/>
        <v/>
      </c>
      <c r="GD22" s="79" t="str">
        <f t="shared" si="37"/>
        <v/>
      </c>
      <c r="GE22" s="79" t="str">
        <f t="shared" si="37"/>
        <v/>
      </c>
      <c r="GF22" s="79" t="str">
        <f t="shared" si="37"/>
        <v/>
      </c>
      <c r="GG22" s="79" t="str">
        <f t="shared" si="37"/>
        <v/>
      </c>
      <c r="GH22" s="79" t="str">
        <f t="shared" si="33"/>
        <v/>
      </c>
      <c r="GI22" s="79" t="str">
        <f t="shared" si="33"/>
        <v/>
      </c>
      <c r="GJ22" s="79" t="str">
        <f t="shared" si="33"/>
        <v/>
      </c>
      <c r="GK22" s="79" t="str">
        <f t="shared" si="33"/>
        <v/>
      </c>
      <c r="GL22" s="79" t="str">
        <f t="shared" si="33"/>
        <v/>
      </c>
      <c r="GM22" s="79" t="str">
        <f t="shared" si="33"/>
        <v/>
      </c>
      <c r="GN22" s="79" t="str">
        <f t="shared" si="33"/>
        <v/>
      </c>
      <c r="GO22" s="79" t="str">
        <f t="shared" si="33"/>
        <v/>
      </c>
      <c r="GP22" s="79" t="str">
        <f t="shared" si="33"/>
        <v/>
      </c>
      <c r="GQ22" s="79" t="str">
        <f t="shared" si="33"/>
        <v/>
      </c>
      <c r="GR22" s="79" t="str">
        <f t="shared" si="33"/>
        <v/>
      </c>
      <c r="GS22" s="79" t="str">
        <f t="shared" si="33"/>
        <v/>
      </c>
      <c r="GT22" s="79" t="str">
        <f t="shared" si="33"/>
        <v/>
      </c>
      <c r="GU22" s="79" t="str">
        <f t="shared" si="33"/>
        <v/>
      </c>
      <c r="GV22" s="79" t="str">
        <f t="shared" si="33"/>
        <v/>
      </c>
      <c r="GW22" s="79" t="str">
        <f t="shared" si="33"/>
        <v/>
      </c>
      <c r="GX22" s="79" t="str">
        <f t="shared" si="34"/>
        <v/>
      </c>
      <c r="GY22" s="79" t="str">
        <f t="shared" si="34"/>
        <v/>
      </c>
      <c r="GZ22" s="79" t="str">
        <f t="shared" si="34"/>
        <v/>
      </c>
      <c r="HA22" s="79" t="str">
        <f t="shared" si="34"/>
        <v/>
      </c>
      <c r="HB22" s="79" t="str">
        <f t="shared" si="34"/>
        <v/>
      </c>
      <c r="HC22" s="79" t="str">
        <f t="shared" si="34"/>
        <v/>
      </c>
      <c r="HD22" s="79" t="str">
        <f t="shared" si="34"/>
        <v/>
      </c>
      <c r="HE22" s="79" t="str">
        <f t="shared" si="34"/>
        <v/>
      </c>
      <c r="HF22" s="79" t="str">
        <f t="shared" si="34"/>
        <v/>
      </c>
      <c r="HG22" s="79" t="str">
        <f t="shared" si="34"/>
        <v/>
      </c>
      <c r="HH22" s="79" t="str">
        <f t="shared" si="34"/>
        <v/>
      </c>
      <c r="HI22" s="79" t="str">
        <f t="shared" si="34"/>
        <v/>
      </c>
      <c r="HJ22" s="79" t="str">
        <f t="shared" si="34"/>
        <v/>
      </c>
      <c r="HK22" s="79" t="str">
        <f t="shared" si="34"/>
        <v/>
      </c>
      <c r="HL22" s="79" t="str">
        <f t="shared" si="34"/>
        <v/>
      </c>
      <c r="HM22" s="79" t="str">
        <f t="shared" si="34"/>
        <v/>
      </c>
      <c r="HN22" s="79" t="str">
        <f t="shared" si="35"/>
        <v/>
      </c>
      <c r="HO22" s="79" t="str">
        <f t="shared" si="35"/>
        <v/>
      </c>
      <c r="HP22" s="79" t="str">
        <f t="shared" si="35"/>
        <v/>
      </c>
      <c r="HQ22" s="79" t="str">
        <f t="shared" si="35"/>
        <v/>
      </c>
      <c r="HR22" s="113" t="str">
        <f t="shared" si="35"/>
        <v/>
      </c>
    </row>
    <row r="23" spans="1:226" ht="11.1" customHeight="1" thickTop="1" x14ac:dyDescent="0.25"/>
    <row r="24" spans="1:226" x14ac:dyDescent="0.25">
      <c r="O24" s="48" t="s">
        <v>17</v>
      </c>
      <c r="P24" s="49"/>
      <c r="Q24" s="104">
        <f>SUM(Q14:Q22)</f>
        <v>7665.5999999999995</v>
      </c>
      <c r="R24" s="104">
        <f>SUM(R14:R22)</f>
        <v>7665.5999999999995</v>
      </c>
    </row>
    <row r="25" spans="1:226" ht="11.1" customHeight="1" thickBot="1" x14ac:dyDescent="0.3"/>
    <row r="26" spans="1:226" ht="16.2" thickBot="1" x14ac:dyDescent="0.3">
      <c r="A26" s="146"/>
      <c r="B26" s="147"/>
      <c r="C26" s="99"/>
      <c r="D26" s="147"/>
      <c r="E26" s="99"/>
      <c r="F26" s="99"/>
      <c r="G26" s="99" t="s">
        <v>20</v>
      </c>
      <c r="H26" s="99"/>
      <c r="I26" s="99"/>
      <c r="J26" s="125"/>
      <c r="K26" s="99"/>
      <c r="L26" s="99"/>
      <c r="M26" s="99"/>
      <c r="N26" s="99"/>
      <c r="O26" s="99"/>
      <c r="P26" s="99"/>
      <c r="Q26" s="99"/>
      <c r="R26" s="100"/>
    </row>
    <row r="27" spans="1:226" ht="11.1" customHeight="1" thickBot="1" x14ac:dyDescent="0.3"/>
    <row r="28" spans="1:226" ht="11.1" customHeight="1" thickTop="1" x14ac:dyDescent="0.25">
      <c r="A28" s="80"/>
      <c r="B28" s="81"/>
      <c r="C28" s="82" t="str">
        <f>IF(A28=0,"",VLOOKUP(A28,[2]CO!$A$3:$F$5327,2,0))</f>
        <v/>
      </c>
      <c r="D28" s="83"/>
      <c r="E28" s="83"/>
      <c r="F28" s="83"/>
      <c r="G28" s="84" t="str">
        <f>IF(A28=0,"",VLOOKUP(A28,[2]CO!$A$3:$F$5327,3,0))</f>
        <v/>
      </c>
      <c r="H28" s="94"/>
      <c r="I28" s="85"/>
      <c r="J28" s="85"/>
      <c r="K28" s="85"/>
      <c r="L28" s="85"/>
      <c r="M28" s="86" t="str">
        <f t="shared" ref="M28:M40" si="38">IF(H28&gt;0,H28*Q$24/N28,IF(AND(L28&gt;0,I28&gt;0),L28*I28,IF(L28&gt;0,L28,"")))</f>
        <v/>
      </c>
      <c r="N28" s="86" t="str">
        <f>IF(B28=0,"",IF(H28="M",HLOOKUP(B28,$Y$12:$DT$13,2),IF(A28=0,"",VLOOKUP(A28,[2]CO!$A$3:$F$5327,4,0))))</f>
        <v/>
      </c>
      <c r="O28" s="86" t="str">
        <f t="shared" si="7"/>
        <v/>
      </c>
      <c r="P28" s="87"/>
      <c r="Q28" s="88" t="str">
        <f t="shared" ref="Q28:Q40" si="39">IF(P28=0,"",(HLOOKUP(P28,$DW$12:$HR$13,2)))</f>
        <v/>
      </c>
      <c r="R28" s="89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RESIDENTE",G28="TOPOGRAFIA"),VLOOKUP(B28,P$14:Q$59,2),"")*S28)</f>
        <v/>
      </c>
      <c r="T28" s="53" t="str">
        <f>IF(A28=0,"",VLOOKUP(A28,[2]CO!$A$3:$F$5318,5,0))</f>
        <v/>
      </c>
      <c r="U28" s="54">
        <f t="shared" ref="U28:U52" si="40">IF(T28=1,O28*0.1,)</f>
        <v>0</v>
      </c>
      <c r="V28" s="24"/>
      <c r="W28" s="25"/>
      <c r="X28" s="25"/>
      <c r="Y28" s="90" t="str">
        <f t="shared" ref="Y28:AN40" si="41">IF($B28=Y$12,$U28,"")</f>
        <v/>
      </c>
      <c r="Z28" s="91" t="str">
        <f t="shared" si="41"/>
        <v/>
      </c>
      <c r="AA28" s="91" t="str">
        <f t="shared" si="41"/>
        <v/>
      </c>
      <c r="AB28" s="91" t="str">
        <f t="shared" si="41"/>
        <v/>
      </c>
      <c r="AC28" s="91" t="str">
        <f t="shared" si="41"/>
        <v/>
      </c>
      <c r="AD28" s="91" t="str">
        <f t="shared" si="41"/>
        <v/>
      </c>
      <c r="AE28" s="91" t="str">
        <f t="shared" si="41"/>
        <v/>
      </c>
      <c r="AF28" s="91" t="str">
        <f t="shared" si="41"/>
        <v/>
      </c>
      <c r="AG28" s="91" t="str">
        <f t="shared" si="41"/>
        <v/>
      </c>
      <c r="AH28" s="91" t="str">
        <f t="shared" si="41"/>
        <v/>
      </c>
      <c r="AI28" s="91" t="str">
        <f t="shared" si="41"/>
        <v/>
      </c>
      <c r="AJ28" s="91" t="str">
        <f t="shared" si="41"/>
        <v/>
      </c>
      <c r="AK28" s="91" t="str">
        <f t="shared" si="41"/>
        <v/>
      </c>
      <c r="AL28" s="91" t="str">
        <f t="shared" si="41"/>
        <v/>
      </c>
      <c r="AM28" s="91" t="str">
        <f t="shared" si="41"/>
        <v/>
      </c>
      <c r="AN28" s="91" t="str">
        <f t="shared" si="41"/>
        <v/>
      </c>
      <c r="AO28" s="91" t="str">
        <f t="shared" ref="AO28:CZ31" si="42">IF($B28=AO$12,$U28,"")</f>
        <v/>
      </c>
      <c r="AP28" s="91" t="str">
        <f t="shared" si="42"/>
        <v/>
      </c>
      <c r="AQ28" s="91" t="str">
        <f t="shared" si="42"/>
        <v/>
      </c>
      <c r="AR28" s="91" t="str">
        <f t="shared" si="42"/>
        <v/>
      </c>
      <c r="AS28" s="91" t="str">
        <f t="shared" si="42"/>
        <v/>
      </c>
      <c r="AT28" s="91" t="str">
        <f t="shared" si="42"/>
        <v/>
      </c>
      <c r="AU28" s="91" t="str">
        <f t="shared" si="42"/>
        <v/>
      </c>
      <c r="AV28" s="91" t="str">
        <f t="shared" si="42"/>
        <v/>
      </c>
      <c r="AW28" s="91" t="str">
        <f t="shared" si="42"/>
        <v/>
      </c>
      <c r="AX28" s="91" t="str">
        <f t="shared" si="42"/>
        <v/>
      </c>
      <c r="AY28" s="91" t="str">
        <f t="shared" si="42"/>
        <v/>
      </c>
      <c r="AZ28" s="91" t="str">
        <f t="shared" si="42"/>
        <v/>
      </c>
      <c r="BA28" s="91" t="str">
        <f t="shared" si="42"/>
        <v/>
      </c>
      <c r="BB28" s="91" t="str">
        <f t="shared" si="42"/>
        <v/>
      </c>
      <c r="BC28" s="91" t="str">
        <f t="shared" si="42"/>
        <v/>
      </c>
      <c r="BD28" s="91" t="str">
        <f t="shared" si="42"/>
        <v/>
      </c>
      <c r="BE28" s="91" t="str">
        <f t="shared" si="42"/>
        <v/>
      </c>
      <c r="BF28" s="91" t="str">
        <f t="shared" si="42"/>
        <v/>
      </c>
      <c r="BG28" s="91" t="str">
        <f t="shared" si="42"/>
        <v/>
      </c>
      <c r="BH28" s="91" t="str">
        <f t="shared" si="42"/>
        <v/>
      </c>
      <c r="BI28" s="91" t="str">
        <f t="shared" si="42"/>
        <v/>
      </c>
      <c r="BJ28" s="91" t="str">
        <f t="shared" si="42"/>
        <v/>
      </c>
      <c r="BK28" s="91" t="str">
        <f t="shared" si="42"/>
        <v/>
      </c>
      <c r="BL28" s="91" t="str">
        <f t="shared" si="42"/>
        <v/>
      </c>
      <c r="BM28" s="91" t="str">
        <f t="shared" si="42"/>
        <v/>
      </c>
      <c r="BN28" s="91" t="str">
        <f t="shared" si="42"/>
        <v/>
      </c>
      <c r="BO28" s="91" t="str">
        <f t="shared" si="42"/>
        <v/>
      </c>
      <c r="BP28" s="91" t="str">
        <f t="shared" si="42"/>
        <v/>
      </c>
      <c r="BQ28" s="91" t="str">
        <f t="shared" si="42"/>
        <v/>
      </c>
      <c r="BR28" s="91" t="str">
        <f t="shared" si="42"/>
        <v/>
      </c>
      <c r="BS28" s="91" t="str">
        <f t="shared" si="42"/>
        <v/>
      </c>
      <c r="BT28" s="91" t="str">
        <f t="shared" si="42"/>
        <v/>
      </c>
      <c r="BU28" s="91" t="str">
        <f t="shared" si="42"/>
        <v/>
      </c>
      <c r="BV28" s="91" t="str">
        <f t="shared" si="42"/>
        <v/>
      </c>
      <c r="BW28" s="91" t="str">
        <f t="shared" si="42"/>
        <v/>
      </c>
      <c r="BX28" s="91" t="str">
        <f t="shared" si="42"/>
        <v/>
      </c>
      <c r="BY28" s="91" t="str">
        <f t="shared" si="42"/>
        <v/>
      </c>
      <c r="BZ28" s="91" t="str">
        <f t="shared" si="42"/>
        <v/>
      </c>
      <c r="CA28" s="91" t="str">
        <f t="shared" si="42"/>
        <v/>
      </c>
      <c r="CB28" s="91" t="str">
        <f t="shared" si="42"/>
        <v/>
      </c>
      <c r="CC28" s="91" t="str">
        <f t="shared" si="42"/>
        <v/>
      </c>
      <c r="CD28" s="91" t="str">
        <f t="shared" si="42"/>
        <v/>
      </c>
      <c r="CE28" s="91" t="str">
        <f t="shared" si="42"/>
        <v/>
      </c>
      <c r="CF28" s="91" t="str">
        <f t="shared" si="42"/>
        <v/>
      </c>
      <c r="CG28" s="91" t="str">
        <f t="shared" si="42"/>
        <v/>
      </c>
      <c r="CH28" s="91" t="str">
        <f t="shared" si="42"/>
        <v/>
      </c>
      <c r="CI28" s="91" t="str">
        <f t="shared" si="42"/>
        <v/>
      </c>
      <c r="CJ28" s="91" t="str">
        <f t="shared" si="42"/>
        <v/>
      </c>
      <c r="CK28" s="91" t="str">
        <f t="shared" si="42"/>
        <v/>
      </c>
      <c r="CL28" s="91" t="str">
        <f t="shared" si="42"/>
        <v/>
      </c>
      <c r="CM28" s="91" t="str">
        <f t="shared" si="42"/>
        <v/>
      </c>
      <c r="CN28" s="91" t="str">
        <f t="shared" si="42"/>
        <v/>
      </c>
      <c r="CO28" s="91" t="str">
        <f t="shared" si="42"/>
        <v/>
      </c>
      <c r="CP28" s="91" t="str">
        <f t="shared" si="42"/>
        <v/>
      </c>
      <c r="CQ28" s="91" t="str">
        <f t="shared" si="42"/>
        <v/>
      </c>
      <c r="CR28" s="91" t="str">
        <f t="shared" si="42"/>
        <v/>
      </c>
      <c r="CS28" s="91" t="str">
        <f t="shared" si="42"/>
        <v/>
      </c>
      <c r="CT28" s="91" t="str">
        <f t="shared" si="42"/>
        <v/>
      </c>
      <c r="CU28" s="91" t="str">
        <f t="shared" si="42"/>
        <v/>
      </c>
      <c r="CV28" s="91" t="str">
        <f t="shared" si="42"/>
        <v/>
      </c>
      <c r="CW28" s="91" t="str">
        <f t="shared" si="42"/>
        <v/>
      </c>
      <c r="CX28" s="91" t="str">
        <f t="shared" si="42"/>
        <v/>
      </c>
      <c r="CY28" s="91" t="str">
        <f t="shared" si="42"/>
        <v/>
      </c>
      <c r="CZ28" s="91" t="str">
        <f t="shared" si="42"/>
        <v/>
      </c>
      <c r="DA28" s="91" t="str">
        <f t="shared" ref="DA28:DP40" si="43">IF($B28=DA$12,$U28,"")</f>
        <v/>
      </c>
      <c r="DB28" s="91" t="str">
        <f t="shared" si="43"/>
        <v/>
      </c>
      <c r="DC28" s="91" t="str">
        <f t="shared" si="43"/>
        <v/>
      </c>
      <c r="DD28" s="91" t="str">
        <f t="shared" si="43"/>
        <v/>
      </c>
      <c r="DE28" s="91" t="str">
        <f t="shared" si="43"/>
        <v/>
      </c>
      <c r="DF28" s="91" t="str">
        <f t="shared" si="43"/>
        <v/>
      </c>
      <c r="DG28" s="91" t="str">
        <f t="shared" si="43"/>
        <v/>
      </c>
      <c r="DH28" s="91" t="str">
        <f t="shared" si="43"/>
        <v/>
      </c>
      <c r="DI28" s="91" t="str">
        <f t="shared" si="43"/>
        <v/>
      </c>
      <c r="DJ28" s="91" t="str">
        <f t="shared" si="43"/>
        <v/>
      </c>
      <c r="DK28" s="91" t="str">
        <f t="shared" si="43"/>
        <v/>
      </c>
      <c r="DL28" s="91" t="str">
        <f t="shared" si="43"/>
        <v/>
      </c>
      <c r="DM28" s="91" t="str">
        <f t="shared" si="43"/>
        <v/>
      </c>
      <c r="DN28" s="91" t="str">
        <f t="shared" si="43"/>
        <v/>
      </c>
      <c r="DO28" s="91" t="str">
        <f t="shared" si="43"/>
        <v/>
      </c>
      <c r="DP28" s="91" t="str">
        <f t="shared" si="43"/>
        <v/>
      </c>
      <c r="DQ28" s="91" t="str">
        <f t="shared" ref="DQ28:DT40" si="44">IF($B28=DQ$12,$U28,"")</f>
        <v/>
      </c>
      <c r="DR28" s="91" t="str">
        <f t="shared" si="44"/>
        <v/>
      </c>
      <c r="DS28" s="91" t="str">
        <f t="shared" si="44"/>
        <v/>
      </c>
      <c r="DT28" s="105" t="str">
        <f t="shared" si="44"/>
        <v/>
      </c>
      <c r="DU28" s="54"/>
      <c r="DV28" s="25"/>
      <c r="DW28" s="92" t="str">
        <f t="shared" ref="DW28:EL40" si="45">IF($B28=DW$12,$O28,"")</f>
        <v/>
      </c>
      <c r="DX28" s="93" t="str">
        <f t="shared" si="45"/>
        <v/>
      </c>
      <c r="DY28" s="93" t="str">
        <f t="shared" si="45"/>
        <v/>
      </c>
      <c r="DZ28" s="93" t="str">
        <f t="shared" si="45"/>
        <v/>
      </c>
      <c r="EA28" s="93" t="str">
        <f t="shared" si="45"/>
        <v/>
      </c>
      <c r="EB28" s="93" t="str">
        <f t="shared" si="45"/>
        <v/>
      </c>
      <c r="EC28" s="93" t="str">
        <f t="shared" si="45"/>
        <v/>
      </c>
      <c r="ED28" s="93" t="str">
        <f t="shared" si="45"/>
        <v/>
      </c>
      <c r="EE28" s="93" t="str">
        <f t="shared" si="45"/>
        <v/>
      </c>
      <c r="EF28" s="93" t="str">
        <f t="shared" si="45"/>
        <v/>
      </c>
      <c r="EG28" s="93" t="str">
        <f t="shared" si="45"/>
        <v/>
      </c>
      <c r="EH28" s="93" t="str">
        <f t="shared" si="45"/>
        <v/>
      </c>
      <c r="EI28" s="93" t="str">
        <f t="shared" si="45"/>
        <v/>
      </c>
      <c r="EJ28" s="93" t="str">
        <f t="shared" si="45"/>
        <v/>
      </c>
      <c r="EK28" s="93" t="str">
        <f t="shared" si="45"/>
        <v/>
      </c>
      <c r="EL28" s="93" t="str">
        <f t="shared" si="45"/>
        <v/>
      </c>
      <c r="EM28" s="93" t="str">
        <f t="shared" ref="EM28:GX31" si="46">IF($B28=EM$12,$O28,"")</f>
        <v/>
      </c>
      <c r="EN28" s="93" t="str">
        <f t="shared" si="46"/>
        <v/>
      </c>
      <c r="EO28" s="93" t="str">
        <f t="shared" si="46"/>
        <v/>
      </c>
      <c r="EP28" s="93" t="str">
        <f t="shared" si="46"/>
        <v/>
      </c>
      <c r="EQ28" s="93" t="str">
        <f t="shared" si="46"/>
        <v/>
      </c>
      <c r="ER28" s="93" t="str">
        <f t="shared" si="46"/>
        <v/>
      </c>
      <c r="ES28" s="93" t="str">
        <f t="shared" si="46"/>
        <v/>
      </c>
      <c r="ET28" s="93" t="str">
        <f t="shared" si="46"/>
        <v/>
      </c>
      <c r="EU28" s="93" t="str">
        <f t="shared" si="46"/>
        <v/>
      </c>
      <c r="EV28" s="93" t="str">
        <f t="shared" si="46"/>
        <v/>
      </c>
      <c r="EW28" s="93" t="str">
        <f t="shared" si="46"/>
        <v/>
      </c>
      <c r="EX28" s="93" t="str">
        <f t="shared" si="46"/>
        <v/>
      </c>
      <c r="EY28" s="93" t="str">
        <f t="shared" si="46"/>
        <v/>
      </c>
      <c r="EZ28" s="93" t="str">
        <f t="shared" si="46"/>
        <v/>
      </c>
      <c r="FA28" s="93" t="str">
        <f t="shared" si="46"/>
        <v/>
      </c>
      <c r="FB28" s="93" t="str">
        <f t="shared" si="46"/>
        <v/>
      </c>
      <c r="FC28" s="93" t="str">
        <f t="shared" si="46"/>
        <v/>
      </c>
      <c r="FD28" s="93" t="str">
        <f t="shared" si="46"/>
        <v/>
      </c>
      <c r="FE28" s="93" t="str">
        <f t="shared" si="46"/>
        <v/>
      </c>
      <c r="FF28" s="93" t="str">
        <f t="shared" si="46"/>
        <v/>
      </c>
      <c r="FG28" s="93" t="str">
        <f t="shared" si="46"/>
        <v/>
      </c>
      <c r="FH28" s="93" t="str">
        <f t="shared" si="46"/>
        <v/>
      </c>
      <c r="FI28" s="93" t="str">
        <f t="shared" si="46"/>
        <v/>
      </c>
      <c r="FJ28" s="93" t="str">
        <f t="shared" si="46"/>
        <v/>
      </c>
      <c r="FK28" s="93" t="str">
        <f t="shared" si="46"/>
        <v/>
      </c>
      <c r="FL28" s="93" t="str">
        <f t="shared" si="46"/>
        <v/>
      </c>
      <c r="FM28" s="93" t="str">
        <f t="shared" si="46"/>
        <v/>
      </c>
      <c r="FN28" s="93" t="str">
        <f t="shared" si="46"/>
        <v/>
      </c>
      <c r="FO28" s="93" t="str">
        <f t="shared" si="46"/>
        <v/>
      </c>
      <c r="FP28" s="93" t="str">
        <f t="shared" si="46"/>
        <v/>
      </c>
      <c r="FQ28" s="93" t="str">
        <f t="shared" si="46"/>
        <v/>
      </c>
      <c r="FR28" s="93" t="str">
        <f t="shared" si="46"/>
        <v/>
      </c>
      <c r="FS28" s="93" t="str">
        <f t="shared" si="46"/>
        <v/>
      </c>
      <c r="FT28" s="93" t="str">
        <f t="shared" si="46"/>
        <v/>
      </c>
      <c r="FU28" s="93" t="str">
        <f t="shared" si="46"/>
        <v/>
      </c>
      <c r="FV28" s="93" t="str">
        <f t="shared" si="46"/>
        <v/>
      </c>
      <c r="FW28" s="93" t="str">
        <f t="shared" si="46"/>
        <v/>
      </c>
      <c r="FX28" s="93" t="str">
        <f t="shared" si="46"/>
        <v/>
      </c>
      <c r="FY28" s="93" t="str">
        <f t="shared" si="46"/>
        <v/>
      </c>
      <c r="FZ28" s="93" t="str">
        <f t="shared" si="46"/>
        <v/>
      </c>
      <c r="GA28" s="93" t="str">
        <f t="shared" si="46"/>
        <v/>
      </c>
      <c r="GB28" s="93" t="str">
        <f t="shared" si="46"/>
        <v/>
      </c>
      <c r="GC28" s="93" t="str">
        <f t="shared" si="46"/>
        <v/>
      </c>
      <c r="GD28" s="93" t="str">
        <f t="shared" si="46"/>
        <v/>
      </c>
      <c r="GE28" s="93" t="str">
        <f t="shared" si="46"/>
        <v/>
      </c>
      <c r="GF28" s="93" t="str">
        <f t="shared" si="46"/>
        <v/>
      </c>
      <c r="GG28" s="93" t="str">
        <f t="shared" si="46"/>
        <v/>
      </c>
      <c r="GH28" s="93" t="str">
        <f t="shared" si="46"/>
        <v/>
      </c>
      <c r="GI28" s="93" t="str">
        <f t="shared" si="46"/>
        <v/>
      </c>
      <c r="GJ28" s="93" t="str">
        <f t="shared" si="46"/>
        <v/>
      </c>
      <c r="GK28" s="93" t="str">
        <f t="shared" si="46"/>
        <v/>
      </c>
      <c r="GL28" s="93" t="str">
        <f t="shared" si="46"/>
        <v/>
      </c>
      <c r="GM28" s="93" t="str">
        <f t="shared" si="46"/>
        <v/>
      </c>
      <c r="GN28" s="93" t="str">
        <f t="shared" si="46"/>
        <v/>
      </c>
      <c r="GO28" s="93" t="str">
        <f t="shared" si="46"/>
        <v/>
      </c>
      <c r="GP28" s="93" t="str">
        <f t="shared" si="46"/>
        <v/>
      </c>
      <c r="GQ28" s="93" t="str">
        <f t="shared" si="46"/>
        <v/>
      </c>
      <c r="GR28" s="93" t="str">
        <f t="shared" si="46"/>
        <v/>
      </c>
      <c r="GS28" s="93" t="str">
        <f t="shared" si="46"/>
        <v/>
      </c>
      <c r="GT28" s="93" t="str">
        <f t="shared" si="46"/>
        <v/>
      </c>
      <c r="GU28" s="93" t="str">
        <f t="shared" si="46"/>
        <v/>
      </c>
      <c r="GV28" s="93" t="str">
        <f t="shared" si="46"/>
        <v/>
      </c>
      <c r="GW28" s="93" t="str">
        <f t="shared" si="46"/>
        <v/>
      </c>
      <c r="GX28" s="93" t="str">
        <f t="shared" si="46"/>
        <v/>
      </c>
      <c r="GY28" s="93" t="str">
        <f t="shared" ref="GY28:HN30" si="47">IF($B28=GY$12,$O28,"")</f>
        <v/>
      </c>
      <c r="GZ28" s="93" t="str">
        <f t="shared" si="47"/>
        <v/>
      </c>
      <c r="HA28" s="93" t="str">
        <f t="shared" si="47"/>
        <v/>
      </c>
      <c r="HB28" s="93" t="str">
        <f t="shared" si="47"/>
        <v/>
      </c>
      <c r="HC28" s="93" t="str">
        <f t="shared" si="47"/>
        <v/>
      </c>
      <c r="HD28" s="93" t="str">
        <f t="shared" si="47"/>
        <v/>
      </c>
      <c r="HE28" s="93" t="str">
        <f t="shared" si="47"/>
        <v/>
      </c>
      <c r="HF28" s="93" t="str">
        <f t="shared" si="47"/>
        <v/>
      </c>
      <c r="HG28" s="93" t="str">
        <f t="shared" si="47"/>
        <v/>
      </c>
      <c r="HH28" s="93" t="str">
        <f t="shared" si="47"/>
        <v/>
      </c>
      <c r="HI28" s="93" t="str">
        <f t="shared" si="47"/>
        <v/>
      </c>
      <c r="HJ28" s="93" t="str">
        <f t="shared" si="47"/>
        <v/>
      </c>
      <c r="HK28" s="93" t="str">
        <f t="shared" si="47"/>
        <v/>
      </c>
      <c r="HL28" s="93" t="str">
        <f t="shared" si="47"/>
        <v/>
      </c>
      <c r="HM28" s="93" t="str">
        <f t="shared" si="47"/>
        <v/>
      </c>
      <c r="HN28" s="93" t="str">
        <f t="shared" si="47"/>
        <v/>
      </c>
      <c r="HO28" s="93" t="str">
        <f t="shared" ref="HI28:HR40" si="48">IF($B28=HO$12,$O28,"")</f>
        <v/>
      </c>
      <c r="HP28" s="93" t="str">
        <f t="shared" si="48"/>
        <v/>
      </c>
      <c r="HQ28" s="93" t="str">
        <f t="shared" si="48"/>
        <v/>
      </c>
      <c r="HR28" s="111" t="str">
        <f t="shared" si="48"/>
        <v/>
      </c>
    </row>
    <row r="29" spans="1:226" ht="11.1" customHeight="1" x14ac:dyDescent="0.25">
      <c r="A29" s="26">
        <v>34</v>
      </c>
      <c r="B29" s="27">
        <v>60</v>
      </c>
      <c r="C29" s="28" t="str">
        <f>IF(A29=0,"",VLOOKUP(A29,[2]CO!$A$3:$F$5327,2,0))</f>
        <v>VIDAL OCHOA ROBERTO ENRIQUE</v>
      </c>
      <c r="D29" s="29"/>
      <c r="E29" s="29"/>
      <c r="F29" s="29"/>
      <c r="G29" s="30" t="str">
        <f>IF(A29=0,"",VLOOKUP(A29,[2]CO!$A$3:$F$5327,3,0))</f>
        <v>DESTAJOS</v>
      </c>
      <c r="H29" s="95"/>
      <c r="I29" s="31"/>
      <c r="J29" s="31"/>
      <c r="K29" s="31"/>
      <c r="L29" s="31"/>
      <c r="M29" s="32" t="str">
        <f t="shared" si="38"/>
        <v/>
      </c>
      <c r="N29" s="32">
        <f>IF(B29=0,"",IF(H29="M",HLOOKUP(B29,$Y$12:$DT$13,2),IF(A29=0,"",VLOOKUP(A29,[2]CO!$A$3:$F$5327,4,0))))</f>
        <v>0</v>
      </c>
      <c r="O29" s="32" t="str">
        <f t="shared" si="7"/>
        <v/>
      </c>
      <c r="P29" s="33"/>
      <c r="Q29" s="34" t="str">
        <f t="shared" si="39"/>
        <v/>
      </c>
      <c r="R29" s="35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RESIDENTE",G29="TOPOGRAFIA",G29="DESTAJOS"),VLOOKUP(B29,P$14:Q$52,2),"")*S29)</f>
        <v>306.62399999999997</v>
      </c>
      <c r="S29" s="118">
        <v>1</v>
      </c>
      <c r="T29" s="53">
        <f>IF(A29=0,"",VLOOKUP(A29,[2]CO!$A$3:$F$5318,5,0))</f>
        <v>0</v>
      </c>
      <c r="U29" s="54">
        <f t="shared" si="40"/>
        <v>0</v>
      </c>
      <c r="V29" s="24"/>
      <c r="W29" s="25"/>
      <c r="X29" s="25"/>
      <c r="Y29" s="64" t="str">
        <f t="shared" si="41"/>
        <v/>
      </c>
      <c r="Z29" s="55" t="str">
        <f t="shared" si="41"/>
        <v/>
      </c>
      <c r="AA29" s="55" t="str">
        <f t="shared" si="41"/>
        <v/>
      </c>
      <c r="AB29" s="55" t="str">
        <f t="shared" si="41"/>
        <v/>
      </c>
      <c r="AC29" s="55" t="str">
        <f t="shared" si="41"/>
        <v/>
      </c>
      <c r="AD29" s="55" t="str">
        <f t="shared" si="41"/>
        <v/>
      </c>
      <c r="AE29" s="55" t="str">
        <f t="shared" si="41"/>
        <v/>
      </c>
      <c r="AF29" s="55" t="str">
        <f t="shared" si="41"/>
        <v/>
      </c>
      <c r="AG29" s="55" t="str">
        <f t="shared" si="41"/>
        <v/>
      </c>
      <c r="AH29" s="55" t="str">
        <f t="shared" si="41"/>
        <v/>
      </c>
      <c r="AI29" s="55" t="str">
        <f t="shared" si="41"/>
        <v/>
      </c>
      <c r="AJ29" s="55" t="str">
        <f t="shared" si="41"/>
        <v/>
      </c>
      <c r="AK29" s="55" t="str">
        <f t="shared" si="41"/>
        <v/>
      </c>
      <c r="AL29" s="55" t="str">
        <f t="shared" si="41"/>
        <v/>
      </c>
      <c r="AM29" s="55" t="str">
        <f t="shared" si="41"/>
        <v/>
      </c>
      <c r="AN29" s="55" t="str">
        <f t="shared" si="41"/>
        <v/>
      </c>
      <c r="AO29" s="55" t="str">
        <f t="shared" si="42"/>
        <v/>
      </c>
      <c r="AP29" s="55" t="str">
        <f t="shared" si="42"/>
        <v/>
      </c>
      <c r="AQ29" s="55" t="str">
        <f t="shared" si="42"/>
        <v/>
      </c>
      <c r="AR29" s="55" t="str">
        <f t="shared" si="42"/>
        <v/>
      </c>
      <c r="AS29" s="55" t="str">
        <f t="shared" si="42"/>
        <v/>
      </c>
      <c r="AT29" s="55" t="str">
        <f t="shared" si="42"/>
        <v/>
      </c>
      <c r="AU29" s="55" t="str">
        <f t="shared" si="42"/>
        <v/>
      </c>
      <c r="AV29" s="55" t="str">
        <f t="shared" si="42"/>
        <v/>
      </c>
      <c r="AW29" s="55" t="str">
        <f t="shared" si="42"/>
        <v/>
      </c>
      <c r="AX29" s="55" t="str">
        <f t="shared" si="42"/>
        <v/>
      </c>
      <c r="AY29" s="55" t="str">
        <f t="shared" si="42"/>
        <v/>
      </c>
      <c r="AZ29" s="55" t="str">
        <f t="shared" si="42"/>
        <v/>
      </c>
      <c r="BA29" s="55" t="str">
        <f t="shared" si="42"/>
        <v/>
      </c>
      <c r="BB29" s="55" t="str">
        <f t="shared" si="42"/>
        <v/>
      </c>
      <c r="BC29" s="55" t="str">
        <f t="shared" si="42"/>
        <v/>
      </c>
      <c r="BD29" s="55" t="str">
        <f t="shared" si="42"/>
        <v/>
      </c>
      <c r="BE29" s="55" t="str">
        <f t="shared" si="42"/>
        <v/>
      </c>
      <c r="BF29" s="55" t="str">
        <f t="shared" si="42"/>
        <v/>
      </c>
      <c r="BG29" s="55" t="str">
        <f t="shared" si="42"/>
        <v/>
      </c>
      <c r="BH29" s="55" t="str">
        <f t="shared" si="42"/>
        <v/>
      </c>
      <c r="BI29" s="55" t="str">
        <f t="shared" si="42"/>
        <v/>
      </c>
      <c r="BJ29" s="55" t="str">
        <f t="shared" si="42"/>
        <v/>
      </c>
      <c r="BK29" s="55" t="str">
        <f t="shared" si="42"/>
        <v/>
      </c>
      <c r="BL29" s="55" t="str">
        <f t="shared" si="42"/>
        <v/>
      </c>
      <c r="BM29" s="55" t="str">
        <f t="shared" si="42"/>
        <v/>
      </c>
      <c r="BN29" s="55" t="str">
        <f t="shared" si="42"/>
        <v/>
      </c>
      <c r="BO29" s="55" t="str">
        <f t="shared" si="42"/>
        <v/>
      </c>
      <c r="BP29" s="55" t="str">
        <f t="shared" si="42"/>
        <v/>
      </c>
      <c r="BQ29" s="55" t="str">
        <f t="shared" si="42"/>
        <v/>
      </c>
      <c r="BR29" s="55" t="str">
        <f t="shared" si="42"/>
        <v/>
      </c>
      <c r="BS29" s="55" t="str">
        <f t="shared" si="42"/>
        <v/>
      </c>
      <c r="BT29" s="55" t="str">
        <f t="shared" si="42"/>
        <v/>
      </c>
      <c r="BU29" s="55" t="str">
        <f t="shared" si="42"/>
        <v/>
      </c>
      <c r="BV29" s="55" t="str">
        <f t="shared" si="42"/>
        <v/>
      </c>
      <c r="BW29" s="55" t="str">
        <f t="shared" si="42"/>
        <v/>
      </c>
      <c r="BX29" s="55" t="str">
        <f t="shared" si="42"/>
        <v/>
      </c>
      <c r="BY29" s="55" t="str">
        <f t="shared" si="42"/>
        <v/>
      </c>
      <c r="BZ29" s="55" t="str">
        <f t="shared" si="42"/>
        <v/>
      </c>
      <c r="CA29" s="55" t="str">
        <f t="shared" si="42"/>
        <v/>
      </c>
      <c r="CB29" s="55" t="str">
        <f t="shared" si="42"/>
        <v/>
      </c>
      <c r="CC29" s="55" t="str">
        <f t="shared" si="42"/>
        <v/>
      </c>
      <c r="CD29" s="55" t="str">
        <f t="shared" si="42"/>
        <v/>
      </c>
      <c r="CE29" s="55" t="str">
        <f t="shared" si="42"/>
        <v/>
      </c>
      <c r="CF29" s="55">
        <f t="shared" si="42"/>
        <v>0</v>
      </c>
      <c r="CG29" s="55" t="str">
        <f t="shared" si="42"/>
        <v/>
      </c>
      <c r="CH29" s="55" t="str">
        <f t="shared" si="42"/>
        <v/>
      </c>
      <c r="CI29" s="55" t="str">
        <f t="shared" si="42"/>
        <v/>
      </c>
      <c r="CJ29" s="55" t="str">
        <f t="shared" si="42"/>
        <v/>
      </c>
      <c r="CK29" s="55" t="str">
        <f t="shared" si="42"/>
        <v/>
      </c>
      <c r="CL29" s="55" t="str">
        <f t="shared" si="42"/>
        <v/>
      </c>
      <c r="CM29" s="55" t="str">
        <f t="shared" si="42"/>
        <v/>
      </c>
      <c r="CN29" s="55" t="str">
        <f t="shared" si="42"/>
        <v/>
      </c>
      <c r="CO29" s="55" t="str">
        <f t="shared" si="42"/>
        <v/>
      </c>
      <c r="CP29" s="55" t="str">
        <f t="shared" si="42"/>
        <v/>
      </c>
      <c r="CQ29" s="55" t="str">
        <f t="shared" si="42"/>
        <v/>
      </c>
      <c r="CR29" s="55" t="str">
        <f t="shared" si="42"/>
        <v/>
      </c>
      <c r="CS29" s="55" t="str">
        <f t="shared" si="42"/>
        <v/>
      </c>
      <c r="CT29" s="55" t="str">
        <f t="shared" si="42"/>
        <v/>
      </c>
      <c r="CU29" s="55" t="str">
        <f t="shared" si="42"/>
        <v/>
      </c>
      <c r="CV29" s="55" t="str">
        <f t="shared" si="42"/>
        <v/>
      </c>
      <c r="CW29" s="55" t="str">
        <f t="shared" si="42"/>
        <v/>
      </c>
      <c r="CX29" s="55" t="str">
        <f t="shared" si="42"/>
        <v/>
      </c>
      <c r="CY29" s="55" t="str">
        <f t="shared" si="42"/>
        <v/>
      </c>
      <c r="CZ29" s="55" t="str">
        <f t="shared" si="42"/>
        <v/>
      </c>
      <c r="DA29" s="55" t="str">
        <f t="shared" si="43"/>
        <v/>
      </c>
      <c r="DB29" s="55" t="str">
        <f t="shared" si="43"/>
        <v/>
      </c>
      <c r="DC29" s="55" t="str">
        <f t="shared" si="43"/>
        <v/>
      </c>
      <c r="DD29" s="55" t="str">
        <f t="shared" si="43"/>
        <v/>
      </c>
      <c r="DE29" s="55" t="str">
        <f t="shared" si="43"/>
        <v/>
      </c>
      <c r="DF29" s="55" t="str">
        <f t="shared" si="43"/>
        <v/>
      </c>
      <c r="DG29" s="55" t="str">
        <f t="shared" si="43"/>
        <v/>
      </c>
      <c r="DH29" s="55" t="str">
        <f t="shared" si="43"/>
        <v/>
      </c>
      <c r="DI29" s="55" t="str">
        <f t="shared" si="43"/>
        <v/>
      </c>
      <c r="DJ29" s="55" t="str">
        <f t="shared" si="43"/>
        <v/>
      </c>
      <c r="DK29" s="55" t="str">
        <f t="shared" si="43"/>
        <v/>
      </c>
      <c r="DL29" s="55" t="str">
        <f t="shared" si="43"/>
        <v/>
      </c>
      <c r="DM29" s="55" t="str">
        <f t="shared" si="43"/>
        <v/>
      </c>
      <c r="DN29" s="55" t="str">
        <f t="shared" si="43"/>
        <v/>
      </c>
      <c r="DO29" s="55" t="str">
        <f t="shared" si="43"/>
        <v/>
      </c>
      <c r="DP29" s="55" t="str">
        <f t="shared" si="43"/>
        <v/>
      </c>
      <c r="DQ29" s="55" t="str">
        <f t="shared" si="44"/>
        <v/>
      </c>
      <c r="DR29" s="55" t="str">
        <f t="shared" si="44"/>
        <v/>
      </c>
      <c r="DS29" s="55" t="str">
        <f t="shared" si="44"/>
        <v/>
      </c>
      <c r="DT29" s="106" t="str">
        <f t="shared" si="44"/>
        <v/>
      </c>
      <c r="DU29" s="54"/>
      <c r="DV29" s="25"/>
      <c r="DW29" s="61" t="str">
        <f t="shared" si="45"/>
        <v/>
      </c>
      <c r="DX29" s="50" t="str">
        <f t="shared" si="45"/>
        <v/>
      </c>
      <c r="DY29" s="50" t="str">
        <f t="shared" si="45"/>
        <v/>
      </c>
      <c r="DZ29" s="50" t="str">
        <f t="shared" si="45"/>
        <v/>
      </c>
      <c r="EA29" s="50" t="str">
        <f t="shared" si="45"/>
        <v/>
      </c>
      <c r="EB29" s="50" t="str">
        <f t="shared" si="45"/>
        <v/>
      </c>
      <c r="EC29" s="50" t="str">
        <f t="shared" si="45"/>
        <v/>
      </c>
      <c r="ED29" s="50" t="str">
        <f t="shared" si="45"/>
        <v/>
      </c>
      <c r="EE29" s="50" t="str">
        <f t="shared" si="45"/>
        <v/>
      </c>
      <c r="EF29" s="50" t="str">
        <f t="shared" si="45"/>
        <v/>
      </c>
      <c r="EG29" s="50" t="str">
        <f t="shared" si="45"/>
        <v/>
      </c>
      <c r="EH29" s="50" t="str">
        <f t="shared" si="45"/>
        <v/>
      </c>
      <c r="EI29" s="50" t="str">
        <f t="shared" si="45"/>
        <v/>
      </c>
      <c r="EJ29" s="50" t="str">
        <f t="shared" si="45"/>
        <v/>
      </c>
      <c r="EK29" s="50" t="str">
        <f t="shared" si="45"/>
        <v/>
      </c>
      <c r="EL29" s="50" t="str">
        <f t="shared" si="45"/>
        <v/>
      </c>
      <c r="EM29" s="50" t="str">
        <f t="shared" si="46"/>
        <v/>
      </c>
      <c r="EN29" s="50" t="str">
        <f t="shared" si="46"/>
        <v/>
      </c>
      <c r="EO29" s="50" t="str">
        <f t="shared" si="46"/>
        <v/>
      </c>
      <c r="EP29" s="50" t="str">
        <f t="shared" si="46"/>
        <v/>
      </c>
      <c r="EQ29" s="50" t="str">
        <f t="shared" si="46"/>
        <v/>
      </c>
      <c r="ER29" s="50" t="str">
        <f t="shared" si="46"/>
        <v/>
      </c>
      <c r="ES29" s="50" t="str">
        <f t="shared" si="46"/>
        <v/>
      </c>
      <c r="ET29" s="50" t="str">
        <f t="shared" si="46"/>
        <v/>
      </c>
      <c r="EU29" s="50" t="str">
        <f t="shared" si="46"/>
        <v/>
      </c>
      <c r="EV29" s="50" t="str">
        <f t="shared" si="46"/>
        <v/>
      </c>
      <c r="EW29" s="50" t="str">
        <f t="shared" si="46"/>
        <v/>
      </c>
      <c r="EX29" s="50" t="str">
        <f t="shared" si="46"/>
        <v/>
      </c>
      <c r="EY29" s="50" t="str">
        <f t="shared" si="46"/>
        <v/>
      </c>
      <c r="EZ29" s="50" t="str">
        <f t="shared" si="46"/>
        <v/>
      </c>
      <c r="FA29" s="50" t="str">
        <f t="shared" si="46"/>
        <v/>
      </c>
      <c r="FB29" s="50" t="str">
        <f t="shared" si="46"/>
        <v/>
      </c>
      <c r="FC29" s="50" t="str">
        <f t="shared" si="46"/>
        <v/>
      </c>
      <c r="FD29" s="50" t="str">
        <f t="shared" si="46"/>
        <v/>
      </c>
      <c r="FE29" s="50" t="str">
        <f t="shared" si="46"/>
        <v/>
      </c>
      <c r="FF29" s="50" t="str">
        <f t="shared" si="46"/>
        <v/>
      </c>
      <c r="FG29" s="50" t="str">
        <f t="shared" si="46"/>
        <v/>
      </c>
      <c r="FH29" s="50" t="str">
        <f t="shared" si="46"/>
        <v/>
      </c>
      <c r="FI29" s="50" t="str">
        <f t="shared" si="46"/>
        <v/>
      </c>
      <c r="FJ29" s="50" t="str">
        <f t="shared" si="46"/>
        <v/>
      </c>
      <c r="FK29" s="50" t="str">
        <f t="shared" si="46"/>
        <v/>
      </c>
      <c r="FL29" s="50" t="str">
        <f t="shared" si="46"/>
        <v/>
      </c>
      <c r="FM29" s="50" t="str">
        <f t="shared" si="46"/>
        <v/>
      </c>
      <c r="FN29" s="50" t="str">
        <f t="shared" si="46"/>
        <v/>
      </c>
      <c r="FO29" s="50" t="str">
        <f t="shared" si="46"/>
        <v/>
      </c>
      <c r="FP29" s="50" t="str">
        <f t="shared" si="46"/>
        <v/>
      </c>
      <c r="FQ29" s="50" t="str">
        <f t="shared" si="46"/>
        <v/>
      </c>
      <c r="FR29" s="50" t="str">
        <f t="shared" si="46"/>
        <v/>
      </c>
      <c r="FS29" s="50" t="str">
        <f t="shared" si="46"/>
        <v/>
      </c>
      <c r="FT29" s="50" t="str">
        <f t="shared" si="46"/>
        <v/>
      </c>
      <c r="FU29" s="50" t="str">
        <f t="shared" si="46"/>
        <v/>
      </c>
      <c r="FV29" s="50" t="str">
        <f t="shared" si="46"/>
        <v/>
      </c>
      <c r="FW29" s="50" t="str">
        <f t="shared" si="46"/>
        <v/>
      </c>
      <c r="FX29" s="50" t="str">
        <f t="shared" si="46"/>
        <v/>
      </c>
      <c r="FY29" s="50" t="str">
        <f t="shared" si="46"/>
        <v/>
      </c>
      <c r="FZ29" s="50" t="str">
        <f t="shared" si="46"/>
        <v/>
      </c>
      <c r="GA29" s="50" t="str">
        <f t="shared" si="46"/>
        <v/>
      </c>
      <c r="GB29" s="50" t="str">
        <f t="shared" si="46"/>
        <v/>
      </c>
      <c r="GC29" s="50" t="str">
        <f t="shared" si="46"/>
        <v/>
      </c>
      <c r="GD29" s="50" t="str">
        <f t="shared" si="46"/>
        <v/>
      </c>
      <c r="GE29" s="50" t="str">
        <f t="shared" si="46"/>
        <v/>
      </c>
      <c r="GF29" s="50" t="str">
        <f t="shared" si="46"/>
        <v/>
      </c>
      <c r="GG29" s="50" t="str">
        <f t="shared" si="46"/>
        <v/>
      </c>
      <c r="GH29" s="50" t="str">
        <f t="shared" si="46"/>
        <v/>
      </c>
      <c r="GI29" s="50" t="str">
        <f t="shared" si="46"/>
        <v/>
      </c>
      <c r="GJ29" s="50" t="str">
        <f t="shared" si="46"/>
        <v/>
      </c>
      <c r="GK29" s="50" t="str">
        <f t="shared" si="46"/>
        <v/>
      </c>
      <c r="GL29" s="50" t="str">
        <f t="shared" si="46"/>
        <v/>
      </c>
      <c r="GM29" s="50" t="str">
        <f t="shared" si="46"/>
        <v/>
      </c>
      <c r="GN29" s="50" t="str">
        <f t="shared" si="46"/>
        <v/>
      </c>
      <c r="GO29" s="50" t="str">
        <f t="shared" si="46"/>
        <v/>
      </c>
      <c r="GP29" s="50" t="str">
        <f t="shared" si="46"/>
        <v/>
      </c>
      <c r="GQ29" s="50" t="str">
        <f t="shared" si="46"/>
        <v/>
      </c>
      <c r="GR29" s="50" t="str">
        <f t="shared" si="46"/>
        <v/>
      </c>
      <c r="GS29" s="50" t="str">
        <f t="shared" si="46"/>
        <v/>
      </c>
      <c r="GT29" s="50" t="str">
        <f t="shared" si="46"/>
        <v/>
      </c>
      <c r="GU29" s="50" t="str">
        <f t="shared" si="46"/>
        <v/>
      </c>
      <c r="GV29" s="50" t="str">
        <f t="shared" si="46"/>
        <v/>
      </c>
      <c r="GW29" s="50" t="str">
        <f t="shared" si="46"/>
        <v/>
      </c>
      <c r="GX29" s="50" t="str">
        <f t="shared" si="46"/>
        <v/>
      </c>
      <c r="GY29" s="50" t="str">
        <f t="shared" si="47"/>
        <v/>
      </c>
      <c r="GZ29" s="50" t="str">
        <f t="shared" si="47"/>
        <v/>
      </c>
      <c r="HA29" s="50" t="str">
        <f t="shared" si="47"/>
        <v/>
      </c>
      <c r="HB29" s="50" t="str">
        <f t="shared" si="47"/>
        <v/>
      </c>
      <c r="HC29" s="50" t="str">
        <f t="shared" si="47"/>
        <v/>
      </c>
      <c r="HD29" s="50" t="str">
        <f t="shared" si="47"/>
        <v/>
      </c>
      <c r="HE29" s="50" t="str">
        <f t="shared" si="47"/>
        <v/>
      </c>
      <c r="HF29" s="50" t="str">
        <f t="shared" si="47"/>
        <v/>
      </c>
      <c r="HG29" s="50" t="str">
        <f t="shared" si="47"/>
        <v/>
      </c>
      <c r="HH29" s="50" t="str">
        <f t="shared" si="47"/>
        <v/>
      </c>
      <c r="HI29" s="50" t="str">
        <f t="shared" si="48"/>
        <v/>
      </c>
      <c r="HJ29" s="50" t="str">
        <f t="shared" si="48"/>
        <v/>
      </c>
      <c r="HK29" s="50" t="str">
        <f t="shared" si="48"/>
        <v/>
      </c>
      <c r="HL29" s="50" t="str">
        <f t="shared" si="48"/>
        <v/>
      </c>
      <c r="HM29" s="50" t="str">
        <f t="shared" si="48"/>
        <v/>
      </c>
      <c r="HN29" s="50" t="str">
        <f t="shared" si="48"/>
        <v/>
      </c>
      <c r="HO29" s="50" t="str">
        <f t="shared" si="48"/>
        <v/>
      </c>
      <c r="HP29" s="50" t="str">
        <f t="shared" si="48"/>
        <v/>
      </c>
      <c r="HQ29" s="50" t="str">
        <f t="shared" si="48"/>
        <v/>
      </c>
      <c r="HR29" s="112" t="str">
        <f t="shared" si="48"/>
        <v/>
      </c>
    </row>
    <row r="30" spans="1:226" ht="11.1" customHeight="1" x14ac:dyDescent="0.25">
      <c r="A30" s="26" t="s">
        <v>30</v>
      </c>
      <c r="B30" s="27">
        <v>60</v>
      </c>
      <c r="C30" s="28" t="str">
        <f>IF(A30=0,"",VLOOKUP(A30,[2]CO!$A$3:$F$5327,2,0))</f>
        <v>Destajos y nominas</v>
      </c>
      <c r="D30" s="29"/>
      <c r="E30" s="29"/>
      <c r="F30" s="29"/>
      <c r="G30" s="30" t="str">
        <f>IF(A30=0,"",VLOOKUP(A30,[2]CO!$A$3:$F$5327,3,0))</f>
        <v>LOTE</v>
      </c>
      <c r="H30" s="126">
        <v>0.04</v>
      </c>
      <c r="I30" s="31"/>
      <c r="J30" s="31"/>
      <c r="K30" s="31"/>
      <c r="L30" s="31">
        <v>1</v>
      </c>
      <c r="M30" s="32">
        <f t="shared" si="38"/>
        <v>3.0662399999999996</v>
      </c>
      <c r="N30" s="32">
        <f>IF(B30=0,"",IF(H30="M",HLOOKUP(B30,$Y$12:$DT$13,2),IF(A30=0,"",VLOOKUP(A30,[2]CO!$A$3:$F$5327,4,0))))</f>
        <v>100</v>
      </c>
      <c r="O30" s="32">
        <f t="shared" si="7"/>
        <v>306.62399999999997</v>
      </c>
      <c r="P30" s="33">
        <v>60</v>
      </c>
      <c r="Q30" s="34">
        <f t="shared" si="39"/>
        <v>306.62399999999997</v>
      </c>
      <c r="R30" s="35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RESIDENTE",G30="TOPOGRAFIA"),VLOOKUP(B30,P$14:Q$59,2),"")*S30)</f>
        <v/>
      </c>
      <c r="T30" s="53">
        <f>IF(A30=0,"",VLOOKUP(A30,[2]CO!$A$3:$F$5318,5,0))</f>
        <v>0</v>
      </c>
      <c r="U30" s="54">
        <f t="shared" si="40"/>
        <v>0</v>
      </c>
      <c r="V30" s="24"/>
      <c r="W30" s="25"/>
      <c r="X30" s="25"/>
      <c r="Y30" s="64" t="str">
        <f t="shared" si="41"/>
        <v/>
      </c>
      <c r="Z30" s="55" t="str">
        <f t="shared" si="41"/>
        <v/>
      </c>
      <c r="AA30" s="55" t="str">
        <f t="shared" si="41"/>
        <v/>
      </c>
      <c r="AB30" s="55" t="str">
        <f t="shared" si="41"/>
        <v/>
      </c>
      <c r="AC30" s="55" t="str">
        <f t="shared" si="41"/>
        <v/>
      </c>
      <c r="AD30" s="55" t="str">
        <f t="shared" si="41"/>
        <v/>
      </c>
      <c r="AE30" s="55" t="str">
        <f t="shared" si="41"/>
        <v/>
      </c>
      <c r="AF30" s="55" t="str">
        <f t="shared" si="41"/>
        <v/>
      </c>
      <c r="AG30" s="55" t="str">
        <f t="shared" si="41"/>
        <v/>
      </c>
      <c r="AH30" s="55" t="str">
        <f t="shared" si="41"/>
        <v/>
      </c>
      <c r="AI30" s="55" t="str">
        <f t="shared" si="41"/>
        <v/>
      </c>
      <c r="AJ30" s="55" t="str">
        <f t="shared" si="41"/>
        <v/>
      </c>
      <c r="AK30" s="55" t="str">
        <f t="shared" si="41"/>
        <v/>
      </c>
      <c r="AL30" s="55" t="str">
        <f t="shared" si="41"/>
        <v/>
      </c>
      <c r="AM30" s="55" t="str">
        <f t="shared" si="41"/>
        <v/>
      </c>
      <c r="AN30" s="55" t="str">
        <f t="shared" si="41"/>
        <v/>
      </c>
      <c r="AO30" s="55" t="str">
        <f t="shared" si="42"/>
        <v/>
      </c>
      <c r="AP30" s="55" t="str">
        <f t="shared" si="42"/>
        <v/>
      </c>
      <c r="AQ30" s="55" t="str">
        <f t="shared" si="42"/>
        <v/>
      </c>
      <c r="AR30" s="55" t="str">
        <f t="shared" si="42"/>
        <v/>
      </c>
      <c r="AS30" s="55" t="str">
        <f t="shared" si="42"/>
        <v/>
      </c>
      <c r="AT30" s="55" t="str">
        <f t="shared" si="42"/>
        <v/>
      </c>
      <c r="AU30" s="55" t="str">
        <f t="shared" si="42"/>
        <v/>
      </c>
      <c r="AV30" s="55" t="str">
        <f t="shared" si="42"/>
        <v/>
      </c>
      <c r="AW30" s="55" t="str">
        <f t="shared" si="42"/>
        <v/>
      </c>
      <c r="AX30" s="55" t="str">
        <f t="shared" si="42"/>
        <v/>
      </c>
      <c r="AY30" s="55" t="str">
        <f t="shared" si="42"/>
        <v/>
      </c>
      <c r="AZ30" s="55" t="str">
        <f t="shared" si="42"/>
        <v/>
      </c>
      <c r="BA30" s="55" t="str">
        <f t="shared" si="42"/>
        <v/>
      </c>
      <c r="BB30" s="55" t="str">
        <f t="shared" si="42"/>
        <v/>
      </c>
      <c r="BC30" s="55" t="str">
        <f t="shared" si="42"/>
        <v/>
      </c>
      <c r="BD30" s="55" t="str">
        <f t="shared" si="42"/>
        <v/>
      </c>
      <c r="BE30" s="55" t="str">
        <f t="shared" si="42"/>
        <v/>
      </c>
      <c r="BF30" s="55" t="str">
        <f t="shared" si="42"/>
        <v/>
      </c>
      <c r="BG30" s="55" t="str">
        <f t="shared" si="42"/>
        <v/>
      </c>
      <c r="BH30" s="55" t="str">
        <f t="shared" si="42"/>
        <v/>
      </c>
      <c r="BI30" s="55" t="str">
        <f t="shared" si="42"/>
        <v/>
      </c>
      <c r="BJ30" s="55" t="str">
        <f t="shared" si="42"/>
        <v/>
      </c>
      <c r="BK30" s="55" t="str">
        <f t="shared" si="42"/>
        <v/>
      </c>
      <c r="BL30" s="55" t="str">
        <f t="shared" si="42"/>
        <v/>
      </c>
      <c r="BM30" s="55" t="str">
        <f t="shared" si="42"/>
        <v/>
      </c>
      <c r="BN30" s="55" t="str">
        <f t="shared" si="42"/>
        <v/>
      </c>
      <c r="BO30" s="55" t="str">
        <f t="shared" si="42"/>
        <v/>
      </c>
      <c r="BP30" s="55" t="str">
        <f t="shared" si="42"/>
        <v/>
      </c>
      <c r="BQ30" s="55" t="str">
        <f t="shared" si="42"/>
        <v/>
      </c>
      <c r="BR30" s="55" t="str">
        <f t="shared" si="42"/>
        <v/>
      </c>
      <c r="BS30" s="55" t="str">
        <f t="shared" si="42"/>
        <v/>
      </c>
      <c r="BT30" s="55" t="str">
        <f t="shared" si="42"/>
        <v/>
      </c>
      <c r="BU30" s="55" t="str">
        <f t="shared" si="42"/>
        <v/>
      </c>
      <c r="BV30" s="55" t="str">
        <f t="shared" si="42"/>
        <v/>
      </c>
      <c r="BW30" s="55" t="str">
        <f t="shared" si="42"/>
        <v/>
      </c>
      <c r="BX30" s="55" t="str">
        <f t="shared" si="42"/>
        <v/>
      </c>
      <c r="BY30" s="55" t="str">
        <f t="shared" si="42"/>
        <v/>
      </c>
      <c r="BZ30" s="55" t="str">
        <f t="shared" si="42"/>
        <v/>
      </c>
      <c r="CA30" s="55" t="str">
        <f t="shared" si="42"/>
        <v/>
      </c>
      <c r="CB30" s="55" t="str">
        <f t="shared" si="42"/>
        <v/>
      </c>
      <c r="CC30" s="55" t="str">
        <f t="shared" si="42"/>
        <v/>
      </c>
      <c r="CD30" s="55" t="str">
        <f t="shared" si="42"/>
        <v/>
      </c>
      <c r="CE30" s="55" t="str">
        <f t="shared" si="42"/>
        <v/>
      </c>
      <c r="CF30" s="55">
        <f t="shared" si="42"/>
        <v>0</v>
      </c>
      <c r="CG30" s="55" t="str">
        <f t="shared" si="42"/>
        <v/>
      </c>
      <c r="CH30" s="55" t="str">
        <f t="shared" si="42"/>
        <v/>
      </c>
      <c r="CI30" s="55" t="str">
        <f t="shared" si="42"/>
        <v/>
      </c>
      <c r="CJ30" s="55" t="str">
        <f t="shared" si="42"/>
        <v/>
      </c>
      <c r="CK30" s="55" t="str">
        <f t="shared" si="42"/>
        <v/>
      </c>
      <c r="CL30" s="55" t="str">
        <f t="shared" si="42"/>
        <v/>
      </c>
      <c r="CM30" s="55" t="str">
        <f t="shared" si="42"/>
        <v/>
      </c>
      <c r="CN30" s="55" t="str">
        <f t="shared" si="42"/>
        <v/>
      </c>
      <c r="CO30" s="55" t="str">
        <f t="shared" si="42"/>
        <v/>
      </c>
      <c r="CP30" s="55" t="str">
        <f t="shared" si="42"/>
        <v/>
      </c>
      <c r="CQ30" s="55" t="str">
        <f t="shared" si="42"/>
        <v/>
      </c>
      <c r="CR30" s="55" t="str">
        <f t="shared" si="42"/>
        <v/>
      </c>
      <c r="CS30" s="55" t="str">
        <f t="shared" si="42"/>
        <v/>
      </c>
      <c r="CT30" s="55" t="str">
        <f t="shared" si="42"/>
        <v/>
      </c>
      <c r="CU30" s="55" t="str">
        <f t="shared" si="42"/>
        <v/>
      </c>
      <c r="CV30" s="55" t="str">
        <f t="shared" si="42"/>
        <v/>
      </c>
      <c r="CW30" s="55" t="str">
        <f t="shared" si="42"/>
        <v/>
      </c>
      <c r="CX30" s="55" t="str">
        <f t="shared" si="42"/>
        <v/>
      </c>
      <c r="CY30" s="55" t="str">
        <f t="shared" si="42"/>
        <v/>
      </c>
      <c r="CZ30" s="55" t="str">
        <f t="shared" si="42"/>
        <v/>
      </c>
      <c r="DA30" s="55" t="str">
        <f t="shared" si="43"/>
        <v/>
      </c>
      <c r="DB30" s="55" t="str">
        <f t="shared" si="43"/>
        <v/>
      </c>
      <c r="DC30" s="55" t="str">
        <f t="shared" si="43"/>
        <v/>
      </c>
      <c r="DD30" s="55" t="str">
        <f t="shared" si="43"/>
        <v/>
      </c>
      <c r="DE30" s="55" t="str">
        <f t="shared" si="43"/>
        <v/>
      </c>
      <c r="DF30" s="55" t="str">
        <f t="shared" si="43"/>
        <v/>
      </c>
      <c r="DG30" s="55" t="str">
        <f t="shared" si="43"/>
        <v/>
      </c>
      <c r="DH30" s="55" t="str">
        <f t="shared" si="43"/>
        <v/>
      </c>
      <c r="DI30" s="55" t="str">
        <f t="shared" si="43"/>
        <v/>
      </c>
      <c r="DJ30" s="55" t="str">
        <f t="shared" si="43"/>
        <v/>
      </c>
      <c r="DK30" s="55" t="str">
        <f t="shared" si="43"/>
        <v/>
      </c>
      <c r="DL30" s="55" t="str">
        <f t="shared" si="43"/>
        <v/>
      </c>
      <c r="DM30" s="55" t="str">
        <f t="shared" si="43"/>
        <v/>
      </c>
      <c r="DN30" s="55" t="str">
        <f t="shared" si="43"/>
        <v/>
      </c>
      <c r="DO30" s="55" t="str">
        <f t="shared" si="43"/>
        <v/>
      </c>
      <c r="DP30" s="55" t="str">
        <f t="shared" si="43"/>
        <v/>
      </c>
      <c r="DQ30" s="55" t="str">
        <f t="shared" si="44"/>
        <v/>
      </c>
      <c r="DR30" s="55" t="str">
        <f t="shared" si="44"/>
        <v/>
      </c>
      <c r="DS30" s="55" t="str">
        <f t="shared" si="44"/>
        <v/>
      </c>
      <c r="DT30" s="106" t="str">
        <f t="shared" si="44"/>
        <v/>
      </c>
      <c r="DU30" s="54"/>
      <c r="DV30" s="25"/>
      <c r="DW30" s="61" t="str">
        <f t="shared" si="45"/>
        <v/>
      </c>
      <c r="DX30" s="50" t="str">
        <f t="shared" si="45"/>
        <v/>
      </c>
      <c r="DY30" s="50" t="str">
        <f t="shared" si="45"/>
        <v/>
      </c>
      <c r="DZ30" s="50" t="str">
        <f t="shared" si="45"/>
        <v/>
      </c>
      <c r="EA30" s="50" t="str">
        <f t="shared" si="45"/>
        <v/>
      </c>
      <c r="EB30" s="50" t="str">
        <f t="shared" si="45"/>
        <v/>
      </c>
      <c r="EC30" s="50" t="str">
        <f t="shared" si="45"/>
        <v/>
      </c>
      <c r="ED30" s="50" t="str">
        <f t="shared" si="45"/>
        <v/>
      </c>
      <c r="EE30" s="50" t="str">
        <f t="shared" si="45"/>
        <v/>
      </c>
      <c r="EF30" s="50" t="str">
        <f t="shared" si="45"/>
        <v/>
      </c>
      <c r="EG30" s="50" t="str">
        <f t="shared" si="45"/>
        <v/>
      </c>
      <c r="EH30" s="50" t="str">
        <f t="shared" si="45"/>
        <v/>
      </c>
      <c r="EI30" s="50" t="str">
        <f t="shared" si="45"/>
        <v/>
      </c>
      <c r="EJ30" s="50" t="str">
        <f t="shared" si="45"/>
        <v/>
      </c>
      <c r="EK30" s="50" t="str">
        <f t="shared" si="45"/>
        <v/>
      </c>
      <c r="EL30" s="50" t="str">
        <f t="shared" si="45"/>
        <v/>
      </c>
      <c r="EM30" s="50" t="str">
        <f t="shared" si="46"/>
        <v/>
      </c>
      <c r="EN30" s="50" t="str">
        <f t="shared" si="46"/>
        <v/>
      </c>
      <c r="EO30" s="50" t="str">
        <f t="shared" si="46"/>
        <v/>
      </c>
      <c r="EP30" s="50" t="str">
        <f t="shared" si="46"/>
        <v/>
      </c>
      <c r="EQ30" s="50" t="str">
        <f t="shared" si="46"/>
        <v/>
      </c>
      <c r="ER30" s="50" t="str">
        <f t="shared" si="46"/>
        <v/>
      </c>
      <c r="ES30" s="50" t="str">
        <f t="shared" si="46"/>
        <v/>
      </c>
      <c r="ET30" s="50" t="str">
        <f t="shared" si="46"/>
        <v/>
      </c>
      <c r="EU30" s="50" t="str">
        <f t="shared" si="46"/>
        <v/>
      </c>
      <c r="EV30" s="50" t="str">
        <f t="shared" si="46"/>
        <v/>
      </c>
      <c r="EW30" s="50" t="str">
        <f t="shared" si="46"/>
        <v/>
      </c>
      <c r="EX30" s="50" t="str">
        <f t="shared" si="46"/>
        <v/>
      </c>
      <c r="EY30" s="50" t="str">
        <f t="shared" si="46"/>
        <v/>
      </c>
      <c r="EZ30" s="50" t="str">
        <f t="shared" si="46"/>
        <v/>
      </c>
      <c r="FA30" s="50" t="str">
        <f t="shared" si="46"/>
        <v/>
      </c>
      <c r="FB30" s="50" t="str">
        <f t="shared" si="46"/>
        <v/>
      </c>
      <c r="FC30" s="50" t="str">
        <f t="shared" si="46"/>
        <v/>
      </c>
      <c r="FD30" s="50" t="str">
        <f t="shared" si="46"/>
        <v/>
      </c>
      <c r="FE30" s="50" t="str">
        <f t="shared" si="46"/>
        <v/>
      </c>
      <c r="FF30" s="50" t="str">
        <f t="shared" si="46"/>
        <v/>
      </c>
      <c r="FG30" s="50" t="str">
        <f t="shared" si="46"/>
        <v/>
      </c>
      <c r="FH30" s="50" t="str">
        <f t="shared" si="46"/>
        <v/>
      </c>
      <c r="FI30" s="50" t="str">
        <f t="shared" si="46"/>
        <v/>
      </c>
      <c r="FJ30" s="50" t="str">
        <f t="shared" si="46"/>
        <v/>
      </c>
      <c r="FK30" s="50" t="str">
        <f t="shared" si="46"/>
        <v/>
      </c>
      <c r="FL30" s="50" t="str">
        <f t="shared" si="46"/>
        <v/>
      </c>
      <c r="FM30" s="50" t="str">
        <f t="shared" si="46"/>
        <v/>
      </c>
      <c r="FN30" s="50" t="str">
        <f t="shared" si="46"/>
        <v/>
      </c>
      <c r="FO30" s="50" t="str">
        <f t="shared" si="46"/>
        <v/>
      </c>
      <c r="FP30" s="50" t="str">
        <f t="shared" si="46"/>
        <v/>
      </c>
      <c r="FQ30" s="50" t="str">
        <f t="shared" si="46"/>
        <v/>
      </c>
      <c r="FR30" s="50" t="str">
        <f t="shared" si="46"/>
        <v/>
      </c>
      <c r="FS30" s="50" t="str">
        <f t="shared" si="46"/>
        <v/>
      </c>
      <c r="FT30" s="50" t="str">
        <f t="shared" si="46"/>
        <v/>
      </c>
      <c r="FU30" s="50" t="str">
        <f t="shared" si="46"/>
        <v/>
      </c>
      <c r="FV30" s="50" t="str">
        <f t="shared" si="46"/>
        <v/>
      </c>
      <c r="FW30" s="50" t="str">
        <f t="shared" si="46"/>
        <v/>
      </c>
      <c r="FX30" s="50" t="str">
        <f t="shared" si="46"/>
        <v/>
      </c>
      <c r="FY30" s="50" t="str">
        <f t="shared" si="46"/>
        <v/>
      </c>
      <c r="FZ30" s="50" t="str">
        <f t="shared" si="46"/>
        <v/>
      </c>
      <c r="GA30" s="50" t="str">
        <f t="shared" si="46"/>
        <v/>
      </c>
      <c r="GB30" s="50" t="str">
        <f t="shared" si="46"/>
        <v/>
      </c>
      <c r="GC30" s="50" t="str">
        <f t="shared" si="46"/>
        <v/>
      </c>
      <c r="GD30" s="50">
        <f t="shared" si="46"/>
        <v>306.62399999999997</v>
      </c>
      <c r="GE30" s="50" t="str">
        <f t="shared" si="46"/>
        <v/>
      </c>
      <c r="GF30" s="50" t="str">
        <f t="shared" si="46"/>
        <v/>
      </c>
      <c r="GG30" s="50" t="str">
        <f t="shared" si="46"/>
        <v/>
      </c>
      <c r="GH30" s="50" t="str">
        <f t="shared" si="46"/>
        <v/>
      </c>
      <c r="GI30" s="50" t="str">
        <f t="shared" si="46"/>
        <v/>
      </c>
      <c r="GJ30" s="50" t="str">
        <f t="shared" si="46"/>
        <v/>
      </c>
      <c r="GK30" s="50" t="str">
        <f t="shared" si="46"/>
        <v/>
      </c>
      <c r="GL30" s="50" t="str">
        <f t="shared" si="46"/>
        <v/>
      </c>
      <c r="GM30" s="50" t="str">
        <f t="shared" si="46"/>
        <v/>
      </c>
      <c r="GN30" s="50" t="str">
        <f t="shared" si="46"/>
        <v/>
      </c>
      <c r="GO30" s="50" t="str">
        <f t="shared" si="46"/>
        <v/>
      </c>
      <c r="GP30" s="50" t="str">
        <f t="shared" si="46"/>
        <v/>
      </c>
      <c r="GQ30" s="50" t="str">
        <f t="shared" si="46"/>
        <v/>
      </c>
      <c r="GR30" s="50" t="str">
        <f t="shared" si="46"/>
        <v/>
      </c>
      <c r="GS30" s="50" t="str">
        <f t="shared" si="46"/>
        <v/>
      </c>
      <c r="GT30" s="50" t="str">
        <f t="shared" si="46"/>
        <v/>
      </c>
      <c r="GU30" s="50" t="str">
        <f t="shared" si="46"/>
        <v/>
      </c>
      <c r="GV30" s="50" t="str">
        <f t="shared" si="46"/>
        <v/>
      </c>
      <c r="GW30" s="50" t="str">
        <f t="shared" si="46"/>
        <v/>
      </c>
      <c r="GX30" s="50" t="str">
        <f t="shared" si="46"/>
        <v/>
      </c>
      <c r="GY30" s="50" t="str">
        <f t="shared" si="47"/>
        <v/>
      </c>
      <c r="GZ30" s="50" t="str">
        <f t="shared" si="47"/>
        <v/>
      </c>
      <c r="HA30" s="50" t="str">
        <f t="shared" si="47"/>
        <v/>
      </c>
      <c r="HB30" s="50" t="str">
        <f t="shared" si="47"/>
        <v/>
      </c>
      <c r="HC30" s="50" t="str">
        <f t="shared" si="47"/>
        <v/>
      </c>
      <c r="HD30" s="50" t="str">
        <f t="shared" si="47"/>
        <v/>
      </c>
      <c r="HE30" s="50" t="str">
        <f t="shared" si="47"/>
        <v/>
      </c>
      <c r="HF30" s="50" t="str">
        <f t="shared" si="47"/>
        <v/>
      </c>
      <c r="HG30" s="50" t="str">
        <f t="shared" si="47"/>
        <v/>
      </c>
      <c r="HH30" s="50" t="str">
        <f t="shared" si="47"/>
        <v/>
      </c>
      <c r="HI30" s="50" t="str">
        <f t="shared" si="48"/>
        <v/>
      </c>
      <c r="HJ30" s="50" t="str">
        <f t="shared" si="48"/>
        <v/>
      </c>
      <c r="HK30" s="50" t="str">
        <f t="shared" si="48"/>
        <v/>
      </c>
      <c r="HL30" s="50" t="str">
        <f t="shared" si="48"/>
        <v/>
      </c>
      <c r="HM30" s="50" t="str">
        <f t="shared" si="48"/>
        <v/>
      </c>
      <c r="HN30" s="50" t="str">
        <f t="shared" si="48"/>
        <v/>
      </c>
      <c r="HO30" s="50" t="str">
        <f t="shared" si="48"/>
        <v/>
      </c>
      <c r="HP30" s="50" t="str">
        <f t="shared" si="48"/>
        <v/>
      </c>
      <c r="HQ30" s="50" t="str">
        <f t="shared" si="48"/>
        <v/>
      </c>
      <c r="HR30" s="112" t="str">
        <f t="shared" si="48"/>
        <v/>
      </c>
    </row>
    <row r="31" spans="1:226" ht="11.1" customHeight="1" x14ac:dyDescent="0.25">
      <c r="A31" s="26"/>
      <c r="B31" s="27"/>
      <c r="C31" s="28" t="str">
        <f>IF(A31=0,"",VLOOKUP(A31,[2]CO!$A$3:$F$5327,2,0))</f>
        <v/>
      </c>
      <c r="D31" s="29"/>
      <c r="E31" s="29"/>
      <c r="F31" s="29"/>
      <c r="G31" s="30" t="str">
        <f>IF(A31=0,"",VLOOKUP(A31,[2]CO!$A$3:$F$5327,3,0))</f>
        <v/>
      </c>
      <c r="H31" s="95"/>
      <c r="I31" s="31"/>
      <c r="J31" s="31"/>
      <c r="K31" s="31"/>
      <c r="L31" s="31"/>
      <c r="M31" s="32" t="str">
        <f t="shared" si="38"/>
        <v/>
      </c>
      <c r="N31" s="32" t="str">
        <f>IF(B31=0,"",IF(H31="M",HLOOKUP(B31,$Y$12:$DT$13,2),IF(A31=0,"",VLOOKUP(A31,[2]CO!$A$3:$F$5327,4,0))))</f>
        <v/>
      </c>
      <c r="O31" s="32" t="str">
        <f t="shared" si="7"/>
        <v/>
      </c>
      <c r="P31" s="33"/>
      <c r="Q31" s="34" t="str">
        <f t="shared" si="39"/>
        <v/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RESIDENTE",G31="TOPOGRAFIA"),VLOOKUP(B31,P$14:Q$59,2),"")*S31)</f>
        <v/>
      </c>
      <c r="T31" s="53" t="str">
        <f>IF(A31=0,"",VLOOKUP(A31,[2]CO!$A$3:$F$5318,5,0))</f>
        <v/>
      </c>
      <c r="U31" s="54">
        <f t="shared" si="40"/>
        <v>0</v>
      </c>
      <c r="V31" s="24"/>
      <c r="W31" s="25"/>
      <c r="X31" s="25"/>
      <c r="Y31" s="64" t="str">
        <f t="shared" si="41"/>
        <v/>
      </c>
      <c r="Z31" s="55" t="str">
        <f t="shared" si="41"/>
        <v/>
      </c>
      <c r="AA31" s="55" t="str">
        <f t="shared" si="41"/>
        <v/>
      </c>
      <c r="AB31" s="55" t="str">
        <f t="shared" si="41"/>
        <v/>
      </c>
      <c r="AC31" s="55" t="str">
        <f t="shared" si="41"/>
        <v/>
      </c>
      <c r="AD31" s="55" t="str">
        <f t="shared" si="41"/>
        <v/>
      </c>
      <c r="AE31" s="55" t="str">
        <f t="shared" si="41"/>
        <v/>
      </c>
      <c r="AF31" s="55" t="str">
        <f t="shared" si="41"/>
        <v/>
      </c>
      <c r="AG31" s="55" t="str">
        <f t="shared" si="41"/>
        <v/>
      </c>
      <c r="AH31" s="55" t="str">
        <f t="shared" si="41"/>
        <v/>
      </c>
      <c r="AI31" s="55" t="str">
        <f t="shared" si="41"/>
        <v/>
      </c>
      <c r="AJ31" s="55" t="str">
        <f t="shared" si="41"/>
        <v/>
      </c>
      <c r="AK31" s="55" t="str">
        <f t="shared" si="41"/>
        <v/>
      </c>
      <c r="AL31" s="55" t="str">
        <f t="shared" si="41"/>
        <v/>
      </c>
      <c r="AM31" s="55" t="str">
        <f t="shared" si="41"/>
        <v/>
      </c>
      <c r="AN31" s="55" t="str">
        <f t="shared" si="41"/>
        <v/>
      </c>
      <c r="AO31" s="55" t="str">
        <f t="shared" si="42"/>
        <v/>
      </c>
      <c r="AP31" s="55" t="str">
        <f t="shared" si="42"/>
        <v/>
      </c>
      <c r="AQ31" s="55" t="str">
        <f t="shared" si="42"/>
        <v/>
      </c>
      <c r="AR31" s="55" t="str">
        <f t="shared" si="42"/>
        <v/>
      </c>
      <c r="AS31" s="55" t="str">
        <f t="shared" si="42"/>
        <v/>
      </c>
      <c r="AT31" s="55" t="str">
        <f t="shared" si="42"/>
        <v/>
      </c>
      <c r="AU31" s="55" t="str">
        <f t="shared" si="42"/>
        <v/>
      </c>
      <c r="AV31" s="55" t="str">
        <f t="shared" si="42"/>
        <v/>
      </c>
      <c r="AW31" s="55" t="str">
        <f t="shared" si="42"/>
        <v/>
      </c>
      <c r="AX31" s="55" t="str">
        <f t="shared" si="42"/>
        <v/>
      </c>
      <c r="AY31" s="55" t="str">
        <f t="shared" si="42"/>
        <v/>
      </c>
      <c r="AZ31" s="55" t="str">
        <f t="shared" si="42"/>
        <v/>
      </c>
      <c r="BA31" s="55" t="str">
        <f t="shared" si="42"/>
        <v/>
      </c>
      <c r="BB31" s="55" t="str">
        <f t="shared" si="42"/>
        <v/>
      </c>
      <c r="BC31" s="55" t="str">
        <f t="shared" si="42"/>
        <v/>
      </c>
      <c r="BD31" s="55" t="str">
        <f t="shared" si="42"/>
        <v/>
      </c>
      <c r="BE31" s="55" t="str">
        <f t="shared" si="42"/>
        <v/>
      </c>
      <c r="BF31" s="55" t="str">
        <f t="shared" si="42"/>
        <v/>
      </c>
      <c r="BG31" s="55" t="str">
        <f t="shared" si="42"/>
        <v/>
      </c>
      <c r="BH31" s="55" t="str">
        <f t="shared" si="42"/>
        <v/>
      </c>
      <c r="BI31" s="55" t="str">
        <f t="shared" si="42"/>
        <v/>
      </c>
      <c r="BJ31" s="55" t="str">
        <f t="shared" si="42"/>
        <v/>
      </c>
      <c r="BK31" s="55" t="str">
        <f t="shared" si="42"/>
        <v/>
      </c>
      <c r="BL31" s="55" t="str">
        <f t="shared" si="42"/>
        <v/>
      </c>
      <c r="BM31" s="55" t="str">
        <f t="shared" si="42"/>
        <v/>
      </c>
      <c r="BN31" s="55" t="str">
        <f t="shared" si="42"/>
        <v/>
      </c>
      <c r="BO31" s="55" t="str">
        <f t="shared" si="42"/>
        <v/>
      </c>
      <c r="BP31" s="55" t="str">
        <f t="shared" si="42"/>
        <v/>
      </c>
      <c r="BQ31" s="55" t="str">
        <f t="shared" si="42"/>
        <v/>
      </c>
      <c r="BR31" s="55" t="str">
        <f t="shared" si="42"/>
        <v/>
      </c>
      <c r="BS31" s="55" t="str">
        <f t="shared" si="42"/>
        <v/>
      </c>
      <c r="BT31" s="55" t="str">
        <f t="shared" si="42"/>
        <v/>
      </c>
      <c r="BU31" s="55" t="str">
        <f t="shared" si="42"/>
        <v/>
      </c>
      <c r="BV31" s="55" t="str">
        <f t="shared" si="42"/>
        <v/>
      </c>
      <c r="BW31" s="55" t="str">
        <f t="shared" si="42"/>
        <v/>
      </c>
      <c r="BX31" s="55" t="str">
        <f t="shared" si="42"/>
        <v/>
      </c>
      <c r="BY31" s="55" t="str">
        <f t="shared" si="42"/>
        <v/>
      </c>
      <c r="BZ31" s="55" t="str">
        <f t="shared" si="42"/>
        <v/>
      </c>
      <c r="CA31" s="55" t="str">
        <f t="shared" si="42"/>
        <v/>
      </c>
      <c r="CB31" s="55" t="str">
        <f t="shared" si="42"/>
        <v/>
      </c>
      <c r="CC31" s="55" t="str">
        <f t="shared" si="42"/>
        <v/>
      </c>
      <c r="CD31" s="55" t="str">
        <f t="shared" si="42"/>
        <v/>
      </c>
      <c r="CE31" s="55" t="str">
        <f t="shared" si="42"/>
        <v/>
      </c>
      <c r="CF31" s="55" t="str">
        <f t="shared" si="42"/>
        <v/>
      </c>
      <c r="CG31" s="55" t="str">
        <f t="shared" si="42"/>
        <v/>
      </c>
      <c r="CH31" s="55" t="str">
        <f t="shared" si="42"/>
        <v/>
      </c>
      <c r="CI31" s="55" t="str">
        <f t="shared" si="42"/>
        <v/>
      </c>
      <c r="CJ31" s="55" t="str">
        <f t="shared" si="42"/>
        <v/>
      </c>
      <c r="CK31" s="55" t="str">
        <f t="shared" si="42"/>
        <v/>
      </c>
      <c r="CL31" s="55" t="str">
        <f t="shared" si="42"/>
        <v/>
      </c>
      <c r="CM31" s="55" t="str">
        <f t="shared" si="42"/>
        <v/>
      </c>
      <c r="CN31" s="55" t="str">
        <f t="shared" si="42"/>
        <v/>
      </c>
      <c r="CO31" s="55" t="str">
        <f t="shared" si="42"/>
        <v/>
      </c>
      <c r="CP31" s="55" t="str">
        <f t="shared" si="42"/>
        <v/>
      </c>
      <c r="CQ31" s="55" t="str">
        <f t="shared" si="42"/>
        <v/>
      </c>
      <c r="CR31" s="55" t="str">
        <f t="shared" si="42"/>
        <v/>
      </c>
      <c r="CS31" s="55" t="str">
        <f t="shared" si="42"/>
        <v/>
      </c>
      <c r="CT31" s="55" t="str">
        <f t="shared" si="42"/>
        <v/>
      </c>
      <c r="CU31" s="55" t="str">
        <f t="shared" si="42"/>
        <v/>
      </c>
      <c r="CV31" s="55" t="str">
        <f t="shared" si="42"/>
        <v/>
      </c>
      <c r="CW31" s="55" t="str">
        <f t="shared" si="42"/>
        <v/>
      </c>
      <c r="CX31" s="55" t="str">
        <f t="shared" si="42"/>
        <v/>
      </c>
      <c r="CY31" s="55" t="str">
        <f t="shared" si="42"/>
        <v/>
      </c>
      <c r="CZ31" s="55" t="str">
        <f t="shared" ref="CZ31:DJ40" si="49">IF($B31=CZ$12,$U31,"")</f>
        <v/>
      </c>
      <c r="DA31" s="55" t="str">
        <f t="shared" si="49"/>
        <v/>
      </c>
      <c r="DB31" s="55" t="str">
        <f t="shared" si="49"/>
        <v/>
      </c>
      <c r="DC31" s="55" t="str">
        <f t="shared" si="49"/>
        <v/>
      </c>
      <c r="DD31" s="55" t="str">
        <f t="shared" si="49"/>
        <v/>
      </c>
      <c r="DE31" s="55" t="str">
        <f t="shared" si="49"/>
        <v/>
      </c>
      <c r="DF31" s="55" t="str">
        <f t="shared" si="49"/>
        <v/>
      </c>
      <c r="DG31" s="55" t="str">
        <f t="shared" si="49"/>
        <v/>
      </c>
      <c r="DH31" s="55" t="str">
        <f t="shared" si="49"/>
        <v/>
      </c>
      <c r="DI31" s="55" t="str">
        <f t="shared" si="49"/>
        <v/>
      </c>
      <c r="DJ31" s="55" t="str">
        <f t="shared" si="49"/>
        <v/>
      </c>
      <c r="DK31" s="55" t="str">
        <f t="shared" si="43"/>
        <v/>
      </c>
      <c r="DL31" s="55" t="str">
        <f t="shared" si="43"/>
        <v/>
      </c>
      <c r="DM31" s="55" t="str">
        <f t="shared" si="43"/>
        <v/>
      </c>
      <c r="DN31" s="55" t="str">
        <f t="shared" si="43"/>
        <v/>
      </c>
      <c r="DO31" s="55" t="str">
        <f t="shared" si="43"/>
        <v/>
      </c>
      <c r="DP31" s="55" t="str">
        <f t="shared" si="43"/>
        <v/>
      </c>
      <c r="DQ31" s="55" t="str">
        <f t="shared" si="44"/>
        <v/>
      </c>
      <c r="DR31" s="55" t="str">
        <f t="shared" si="44"/>
        <v/>
      </c>
      <c r="DS31" s="55" t="str">
        <f t="shared" si="44"/>
        <v/>
      </c>
      <c r="DT31" s="106" t="str">
        <f t="shared" si="44"/>
        <v/>
      </c>
      <c r="DU31" s="54"/>
      <c r="DV31" s="25"/>
      <c r="DW31" s="61" t="str">
        <f t="shared" si="45"/>
        <v/>
      </c>
      <c r="DX31" s="50" t="str">
        <f t="shared" si="45"/>
        <v/>
      </c>
      <c r="DY31" s="50" t="str">
        <f t="shared" si="45"/>
        <v/>
      </c>
      <c r="DZ31" s="50" t="str">
        <f t="shared" si="45"/>
        <v/>
      </c>
      <c r="EA31" s="50" t="str">
        <f t="shared" si="45"/>
        <v/>
      </c>
      <c r="EB31" s="50" t="str">
        <f t="shared" si="45"/>
        <v/>
      </c>
      <c r="EC31" s="50" t="str">
        <f t="shared" si="45"/>
        <v/>
      </c>
      <c r="ED31" s="50" t="str">
        <f t="shared" si="45"/>
        <v/>
      </c>
      <c r="EE31" s="50" t="str">
        <f t="shared" si="45"/>
        <v/>
      </c>
      <c r="EF31" s="50" t="str">
        <f t="shared" si="45"/>
        <v/>
      </c>
      <c r="EG31" s="50" t="str">
        <f t="shared" si="45"/>
        <v/>
      </c>
      <c r="EH31" s="50" t="str">
        <f t="shared" si="45"/>
        <v/>
      </c>
      <c r="EI31" s="50" t="str">
        <f t="shared" si="45"/>
        <v/>
      </c>
      <c r="EJ31" s="50" t="str">
        <f t="shared" si="45"/>
        <v/>
      </c>
      <c r="EK31" s="50" t="str">
        <f t="shared" si="45"/>
        <v/>
      </c>
      <c r="EL31" s="50" t="str">
        <f t="shared" si="45"/>
        <v/>
      </c>
      <c r="EM31" s="50" t="str">
        <f t="shared" si="46"/>
        <v/>
      </c>
      <c r="EN31" s="50" t="str">
        <f t="shared" si="46"/>
        <v/>
      </c>
      <c r="EO31" s="50" t="str">
        <f t="shared" si="46"/>
        <v/>
      </c>
      <c r="EP31" s="50" t="str">
        <f t="shared" si="46"/>
        <v/>
      </c>
      <c r="EQ31" s="50" t="str">
        <f t="shared" si="46"/>
        <v/>
      </c>
      <c r="ER31" s="50" t="str">
        <f t="shared" si="46"/>
        <v/>
      </c>
      <c r="ES31" s="50" t="str">
        <f t="shared" si="46"/>
        <v/>
      </c>
      <c r="ET31" s="50" t="str">
        <f t="shared" si="46"/>
        <v/>
      </c>
      <c r="EU31" s="50" t="str">
        <f t="shared" si="46"/>
        <v/>
      </c>
      <c r="EV31" s="50" t="str">
        <f t="shared" si="46"/>
        <v/>
      </c>
      <c r="EW31" s="50" t="str">
        <f t="shared" si="46"/>
        <v/>
      </c>
      <c r="EX31" s="50" t="str">
        <f t="shared" si="46"/>
        <v/>
      </c>
      <c r="EY31" s="50" t="str">
        <f t="shared" si="46"/>
        <v/>
      </c>
      <c r="EZ31" s="50" t="str">
        <f t="shared" si="46"/>
        <v/>
      </c>
      <c r="FA31" s="50" t="str">
        <f t="shared" si="46"/>
        <v/>
      </c>
      <c r="FB31" s="50" t="str">
        <f t="shared" si="46"/>
        <v/>
      </c>
      <c r="FC31" s="50" t="str">
        <f t="shared" si="46"/>
        <v/>
      </c>
      <c r="FD31" s="50" t="str">
        <f t="shared" si="46"/>
        <v/>
      </c>
      <c r="FE31" s="50" t="str">
        <f t="shared" si="46"/>
        <v/>
      </c>
      <c r="FF31" s="50" t="str">
        <f t="shared" si="46"/>
        <v/>
      </c>
      <c r="FG31" s="50" t="str">
        <f t="shared" si="46"/>
        <v/>
      </c>
      <c r="FH31" s="50" t="str">
        <f t="shared" si="46"/>
        <v/>
      </c>
      <c r="FI31" s="50" t="str">
        <f t="shared" si="46"/>
        <v/>
      </c>
      <c r="FJ31" s="50" t="str">
        <f t="shared" si="46"/>
        <v/>
      </c>
      <c r="FK31" s="50" t="str">
        <f t="shared" si="46"/>
        <v/>
      </c>
      <c r="FL31" s="50" t="str">
        <f t="shared" si="46"/>
        <v/>
      </c>
      <c r="FM31" s="50" t="str">
        <f t="shared" si="46"/>
        <v/>
      </c>
      <c r="FN31" s="50" t="str">
        <f t="shared" si="46"/>
        <v/>
      </c>
      <c r="FO31" s="50" t="str">
        <f t="shared" si="46"/>
        <v/>
      </c>
      <c r="FP31" s="50" t="str">
        <f t="shared" si="46"/>
        <v/>
      </c>
      <c r="FQ31" s="50" t="str">
        <f t="shared" si="46"/>
        <v/>
      </c>
      <c r="FR31" s="50" t="str">
        <f t="shared" si="46"/>
        <v/>
      </c>
      <c r="FS31" s="50" t="str">
        <f t="shared" si="46"/>
        <v/>
      </c>
      <c r="FT31" s="50" t="str">
        <f t="shared" si="46"/>
        <v/>
      </c>
      <c r="FU31" s="50" t="str">
        <f t="shared" si="46"/>
        <v/>
      </c>
      <c r="FV31" s="50" t="str">
        <f t="shared" si="46"/>
        <v/>
      </c>
      <c r="FW31" s="50" t="str">
        <f t="shared" si="46"/>
        <v/>
      </c>
      <c r="FX31" s="50" t="str">
        <f t="shared" si="46"/>
        <v/>
      </c>
      <c r="FY31" s="50" t="str">
        <f t="shared" si="46"/>
        <v/>
      </c>
      <c r="FZ31" s="50" t="str">
        <f t="shared" si="46"/>
        <v/>
      </c>
      <c r="GA31" s="50" t="str">
        <f t="shared" si="46"/>
        <v/>
      </c>
      <c r="GB31" s="50" t="str">
        <f t="shared" si="46"/>
        <v/>
      </c>
      <c r="GC31" s="50" t="str">
        <f t="shared" si="46"/>
        <v/>
      </c>
      <c r="GD31" s="50" t="str">
        <f t="shared" si="46"/>
        <v/>
      </c>
      <c r="GE31" s="50" t="str">
        <f t="shared" si="46"/>
        <v/>
      </c>
      <c r="GF31" s="50" t="str">
        <f t="shared" si="46"/>
        <v/>
      </c>
      <c r="GG31" s="50" t="str">
        <f t="shared" si="46"/>
        <v/>
      </c>
      <c r="GH31" s="50" t="str">
        <f t="shared" si="46"/>
        <v/>
      </c>
      <c r="GI31" s="50" t="str">
        <f t="shared" si="46"/>
        <v/>
      </c>
      <c r="GJ31" s="50" t="str">
        <f t="shared" si="46"/>
        <v/>
      </c>
      <c r="GK31" s="50" t="str">
        <f t="shared" si="46"/>
        <v/>
      </c>
      <c r="GL31" s="50" t="str">
        <f t="shared" si="46"/>
        <v/>
      </c>
      <c r="GM31" s="50" t="str">
        <f t="shared" si="46"/>
        <v/>
      </c>
      <c r="GN31" s="50" t="str">
        <f t="shared" si="46"/>
        <v/>
      </c>
      <c r="GO31" s="50" t="str">
        <f t="shared" si="46"/>
        <v/>
      </c>
      <c r="GP31" s="50" t="str">
        <f t="shared" si="46"/>
        <v/>
      </c>
      <c r="GQ31" s="50" t="str">
        <f t="shared" si="46"/>
        <v/>
      </c>
      <c r="GR31" s="50" t="str">
        <f t="shared" si="46"/>
        <v/>
      </c>
      <c r="GS31" s="50" t="str">
        <f t="shared" si="46"/>
        <v/>
      </c>
      <c r="GT31" s="50" t="str">
        <f t="shared" si="46"/>
        <v/>
      </c>
      <c r="GU31" s="50" t="str">
        <f t="shared" si="46"/>
        <v/>
      </c>
      <c r="GV31" s="50" t="str">
        <f t="shared" si="46"/>
        <v/>
      </c>
      <c r="GW31" s="50" t="str">
        <f t="shared" si="46"/>
        <v/>
      </c>
      <c r="GX31" s="50" t="str">
        <f t="shared" ref="GX31:HM40" si="50">IF($B31=GX$12,$O31,"")</f>
        <v/>
      </c>
      <c r="GY31" s="50" t="str">
        <f t="shared" si="50"/>
        <v/>
      </c>
      <c r="GZ31" s="50" t="str">
        <f t="shared" si="50"/>
        <v/>
      </c>
      <c r="HA31" s="50" t="str">
        <f t="shared" si="50"/>
        <v/>
      </c>
      <c r="HB31" s="50" t="str">
        <f t="shared" si="50"/>
        <v/>
      </c>
      <c r="HC31" s="50" t="str">
        <f t="shared" si="50"/>
        <v/>
      </c>
      <c r="HD31" s="50" t="str">
        <f t="shared" si="50"/>
        <v/>
      </c>
      <c r="HE31" s="50" t="str">
        <f t="shared" si="50"/>
        <v/>
      </c>
      <c r="HF31" s="50" t="str">
        <f t="shared" si="50"/>
        <v/>
      </c>
      <c r="HG31" s="50" t="str">
        <f t="shared" si="50"/>
        <v/>
      </c>
      <c r="HH31" s="50" t="str">
        <f t="shared" si="50"/>
        <v/>
      </c>
      <c r="HI31" s="50" t="str">
        <f t="shared" si="50"/>
        <v/>
      </c>
      <c r="HJ31" s="50" t="str">
        <f t="shared" si="50"/>
        <v/>
      </c>
      <c r="HK31" s="50" t="str">
        <f t="shared" si="50"/>
        <v/>
      </c>
      <c r="HL31" s="50" t="str">
        <f t="shared" si="50"/>
        <v/>
      </c>
      <c r="HM31" s="50" t="str">
        <f t="shared" si="50"/>
        <v/>
      </c>
      <c r="HN31" s="50" t="str">
        <f t="shared" si="48"/>
        <v/>
      </c>
      <c r="HO31" s="50" t="str">
        <f t="shared" si="48"/>
        <v/>
      </c>
      <c r="HP31" s="50" t="str">
        <f t="shared" si="48"/>
        <v/>
      </c>
      <c r="HQ31" s="50" t="str">
        <f t="shared" si="48"/>
        <v/>
      </c>
      <c r="HR31" s="112" t="str">
        <f t="shared" si="48"/>
        <v/>
      </c>
    </row>
    <row r="32" spans="1:226" ht="11.1" customHeight="1" x14ac:dyDescent="0.25">
      <c r="A32" s="26">
        <v>119</v>
      </c>
      <c r="B32" s="27">
        <v>61</v>
      </c>
      <c r="C32" s="28" t="str">
        <f>IF(A32=0,"",VLOOKUP(A32,[2]CO!$A$3:$F$5327,2,0))</f>
        <v>SANDOVAL DE LA CRUZ RICARDO</v>
      </c>
      <c r="D32" s="29"/>
      <c r="E32" s="29"/>
      <c r="F32" s="29"/>
      <c r="G32" s="30" t="str">
        <f>IF(A32=0,"",VLOOKUP(A32,[2]CO!$A$3:$F$5327,3,0))</f>
        <v>RESID</v>
      </c>
      <c r="H32" s="95"/>
      <c r="I32" s="31"/>
      <c r="J32" s="31"/>
      <c r="K32" s="31"/>
      <c r="L32" s="31">
        <v>7</v>
      </c>
      <c r="M32" s="32">
        <f t="shared" si="38"/>
        <v>7</v>
      </c>
      <c r="N32" s="32">
        <f>IF(B32=0,"",IF(H32="M",HLOOKUP(B32,$Y$12:$DT$13,2),IF(A32=0,"",VLOOKUP(A32,[2]CO!$A$3:$F$5327,4,0))))</f>
        <v>2184.7199999999998</v>
      </c>
      <c r="O32" s="32">
        <f t="shared" si="7"/>
        <v>15293.039999999999</v>
      </c>
      <c r="P32" s="33"/>
      <c r="Q32" s="34" t="str">
        <f t="shared" si="39"/>
        <v/>
      </c>
      <c r="R32" s="35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RESIDENTE",G32="TOPOGRAFIA"),VLOOKUP(B32,P$14:Q$59,2),"")*S32)</f>
        <v>17477.759999999998</v>
      </c>
      <c r="S32" s="118">
        <v>1</v>
      </c>
      <c r="T32" s="53">
        <f>IF(A32=0,"",VLOOKUP(A32,[2]CO!$A$3:$F$5318,5,0))</f>
        <v>0</v>
      </c>
      <c r="U32" s="54">
        <f t="shared" si="40"/>
        <v>0</v>
      </c>
      <c r="V32" s="24"/>
      <c r="W32" s="25"/>
      <c r="X32" s="25"/>
      <c r="Y32" s="64" t="str">
        <f t="shared" si="41"/>
        <v/>
      </c>
      <c r="Z32" s="55" t="str">
        <f t="shared" si="41"/>
        <v/>
      </c>
      <c r="AA32" s="55" t="str">
        <f t="shared" si="41"/>
        <v/>
      </c>
      <c r="AB32" s="55" t="str">
        <f t="shared" si="41"/>
        <v/>
      </c>
      <c r="AC32" s="55" t="str">
        <f t="shared" si="41"/>
        <v/>
      </c>
      <c r="AD32" s="55" t="str">
        <f t="shared" si="41"/>
        <v/>
      </c>
      <c r="AE32" s="55" t="str">
        <f t="shared" si="41"/>
        <v/>
      </c>
      <c r="AF32" s="55" t="str">
        <f t="shared" si="41"/>
        <v/>
      </c>
      <c r="AG32" s="55" t="str">
        <f t="shared" si="41"/>
        <v/>
      </c>
      <c r="AH32" s="55" t="str">
        <f t="shared" si="41"/>
        <v/>
      </c>
      <c r="AI32" s="55" t="str">
        <f t="shared" si="41"/>
        <v/>
      </c>
      <c r="AJ32" s="55" t="str">
        <f t="shared" si="41"/>
        <v/>
      </c>
      <c r="AK32" s="55" t="str">
        <f t="shared" si="41"/>
        <v/>
      </c>
      <c r="AL32" s="55" t="str">
        <f t="shared" si="41"/>
        <v/>
      </c>
      <c r="AM32" s="55" t="str">
        <f t="shared" si="41"/>
        <v/>
      </c>
      <c r="AN32" s="55" t="str">
        <f t="shared" si="41"/>
        <v/>
      </c>
      <c r="AO32" s="55" t="str">
        <f t="shared" ref="AO32:BD40" si="51">IF($B32=AO$12,$U32,"")</f>
        <v/>
      </c>
      <c r="AP32" s="55" t="str">
        <f t="shared" si="51"/>
        <v/>
      </c>
      <c r="AQ32" s="55" t="str">
        <f t="shared" si="51"/>
        <v/>
      </c>
      <c r="AR32" s="55" t="str">
        <f t="shared" si="51"/>
        <v/>
      </c>
      <c r="AS32" s="55" t="str">
        <f t="shared" si="51"/>
        <v/>
      </c>
      <c r="AT32" s="55" t="str">
        <f t="shared" si="51"/>
        <v/>
      </c>
      <c r="AU32" s="55" t="str">
        <f t="shared" si="51"/>
        <v/>
      </c>
      <c r="AV32" s="55" t="str">
        <f t="shared" si="51"/>
        <v/>
      </c>
      <c r="AW32" s="55" t="str">
        <f t="shared" si="51"/>
        <v/>
      </c>
      <c r="AX32" s="55" t="str">
        <f t="shared" si="51"/>
        <v/>
      </c>
      <c r="AY32" s="55" t="str">
        <f t="shared" si="51"/>
        <v/>
      </c>
      <c r="AZ32" s="55" t="str">
        <f t="shared" si="51"/>
        <v/>
      </c>
      <c r="BA32" s="55" t="str">
        <f t="shared" si="51"/>
        <v/>
      </c>
      <c r="BB32" s="55" t="str">
        <f t="shared" si="51"/>
        <v/>
      </c>
      <c r="BC32" s="55" t="str">
        <f t="shared" si="51"/>
        <v/>
      </c>
      <c r="BD32" s="55" t="str">
        <f t="shared" si="51"/>
        <v/>
      </c>
      <c r="BE32" s="55" t="str">
        <f t="shared" ref="BE32:CY40" si="52">IF($B32=BE$12,$U32,"")</f>
        <v/>
      </c>
      <c r="BF32" s="55" t="str">
        <f t="shared" si="52"/>
        <v/>
      </c>
      <c r="BG32" s="55" t="str">
        <f t="shared" si="52"/>
        <v/>
      </c>
      <c r="BH32" s="55" t="str">
        <f t="shared" si="52"/>
        <v/>
      </c>
      <c r="BI32" s="55" t="str">
        <f t="shared" si="52"/>
        <v/>
      </c>
      <c r="BJ32" s="55" t="str">
        <f t="shared" si="52"/>
        <v/>
      </c>
      <c r="BK32" s="55" t="str">
        <f t="shared" si="52"/>
        <v/>
      </c>
      <c r="BL32" s="55" t="str">
        <f t="shared" si="52"/>
        <v/>
      </c>
      <c r="BM32" s="55" t="str">
        <f t="shared" si="52"/>
        <v/>
      </c>
      <c r="BN32" s="55" t="str">
        <f t="shared" si="52"/>
        <v/>
      </c>
      <c r="BO32" s="55" t="str">
        <f t="shared" si="52"/>
        <v/>
      </c>
      <c r="BP32" s="55" t="str">
        <f t="shared" si="52"/>
        <v/>
      </c>
      <c r="BQ32" s="55" t="str">
        <f t="shared" si="52"/>
        <v/>
      </c>
      <c r="BR32" s="55" t="str">
        <f t="shared" si="52"/>
        <v/>
      </c>
      <c r="BS32" s="55" t="str">
        <f t="shared" si="52"/>
        <v/>
      </c>
      <c r="BT32" s="55" t="str">
        <f t="shared" si="52"/>
        <v/>
      </c>
      <c r="BU32" s="55" t="str">
        <f t="shared" si="52"/>
        <v/>
      </c>
      <c r="BV32" s="55" t="str">
        <f t="shared" si="52"/>
        <v/>
      </c>
      <c r="BW32" s="55" t="str">
        <f t="shared" si="52"/>
        <v/>
      </c>
      <c r="BX32" s="55" t="str">
        <f t="shared" si="52"/>
        <v/>
      </c>
      <c r="BY32" s="55" t="str">
        <f t="shared" si="52"/>
        <v/>
      </c>
      <c r="BZ32" s="55" t="str">
        <f t="shared" si="52"/>
        <v/>
      </c>
      <c r="CA32" s="55" t="str">
        <f t="shared" si="52"/>
        <v/>
      </c>
      <c r="CB32" s="55" t="str">
        <f t="shared" si="52"/>
        <v/>
      </c>
      <c r="CC32" s="55" t="str">
        <f t="shared" si="52"/>
        <v/>
      </c>
      <c r="CD32" s="55" t="str">
        <f t="shared" si="52"/>
        <v/>
      </c>
      <c r="CE32" s="55" t="str">
        <f t="shared" si="52"/>
        <v/>
      </c>
      <c r="CF32" s="55" t="str">
        <f t="shared" si="52"/>
        <v/>
      </c>
      <c r="CG32" s="55">
        <f t="shared" si="52"/>
        <v>0</v>
      </c>
      <c r="CH32" s="55" t="str">
        <f t="shared" si="52"/>
        <v/>
      </c>
      <c r="CI32" s="55" t="str">
        <f t="shared" si="52"/>
        <v/>
      </c>
      <c r="CJ32" s="55" t="str">
        <f t="shared" si="52"/>
        <v/>
      </c>
      <c r="CK32" s="55" t="str">
        <f t="shared" si="52"/>
        <v/>
      </c>
      <c r="CL32" s="55" t="str">
        <f t="shared" si="52"/>
        <v/>
      </c>
      <c r="CM32" s="55" t="str">
        <f t="shared" si="52"/>
        <v/>
      </c>
      <c r="CN32" s="55" t="str">
        <f t="shared" si="52"/>
        <v/>
      </c>
      <c r="CO32" s="55" t="str">
        <f t="shared" si="52"/>
        <v/>
      </c>
      <c r="CP32" s="55" t="str">
        <f t="shared" si="52"/>
        <v/>
      </c>
      <c r="CQ32" s="55" t="str">
        <f t="shared" si="52"/>
        <v/>
      </c>
      <c r="CR32" s="55" t="str">
        <f t="shared" si="52"/>
        <v/>
      </c>
      <c r="CS32" s="55" t="str">
        <f t="shared" si="52"/>
        <v/>
      </c>
      <c r="CT32" s="55" t="str">
        <f t="shared" si="52"/>
        <v/>
      </c>
      <c r="CU32" s="55" t="str">
        <f t="shared" si="52"/>
        <v/>
      </c>
      <c r="CV32" s="55" t="str">
        <f t="shared" si="52"/>
        <v/>
      </c>
      <c r="CW32" s="55" t="str">
        <f t="shared" si="52"/>
        <v/>
      </c>
      <c r="CX32" s="55" t="str">
        <f t="shared" si="52"/>
        <v/>
      </c>
      <c r="CY32" s="55" t="str">
        <f t="shared" si="52"/>
        <v/>
      </c>
      <c r="CZ32" s="55" t="str">
        <f t="shared" si="49"/>
        <v/>
      </c>
      <c r="DA32" s="55" t="str">
        <f t="shared" si="49"/>
        <v/>
      </c>
      <c r="DB32" s="55" t="str">
        <f t="shared" si="49"/>
        <v/>
      </c>
      <c r="DC32" s="55" t="str">
        <f t="shared" si="49"/>
        <v/>
      </c>
      <c r="DD32" s="55" t="str">
        <f t="shared" si="49"/>
        <v/>
      </c>
      <c r="DE32" s="55" t="str">
        <f t="shared" si="49"/>
        <v/>
      </c>
      <c r="DF32" s="55" t="str">
        <f t="shared" si="49"/>
        <v/>
      </c>
      <c r="DG32" s="55" t="str">
        <f t="shared" si="49"/>
        <v/>
      </c>
      <c r="DH32" s="55" t="str">
        <f t="shared" si="49"/>
        <v/>
      </c>
      <c r="DI32" s="55" t="str">
        <f t="shared" si="49"/>
        <v/>
      </c>
      <c r="DJ32" s="55" t="str">
        <f t="shared" si="49"/>
        <v/>
      </c>
      <c r="DK32" s="55" t="str">
        <f t="shared" si="43"/>
        <v/>
      </c>
      <c r="DL32" s="55" t="str">
        <f t="shared" si="43"/>
        <v/>
      </c>
      <c r="DM32" s="55" t="str">
        <f t="shared" si="43"/>
        <v/>
      </c>
      <c r="DN32" s="55" t="str">
        <f t="shared" si="43"/>
        <v/>
      </c>
      <c r="DO32" s="55" t="str">
        <f t="shared" si="43"/>
        <v/>
      </c>
      <c r="DP32" s="55" t="str">
        <f t="shared" si="43"/>
        <v/>
      </c>
      <c r="DQ32" s="55" t="str">
        <f t="shared" si="44"/>
        <v/>
      </c>
      <c r="DR32" s="55" t="str">
        <f t="shared" si="44"/>
        <v/>
      </c>
      <c r="DS32" s="55" t="str">
        <f t="shared" si="44"/>
        <v/>
      </c>
      <c r="DT32" s="106" t="str">
        <f t="shared" si="44"/>
        <v/>
      </c>
      <c r="DU32" s="54"/>
      <c r="DV32" s="25"/>
      <c r="DW32" s="61" t="str">
        <f t="shared" si="45"/>
        <v/>
      </c>
      <c r="DX32" s="50" t="str">
        <f t="shared" si="45"/>
        <v/>
      </c>
      <c r="DY32" s="50" t="str">
        <f t="shared" si="45"/>
        <v/>
      </c>
      <c r="DZ32" s="50" t="str">
        <f t="shared" si="45"/>
        <v/>
      </c>
      <c r="EA32" s="50" t="str">
        <f t="shared" si="45"/>
        <v/>
      </c>
      <c r="EB32" s="50" t="str">
        <f t="shared" si="45"/>
        <v/>
      </c>
      <c r="EC32" s="50" t="str">
        <f t="shared" si="45"/>
        <v/>
      </c>
      <c r="ED32" s="50" t="str">
        <f t="shared" si="45"/>
        <v/>
      </c>
      <c r="EE32" s="50" t="str">
        <f t="shared" si="45"/>
        <v/>
      </c>
      <c r="EF32" s="50" t="str">
        <f t="shared" si="45"/>
        <v/>
      </c>
      <c r="EG32" s="50" t="str">
        <f t="shared" si="45"/>
        <v/>
      </c>
      <c r="EH32" s="50" t="str">
        <f t="shared" si="45"/>
        <v/>
      </c>
      <c r="EI32" s="50" t="str">
        <f t="shared" si="45"/>
        <v/>
      </c>
      <c r="EJ32" s="50" t="str">
        <f t="shared" si="45"/>
        <v/>
      </c>
      <c r="EK32" s="50" t="str">
        <f t="shared" si="45"/>
        <v/>
      </c>
      <c r="EL32" s="50" t="str">
        <f t="shared" si="45"/>
        <v/>
      </c>
      <c r="EM32" s="50" t="str">
        <f t="shared" ref="EM32:FB40" si="53">IF($B32=EM$12,$O32,"")</f>
        <v/>
      </c>
      <c r="EN32" s="50" t="str">
        <f t="shared" si="53"/>
        <v/>
      </c>
      <c r="EO32" s="50" t="str">
        <f t="shared" si="53"/>
        <v/>
      </c>
      <c r="EP32" s="50" t="str">
        <f t="shared" si="53"/>
        <v/>
      </c>
      <c r="EQ32" s="50" t="str">
        <f t="shared" si="53"/>
        <v/>
      </c>
      <c r="ER32" s="50" t="str">
        <f t="shared" si="53"/>
        <v/>
      </c>
      <c r="ES32" s="50" t="str">
        <f t="shared" si="53"/>
        <v/>
      </c>
      <c r="ET32" s="50" t="str">
        <f t="shared" si="53"/>
        <v/>
      </c>
      <c r="EU32" s="50" t="str">
        <f t="shared" si="53"/>
        <v/>
      </c>
      <c r="EV32" s="50" t="str">
        <f t="shared" si="53"/>
        <v/>
      </c>
      <c r="EW32" s="50" t="str">
        <f t="shared" si="53"/>
        <v/>
      </c>
      <c r="EX32" s="50" t="str">
        <f t="shared" si="53"/>
        <v/>
      </c>
      <c r="EY32" s="50" t="str">
        <f t="shared" si="53"/>
        <v/>
      </c>
      <c r="EZ32" s="50" t="str">
        <f t="shared" si="53"/>
        <v/>
      </c>
      <c r="FA32" s="50" t="str">
        <f t="shared" si="53"/>
        <v/>
      </c>
      <c r="FB32" s="50" t="str">
        <f t="shared" si="53"/>
        <v/>
      </c>
      <c r="FC32" s="50" t="str">
        <f t="shared" ref="FC32:GW40" si="54">IF($B32=FC$12,$O32,"")</f>
        <v/>
      </c>
      <c r="FD32" s="50" t="str">
        <f t="shared" si="54"/>
        <v/>
      </c>
      <c r="FE32" s="50" t="str">
        <f t="shared" si="54"/>
        <v/>
      </c>
      <c r="FF32" s="50" t="str">
        <f t="shared" si="54"/>
        <v/>
      </c>
      <c r="FG32" s="50" t="str">
        <f t="shared" si="54"/>
        <v/>
      </c>
      <c r="FH32" s="50" t="str">
        <f t="shared" si="54"/>
        <v/>
      </c>
      <c r="FI32" s="50" t="str">
        <f t="shared" si="54"/>
        <v/>
      </c>
      <c r="FJ32" s="50" t="str">
        <f t="shared" si="54"/>
        <v/>
      </c>
      <c r="FK32" s="50" t="str">
        <f t="shared" si="54"/>
        <v/>
      </c>
      <c r="FL32" s="50" t="str">
        <f t="shared" si="54"/>
        <v/>
      </c>
      <c r="FM32" s="50" t="str">
        <f t="shared" si="54"/>
        <v/>
      </c>
      <c r="FN32" s="50" t="str">
        <f t="shared" si="54"/>
        <v/>
      </c>
      <c r="FO32" s="50" t="str">
        <f t="shared" si="54"/>
        <v/>
      </c>
      <c r="FP32" s="50" t="str">
        <f t="shared" si="54"/>
        <v/>
      </c>
      <c r="FQ32" s="50" t="str">
        <f t="shared" si="54"/>
        <v/>
      </c>
      <c r="FR32" s="50" t="str">
        <f t="shared" si="54"/>
        <v/>
      </c>
      <c r="FS32" s="50" t="str">
        <f t="shared" si="54"/>
        <v/>
      </c>
      <c r="FT32" s="50" t="str">
        <f t="shared" si="54"/>
        <v/>
      </c>
      <c r="FU32" s="50" t="str">
        <f t="shared" si="54"/>
        <v/>
      </c>
      <c r="FV32" s="50" t="str">
        <f t="shared" si="54"/>
        <v/>
      </c>
      <c r="FW32" s="50" t="str">
        <f t="shared" si="54"/>
        <v/>
      </c>
      <c r="FX32" s="50" t="str">
        <f t="shared" si="54"/>
        <v/>
      </c>
      <c r="FY32" s="50" t="str">
        <f t="shared" si="54"/>
        <v/>
      </c>
      <c r="FZ32" s="50" t="str">
        <f t="shared" si="54"/>
        <v/>
      </c>
      <c r="GA32" s="50" t="str">
        <f t="shared" si="54"/>
        <v/>
      </c>
      <c r="GB32" s="50" t="str">
        <f t="shared" si="54"/>
        <v/>
      </c>
      <c r="GC32" s="50" t="str">
        <f t="shared" si="54"/>
        <v/>
      </c>
      <c r="GD32" s="50" t="str">
        <f t="shared" si="54"/>
        <v/>
      </c>
      <c r="GE32" s="50">
        <f t="shared" si="54"/>
        <v>15293.039999999999</v>
      </c>
      <c r="GF32" s="50" t="str">
        <f t="shared" si="54"/>
        <v/>
      </c>
      <c r="GG32" s="50" t="str">
        <f t="shared" si="54"/>
        <v/>
      </c>
      <c r="GH32" s="50" t="str">
        <f t="shared" si="54"/>
        <v/>
      </c>
      <c r="GI32" s="50" t="str">
        <f t="shared" si="54"/>
        <v/>
      </c>
      <c r="GJ32" s="50" t="str">
        <f t="shared" si="54"/>
        <v/>
      </c>
      <c r="GK32" s="50" t="str">
        <f t="shared" si="54"/>
        <v/>
      </c>
      <c r="GL32" s="50" t="str">
        <f t="shared" si="54"/>
        <v/>
      </c>
      <c r="GM32" s="50" t="str">
        <f t="shared" si="54"/>
        <v/>
      </c>
      <c r="GN32" s="50" t="str">
        <f t="shared" si="54"/>
        <v/>
      </c>
      <c r="GO32" s="50" t="str">
        <f t="shared" si="54"/>
        <v/>
      </c>
      <c r="GP32" s="50" t="str">
        <f t="shared" si="54"/>
        <v/>
      </c>
      <c r="GQ32" s="50" t="str">
        <f t="shared" si="54"/>
        <v/>
      </c>
      <c r="GR32" s="50" t="str">
        <f t="shared" si="54"/>
        <v/>
      </c>
      <c r="GS32" s="50" t="str">
        <f t="shared" si="54"/>
        <v/>
      </c>
      <c r="GT32" s="50" t="str">
        <f t="shared" si="54"/>
        <v/>
      </c>
      <c r="GU32" s="50" t="str">
        <f t="shared" si="54"/>
        <v/>
      </c>
      <c r="GV32" s="50" t="str">
        <f t="shared" si="54"/>
        <v/>
      </c>
      <c r="GW32" s="50" t="str">
        <f t="shared" si="54"/>
        <v/>
      </c>
      <c r="GX32" s="50" t="str">
        <f t="shared" si="50"/>
        <v/>
      </c>
      <c r="GY32" s="50" t="str">
        <f t="shared" si="50"/>
        <v/>
      </c>
      <c r="GZ32" s="50" t="str">
        <f t="shared" si="50"/>
        <v/>
      </c>
      <c r="HA32" s="50" t="str">
        <f t="shared" si="50"/>
        <v/>
      </c>
      <c r="HB32" s="50" t="str">
        <f t="shared" si="50"/>
        <v/>
      </c>
      <c r="HC32" s="50" t="str">
        <f t="shared" si="50"/>
        <v/>
      </c>
      <c r="HD32" s="50" t="str">
        <f t="shared" si="50"/>
        <v/>
      </c>
      <c r="HE32" s="50" t="str">
        <f t="shared" si="50"/>
        <v/>
      </c>
      <c r="HF32" s="50" t="str">
        <f t="shared" si="50"/>
        <v/>
      </c>
      <c r="HG32" s="50" t="str">
        <f t="shared" si="50"/>
        <v/>
      </c>
      <c r="HH32" s="50" t="str">
        <f t="shared" si="50"/>
        <v/>
      </c>
      <c r="HI32" s="50" t="str">
        <f t="shared" si="50"/>
        <v/>
      </c>
      <c r="HJ32" s="50" t="str">
        <f t="shared" si="50"/>
        <v/>
      </c>
      <c r="HK32" s="50" t="str">
        <f t="shared" si="50"/>
        <v/>
      </c>
      <c r="HL32" s="50" t="str">
        <f t="shared" si="50"/>
        <v/>
      </c>
      <c r="HM32" s="50" t="str">
        <f t="shared" si="50"/>
        <v/>
      </c>
      <c r="HN32" s="50" t="str">
        <f t="shared" si="48"/>
        <v/>
      </c>
      <c r="HO32" s="50" t="str">
        <f t="shared" si="48"/>
        <v/>
      </c>
      <c r="HP32" s="50" t="str">
        <f t="shared" si="48"/>
        <v/>
      </c>
      <c r="HQ32" s="50" t="str">
        <f t="shared" si="48"/>
        <v/>
      </c>
      <c r="HR32" s="112" t="str">
        <f t="shared" si="48"/>
        <v/>
      </c>
    </row>
    <row r="33" spans="1:226" ht="11.1" customHeight="1" x14ac:dyDescent="0.25">
      <c r="A33" s="26"/>
      <c r="B33" s="27"/>
      <c r="C33" s="28" t="str">
        <f>IF(A33=0,"",VLOOKUP(A33,[2]CO!$A$3:$F$5327,2,0))</f>
        <v/>
      </c>
      <c r="D33" s="29" t="s">
        <v>31</v>
      </c>
      <c r="E33" s="29"/>
      <c r="F33" s="29"/>
      <c r="G33" s="30" t="str">
        <f>IF(A33=0,"",VLOOKUP(A33,[2]CO!$A$3:$F$5327,3,0))</f>
        <v/>
      </c>
      <c r="H33" s="95"/>
      <c r="I33" s="31"/>
      <c r="J33" s="31"/>
      <c r="K33" s="31"/>
      <c r="L33" s="31"/>
      <c r="M33" s="32" t="str">
        <f t="shared" si="38"/>
        <v/>
      </c>
      <c r="N33" s="32" t="str">
        <f>IF(B33=0,"",IF(H33="M",HLOOKUP(B33,$Y$12:$DT$13,2),IF(A33=0,"",VLOOKUP(A33,[2]CO!$A$3:$F$5327,4,0))))</f>
        <v/>
      </c>
      <c r="O33" s="32" t="str">
        <f t="shared" si="7"/>
        <v/>
      </c>
      <c r="P33" s="33"/>
      <c r="Q33" s="34" t="str">
        <f t="shared" si="39"/>
        <v/>
      </c>
      <c r="R33" s="35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RESIDENTE",G33="TOPOGRAFIA"),VLOOKUP(B33,P$14:Q$59,2),"")*S33)</f>
        <v/>
      </c>
      <c r="T33" s="53" t="str">
        <f>IF(A33=0,"",VLOOKUP(A33,[2]CO!$A$3:$F$5318,5,0))</f>
        <v/>
      </c>
      <c r="U33" s="54">
        <f t="shared" si="40"/>
        <v>0</v>
      </c>
      <c r="V33" s="24"/>
      <c r="W33" s="25"/>
      <c r="X33" s="25"/>
      <c r="Y33" s="64" t="str">
        <f t="shared" si="41"/>
        <v/>
      </c>
      <c r="Z33" s="55" t="str">
        <f t="shared" si="41"/>
        <v/>
      </c>
      <c r="AA33" s="55" t="str">
        <f t="shared" si="41"/>
        <v/>
      </c>
      <c r="AB33" s="55" t="str">
        <f t="shared" si="41"/>
        <v/>
      </c>
      <c r="AC33" s="55" t="str">
        <f t="shared" si="41"/>
        <v/>
      </c>
      <c r="AD33" s="55" t="str">
        <f t="shared" si="41"/>
        <v/>
      </c>
      <c r="AE33" s="55" t="str">
        <f t="shared" si="41"/>
        <v/>
      </c>
      <c r="AF33" s="55" t="str">
        <f t="shared" si="41"/>
        <v/>
      </c>
      <c r="AG33" s="55" t="str">
        <f t="shared" si="41"/>
        <v/>
      </c>
      <c r="AH33" s="55" t="str">
        <f t="shared" si="41"/>
        <v/>
      </c>
      <c r="AI33" s="55" t="str">
        <f t="shared" si="41"/>
        <v/>
      </c>
      <c r="AJ33" s="55" t="str">
        <f t="shared" si="41"/>
        <v/>
      </c>
      <c r="AK33" s="55" t="str">
        <f t="shared" si="41"/>
        <v/>
      </c>
      <c r="AL33" s="55" t="str">
        <f t="shared" si="41"/>
        <v/>
      </c>
      <c r="AM33" s="55" t="str">
        <f t="shared" si="41"/>
        <v/>
      </c>
      <c r="AN33" s="55" t="str">
        <f t="shared" si="41"/>
        <v/>
      </c>
      <c r="AO33" s="55" t="str">
        <f t="shared" si="51"/>
        <v/>
      </c>
      <c r="AP33" s="55" t="str">
        <f t="shared" si="51"/>
        <v/>
      </c>
      <c r="AQ33" s="55" t="str">
        <f t="shared" si="51"/>
        <v/>
      </c>
      <c r="AR33" s="55" t="str">
        <f t="shared" si="51"/>
        <v/>
      </c>
      <c r="AS33" s="55" t="str">
        <f t="shared" si="51"/>
        <v/>
      </c>
      <c r="AT33" s="55" t="str">
        <f t="shared" si="51"/>
        <v/>
      </c>
      <c r="AU33" s="55" t="str">
        <f t="shared" si="51"/>
        <v/>
      </c>
      <c r="AV33" s="55" t="str">
        <f t="shared" si="51"/>
        <v/>
      </c>
      <c r="AW33" s="55" t="str">
        <f t="shared" si="51"/>
        <v/>
      </c>
      <c r="AX33" s="55" t="str">
        <f t="shared" si="51"/>
        <v/>
      </c>
      <c r="AY33" s="55" t="str">
        <f t="shared" si="51"/>
        <v/>
      </c>
      <c r="AZ33" s="55" t="str">
        <f t="shared" si="51"/>
        <v/>
      </c>
      <c r="BA33" s="55" t="str">
        <f t="shared" si="51"/>
        <v/>
      </c>
      <c r="BB33" s="55" t="str">
        <f t="shared" si="51"/>
        <v/>
      </c>
      <c r="BC33" s="55" t="str">
        <f t="shared" si="51"/>
        <v/>
      </c>
      <c r="BD33" s="55" t="str">
        <f t="shared" si="51"/>
        <v/>
      </c>
      <c r="BE33" s="55" t="str">
        <f t="shared" si="52"/>
        <v/>
      </c>
      <c r="BF33" s="55" t="str">
        <f t="shared" si="52"/>
        <v/>
      </c>
      <c r="BG33" s="55" t="str">
        <f t="shared" si="52"/>
        <v/>
      </c>
      <c r="BH33" s="55" t="str">
        <f t="shared" si="52"/>
        <v/>
      </c>
      <c r="BI33" s="55" t="str">
        <f t="shared" si="52"/>
        <v/>
      </c>
      <c r="BJ33" s="55" t="str">
        <f t="shared" si="52"/>
        <v/>
      </c>
      <c r="BK33" s="55" t="str">
        <f t="shared" si="52"/>
        <v/>
      </c>
      <c r="BL33" s="55" t="str">
        <f t="shared" si="52"/>
        <v/>
      </c>
      <c r="BM33" s="55" t="str">
        <f t="shared" si="52"/>
        <v/>
      </c>
      <c r="BN33" s="55" t="str">
        <f t="shared" si="52"/>
        <v/>
      </c>
      <c r="BO33" s="55" t="str">
        <f t="shared" si="52"/>
        <v/>
      </c>
      <c r="BP33" s="55" t="str">
        <f t="shared" si="52"/>
        <v/>
      </c>
      <c r="BQ33" s="55" t="str">
        <f t="shared" si="52"/>
        <v/>
      </c>
      <c r="BR33" s="55" t="str">
        <f t="shared" si="52"/>
        <v/>
      </c>
      <c r="BS33" s="55" t="str">
        <f t="shared" si="52"/>
        <v/>
      </c>
      <c r="BT33" s="55" t="str">
        <f t="shared" si="52"/>
        <v/>
      </c>
      <c r="BU33" s="55" t="str">
        <f t="shared" si="52"/>
        <v/>
      </c>
      <c r="BV33" s="55" t="str">
        <f t="shared" si="52"/>
        <v/>
      </c>
      <c r="BW33" s="55" t="str">
        <f t="shared" si="52"/>
        <v/>
      </c>
      <c r="BX33" s="55" t="str">
        <f t="shared" si="52"/>
        <v/>
      </c>
      <c r="BY33" s="55" t="str">
        <f t="shared" si="52"/>
        <v/>
      </c>
      <c r="BZ33" s="55" t="str">
        <f t="shared" si="52"/>
        <v/>
      </c>
      <c r="CA33" s="55" t="str">
        <f t="shared" si="52"/>
        <v/>
      </c>
      <c r="CB33" s="55" t="str">
        <f t="shared" si="52"/>
        <v/>
      </c>
      <c r="CC33" s="55" t="str">
        <f t="shared" si="52"/>
        <v/>
      </c>
      <c r="CD33" s="55" t="str">
        <f t="shared" si="52"/>
        <v/>
      </c>
      <c r="CE33" s="55" t="str">
        <f t="shared" si="52"/>
        <v/>
      </c>
      <c r="CF33" s="55" t="str">
        <f t="shared" si="52"/>
        <v/>
      </c>
      <c r="CG33" s="55" t="str">
        <f t="shared" si="52"/>
        <v/>
      </c>
      <c r="CH33" s="55" t="str">
        <f t="shared" si="52"/>
        <v/>
      </c>
      <c r="CI33" s="55" t="str">
        <f t="shared" si="52"/>
        <v/>
      </c>
      <c r="CJ33" s="55" t="str">
        <f t="shared" si="52"/>
        <v/>
      </c>
      <c r="CK33" s="55" t="str">
        <f t="shared" si="52"/>
        <v/>
      </c>
      <c r="CL33" s="55" t="str">
        <f t="shared" si="52"/>
        <v/>
      </c>
      <c r="CM33" s="55" t="str">
        <f t="shared" si="52"/>
        <v/>
      </c>
      <c r="CN33" s="55" t="str">
        <f t="shared" si="52"/>
        <v/>
      </c>
      <c r="CO33" s="55" t="str">
        <f t="shared" si="52"/>
        <v/>
      </c>
      <c r="CP33" s="55" t="str">
        <f t="shared" si="52"/>
        <v/>
      </c>
      <c r="CQ33" s="55" t="str">
        <f t="shared" si="52"/>
        <v/>
      </c>
      <c r="CR33" s="55" t="str">
        <f t="shared" si="52"/>
        <v/>
      </c>
      <c r="CS33" s="55" t="str">
        <f t="shared" si="52"/>
        <v/>
      </c>
      <c r="CT33" s="55" t="str">
        <f t="shared" si="52"/>
        <v/>
      </c>
      <c r="CU33" s="55" t="str">
        <f t="shared" si="52"/>
        <v/>
      </c>
      <c r="CV33" s="55" t="str">
        <f t="shared" si="52"/>
        <v/>
      </c>
      <c r="CW33" s="55" t="str">
        <f t="shared" si="52"/>
        <v/>
      </c>
      <c r="CX33" s="55" t="str">
        <f t="shared" si="52"/>
        <v/>
      </c>
      <c r="CY33" s="55" t="str">
        <f t="shared" si="52"/>
        <v/>
      </c>
      <c r="CZ33" s="55" t="str">
        <f t="shared" si="49"/>
        <v/>
      </c>
      <c r="DA33" s="55" t="str">
        <f t="shared" si="49"/>
        <v/>
      </c>
      <c r="DB33" s="55" t="str">
        <f t="shared" si="49"/>
        <v/>
      </c>
      <c r="DC33" s="55" t="str">
        <f t="shared" si="49"/>
        <v/>
      </c>
      <c r="DD33" s="55" t="str">
        <f t="shared" si="49"/>
        <v/>
      </c>
      <c r="DE33" s="55" t="str">
        <f t="shared" si="49"/>
        <v/>
      </c>
      <c r="DF33" s="55" t="str">
        <f t="shared" si="49"/>
        <v/>
      </c>
      <c r="DG33" s="55" t="str">
        <f t="shared" si="49"/>
        <v/>
      </c>
      <c r="DH33" s="55" t="str">
        <f t="shared" si="49"/>
        <v/>
      </c>
      <c r="DI33" s="55" t="str">
        <f t="shared" si="49"/>
        <v/>
      </c>
      <c r="DJ33" s="55" t="str">
        <f t="shared" si="49"/>
        <v/>
      </c>
      <c r="DK33" s="55" t="str">
        <f t="shared" si="43"/>
        <v/>
      </c>
      <c r="DL33" s="55" t="str">
        <f t="shared" si="43"/>
        <v/>
      </c>
      <c r="DM33" s="55" t="str">
        <f t="shared" si="43"/>
        <v/>
      </c>
      <c r="DN33" s="55" t="str">
        <f t="shared" si="43"/>
        <v/>
      </c>
      <c r="DO33" s="55" t="str">
        <f t="shared" si="43"/>
        <v/>
      </c>
      <c r="DP33" s="55" t="str">
        <f t="shared" si="43"/>
        <v/>
      </c>
      <c r="DQ33" s="55" t="str">
        <f t="shared" si="44"/>
        <v/>
      </c>
      <c r="DR33" s="55" t="str">
        <f t="shared" si="44"/>
        <v/>
      </c>
      <c r="DS33" s="55" t="str">
        <f t="shared" si="44"/>
        <v/>
      </c>
      <c r="DT33" s="106" t="str">
        <f t="shared" si="44"/>
        <v/>
      </c>
      <c r="DU33" s="54"/>
      <c r="DV33" s="25"/>
      <c r="DW33" s="61" t="str">
        <f t="shared" si="45"/>
        <v/>
      </c>
      <c r="DX33" s="50" t="str">
        <f t="shared" si="45"/>
        <v/>
      </c>
      <c r="DY33" s="50" t="str">
        <f t="shared" si="45"/>
        <v/>
      </c>
      <c r="DZ33" s="50" t="str">
        <f t="shared" si="45"/>
        <v/>
      </c>
      <c r="EA33" s="50" t="str">
        <f t="shared" si="45"/>
        <v/>
      </c>
      <c r="EB33" s="50" t="str">
        <f t="shared" si="45"/>
        <v/>
      </c>
      <c r="EC33" s="50" t="str">
        <f t="shared" si="45"/>
        <v/>
      </c>
      <c r="ED33" s="50" t="str">
        <f t="shared" si="45"/>
        <v/>
      </c>
      <c r="EE33" s="50" t="str">
        <f t="shared" si="45"/>
        <v/>
      </c>
      <c r="EF33" s="50" t="str">
        <f t="shared" si="45"/>
        <v/>
      </c>
      <c r="EG33" s="50" t="str">
        <f t="shared" si="45"/>
        <v/>
      </c>
      <c r="EH33" s="50" t="str">
        <f t="shared" si="45"/>
        <v/>
      </c>
      <c r="EI33" s="50" t="str">
        <f t="shared" si="45"/>
        <v/>
      </c>
      <c r="EJ33" s="50" t="str">
        <f t="shared" si="45"/>
        <v/>
      </c>
      <c r="EK33" s="50" t="str">
        <f t="shared" si="45"/>
        <v/>
      </c>
      <c r="EL33" s="50" t="str">
        <f t="shared" si="45"/>
        <v/>
      </c>
      <c r="EM33" s="50" t="str">
        <f t="shared" si="53"/>
        <v/>
      </c>
      <c r="EN33" s="50" t="str">
        <f t="shared" si="53"/>
        <v/>
      </c>
      <c r="EO33" s="50" t="str">
        <f t="shared" si="53"/>
        <v/>
      </c>
      <c r="EP33" s="50" t="str">
        <f t="shared" si="53"/>
        <v/>
      </c>
      <c r="EQ33" s="50" t="str">
        <f t="shared" si="53"/>
        <v/>
      </c>
      <c r="ER33" s="50" t="str">
        <f t="shared" si="53"/>
        <v/>
      </c>
      <c r="ES33" s="50" t="str">
        <f t="shared" si="53"/>
        <v/>
      </c>
      <c r="ET33" s="50" t="str">
        <f t="shared" si="53"/>
        <v/>
      </c>
      <c r="EU33" s="50" t="str">
        <f t="shared" si="53"/>
        <v/>
      </c>
      <c r="EV33" s="50" t="str">
        <f t="shared" si="53"/>
        <v/>
      </c>
      <c r="EW33" s="50" t="str">
        <f t="shared" si="53"/>
        <v/>
      </c>
      <c r="EX33" s="50" t="str">
        <f t="shared" si="53"/>
        <v/>
      </c>
      <c r="EY33" s="50" t="str">
        <f t="shared" si="53"/>
        <v/>
      </c>
      <c r="EZ33" s="50" t="str">
        <f t="shared" si="53"/>
        <v/>
      </c>
      <c r="FA33" s="50" t="str">
        <f t="shared" si="53"/>
        <v/>
      </c>
      <c r="FB33" s="50" t="str">
        <f t="shared" si="53"/>
        <v/>
      </c>
      <c r="FC33" s="50" t="str">
        <f t="shared" si="54"/>
        <v/>
      </c>
      <c r="FD33" s="50" t="str">
        <f t="shared" si="54"/>
        <v/>
      </c>
      <c r="FE33" s="50" t="str">
        <f t="shared" si="54"/>
        <v/>
      </c>
      <c r="FF33" s="50" t="str">
        <f t="shared" si="54"/>
        <v/>
      </c>
      <c r="FG33" s="50" t="str">
        <f t="shared" si="54"/>
        <v/>
      </c>
      <c r="FH33" s="50" t="str">
        <f t="shared" si="54"/>
        <v/>
      </c>
      <c r="FI33" s="50" t="str">
        <f t="shared" si="54"/>
        <v/>
      </c>
      <c r="FJ33" s="50" t="str">
        <f t="shared" si="54"/>
        <v/>
      </c>
      <c r="FK33" s="50" t="str">
        <f t="shared" si="54"/>
        <v/>
      </c>
      <c r="FL33" s="50" t="str">
        <f t="shared" si="54"/>
        <v/>
      </c>
      <c r="FM33" s="50" t="str">
        <f t="shared" si="54"/>
        <v/>
      </c>
      <c r="FN33" s="50" t="str">
        <f t="shared" si="54"/>
        <v/>
      </c>
      <c r="FO33" s="50" t="str">
        <f t="shared" si="54"/>
        <v/>
      </c>
      <c r="FP33" s="50" t="str">
        <f t="shared" si="54"/>
        <v/>
      </c>
      <c r="FQ33" s="50" t="str">
        <f t="shared" si="54"/>
        <v/>
      </c>
      <c r="FR33" s="50" t="str">
        <f t="shared" si="54"/>
        <v/>
      </c>
      <c r="FS33" s="50" t="str">
        <f t="shared" si="54"/>
        <v/>
      </c>
      <c r="FT33" s="50" t="str">
        <f t="shared" si="54"/>
        <v/>
      </c>
      <c r="FU33" s="50" t="str">
        <f t="shared" si="54"/>
        <v/>
      </c>
      <c r="FV33" s="50" t="str">
        <f t="shared" si="54"/>
        <v/>
      </c>
      <c r="FW33" s="50" t="str">
        <f t="shared" si="54"/>
        <v/>
      </c>
      <c r="FX33" s="50" t="str">
        <f t="shared" si="54"/>
        <v/>
      </c>
      <c r="FY33" s="50" t="str">
        <f t="shared" si="54"/>
        <v/>
      </c>
      <c r="FZ33" s="50" t="str">
        <f t="shared" si="54"/>
        <v/>
      </c>
      <c r="GA33" s="50" t="str">
        <f t="shared" si="54"/>
        <v/>
      </c>
      <c r="GB33" s="50" t="str">
        <f t="shared" si="54"/>
        <v/>
      </c>
      <c r="GC33" s="50" t="str">
        <f t="shared" si="54"/>
        <v/>
      </c>
      <c r="GD33" s="50" t="str">
        <f t="shared" si="54"/>
        <v/>
      </c>
      <c r="GE33" s="50" t="str">
        <f t="shared" si="54"/>
        <v/>
      </c>
      <c r="GF33" s="50" t="str">
        <f t="shared" si="54"/>
        <v/>
      </c>
      <c r="GG33" s="50" t="str">
        <f t="shared" si="54"/>
        <v/>
      </c>
      <c r="GH33" s="50" t="str">
        <f t="shared" si="54"/>
        <v/>
      </c>
      <c r="GI33" s="50" t="str">
        <f t="shared" si="54"/>
        <v/>
      </c>
      <c r="GJ33" s="50" t="str">
        <f t="shared" si="54"/>
        <v/>
      </c>
      <c r="GK33" s="50" t="str">
        <f t="shared" si="54"/>
        <v/>
      </c>
      <c r="GL33" s="50" t="str">
        <f t="shared" si="54"/>
        <v/>
      </c>
      <c r="GM33" s="50" t="str">
        <f t="shared" si="54"/>
        <v/>
      </c>
      <c r="GN33" s="50" t="str">
        <f t="shared" si="54"/>
        <v/>
      </c>
      <c r="GO33" s="50" t="str">
        <f t="shared" si="54"/>
        <v/>
      </c>
      <c r="GP33" s="50" t="str">
        <f t="shared" si="54"/>
        <v/>
      </c>
      <c r="GQ33" s="50" t="str">
        <f t="shared" si="54"/>
        <v/>
      </c>
      <c r="GR33" s="50" t="str">
        <f t="shared" si="54"/>
        <v/>
      </c>
      <c r="GS33" s="50" t="str">
        <f t="shared" si="54"/>
        <v/>
      </c>
      <c r="GT33" s="50" t="str">
        <f t="shared" si="54"/>
        <v/>
      </c>
      <c r="GU33" s="50" t="str">
        <f t="shared" si="54"/>
        <v/>
      </c>
      <c r="GV33" s="50" t="str">
        <f t="shared" si="54"/>
        <v/>
      </c>
      <c r="GW33" s="50" t="str">
        <f t="shared" si="54"/>
        <v/>
      </c>
      <c r="GX33" s="50" t="str">
        <f t="shared" si="50"/>
        <v/>
      </c>
      <c r="GY33" s="50" t="str">
        <f t="shared" si="50"/>
        <v/>
      </c>
      <c r="GZ33" s="50" t="str">
        <f t="shared" si="50"/>
        <v/>
      </c>
      <c r="HA33" s="50" t="str">
        <f t="shared" si="50"/>
        <v/>
      </c>
      <c r="HB33" s="50" t="str">
        <f t="shared" si="50"/>
        <v/>
      </c>
      <c r="HC33" s="50" t="str">
        <f t="shared" si="50"/>
        <v/>
      </c>
      <c r="HD33" s="50" t="str">
        <f t="shared" si="50"/>
        <v/>
      </c>
      <c r="HE33" s="50" t="str">
        <f t="shared" si="50"/>
        <v/>
      </c>
      <c r="HF33" s="50" t="str">
        <f t="shared" si="50"/>
        <v/>
      </c>
      <c r="HG33" s="50" t="str">
        <f t="shared" si="50"/>
        <v/>
      </c>
      <c r="HH33" s="50" t="str">
        <f t="shared" si="50"/>
        <v/>
      </c>
      <c r="HI33" s="50" t="str">
        <f t="shared" si="50"/>
        <v/>
      </c>
      <c r="HJ33" s="50" t="str">
        <f t="shared" si="50"/>
        <v/>
      </c>
      <c r="HK33" s="50" t="str">
        <f t="shared" si="50"/>
        <v/>
      </c>
      <c r="HL33" s="50" t="str">
        <f t="shared" si="50"/>
        <v/>
      </c>
      <c r="HM33" s="50" t="str">
        <f t="shared" si="50"/>
        <v/>
      </c>
      <c r="HN33" s="50" t="str">
        <f t="shared" si="48"/>
        <v/>
      </c>
      <c r="HO33" s="50" t="str">
        <f t="shared" si="48"/>
        <v/>
      </c>
      <c r="HP33" s="50" t="str">
        <f t="shared" si="48"/>
        <v/>
      </c>
      <c r="HQ33" s="50" t="str">
        <f t="shared" si="48"/>
        <v/>
      </c>
      <c r="HR33" s="112" t="str">
        <f t="shared" si="48"/>
        <v/>
      </c>
    </row>
    <row r="34" spans="1:226" ht="11.1" customHeight="1" x14ac:dyDescent="0.25">
      <c r="A34" s="26"/>
      <c r="B34" s="27"/>
      <c r="C34" s="28" t="str">
        <f>IF(A34=0,"",VLOOKUP(A34,[2]CO!$A$3:$F$5327,2,0))</f>
        <v/>
      </c>
      <c r="D34" s="29" t="s">
        <v>32</v>
      </c>
      <c r="E34" s="29"/>
      <c r="F34" s="29"/>
      <c r="G34" s="30" t="str">
        <f>IF(A34=0,"",VLOOKUP(A34,[2]CO!$A$3:$F$5327,3,0))</f>
        <v/>
      </c>
      <c r="H34" s="95"/>
      <c r="I34" s="31"/>
      <c r="J34" s="31"/>
      <c r="K34" s="31"/>
      <c r="L34" s="31"/>
      <c r="M34" s="32" t="str">
        <f t="shared" si="38"/>
        <v/>
      </c>
      <c r="N34" s="32" t="str">
        <f>IF(B34=0,"",IF(H34="M",HLOOKUP(B34,$Y$12:$DT$13,2),IF(A34=0,"",VLOOKUP(A34,[2]CO!$A$3:$F$5327,4,0))))</f>
        <v/>
      </c>
      <c r="O34" s="32" t="str">
        <f t="shared" si="7"/>
        <v/>
      </c>
      <c r="P34" s="33"/>
      <c r="Q34" s="34" t="str">
        <f t="shared" si="39"/>
        <v/>
      </c>
      <c r="R34" s="3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RESIDENTE",G34="TOPOGRAFIA"),VLOOKUP(B34,P$14:Q$59,2),"")*S34)</f>
        <v/>
      </c>
      <c r="T34" s="53" t="str">
        <f>IF(A34=0,"",VLOOKUP(A34,[2]CO!$A$3:$F$5318,5,0))</f>
        <v/>
      </c>
      <c r="U34" s="54">
        <f t="shared" si="40"/>
        <v>0</v>
      </c>
      <c r="V34" s="24"/>
      <c r="W34" s="25"/>
      <c r="X34" s="25"/>
      <c r="Y34" s="64" t="str">
        <f t="shared" si="41"/>
        <v/>
      </c>
      <c r="Z34" s="55" t="str">
        <f t="shared" si="41"/>
        <v/>
      </c>
      <c r="AA34" s="55" t="str">
        <f t="shared" si="41"/>
        <v/>
      </c>
      <c r="AB34" s="55" t="str">
        <f t="shared" si="41"/>
        <v/>
      </c>
      <c r="AC34" s="55" t="str">
        <f t="shared" si="41"/>
        <v/>
      </c>
      <c r="AD34" s="55" t="str">
        <f t="shared" si="41"/>
        <v/>
      </c>
      <c r="AE34" s="55" t="str">
        <f t="shared" si="41"/>
        <v/>
      </c>
      <c r="AF34" s="55" t="str">
        <f t="shared" si="41"/>
        <v/>
      </c>
      <c r="AG34" s="55" t="str">
        <f t="shared" si="41"/>
        <v/>
      </c>
      <c r="AH34" s="55" t="str">
        <f t="shared" si="41"/>
        <v/>
      </c>
      <c r="AI34" s="55" t="str">
        <f t="shared" si="41"/>
        <v/>
      </c>
      <c r="AJ34" s="55" t="str">
        <f t="shared" si="41"/>
        <v/>
      </c>
      <c r="AK34" s="55" t="str">
        <f t="shared" si="41"/>
        <v/>
      </c>
      <c r="AL34" s="55" t="str">
        <f t="shared" si="41"/>
        <v/>
      </c>
      <c r="AM34" s="55" t="str">
        <f t="shared" si="41"/>
        <v/>
      </c>
      <c r="AN34" s="55" t="str">
        <f t="shared" si="41"/>
        <v/>
      </c>
      <c r="AO34" s="55" t="str">
        <f t="shared" si="51"/>
        <v/>
      </c>
      <c r="AP34" s="55" t="str">
        <f t="shared" si="51"/>
        <v/>
      </c>
      <c r="AQ34" s="55" t="str">
        <f t="shared" si="51"/>
        <v/>
      </c>
      <c r="AR34" s="55" t="str">
        <f t="shared" si="51"/>
        <v/>
      </c>
      <c r="AS34" s="55" t="str">
        <f t="shared" si="51"/>
        <v/>
      </c>
      <c r="AT34" s="55" t="str">
        <f t="shared" si="51"/>
        <v/>
      </c>
      <c r="AU34" s="55" t="str">
        <f t="shared" si="51"/>
        <v/>
      </c>
      <c r="AV34" s="55" t="str">
        <f t="shared" si="51"/>
        <v/>
      </c>
      <c r="AW34" s="55" t="str">
        <f t="shared" si="51"/>
        <v/>
      </c>
      <c r="AX34" s="55" t="str">
        <f t="shared" si="51"/>
        <v/>
      </c>
      <c r="AY34" s="55" t="str">
        <f t="shared" si="51"/>
        <v/>
      </c>
      <c r="AZ34" s="55" t="str">
        <f t="shared" si="51"/>
        <v/>
      </c>
      <c r="BA34" s="55" t="str">
        <f t="shared" si="51"/>
        <v/>
      </c>
      <c r="BB34" s="55" t="str">
        <f t="shared" si="51"/>
        <v/>
      </c>
      <c r="BC34" s="55" t="str">
        <f t="shared" si="51"/>
        <v/>
      </c>
      <c r="BD34" s="55" t="str">
        <f t="shared" si="51"/>
        <v/>
      </c>
      <c r="BE34" s="55" t="str">
        <f t="shared" si="52"/>
        <v/>
      </c>
      <c r="BF34" s="55" t="str">
        <f t="shared" si="52"/>
        <v/>
      </c>
      <c r="BG34" s="55" t="str">
        <f t="shared" si="52"/>
        <v/>
      </c>
      <c r="BH34" s="55" t="str">
        <f t="shared" si="52"/>
        <v/>
      </c>
      <c r="BI34" s="55" t="str">
        <f t="shared" si="52"/>
        <v/>
      </c>
      <c r="BJ34" s="55" t="str">
        <f t="shared" si="52"/>
        <v/>
      </c>
      <c r="BK34" s="55" t="str">
        <f t="shared" si="52"/>
        <v/>
      </c>
      <c r="BL34" s="55" t="str">
        <f t="shared" si="52"/>
        <v/>
      </c>
      <c r="BM34" s="55" t="str">
        <f t="shared" si="52"/>
        <v/>
      </c>
      <c r="BN34" s="55" t="str">
        <f t="shared" si="52"/>
        <v/>
      </c>
      <c r="BO34" s="55" t="str">
        <f t="shared" si="52"/>
        <v/>
      </c>
      <c r="BP34" s="55" t="str">
        <f t="shared" si="52"/>
        <v/>
      </c>
      <c r="BQ34" s="55" t="str">
        <f t="shared" si="52"/>
        <v/>
      </c>
      <c r="BR34" s="55" t="str">
        <f t="shared" si="52"/>
        <v/>
      </c>
      <c r="BS34" s="55" t="str">
        <f t="shared" si="52"/>
        <v/>
      </c>
      <c r="BT34" s="55" t="str">
        <f t="shared" si="52"/>
        <v/>
      </c>
      <c r="BU34" s="55" t="str">
        <f t="shared" si="52"/>
        <v/>
      </c>
      <c r="BV34" s="55" t="str">
        <f t="shared" si="52"/>
        <v/>
      </c>
      <c r="BW34" s="55" t="str">
        <f t="shared" si="52"/>
        <v/>
      </c>
      <c r="BX34" s="55" t="str">
        <f t="shared" si="52"/>
        <v/>
      </c>
      <c r="BY34" s="55" t="str">
        <f t="shared" si="52"/>
        <v/>
      </c>
      <c r="BZ34" s="55" t="str">
        <f t="shared" si="52"/>
        <v/>
      </c>
      <c r="CA34" s="55" t="str">
        <f t="shared" si="52"/>
        <v/>
      </c>
      <c r="CB34" s="55" t="str">
        <f t="shared" si="52"/>
        <v/>
      </c>
      <c r="CC34" s="55" t="str">
        <f t="shared" si="52"/>
        <v/>
      </c>
      <c r="CD34" s="55" t="str">
        <f t="shared" si="52"/>
        <v/>
      </c>
      <c r="CE34" s="55" t="str">
        <f t="shared" si="52"/>
        <v/>
      </c>
      <c r="CF34" s="55" t="str">
        <f t="shared" si="52"/>
        <v/>
      </c>
      <c r="CG34" s="55" t="str">
        <f t="shared" si="52"/>
        <v/>
      </c>
      <c r="CH34" s="55" t="str">
        <f t="shared" si="52"/>
        <v/>
      </c>
      <c r="CI34" s="55" t="str">
        <f t="shared" si="52"/>
        <v/>
      </c>
      <c r="CJ34" s="55" t="str">
        <f t="shared" si="52"/>
        <v/>
      </c>
      <c r="CK34" s="55" t="str">
        <f t="shared" si="52"/>
        <v/>
      </c>
      <c r="CL34" s="55" t="str">
        <f t="shared" si="52"/>
        <v/>
      </c>
      <c r="CM34" s="55" t="str">
        <f t="shared" si="52"/>
        <v/>
      </c>
      <c r="CN34" s="55" t="str">
        <f t="shared" si="52"/>
        <v/>
      </c>
      <c r="CO34" s="55" t="str">
        <f t="shared" si="52"/>
        <v/>
      </c>
      <c r="CP34" s="55" t="str">
        <f t="shared" si="52"/>
        <v/>
      </c>
      <c r="CQ34" s="55" t="str">
        <f t="shared" si="52"/>
        <v/>
      </c>
      <c r="CR34" s="55" t="str">
        <f t="shared" si="52"/>
        <v/>
      </c>
      <c r="CS34" s="55" t="str">
        <f t="shared" si="52"/>
        <v/>
      </c>
      <c r="CT34" s="55" t="str">
        <f t="shared" si="52"/>
        <v/>
      </c>
      <c r="CU34" s="55" t="str">
        <f t="shared" si="52"/>
        <v/>
      </c>
      <c r="CV34" s="55" t="str">
        <f t="shared" si="52"/>
        <v/>
      </c>
      <c r="CW34" s="55" t="str">
        <f t="shared" si="52"/>
        <v/>
      </c>
      <c r="CX34" s="55" t="str">
        <f t="shared" si="52"/>
        <v/>
      </c>
      <c r="CY34" s="55" t="str">
        <f t="shared" si="52"/>
        <v/>
      </c>
      <c r="CZ34" s="55" t="str">
        <f t="shared" si="49"/>
        <v/>
      </c>
      <c r="DA34" s="55" t="str">
        <f t="shared" si="49"/>
        <v/>
      </c>
      <c r="DB34" s="55" t="str">
        <f t="shared" si="49"/>
        <v/>
      </c>
      <c r="DC34" s="55" t="str">
        <f t="shared" si="49"/>
        <v/>
      </c>
      <c r="DD34" s="55" t="str">
        <f t="shared" si="49"/>
        <v/>
      </c>
      <c r="DE34" s="55" t="str">
        <f t="shared" si="49"/>
        <v/>
      </c>
      <c r="DF34" s="55" t="str">
        <f t="shared" si="49"/>
        <v/>
      </c>
      <c r="DG34" s="55" t="str">
        <f t="shared" si="49"/>
        <v/>
      </c>
      <c r="DH34" s="55" t="str">
        <f t="shared" si="49"/>
        <v/>
      </c>
      <c r="DI34" s="55" t="str">
        <f t="shared" si="49"/>
        <v/>
      </c>
      <c r="DJ34" s="55" t="str">
        <f t="shared" si="49"/>
        <v/>
      </c>
      <c r="DK34" s="55" t="str">
        <f t="shared" si="43"/>
        <v/>
      </c>
      <c r="DL34" s="55" t="str">
        <f t="shared" si="43"/>
        <v/>
      </c>
      <c r="DM34" s="55" t="str">
        <f t="shared" si="43"/>
        <v/>
      </c>
      <c r="DN34" s="55" t="str">
        <f t="shared" si="43"/>
        <v/>
      </c>
      <c r="DO34" s="55" t="str">
        <f t="shared" si="43"/>
        <v/>
      </c>
      <c r="DP34" s="55" t="str">
        <f t="shared" si="43"/>
        <v/>
      </c>
      <c r="DQ34" s="55" t="str">
        <f t="shared" si="44"/>
        <v/>
      </c>
      <c r="DR34" s="55" t="str">
        <f t="shared" si="44"/>
        <v/>
      </c>
      <c r="DS34" s="55" t="str">
        <f t="shared" si="44"/>
        <v/>
      </c>
      <c r="DT34" s="106" t="str">
        <f t="shared" si="44"/>
        <v/>
      </c>
      <c r="DU34" s="54"/>
      <c r="DV34" s="25"/>
      <c r="DW34" s="61" t="str">
        <f t="shared" si="45"/>
        <v/>
      </c>
      <c r="DX34" s="50" t="str">
        <f t="shared" si="45"/>
        <v/>
      </c>
      <c r="DY34" s="50" t="str">
        <f t="shared" si="45"/>
        <v/>
      </c>
      <c r="DZ34" s="50" t="str">
        <f t="shared" si="45"/>
        <v/>
      </c>
      <c r="EA34" s="50" t="str">
        <f t="shared" si="45"/>
        <v/>
      </c>
      <c r="EB34" s="50" t="str">
        <f t="shared" si="45"/>
        <v/>
      </c>
      <c r="EC34" s="50" t="str">
        <f t="shared" si="45"/>
        <v/>
      </c>
      <c r="ED34" s="50" t="str">
        <f t="shared" si="45"/>
        <v/>
      </c>
      <c r="EE34" s="50" t="str">
        <f t="shared" si="45"/>
        <v/>
      </c>
      <c r="EF34" s="50" t="str">
        <f t="shared" si="45"/>
        <v/>
      </c>
      <c r="EG34" s="50" t="str">
        <f t="shared" si="45"/>
        <v/>
      </c>
      <c r="EH34" s="50" t="str">
        <f t="shared" si="45"/>
        <v/>
      </c>
      <c r="EI34" s="50" t="str">
        <f t="shared" si="45"/>
        <v/>
      </c>
      <c r="EJ34" s="50" t="str">
        <f t="shared" si="45"/>
        <v/>
      </c>
      <c r="EK34" s="50" t="str">
        <f t="shared" si="45"/>
        <v/>
      </c>
      <c r="EL34" s="50" t="str">
        <f t="shared" si="45"/>
        <v/>
      </c>
      <c r="EM34" s="50" t="str">
        <f t="shared" si="53"/>
        <v/>
      </c>
      <c r="EN34" s="50" t="str">
        <f t="shared" si="53"/>
        <v/>
      </c>
      <c r="EO34" s="50" t="str">
        <f t="shared" si="53"/>
        <v/>
      </c>
      <c r="EP34" s="50" t="str">
        <f t="shared" si="53"/>
        <v/>
      </c>
      <c r="EQ34" s="50" t="str">
        <f t="shared" si="53"/>
        <v/>
      </c>
      <c r="ER34" s="50" t="str">
        <f t="shared" si="53"/>
        <v/>
      </c>
      <c r="ES34" s="50" t="str">
        <f t="shared" si="53"/>
        <v/>
      </c>
      <c r="ET34" s="50" t="str">
        <f t="shared" si="53"/>
        <v/>
      </c>
      <c r="EU34" s="50" t="str">
        <f t="shared" si="53"/>
        <v/>
      </c>
      <c r="EV34" s="50" t="str">
        <f t="shared" si="53"/>
        <v/>
      </c>
      <c r="EW34" s="50" t="str">
        <f t="shared" si="53"/>
        <v/>
      </c>
      <c r="EX34" s="50" t="str">
        <f t="shared" si="53"/>
        <v/>
      </c>
      <c r="EY34" s="50" t="str">
        <f t="shared" si="53"/>
        <v/>
      </c>
      <c r="EZ34" s="50" t="str">
        <f t="shared" si="53"/>
        <v/>
      </c>
      <c r="FA34" s="50" t="str">
        <f t="shared" si="53"/>
        <v/>
      </c>
      <c r="FB34" s="50" t="str">
        <f t="shared" si="53"/>
        <v/>
      </c>
      <c r="FC34" s="50" t="str">
        <f t="shared" si="54"/>
        <v/>
      </c>
      <c r="FD34" s="50" t="str">
        <f t="shared" si="54"/>
        <v/>
      </c>
      <c r="FE34" s="50" t="str">
        <f t="shared" si="54"/>
        <v/>
      </c>
      <c r="FF34" s="50" t="str">
        <f t="shared" si="54"/>
        <v/>
      </c>
      <c r="FG34" s="50" t="str">
        <f t="shared" si="54"/>
        <v/>
      </c>
      <c r="FH34" s="50" t="str">
        <f t="shared" si="54"/>
        <v/>
      </c>
      <c r="FI34" s="50" t="str">
        <f t="shared" si="54"/>
        <v/>
      </c>
      <c r="FJ34" s="50" t="str">
        <f t="shared" si="54"/>
        <v/>
      </c>
      <c r="FK34" s="50" t="str">
        <f t="shared" si="54"/>
        <v/>
      </c>
      <c r="FL34" s="50" t="str">
        <f t="shared" si="54"/>
        <v/>
      </c>
      <c r="FM34" s="50" t="str">
        <f t="shared" si="54"/>
        <v/>
      </c>
      <c r="FN34" s="50" t="str">
        <f t="shared" si="54"/>
        <v/>
      </c>
      <c r="FO34" s="50" t="str">
        <f t="shared" si="54"/>
        <v/>
      </c>
      <c r="FP34" s="50" t="str">
        <f t="shared" si="54"/>
        <v/>
      </c>
      <c r="FQ34" s="50" t="str">
        <f t="shared" si="54"/>
        <v/>
      </c>
      <c r="FR34" s="50" t="str">
        <f t="shared" si="54"/>
        <v/>
      </c>
      <c r="FS34" s="50" t="str">
        <f t="shared" si="54"/>
        <v/>
      </c>
      <c r="FT34" s="50" t="str">
        <f t="shared" si="54"/>
        <v/>
      </c>
      <c r="FU34" s="50" t="str">
        <f t="shared" si="54"/>
        <v/>
      </c>
      <c r="FV34" s="50" t="str">
        <f t="shared" si="54"/>
        <v/>
      </c>
      <c r="FW34" s="50" t="str">
        <f t="shared" si="54"/>
        <v/>
      </c>
      <c r="FX34" s="50" t="str">
        <f t="shared" si="54"/>
        <v/>
      </c>
      <c r="FY34" s="50" t="str">
        <f t="shared" si="54"/>
        <v/>
      </c>
      <c r="FZ34" s="50" t="str">
        <f t="shared" si="54"/>
        <v/>
      </c>
      <c r="GA34" s="50" t="str">
        <f t="shared" si="54"/>
        <v/>
      </c>
      <c r="GB34" s="50" t="str">
        <f t="shared" si="54"/>
        <v/>
      </c>
      <c r="GC34" s="50" t="str">
        <f t="shared" si="54"/>
        <v/>
      </c>
      <c r="GD34" s="50" t="str">
        <f t="shared" si="54"/>
        <v/>
      </c>
      <c r="GE34" s="50" t="str">
        <f t="shared" si="54"/>
        <v/>
      </c>
      <c r="GF34" s="50" t="str">
        <f t="shared" si="54"/>
        <v/>
      </c>
      <c r="GG34" s="50" t="str">
        <f t="shared" si="54"/>
        <v/>
      </c>
      <c r="GH34" s="50" t="str">
        <f t="shared" si="54"/>
        <v/>
      </c>
      <c r="GI34" s="50" t="str">
        <f t="shared" si="54"/>
        <v/>
      </c>
      <c r="GJ34" s="50" t="str">
        <f t="shared" si="54"/>
        <v/>
      </c>
      <c r="GK34" s="50" t="str">
        <f t="shared" si="54"/>
        <v/>
      </c>
      <c r="GL34" s="50" t="str">
        <f t="shared" si="54"/>
        <v/>
      </c>
      <c r="GM34" s="50" t="str">
        <f t="shared" si="54"/>
        <v/>
      </c>
      <c r="GN34" s="50" t="str">
        <f t="shared" si="54"/>
        <v/>
      </c>
      <c r="GO34" s="50" t="str">
        <f t="shared" si="54"/>
        <v/>
      </c>
      <c r="GP34" s="50" t="str">
        <f t="shared" si="54"/>
        <v/>
      </c>
      <c r="GQ34" s="50" t="str">
        <f t="shared" si="54"/>
        <v/>
      </c>
      <c r="GR34" s="50" t="str">
        <f t="shared" si="54"/>
        <v/>
      </c>
      <c r="GS34" s="50" t="str">
        <f t="shared" si="54"/>
        <v/>
      </c>
      <c r="GT34" s="50" t="str">
        <f t="shared" si="54"/>
        <v/>
      </c>
      <c r="GU34" s="50" t="str">
        <f t="shared" si="54"/>
        <v/>
      </c>
      <c r="GV34" s="50" t="str">
        <f t="shared" si="54"/>
        <v/>
      </c>
      <c r="GW34" s="50" t="str">
        <f t="shared" si="54"/>
        <v/>
      </c>
      <c r="GX34" s="50" t="str">
        <f t="shared" si="50"/>
        <v/>
      </c>
      <c r="GY34" s="50" t="str">
        <f t="shared" si="50"/>
        <v/>
      </c>
      <c r="GZ34" s="50" t="str">
        <f t="shared" si="50"/>
        <v/>
      </c>
      <c r="HA34" s="50" t="str">
        <f t="shared" si="50"/>
        <v/>
      </c>
      <c r="HB34" s="50" t="str">
        <f t="shared" si="50"/>
        <v/>
      </c>
      <c r="HC34" s="50" t="str">
        <f t="shared" si="50"/>
        <v/>
      </c>
      <c r="HD34" s="50" t="str">
        <f t="shared" si="50"/>
        <v/>
      </c>
      <c r="HE34" s="50" t="str">
        <f t="shared" si="50"/>
        <v/>
      </c>
      <c r="HF34" s="50" t="str">
        <f t="shared" si="50"/>
        <v/>
      </c>
      <c r="HG34" s="50" t="str">
        <f t="shared" si="50"/>
        <v/>
      </c>
      <c r="HH34" s="50" t="str">
        <f t="shared" si="50"/>
        <v/>
      </c>
      <c r="HI34" s="50" t="str">
        <f t="shared" si="50"/>
        <v/>
      </c>
      <c r="HJ34" s="50" t="str">
        <f t="shared" si="50"/>
        <v/>
      </c>
      <c r="HK34" s="50" t="str">
        <f t="shared" si="50"/>
        <v/>
      </c>
      <c r="HL34" s="50" t="str">
        <f t="shared" si="50"/>
        <v/>
      </c>
      <c r="HM34" s="50" t="str">
        <f t="shared" si="50"/>
        <v/>
      </c>
      <c r="HN34" s="50" t="str">
        <f t="shared" si="48"/>
        <v/>
      </c>
      <c r="HO34" s="50" t="str">
        <f t="shared" si="48"/>
        <v/>
      </c>
      <c r="HP34" s="50" t="str">
        <f t="shared" si="48"/>
        <v/>
      </c>
      <c r="HQ34" s="50" t="str">
        <f t="shared" si="48"/>
        <v/>
      </c>
      <c r="HR34" s="112" t="str">
        <f t="shared" si="48"/>
        <v/>
      </c>
    </row>
    <row r="35" spans="1:226" ht="11.1" customHeight="1" x14ac:dyDescent="0.25">
      <c r="A35" s="26" t="s">
        <v>33</v>
      </c>
      <c r="B35" s="27">
        <v>61</v>
      </c>
      <c r="C35" s="28" t="str">
        <f>IF(A35=0,"",VLOOKUP(A35,[2]CO!$A$3:$F$5327,2,0))</f>
        <v>Lote</v>
      </c>
      <c r="D35" s="29" t="s">
        <v>34</v>
      </c>
      <c r="E35" s="29"/>
      <c r="F35" s="29"/>
      <c r="G35" s="30" t="str">
        <f>IF(A35=0,"",VLOOKUP(A35,[2]CO!$A$3:$F$5327,3,0))</f>
        <v>LOTE</v>
      </c>
      <c r="H35" s="95"/>
      <c r="I35" s="31">
        <v>5.4617999999999993</v>
      </c>
      <c r="J35" s="31"/>
      <c r="K35" s="31"/>
      <c r="L35" s="31">
        <v>4</v>
      </c>
      <c r="M35" s="32">
        <f t="shared" si="38"/>
        <v>21.847199999999997</v>
      </c>
      <c r="N35" s="32">
        <f>IF(B35=0,"",IF(H35="M",HLOOKUP(B35,$Y$12:$DT$13,2),IF(A35=0,"",VLOOKUP(A35,[2]CO!$A$3:$F$5327,4,0))))</f>
        <v>100</v>
      </c>
      <c r="O35" s="32">
        <f t="shared" si="7"/>
        <v>2184.7199999999998</v>
      </c>
      <c r="P35" s="33">
        <v>61</v>
      </c>
      <c r="Q35" s="34">
        <f t="shared" si="39"/>
        <v>17477.759999999998</v>
      </c>
      <c r="R35" s="35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RESIDENTE",G35="TOPOGRAFIA"),VLOOKUP(B35,P$14:Q$59,2),"")*S35)</f>
        <v/>
      </c>
      <c r="T35" s="53">
        <f>IF(A35=0,"",VLOOKUP(A35,[2]CO!$A$3:$F$5318,5,0))</f>
        <v>0</v>
      </c>
      <c r="U35" s="54">
        <f t="shared" si="40"/>
        <v>0</v>
      </c>
      <c r="V35" s="24"/>
      <c r="W35" s="25"/>
      <c r="X35" s="25"/>
      <c r="Y35" s="64" t="str">
        <f t="shared" si="41"/>
        <v/>
      </c>
      <c r="Z35" s="55" t="str">
        <f t="shared" si="41"/>
        <v/>
      </c>
      <c r="AA35" s="55" t="str">
        <f t="shared" si="41"/>
        <v/>
      </c>
      <c r="AB35" s="55" t="str">
        <f t="shared" si="41"/>
        <v/>
      </c>
      <c r="AC35" s="55" t="str">
        <f t="shared" si="41"/>
        <v/>
      </c>
      <c r="AD35" s="55" t="str">
        <f t="shared" si="41"/>
        <v/>
      </c>
      <c r="AE35" s="55" t="str">
        <f t="shared" si="41"/>
        <v/>
      </c>
      <c r="AF35" s="55" t="str">
        <f t="shared" si="41"/>
        <v/>
      </c>
      <c r="AG35" s="55" t="str">
        <f t="shared" si="41"/>
        <v/>
      </c>
      <c r="AH35" s="55" t="str">
        <f t="shared" si="41"/>
        <v/>
      </c>
      <c r="AI35" s="55" t="str">
        <f t="shared" si="41"/>
        <v/>
      </c>
      <c r="AJ35" s="55" t="str">
        <f t="shared" si="41"/>
        <v/>
      </c>
      <c r="AK35" s="55" t="str">
        <f t="shared" si="41"/>
        <v/>
      </c>
      <c r="AL35" s="55" t="str">
        <f t="shared" si="41"/>
        <v/>
      </c>
      <c r="AM35" s="55" t="str">
        <f t="shared" si="41"/>
        <v/>
      </c>
      <c r="AN35" s="55" t="str">
        <f t="shared" si="41"/>
        <v/>
      </c>
      <c r="AO35" s="55" t="str">
        <f t="shared" si="51"/>
        <v/>
      </c>
      <c r="AP35" s="55" t="str">
        <f t="shared" si="51"/>
        <v/>
      </c>
      <c r="AQ35" s="55" t="str">
        <f t="shared" si="51"/>
        <v/>
      </c>
      <c r="AR35" s="55" t="str">
        <f t="shared" si="51"/>
        <v/>
      </c>
      <c r="AS35" s="55" t="str">
        <f t="shared" si="51"/>
        <v/>
      </c>
      <c r="AT35" s="55" t="str">
        <f t="shared" si="51"/>
        <v/>
      </c>
      <c r="AU35" s="55" t="str">
        <f t="shared" si="51"/>
        <v/>
      </c>
      <c r="AV35" s="55" t="str">
        <f t="shared" si="51"/>
        <v/>
      </c>
      <c r="AW35" s="55" t="str">
        <f t="shared" si="51"/>
        <v/>
      </c>
      <c r="AX35" s="55" t="str">
        <f t="shared" si="51"/>
        <v/>
      </c>
      <c r="AY35" s="55" t="str">
        <f t="shared" si="51"/>
        <v/>
      </c>
      <c r="AZ35" s="55" t="str">
        <f t="shared" si="51"/>
        <v/>
      </c>
      <c r="BA35" s="55" t="str">
        <f t="shared" si="51"/>
        <v/>
      </c>
      <c r="BB35" s="55" t="str">
        <f t="shared" si="51"/>
        <v/>
      </c>
      <c r="BC35" s="55" t="str">
        <f t="shared" si="51"/>
        <v/>
      </c>
      <c r="BD35" s="55" t="str">
        <f t="shared" si="51"/>
        <v/>
      </c>
      <c r="BE35" s="55" t="str">
        <f t="shared" si="52"/>
        <v/>
      </c>
      <c r="BF35" s="55" t="str">
        <f t="shared" si="52"/>
        <v/>
      </c>
      <c r="BG35" s="55" t="str">
        <f t="shared" si="52"/>
        <v/>
      </c>
      <c r="BH35" s="55" t="str">
        <f t="shared" si="52"/>
        <v/>
      </c>
      <c r="BI35" s="55" t="str">
        <f t="shared" si="52"/>
        <v/>
      </c>
      <c r="BJ35" s="55" t="str">
        <f t="shared" si="52"/>
        <v/>
      </c>
      <c r="BK35" s="55" t="str">
        <f t="shared" si="52"/>
        <v/>
      </c>
      <c r="BL35" s="55" t="str">
        <f t="shared" si="52"/>
        <v/>
      </c>
      <c r="BM35" s="55" t="str">
        <f t="shared" si="52"/>
        <v/>
      </c>
      <c r="BN35" s="55" t="str">
        <f t="shared" si="52"/>
        <v/>
      </c>
      <c r="BO35" s="55" t="str">
        <f t="shared" si="52"/>
        <v/>
      </c>
      <c r="BP35" s="55" t="str">
        <f t="shared" si="52"/>
        <v/>
      </c>
      <c r="BQ35" s="55" t="str">
        <f t="shared" si="52"/>
        <v/>
      </c>
      <c r="BR35" s="55" t="str">
        <f t="shared" si="52"/>
        <v/>
      </c>
      <c r="BS35" s="55" t="str">
        <f t="shared" si="52"/>
        <v/>
      </c>
      <c r="BT35" s="55" t="str">
        <f t="shared" si="52"/>
        <v/>
      </c>
      <c r="BU35" s="55" t="str">
        <f t="shared" si="52"/>
        <v/>
      </c>
      <c r="BV35" s="55" t="str">
        <f t="shared" si="52"/>
        <v/>
      </c>
      <c r="BW35" s="55" t="str">
        <f t="shared" si="52"/>
        <v/>
      </c>
      <c r="BX35" s="55" t="str">
        <f t="shared" si="52"/>
        <v/>
      </c>
      <c r="BY35" s="55" t="str">
        <f t="shared" si="52"/>
        <v/>
      </c>
      <c r="BZ35" s="55" t="str">
        <f t="shared" si="52"/>
        <v/>
      </c>
      <c r="CA35" s="55" t="str">
        <f t="shared" si="52"/>
        <v/>
      </c>
      <c r="CB35" s="55" t="str">
        <f t="shared" si="52"/>
        <v/>
      </c>
      <c r="CC35" s="55" t="str">
        <f t="shared" si="52"/>
        <v/>
      </c>
      <c r="CD35" s="55" t="str">
        <f t="shared" si="52"/>
        <v/>
      </c>
      <c r="CE35" s="55" t="str">
        <f t="shared" si="52"/>
        <v/>
      </c>
      <c r="CF35" s="55" t="str">
        <f t="shared" si="52"/>
        <v/>
      </c>
      <c r="CG35" s="55">
        <f t="shared" si="52"/>
        <v>0</v>
      </c>
      <c r="CH35" s="55" t="str">
        <f t="shared" si="52"/>
        <v/>
      </c>
      <c r="CI35" s="55" t="str">
        <f t="shared" si="52"/>
        <v/>
      </c>
      <c r="CJ35" s="55" t="str">
        <f t="shared" si="52"/>
        <v/>
      </c>
      <c r="CK35" s="55" t="str">
        <f t="shared" si="52"/>
        <v/>
      </c>
      <c r="CL35" s="55" t="str">
        <f t="shared" si="52"/>
        <v/>
      </c>
      <c r="CM35" s="55" t="str">
        <f t="shared" si="52"/>
        <v/>
      </c>
      <c r="CN35" s="55" t="str">
        <f t="shared" si="52"/>
        <v/>
      </c>
      <c r="CO35" s="55" t="str">
        <f t="shared" si="52"/>
        <v/>
      </c>
      <c r="CP35" s="55" t="str">
        <f t="shared" si="52"/>
        <v/>
      </c>
      <c r="CQ35" s="55" t="str">
        <f t="shared" si="52"/>
        <v/>
      </c>
      <c r="CR35" s="55" t="str">
        <f t="shared" si="52"/>
        <v/>
      </c>
      <c r="CS35" s="55" t="str">
        <f t="shared" si="52"/>
        <v/>
      </c>
      <c r="CT35" s="55" t="str">
        <f t="shared" si="52"/>
        <v/>
      </c>
      <c r="CU35" s="55" t="str">
        <f t="shared" si="52"/>
        <v/>
      </c>
      <c r="CV35" s="55" t="str">
        <f t="shared" si="52"/>
        <v/>
      </c>
      <c r="CW35" s="55" t="str">
        <f t="shared" si="52"/>
        <v/>
      </c>
      <c r="CX35" s="55" t="str">
        <f t="shared" si="52"/>
        <v/>
      </c>
      <c r="CY35" s="55" t="str">
        <f t="shared" si="52"/>
        <v/>
      </c>
      <c r="CZ35" s="55" t="str">
        <f t="shared" si="49"/>
        <v/>
      </c>
      <c r="DA35" s="55" t="str">
        <f t="shared" si="49"/>
        <v/>
      </c>
      <c r="DB35" s="55" t="str">
        <f t="shared" si="49"/>
        <v/>
      </c>
      <c r="DC35" s="55" t="str">
        <f t="shared" si="49"/>
        <v/>
      </c>
      <c r="DD35" s="55" t="str">
        <f t="shared" si="49"/>
        <v/>
      </c>
      <c r="DE35" s="55" t="str">
        <f t="shared" si="49"/>
        <v/>
      </c>
      <c r="DF35" s="55" t="str">
        <f t="shared" si="49"/>
        <v/>
      </c>
      <c r="DG35" s="55" t="str">
        <f t="shared" si="49"/>
        <v/>
      </c>
      <c r="DH35" s="55" t="str">
        <f t="shared" si="49"/>
        <v/>
      </c>
      <c r="DI35" s="55" t="str">
        <f t="shared" si="49"/>
        <v/>
      </c>
      <c r="DJ35" s="55" t="str">
        <f t="shared" si="49"/>
        <v/>
      </c>
      <c r="DK35" s="55" t="str">
        <f t="shared" si="43"/>
        <v/>
      </c>
      <c r="DL35" s="55" t="str">
        <f t="shared" si="43"/>
        <v/>
      </c>
      <c r="DM35" s="55" t="str">
        <f t="shared" si="43"/>
        <v/>
      </c>
      <c r="DN35" s="55" t="str">
        <f t="shared" si="43"/>
        <v/>
      </c>
      <c r="DO35" s="55" t="str">
        <f t="shared" si="43"/>
        <v/>
      </c>
      <c r="DP35" s="55" t="str">
        <f t="shared" si="43"/>
        <v/>
      </c>
      <c r="DQ35" s="55" t="str">
        <f t="shared" si="44"/>
        <v/>
      </c>
      <c r="DR35" s="55" t="str">
        <f t="shared" si="44"/>
        <v/>
      </c>
      <c r="DS35" s="55" t="str">
        <f t="shared" si="44"/>
        <v/>
      </c>
      <c r="DT35" s="106" t="str">
        <f t="shared" si="44"/>
        <v/>
      </c>
      <c r="DU35" s="54"/>
      <c r="DV35" s="25"/>
      <c r="DW35" s="61" t="str">
        <f t="shared" si="45"/>
        <v/>
      </c>
      <c r="DX35" s="50" t="str">
        <f t="shared" si="45"/>
        <v/>
      </c>
      <c r="DY35" s="50" t="str">
        <f t="shared" si="45"/>
        <v/>
      </c>
      <c r="DZ35" s="50" t="str">
        <f t="shared" si="45"/>
        <v/>
      </c>
      <c r="EA35" s="50" t="str">
        <f t="shared" si="45"/>
        <v/>
      </c>
      <c r="EB35" s="50" t="str">
        <f t="shared" si="45"/>
        <v/>
      </c>
      <c r="EC35" s="50" t="str">
        <f t="shared" si="45"/>
        <v/>
      </c>
      <c r="ED35" s="50" t="str">
        <f t="shared" si="45"/>
        <v/>
      </c>
      <c r="EE35" s="50" t="str">
        <f t="shared" si="45"/>
        <v/>
      </c>
      <c r="EF35" s="50" t="str">
        <f t="shared" si="45"/>
        <v/>
      </c>
      <c r="EG35" s="50" t="str">
        <f t="shared" si="45"/>
        <v/>
      </c>
      <c r="EH35" s="50" t="str">
        <f t="shared" si="45"/>
        <v/>
      </c>
      <c r="EI35" s="50" t="str">
        <f t="shared" si="45"/>
        <v/>
      </c>
      <c r="EJ35" s="50" t="str">
        <f t="shared" si="45"/>
        <v/>
      </c>
      <c r="EK35" s="50" t="str">
        <f t="shared" si="45"/>
        <v/>
      </c>
      <c r="EL35" s="50" t="str">
        <f t="shared" si="45"/>
        <v/>
      </c>
      <c r="EM35" s="50" t="str">
        <f t="shared" si="53"/>
        <v/>
      </c>
      <c r="EN35" s="50" t="str">
        <f t="shared" si="53"/>
        <v/>
      </c>
      <c r="EO35" s="50" t="str">
        <f t="shared" si="53"/>
        <v/>
      </c>
      <c r="EP35" s="50" t="str">
        <f t="shared" si="53"/>
        <v/>
      </c>
      <c r="EQ35" s="50" t="str">
        <f t="shared" si="53"/>
        <v/>
      </c>
      <c r="ER35" s="50" t="str">
        <f t="shared" si="53"/>
        <v/>
      </c>
      <c r="ES35" s="50" t="str">
        <f t="shared" si="53"/>
        <v/>
      </c>
      <c r="ET35" s="50" t="str">
        <f t="shared" si="53"/>
        <v/>
      </c>
      <c r="EU35" s="50" t="str">
        <f t="shared" si="53"/>
        <v/>
      </c>
      <c r="EV35" s="50" t="str">
        <f t="shared" si="53"/>
        <v/>
      </c>
      <c r="EW35" s="50" t="str">
        <f t="shared" si="53"/>
        <v/>
      </c>
      <c r="EX35" s="50" t="str">
        <f t="shared" si="53"/>
        <v/>
      </c>
      <c r="EY35" s="50" t="str">
        <f t="shared" si="53"/>
        <v/>
      </c>
      <c r="EZ35" s="50" t="str">
        <f t="shared" si="53"/>
        <v/>
      </c>
      <c r="FA35" s="50" t="str">
        <f t="shared" si="53"/>
        <v/>
      </c>
      <c r="FB35" s="50" t="str">
        <f t="shared" si="53"/>
        <v/>
      </c>
      <c r="FC35" s="50" t="str">
        <f t="shared" si="54"/>
        <v/>
      </c>
      <c r="FD35" s="50" t="str">
        <f t="shared" si="54"/>
        <v/>
      </c>
      <c r="FE35" s="50" t="str">
        <f t="shared" si="54"/>
        <v/>
      </c>
      <c r="FF35" s="50" t="str">
        <f t="shared" si="54"/>
        <v/>
      </c>
      <c r="FG35" s="50" t="str">
        <f t="shared" si="54"/>
        <v/>
      </c>
      <c r="FH35" s="50" t="str">
        <f t="shared" si="54"/>
        <v/>
      </c>
      <c r="FI35" s="50" t="str">
        <f t="shared" si="54"/>
        <v/>
      </c>
      <c r="FJ35" s="50" t="str">
        <f t="shared" si="54"/>
        <v/>
      </c>
      <c r="FK35" s="50" t="str">
        <f t="shared" si="54"/>
        <v/>
      </c>
      <c r="FL35" s="50" t="str">
        <f t="shared" si="54"/>
        <v/>
      </c>
      <c r="FM35" s="50" t="str">
        <f t="shared" si="54"/>
        <v/>
      </c>
      <c r="FN35" s="50" t="str">
        <f t="shared" si="54"/>
        <v/>
      </c>
      <c r="FO35" s="50" t="str">
        <f t="shared" si="54"/>
        <v/>
      </c>
      <c r="FP35" s="50" t="str">
        <f t="shared" si="54"/>
        <v/>
      </c>
      <c r="FQ35" s="50" t="str">
        <f t="shared" si="54"/>
        <v/>
      </c>
      <c r="FR35" s="50" t="str">
        <f t="shared" si="54"/>
        <v/>
      </c>
      <c r="FS35" s="50" t="str">
        <f t="shared" si="54"/>
        <v/>
      </c>
      <c r="FT35" s="50" t="str">
        <f t="shared" si="54"/>
        <v/>
      </c>
      <c r="FU35" s="50" t="str">
        <f t="shared" si="54"/>
        <v/>
      </c>
      <c r="FV35" s="50" t="str">
        <f t="shared" si="54"/>
        <v/>
      </c>
      <c r="FW35" s="50" t="str">
        <f t="shared" si="54"/>
        <v/>
      </c>
      <c r="FX35" s="50" t="str">
        <f t="shared" si="54"/>
        <v/>
      </c>
      <c r="FY35" s="50" t="str">
        <f t="shared" si="54"/>
        <v/>
      </c>
      <c r="FZ35" s="50" t="str">
        <f t="shared" si="54"/>
        <v/>
      </c>
      <c r="GA35" s="50" t="str">
        <f t="shared" si="54"/>
        <v/>
      </c>
      <c r="GB35" s="50" t="str">
        <f t="shared" si="54"/>
        <v/>
      </c>
      <c r="GC35" s="50" t="str">
        <f t="shared" si="54"/>
        <v/>
      </c>
      <c r="GD35" s="50" t="str">
        <f t="shared" si="54"/>
        <v/>
      </c>
      <c r="GE35" s="50">
        <f t="shared" si="54"/>
        <v>2184.7199999999998</v>
      </c>
      <c r="GF35" s="50" t="str">
        <f t="shared" si="54"/>
        <v/>
      </c>
      <c r="GG35" s="50" t="str">
        <f t="shared" si="54"/>
        <v/>
      </c>
      <c r="GH35" s="50" t="str">
        <f t="shared" si="54"/>
        <v/>
      </c>
      <c r="GI35" s="50" t="str">
        <f t="shared" si="54"/>
        <v/>
      </c>
      <c r="GJ35" s="50" t="str">
        <f t="shared" si="54"/>
        <v/>
      </c>
      <c r="GK35" s="50" t="str">
        <f t="shared" si="54"/>
        <v/>
      </c>
      <c r="GL35" s="50" t="str">
        <f t="shared" si="54"/>
        <v/>
      </c>
      <c r="GM35" s="50" t="str">
        <f t="shared" si="54"/>
        <v/>
      </c>
      <c r="GN35" s="50" t="str">
        <f t="shared" si="54"/>
        <v/>
      </c>
      <c r="GO35" s="50" t="str">
        <f t="shared" si="54"/>
        <v/>
      </c>
      <c r="GP35" s="50" t="str">
        <f t="shared" si="54"/>
        <v/>
      </c>
      <c r="GQ35" s="50" t="str">
        <f t="shared" si="54"/>
        <v/>
      </c>
      <c r="GR35" s="50" t="str">
        <f t="shared" si="54"/>
        <v/>
      </c>
      <c r="GS35" s="50" t="str">
        <f t="shared" si="54"/>
        <v/>
      </c>
      <c r="GT35" s="50" t="str">
        <f t="shared" si="54"/>
        <v/>
      </c>
      <c r="GU35" s="50" t="str">
        <f t="shared" si="54"/>
        <v/>
      </c>
      <c r="GV35" s="50" t="str">
        <f t="shared" si="54"/>
        <v/>
      </c>
      <c r="GW35" s="50" t="str">
        <f t="shared" si="54"/>
        <v/>
      </c>
      <c r="GX35" s="50" t="str">
        <f t="shared" si="50"/>
        <v/>
      </c>
      <c r="GY35" s="50" t="str">
        <f t="shared" si="50"/>
        <v/>
      </c>
      <c r="GZ35" s="50" t="str">
        <f t="shared" si="50"/>
        <v/>
      </c>
      <c r="HA35" s="50" t="str">
        <f t="shared" si="50"/>
        <v/>
      </c>
      <c r="HB35" s="50" t="str">
        <f t="shared" si="50"/>
        <v/>
      </c>
      <c r="HC35" s="50" t="str">
        <f t="shared" si="50"/>
        <v/>
      </c>
      <c r="HD35" s="50" t="str">
        <f t="shared" si="50"/>
        <v/>
      </c>
      <c r="HE35" s="50" t="str">
        <f t="shared" si="50"/>
        <v/>
      </c>
      <c r="HF35" s="50" t="str">
        <f t="shared" si="50"/>
        <v/>
      </c>
      <c r="HG35" s="50" t="str">
        <f t="shared" si="50"/>
        <v/>
      </c>
      <c r="HH35" s="50" t="str">
        <f t="shared" si="50"/>
        <v/>
      </c>
      <c r="HI35" s="50" t="str">
        <f t="shared" si="50"/>
        <v/>
      </c>
      <c r="HJ35" s="50" t="str">
        <f t="shared" si="50"/>
        <v/>
      </c>
      <c r="HK35" s="50" t="str">
        <f t="shared" si="50"/>
        <v/>
      </c>
      <c r="HL35" s="50" t="str">
        <f t="shared" si="50"/>
        <v/>
      </c>
      <c r="HM35" s="50" t="str">
        <f t="shared" si="50"/>
        <v/>
      </c>
      <c r="HN35" s="50" t="str">
        <f t="shared" si="48"/>
        <v/>
      </c>
      <c r="HO35" s="50" t="str">
        <f t="shared" si="48"/>
        <v/>
      </c>
      <c r="HP35" s="50" t="str">
        <f t="shared" si="48"/>
        <v/>
      </c>
      <c r="HQ35" s="50" t="str">
        <f t="shared" si="48"/>
        <v/>
      </c>
      <c r="HR35" s="112" t="str">
        <f t="shared" si="48"/>
        <v/>
      </c>
    </row>
    <row r="36" spans="1:226" ht="11.1" customHeight="1" x14ac:dyDescent="0.25">
      <c r="A36" s="26"/>
      <c r="B36" s="27"/>
      <c r="C36" s="28" t="str">
        <f>IF(A36=0,"",VLOOKUP(A36,[2]CO!$A$3:$F$5327,2,0))</f>
        <v/>
      </c>
      <c r="D36" s="29"/>
      <c r="E36" s="29"/>
      <c r="F36" s="29"/>
      <c r="G36" s="30" t="str">
        <f>IF(A36=0,"",VLOOKUP(A36,[2]CO!$A$3:$F$5327,3,0))</f>
        <v/>
      </c>
      <c r="H36" s="95"/>
      <c r="I36" s="31"/>
      <c r="J36" s="31"/>
      <c r="K36" s="31"/>
      <c r="L36" s="31"/>
      <c r="M36" s="32" t="str">
        <f t="shared" ref="M36:M38" si="55">IF(H36&gt;0,H36*Q$24/N36,IF(AND(L36&gt;0,I36&gt;0),L36*I36,IF(L36&gt;0,L36,"")))</f>
        <v/>
      </c>
      <c r="N36" s="32" t="str">
        <f>IF(B36=0,"",IF(H36="M",HLOOKUP(B36,$Y$12:$DT$13,2),IF(A36=0,"",VLOOKUP(A36,[2]CO!$A$3:$F$5327,4,0))))</f>
        <v/>
      </c>
      <c r="O36" s="32" t="str">
        <f t="shared" ref="O36:O38" si="56">IF(L36=0,"",PRODUCT(M36:N36))</f>
        <v/>
      </c>
      <c r="P36" s="33"/>
      <c r="Q36" s="34" t="str">
        <f t="shared" ref="Q36:Q38" si="57">IF(P36=0,"",(HLOOKUP(P36,$DW$12:$HR$13,2)))</f>
        <v/>
      </c>
      <c r="R36" s="3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RESIDENTE",G36="TOPOGRAFIA"),VLOOKUP(B36,P$14:Q$59,2),"")*S36)</f>
        <v/>
      </c>
      <c r="T36" s="53" t="str">
        <f>IF(A36=0,"",VLOOKUP(A36,[2]CO!$A$3:$F$5318,5,0))</f>
        <v/>
      </c>
      <c r="U36" s="54">
        <f t="shared" ref="U36:U38" si="58">IF(T36=1,O36*0.1,)</f>
        <v>0</v>
      </c>
      <c r="V36" s="24"/>
      <c r="W36" s="25"/>
      <c r="X36" s="25"/>
      <c r="Y36" s="64" t="str">
        <f t="shared" ref="Y36:AN37" si="59">IF($B36=Y$12,$U36,"")</f>
        <v/>
      </c>
      <c r="Z36" s="55" t="str">
        <f t="shared" si="59"/>
        <v/>
      </c>
      <c r="AA36" s="55" t="str">
        <f t="shared" si="59"/>
        <v/>
      </c>
      <c r="AB36" s="55" t="str">
        <f t="shared" si="59"/>
        <v/>
      </c>
      <c r="AC36" s="55" t="str">
        <f t="shared" si="59"/>
        <v/>
      </c>
      <c r="AD36" s="55" t="str">
        <f t="shared" si="59"/>
        <v/>
      </c>
      <c r="AE36" s="55" t="str">
        <f t="shared" si="59"/>
        <v/>
      </c>
      <c r="AF36" s="55" t="str">
        <f t="shared" si="59"/>
        <v/>
      </c>
      <c r="AG36" s="55" t="str">
        <f t="shared" si="59"/>
        <v/>
      </c>
      <c r="AH36" s="55" t="str">
        <f t="shared" si="59"/>
        <v/>
      </c>
      <c r="AI36" s="55" t="str">
        <f t="shared" si="59"/>
        <v/>
      </c>
      <c r="AJ36" s="55" t="str">
        <f t="shared" si="59"/>
        <v/>
      </c>
      <c r="AK36" s="55" t="str">
        <f t="shared" si="59"/>
        <v/>
      </c>
      <c r="AL36" s="55" t="str">
        <f t="shared" si="59"/>
        <v/>
      </c>
      <c r="AM36" s="55" t="str">
        <f t="shared" si="59"/>
        <v/>
      </c>
      <c r="AN36" s="55" t="str">
        <f t="shared" si="59"/>
        <v/>
      </c>
      <c r="AO36" s="55" t="str">
        <f t="shared" ref="AO36:BD37" si="60">IF($B36=AO$12,$U36,"")</f>
        <v/>
      </c>
      <c r="AP36" s="55" t="str">
        <f t="shared" si="60"/>
        <v/>
      </c>
      <c r="AQ36" s="55" t="str">
        <f t="shared" si="60"/>
        <v/>
      </c>
      <c r="AR36" s="55" t="str">
        <f t="shared" si="60"/>
        <v/>
      </c>
      <c r="AS36" s="55" t="str">
        <f t="shared" si="60"/>
        <v/>
      </c>
      <c r="AT36" s="55" t="str">
        <f t="shared" si="60"/>
        <v/>
      </c>
      <c r="AU36" s="55" t="str">
        <f t="shared" si="60"/>
        <v/>
      </c>
      <c r="AV36" s="55" t="str">
        <f t="shared" si="60"/>
        <v/>
      </c>
      <c r="AW36" s="55" t="str">
        <f t="shared" si="60"/>
        <v/>
      </c>
      <c r="AX36" s="55" t="str">
        <f t="shared" si="60"/>
        <v/>
      </c>
      <c r="AY36" s="55" t="str">
        <f t="shared" si="60"/>
        <v/>
      </c>
      <c r="AZ36" s="55" t="str">
        <f t="shared" si="60"/>
        <v/>
      </c>
      <c r="BA36" s="55" t="str">
        <f t="shared" si="60"/>
        <v/>
      </c>
      <c r="BB36" s="55" t="str">
        <f t="shared" si="60"/>
        <v/>
      </c>
      <c r="BC36" s="55" t="str">
        <f t="shared" si="60"/>
        <v/>
      </c>
      <c r="BD36" s="55" t="str">
        <f t="shared" si="60"/>
        <v/>
      </c>
      <c r="BE36" s="55" t="str">
        <f t="shared" ref="BE36:BX36" si="61">IF($B36=BE$12,$U36,"")</f>
        <v/>
      </c>
      <c r="BF36" s="55" t="str">
        <f t="shared" si="61"/>
        <v/>
      </c>
      <c r="BG36" s="55" t="str">
        <f t="shared" si="61"/>
        <v/>
      </c>
      <c r="BH36" s="55" t="str">
        <f t="shared" si="61"/>
        <v/>
      </c>
      <c r="BI36" s="55" t="str">
        <f t="shared" si="61"/>
        <v/>
      </c>
      <c r="BJ36" s="55" t="str">
        <f t="shared" si="61"/>
        <v/>
      </c>
      <c r="BK36" s="55" t="str">
        <f t="shared" si="61"/>
        <v/>
      </c>
      <c r="BL36" s="55" t="str">
        <f t="shared" si="61"/>
        <v/>
      </c>
      <c r="BM36" s="55" t="str">
        <f t="shared" si="61"/>
        <v/>
      </c>
      <c r="BN36" s="55" t="str">
        <f t="shared" si="61"/>
        <v/>
      </c>
      <c r="BO36" s="55" t="str">
        <f t="shared" si="61"/>
        <v/>
      </c>
      <c r="BP36" s="55" t="str">
        <f t="shared" si="61"/>
        <v/>
      </c>
      <c r="BQ36" s="55" t="str">
        <f t="shared" si="61"/>
        <v/>
      </c>
      <c r="BR36" s="55" t="str">
        <f t="shared" si="61"/>
        <v/>
      </c>
      <c r="BS36" s="55" t="str">
        <f t="shared" si="61"/>
        <v/>
      </c>
      <c r="BT36" s="55" t="str">
        <f t="shared" si="61"/>
        <v/>
      </c>
      <c r="BU36" s="55" t="str">
        <f t="shared" si="61"/>
        <v/>
      </c>
      <c r="BV36" s="55" t="str">
        <f t="shared" si="61"/>
        <v/>
      </c>
      <c r="BW36" s="55" t="str">
        <f t="shared" si="61"/>
        <v/>
      </c>
      <c r="BX36" s="55" t="str">
        <f t="shared" si="61"/>
        <v/>
      </c>
      <c r="BY36" s="55" t="str">
        <f t="shared" ref="BY36:CY36" si="62">IF($B36=BY$12,$U36,"")</f>
        <v/>
      </c>
      <c r="BZ36" s="55" t="str">
        <f t="shared" si="62"/>
        <v/>
      </c>
      <c r="CA36" s="55" t="str">
        <f t="shared" si="62"/>
        <v/>
      </c>
      <c r="CB36" s="55" t="str">
        <f t="shared" si="62"/>
        <v/>
      </c>
      <c r="CC36" s="55" t="str">
        <f t="shared" si="62"/>
        <v/>
      </c>
      <c r="CD36" s="55" t="str">
        <f t="shared" si="62"/>
        <v/>
      </c>
      <c r="CE36" s="55" t="str">
        <f t="shared" si="62"/>
        <v/>
      </c>
      <c r="CF36" s="55" t="str">
        <f t="shared" si="62"/>
        <v/>
      </c>
      <c r="CG36" s="55" t="str">
        <f t="shared" si="62"/>
        <v/>
      </c>
      <c r="CH36" s="55" t="str">
        <f t="shared" si="62"/>
        <v/>
      </c>
      <c r="CI36" s="55" t="str">
        <f t="shared" si="62"/>
        <v/>
      </c>
      <c r="CJ36" s="55" t="str">
        <f t="shared" si="62"/>
        <v/>
      </c>
      <c r="CK36" s="55" t="str">
        <f t="shared" si="62"/>
        <v/>
      </c>
      <c r="CL36" s="55" t="str">
        <f t="shared" si="62"/>
        <v/>
      </c>
      <c r="CM36" s="55" t="str">
        <f t="shared" si="62"/>
        <v/>
      </c>
      <c r="CN36" s="55" t="str">
        <f t="shared" si="62"/>
        <v/>
      </c>
      <c r="CO36" s="55" t="str">
        <f t="shared" si="62"/>
        <v/>
      </c>
      <c r="CP36" s="55" t="str">
        <f t="shared" si="62"/>
        <v/>
      </c>
      <c r="CQ36" s="55" t="str">
        <f t="shared" si="62"/>
        <v/>
      </c>
      <c r="CR36" s="55" t="str">
        <f t="shared" si="62"/>
        <v/>
      </c>
      <c r="CS36" s="55" t="str">
        <f t="shared" si="62"/>
        <v/>
      </c>
      <c r="CT36" s="55" t="str">
        <f t="shared" si="62"/>
        <v/>
      </c>
      <c r="CU36" s="55" t="str">
        <f t="shared" si="62"/>
        <v/>
      </c>
      <c r="CV36" s="55" t="str">
        <f t="shared" si="62"/>
        <v/>
      </c>
      <c r="CW36" s="55" t="str">
        <f t="shared" si="62"/>
        <v/>
      </c>
      <c r="CX36" s="55" t="str">
        <f t="shared" si="62"/>
        <v/>
      </c>
      <c r="CY36" s="55" t="str">
        <f t="shared" si="62"/>
        <v/>
      </c>
      <c r="CZ36" s="55" t="str">
        <f t="shared" ref="CZ36:DJ37" si="63">IF($B36=CZ$12,$U36,"")</f>
        <v/>
      </c>
      <c r="DA36" s="55" t="str">
        <f t="shared" si="63"/>
        <v/>
      </c>
      <c r="DB36" s="55" t="str">
        <f t="shared" si="63"/>
        <v/>
      </c>
      <c r="DC36" s="55" t="str">
        <f t="shared" si="63"/>
        <v/>
      </c>
      <c r="DD36" s="55" t="str">
        <f t="shared" si="63"/>
        <v/>
      </c>
      <c r="DE36" s="55" t="str">
        <f t="shared" si="63"/>
        <v/>
      </c>
      <c r="DF36" s="55" t="str">
        <f t="shared" si="63"/>
        <v/>
      </c>
      <c r="DG36" s="55" t="str">
        <f t="shared" si="63"/>
        <v/>
      </c>
      <c r="DH36" s="55" t="str">
        <f t="shared" si="63"/>
        <v/>
      </c>
      <c r="DI36" s="55" t="str">
        <f t="shared" si="63"/>
        <v/>
      </c>
      <c r="DJ36" s="55" t="str">
        <f t="shared" si="63"/>
        <v/>
      </c>
      <c r="DK36" s="55" t="str">
        <f t="shared" si="43"/>
        <v/>
      </c>
      <c r="DL36" s="55" t="str">
        <f t="shared" si="43"/>
        <v/>
      </c>
      <c r="DM36" s="55" t="str">
        <f t="shared" si="43"/>
        <v/>
      </c>
      <c r="DN36" s="55" t="str">
        <f t="shared" si="43"/>
        <v/>
      </c>
      <c r="DO36" s="55" t="str">
        <f t="shared" si="43"/>
        <v/>
      </c>
      <c r="DP36" s="55" t="str">
        <f t="shared" si="43"/>
        <v/>
      </c>
      <c r="DQ36" s="55" t="str">
        <f t="shared" si="44"/>
        <v/>
      </c>
      <c r="DR36" s="55" t="str">
        <f t="shared" si="44"/>
        <v/>
      </c>
      <c r="DS36" s="55" t="str">
        <f t="shared" si="44"/>
        <v/>
      </c>
      <c r="DT36" s="106" t="str">
        <f t="shared" si="44"/>
        <v/>
      </c>
      <c r="DU36" s="54"/>
      <c r="DV36" s="25"/>
      <c r="DW36" s="61" t="str">
        <f t="shared" ref="DW36:EL37" si="64">IF($B36=DW$12,$O36,"")</f>
        <v/>
      </c>
      <c r="DX36" s="50" t="str">
        <f t="shared" si="64"/>
        <v/>
      </c>
      <c r="DY36" s="50" t="str">
        <f t="shared" si="64"/>
        <v/>
      </c>
      <c r="DZ36" s="50" t="str">
        <f t="shared" si="64"/>
        <v/>
      </c>
      <c r="EA36" s="50" t="str">
        <f t="shared" si="64"/>
        <v/>
      </c>
      <c r="EB36" s="50" t="str">
        <f t="shared" si="64"/>
        <v/>
      </c>
      <c r="EC36" s="50" t="str">
        <f t="shared" si="64"/>
        <v/>
      </c>
      <c r="ED36" s="50" t="str">
        <f t="shared" si="64"/>
        <v/>
      </c>
      <c r="EE36" s="50" t="str">
        <f t="shared" si="64"/>
        <v/>
      </c>
      <c r="EF36" s="50" t="str">
        <f t="shared" si="64"/>
        <v/>
      </c>
      <c r="EG36" s="50" t="str">
        <f t="shared" si="64"/>
        <v/>
      </c>
      <c r="EH36" s="50" t="str">
        <f t="shared" si="64"/>
        <v/>
      </c>
      <c r="EI36" s="50" t="str">
        <f t="shared" si="64"/>
        <v/>
      </c>
      <c r="EJ36" s="50" t="str">
        <f t="shared" si="64"/>
        <v/>
      </c>
      <c r="EK36" s="50" t="str">
        <f t="shared" si="64"/>
        <v/>
      </c>
      <c r="EL36" s="50" t="str">
        <f t="shared" si="64"/>
        <v/>
      </c>
      <c r="EM36" s="50" t="str">
        <f t="shared" ref="EM36:FB37" si="65">IF($B36=EM$12,$O36,"")</f>
        <v/>
      </c>
      <c r="EN36" s="50" t="str">
        <f t="shared" si="65"/>
        <v/>
      </c>
      <c r="EO36" s="50" t="str">
        <f t="shared" si="65"/>
        <v/>
      </c>
      <c r="EP36" s="50" t="str">
        <f t="shared" si="65"/>
        <v/>
      </c>
      <c r="EQ36" s="50" t="str">
        <f t="shared" si="65"/>
        <v/>
      </c>
      <c r="ER36" s="50" t="str">
        <f t="shared" si="65"/>
        <v/>
      </c>
      <c r="ES36" s="50" t="str">
        <f t="shared" si="65"/>
        <v/>
      </c>
      <c r="ET36" s="50" t="str">
        <f t="shared" si="65"/>
        <v/>
      </c>
      <c r="EU36" s="50" t="str">
        <f t="shared" si="65"/>
        <v/>
      </c>
      <c r="EV36" s="50" t="str">
        <f t="shared" si="65"/>
        <v/>
      </c>
      <c r="EW36" s="50" t="str">
        <f t="shared" si="65"/>
        <v/>
      </c>
      <c r="EX36" s="50" t="str">
        <f t="shared" si="65"/>
        <v/>
      </c>
      <c r="EY36" s="50" t="str">
        <f t="shared" si="65"/>
        <v/>
      </c>
      <c r="EZ36" s="50" t="str">
        <f t="shared" si="65"/>
        <v/>
      </c>
      <c r="FA36" s="50" t="str">
        <f t="shared" si="65"/>
        <v/>
      </c>
      <c r="FB36" s="50" t="str">
        <f t="shared" si="65"/>
        <v/>
      </c>
      <c r="FC36" s="50" t="str">
        <f t="shared" ref="FC36:FV36" si="66">IF($B36=FC$12,$O36,"")</f>
        <v/>
      </c>
      <c r="FD36" s="50" t="str">
        <f t="shared" si="66"/>
        <v/>
      </c>
      <c r="FE36" s="50" t="str">
        <f t="shared" si="66"/>
        <v/>
      </c>
      <c r="FF36" s="50" t="str">
        <f t="shared" si="66"/>
        <v/>
      </c>
      <c r="FG36" s="50" t="str">
        <f t="shared" si="66"/>
        <v/>
      </c>
      <c r="FH36" s="50" t="str">
        <f t="shared" si="66"/>
        <v/>
      </c>
      <c r="FI36" s="50" t="str">
        <f t="shared" si="66"/>
        <v/>
      </c>
      <c r="FJ36" s="50" t="str">
        <f t="shared" si="66"/>
        <v/>
      </c>
      <c r="FK36" s="50" t="str">
        <f t="shared" si="66"/>
        <v/>
      </c>
      <c r="FL36" s="50" t="str">
        <f t="shared" si="66"/>
        <v/>
      </c>
      <c r="FM36" s="50" t="str">
        <f t="shared" si="66"/>
        <v/>
      </c>
      <c r="FN36" s="50" t="str">
        <f t="shared" si="66"/>
        <v/>
      </c>
      <c r="FO36" s="50" t="str">
        <f t="shared" si="66"/>
        <v/>
      </c>
      <c r="FP36" s="50" t="str">
        <f t="shared" si="66"/>
        <v/>
      </c>
      <c r="FQ36" s="50" t="str">
        <f t="shared" si="66"/>
        <v/>
      </c>
      <c r="FR36" s="50" t="str">
        <f t="shared" si="66"/>
        <v/>
      </c>
      <c r="FS36" s="50" t="str">
        <f t="shared" si="66"/>
        <v/>
      </c>
      <c r="FT36" s="50" t="str">
        <f t="shared" si="66"/>
        <v/>
      </c>
      <c r="FU36" s="50" t="str">
        <f t="shared" si="66"/>
        <v/>
      </c>
      <c r="FV36" s="50" t="str">
        <f t="shared" si="66"/>
        <v/>
      </c>
      <c r="FW36" s="50" t="str">
        <f t="shared" ref="FW36:GW36" si="67">IF($B36=FW$12,$O36,"")</f>
        <v/>
      </c>
      <c r="FX36" s="50" t="str">
        <f t="shared" si="67"/>
        <v/>
      </c>
      <c r="FY36" s="50" t="str">
        <f t="shared" si="67"/>
        <v/>
      </c>
      <c r="FZ36" s="50" t="str">
        <f t="shared" si="67"/>
        <v/>
      </c>
      <c r="GA36" s="50" t="str">
        <f t="shared" si="67"/>
        <v/>
      </c>
      <c r="GB36" s="50" t="str">
        <f t="shared" si="67"/>
        <v/>
      </c>
      <c r="GC36" s="50" t="str">
        <f t="shared" si="67"/>
        <v/>
      </c>
      <c r="GD36" s="50" t="str">
        <f t="shared" si="67"/>
        <v/>
      </c>
      <c r="GE36" s="50" t="str">
        <f t="shared" si="67"/>
        <v/>
      </c>
      <c r="GF36" s="50" t="str">
        <f t="shared" si="67"/>
        <v/>
      </c>
      <c r="GG36" s="50" t="str">
        <f t="shared" si="67"/>
        <v/>
      </c>
      <c r="GH36" s="50" t="str">
        <f t="shared" si="67"/>
        <v/>
      </c>
      <c r="GI36" s="50" t="str">
        <f t="shared" si="67"/>
        <v/>
      </c>
      <c r="GJ36" s="50" t="str">
        <f t="shared" si="67"/>
        <v/>
      </c>
      <c r="GK36" s="50" t="str">
        <f t="shared" si="67"/>
        <v/>
      </c>
      <c r="GL36" s="50" t="str">
        <f t="shared" si="67"/>
        <v/>
      </c>
      <c r="GM36" s="50" t="str">
        <f t="shared" si="67"/>
        <v/>
      </c>
      <c r="GN36" s="50" t="str">
        <f t="shared" si="67"/>
        <v/>
      </c>
      <c r="GO36" s="50" t="str">
        <f t="shared" si="67"/>
        <v/>
      </c>
      <c r="GP36" s="50" t="str">
        <f t="shared" si="67"/>
        <v/>
      </c>
      <c r="GQ36" s="50" t="str">
        <f t="shared" si="67"/>
        <v/>
      </c>
      <c r="GR36" s="50" t="str">
        <f t="shared" si="67"/>
        <v/>
      </c>
      <c r="GS36" s="50" t="str">
        <f t="shared" si="67"/>
        <v/>
      </c>
      <c r="GT36" s="50" t="str">
        <f t="shared" si="67"/>
        <v/>
      </c>
      <c r="GU36" s="50" t="str">
        <f t="shared" si="67"/>
        <v/>
      </c>
      <c r="GV36" s="50" t="str">
        <f t="shared" si="67"/>
        <v/>
      </c>
      <c r="GW36" s="50" t="str">
        <f t="shared" si="67"/>
        <v/>
      </c>
      <c r="GX36" s="50" t="str">
        <f t="shared" ref="GX36:HM37" si="68">IF($B36=GX$12,$O36,"")</f>
        <v/>
      </c>
      <c r="GY36" s="50" t="str">
        <f t="shared" si="68"/>
        <v/>
      </c>
      <c r="GZ36" s="50" t="str">
        <f t="shared" si="68"/>
        <v/>
      </c>
      <c r="HA36" s="50" t="str">
        <f t="shared" si="68"/>
        <v/>
      </c>
      <c r="HB36" s="50" t="str">
        <f t="shared" si="68"/>
        <v/>
      </c>
      <c r="HC36" s="50" t="str">
        <f t="shared" si="68"/>
        <v/>
      </c>
      <c r="HD36" s="50" t="str">
        <f t="shared" si="68"/>
        <v/>
      </c>
      <c r="HE36" s="50" t="str">
        <f t="shared" si="68"/>
        <v/>
      </c>
      <c r="HF36" s="50" t="str">
        <f t="shared" si="68"/>
        <v/>
      </c>
      <c r="HG36" s="50" t="str">
        <f t="shared" si="68"/>
        <v/>
      </c>
      <c r="HH36" s="50" t="str">
        <f t="shared" si="68"/>
        <v/>
      </c>
      <c r="HI36" s="50" t="str">
        <f t="shared" si="68"/>
        <v/>
      </c>
      <c r="HJ36" s="50" t="str">
        <f t="shared" si="68"/>
        <v/>
      </c>
      <c r="HK36" s="50" t="str">
        <f t="shared" si="68"/>
        <v/>
      </c>
      <c r="HL36" s="50" t="str">
        <f t="shared" si="68"/>
        <v/>
      </c>
      <c r="HM36" s="50" t="str">
        <f t="shared" si="68"/>
        <v/>
      </c>
      <c r="HN36" s="50" t="str">
        <f t="shared" si="48"/>
        <v/>
      </c>
      <c r="HO36" s="50" t="str">
        <f t="shared" si="48"/>
        <v/>
      </c>
      <c r="HP36" s="50" t="str">
        <f t="shared" si="48"/>
        <v/>
      </c>
      <c r="HQ36" s="50" t="str">
        <f t="shared" si="48"/>
        <v/>
      </c>
      <c r="HR36" s="112" t="str">
        <f t="shared" si="48"/>
        <v/>
      </c>
    </row>
    <row r="37" spans="1:226" ht="11.1" customHeight="1" x14ac:dyDescent="0.25">
      <c r="A37" s="26"/>
      <c r="B37" s="27"/>
      <c r="C37" s="28" t="str">
        <f>IF(A37=0,"",VLOOKUP(A37,[2]CO!$A$3:$F$5327,2,0))</f>
        <v/>
      </c>
      <c r="D37" s="29"/>
      <c r="E37" s="29"/>
      <c r="F37" s="29"/>
      <c r="G37" s="30" t="str">
        <f>IF(A37=0,"",VLOOKUP(A37,[2]CO!$A$3:$F$5327,3,0))</f>
        <v/>
      </c>
      <c r="H37" s="95"/>
      <c r="I37" s="31"/>
      <c r="J37" s="31"/>
      <c r="K37" s="31"/>
      <c r="L37" s="31"/>
      <c r="M37" s="32" t="str">
        <f t="shared" si="55"/>
        <v/>
      </c>
      <c r="N37" s="32" t="str">
        <f>IF(B37=0,"",IF(H37="M",HLOOKUP(B37,$Y$12:$DT$13,2),IF(A37=0,"",VLOOKUP(A37,[2]CO!$A$3:$F$5327,4,0))))</f>
        <v/>
      </c>
      <c r="O37" s="32" t="str">
        <f t="shared" si="56"/>
        <v/>
      </c>
      <c r="P37" s="33"/>
      <c r="Q37" s="34" t="str">
        <f t="shared" si="57"/>
        <v/>
      </c>
      <c r="R37" s="35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RESIDENTE",G37="TOPOGRAFIA"),VLOOKUP(B37,P$14:Q$59,2),"")*S37)</f>
        <v/>
      </c>
      <c r="T37" s="53" t="str">
        <f>IF(A37=0,"",VLOOKUP(A37,[2]CO!$A$3:$F$5318,5,0))</f>
        <v/>
      </c>
      <c r="U37" s="54">
        <f t="shared" si="58"/>
        <v>0</v>
      </c>
      <c r="V37" s="24"/>
      <c r="W37" s="25"/>
      <c r="X37" s="25"/>
      <c r="Y37" s="64" t="str">
        <f t="shared" si="59"/>
        <v/>
      </c>
      <c r="Z37" s="55" t="str">
        <f t="shared" si="59"/>
        <v/>
      </c>
      <c r="AA37" s="55" t="str">
        <f t="shared" si="59"/>
        <v/>
      </c>
      <c r="AB37" s="55" t="str">
        <f t="shared" si="59"/>
        <v/>
      </c>
      <c r="AC37" s="55" t="str">
        <f t="shared" si="59"/>
        <v/>
      </c>
      <c r="AD37" s="55" t="str">
        <f t="shared" si="59"/>
        <v/>
      </c>
      <c r="AE37" s="55" t="str">
        <f t="shared" si="59"/>
        <v/>
      </c>
      <c r="AF37" s="55" t="str">
        <f t="shared" si="59"/>
        <v/>
      </c>
      <c r="AG37" s="55" t="str">
        <f t="shared" si="59"/>
        <v/>
      </c>
      <c r="AH37" s="55" t="str">
        <f t="shared" si="59"/>
        <v/>
      </c>
      <c r="AI37" s="55" t="str">
        <f t="shared" si="59"/>
        <v/>
      </c>
      <c r="AJ37" s="55" t="str">
        <f t="shared" si="59"/>
        <v/>
      </c>
      <c r="AK37" s="55" t="str">
        <f t="shared" si="59"/>
        <v/>
      </c>
      <c r="AL37" s="55" t="str">
        <f t="shared" si="59"/>
        <v/>
      </c>
      <c r="AM37" s="55" t="str">
        <f t="shared" si="59"/>
        <v/>
      </c>
      <c r="AN37" s="55" t="str">
        <f t="shared" si="59"/>
        <v/>
      </c>
      <c r="AO37" s="55" t="str">
        <f t="shared" si="60"/>
        <v/>
      </c>
      <c r="AP37" s="55" t="str">
        <f t="shared" si="60"/>
        <v/>
      </c>
      <c r="AQ37" s="55" t="str">
        <f t="shared" si="60"/>
        <v/>
      </c>
      <c r="AR37" s="55" t="str">
        <f t="shared" si="60"/>
        <v/>
      </c>
      <c r="AS37" s="55" t="str">
        <f t="shared" si="60"/>
        <v/>
      </c>
      <c r="AT37" s="55" t="str">
        <f t="shared" si="60"/>
        <v/>
      </c>
      <c r="AU37" s="55" t="str">
        <f t="shared" si="60"/>
        <v/>
      </c>
      <c r="AV37" s="55" t="str">
        <f t="shared" si="60"/>
        <v/>
      </c>
      <c r="AW37" s="55" t="str">
        <f t="shared" si="60"/>
        <v/>
      </c>
      <c r="AX37" s="55" t="str">
        <f t="shared" si="60"/>
        <v/>
      </c>
      <c r="AY37" s="55" t="str">
        <f t="shared" si="60"/>
        <v/>
      </c>
      <c r="AZ37" s="55" t="str">
        <f t="shared" si="60"/>
        <v/>
      </c>
      <c r="BA37" s="55" t="str">
        <f t="shared" si="60"/>
        <v/>
      </c>
      <c r="BB37" s="55" t="str">
        <f t="shared" si="60"/>
        <v/>
      </c>
      <c r="BC37" s="55" t="str">
        <f t="shared" si="60"/>
        <v/>
      </c>
      <c r="BD37" s="55" t="str">
        <f t="shared" si="60"/>
        <v/>
      </c>
      <c r="BE37" s="55" t="str">
        <f t="shared" ref="BE37:CY38" si="69">IF($B37=BE$12,$U37,"")</f>
        <v/>
      </c>
      <c r="BF37" s="55" t="str">
        <f t="shared" si="69"/>
        <v/>
      </c>
      <c r="BG37" s="55" t="str">
        <f t="shared" si="69"/>
        <v/>
      </c>
      <c r="BH37" s="55" t="str">
        <f t="shared" si="69"/>
        <v/>
      </c>
      <c r="BI37" s="55" t="str">
        <f t="shared" si="69"/>
        <v/>
      </c>
      <c r="BJ37" s="55" t="str">
        <f t="shared" si="69"/>
        <v/>
      </c>
      <c r="BK37" s="55" t="str">
        <f t="shared" si="69"/>
        <v/>
      </c>
      <c r="BL37" s="55" t="str">
        <f t="shared" si="69"/>
        <v/>
      </c>
      <c r="BM37" s="55" t="str">
        <f t="shared" si="69"/>
        <v/>
      </c>
      <c r="BN37" s="55" t="str">
        <f t="shared" si="69"/>
        <v/>
      </c>
      <c r="BO37" s="55" t="str">
        <f t="shared" si="69"/>
        <v/>
      </c>
      <c r="BP37" s="55" t="str">
        <f t="shared" si="69"/>
        <v/>
      </c>
      <c r="BQ37" s="55" t="str">
        <f t="shared" si="69"/>
        <v/>
      </c>
      <c r="BR37" s="55" t="str">
        <f t="shared" si="69"/>
        <v/>
      </c>
      <c r="BS37" s="55" t="str">
        <f t="shared" si="69"/>
        <v/>
      </c>
      <c r="BT37" s="55" t="str">
        <f t="shared" si="69"/>
        <v/>
      </c>
      <c r="BU37" s="55" t="str">
        <f t="shared" si="69"/>
        <v/>
      </c>
      <c r="BV37" s="55" t="str">
        <f t="shared" si="69"/>
        <v/>
      </c>
      <c r="BW37" s="55" t="str">
        <f t="shared" si="69"/>
        <v/>
      </c>
      <c r="BX37" s="55" t="str">
        <f t="shared" si="69"/>
        <v/>
      </c>
      <c r="BY37" s="55" t="str">
        <f t="shared" si="69"/>
        <v/>
      </c>
      <c r="BZ37" s="55" t="str">
        <f t="shared" si="69"/>
        <v/>
      </c>
      <c r="CA37" s="55" t="str">
        <f t="shared" si="69"/>
        <v/>
      </c>
      <c r="CB37" s="55" t="str">
        <f t="shared" si="69"/>
        <v/>
      </c>
      <c r="CC37" s="55" t="str">
        <f t="shared" si="69"/>
        <v/>
      </c>
      <c r="CD37" s="55" t="str">
        <f t="shared" si="69"/>
        <v/>
      </c>
      <c r="CE37" s="55" t="str">
        <f t="shared" si="69"/>
        <v/>
      </c>
      <c r="CF37" s="55" t="str">
        <f t="shared" si="69"/>
        <v/>
      </c>
      <c r="CG37" s="55" t="str">
        <f t="shared" si="69"/>
        <v/>
      </c>
      <c r="CH37" s="55" t="str">
        <f t="shared" si="69"/>
        <v/>
      </c>
      <c r="CI37" s="55" t="str">
        <f t="shared" si="69"/>
        <v/>
      </c>
      <c r="CJ37" s="55" t="str">
        <f t="shared" si="69"/>
        <v/>
      </c>
      <c r="CK37" s="55" t="str">
        <f t="shared" si="69"/>
        <v/>
      </c>
      <c r="CL37" s="55" t="str">
        <f t="shared" si="69"/>
        <v/>
      </c>
      <c r="CM37" s="55" t="str">
        <f t="shared" si="69"/>
        <v/>
      </c>
      <c r="CN37" s="55" t="str">
        <f t="shared" si="69"/>
        <v/>
      </c>
      <c r="CO37" s="55" t="str">
        <f t="shared" si="69"/>
        <v/>
      </c>
      <c r="CP37" s="55" t="str">
        <f t="shared" si="69"/>
        <v/>
      </c>
      <c r="CQ37" s="55" t="str">
        <f t="shared" si="69"/>
        <v/>
      </c>
      <c r="CR37" s="55" t="str">
        <f t="shared" si="69"/>
        <v/>
      </c>
      <c r="CS37" s="55" t="str">
        <f t="shared" si="69"/>
        <v/>
      </c>
      <c r="CT37" s="55" t="str">
        <f t="shared" si="69"/>
        <v/>
      </c>
      <c r="CU37" s="55" t="str">
        <f t="shared" si="69"/>
        <v/>
      </c>
      <c r="CV37" s="55" t="str">
        <f t="shared" si="69"/>
        <v/>
      </c>
      <c r="CW37" s="55" t="str">
        <f t="shared" si="69"/>
        <v/>
      </c>
      <c r="CX37" s="55" t="str">
        <f t="shared" si="69"/>
        <v/>
      </c>
      <c r="CY37" s="55" t="str">
        <f t="shared" si="69"/>
        <v/>
      </c>
      <c r="CZ37" s="55" t="str">
        <f t="shared" si="63"/>
        <v/>
      </c>
      <c r="DA37" s="55" t="str">
        <f t="shared" si="63"/>
        <v/>
      </c>
      <c r="DB37" s="55" t="str">
        <f t="shared" si="63"/>
        <v/>
      </c>
      <c r="DC37" s="55" t="str">
        <f t="shared" si="63"/>
        <v/>
      </c>
      <c r="DD37" s="55" t="str">
        <f t="shared" si="63"/>
        <v/>
      </c>
      <c r="DE37" s="55" t="str">
        <f t="shared" si="63"/>
        <v/>
      </c>
      <c r="DF37" s="55" t="str">
        <f t="shared" si="63"/>
        <v/>
      </c>
      <c r="DG37" s="55" t="str">
        <f t="shared" si="63"/>
        <v/>
      </c>
      <c r="DH37" s="55" t="str">
        <f t="shared" si="63"/>
        <v/>
      </c>
      <c r="DI37" s="55" t="str">
        <f t="shared" si="63"/>
        <v/>
      </c>
      <c r="DJ37" s="55" t="str">
        <f t="shared" si="63"/>
        <v/>
      </c>
      <c r="DK37" s="55" t="str">
        <f t="shared" si="43"/>
        <v/>
      </c>
      <c r="DL37" s="55" t="str">
        <f t="shared" si="43"/>
        <v/>
      </c>
      <c r="DM37" s="55" t="str">
        <f t="shared" si="43"/>
        <v/>
      </c>
      <c r="DN37" s="55" t="str">
        <f t="shared" si="43"/>
        <v/>
      </c>
      <c r="DO37" s="55" t="str">
        <f t="shared" si="43"/>
        <v/>
      </c>
      <c r="DP37" s="55" t="str">
        <f t="shared" si="43"/>
        <v/>
      </c>
      <c r="DQ37" s="55" t="str">
        <f t="shared" si="44"/>
        <v/>
      </c>
      <c r="DR37" s="55" t="str">
        <f t="shared" si="44"/>
        <v/>
      </c>
      <c r="DS37" s="55" t="str">
        <f t="shared" si="44"/>
        <v/>
      </c>
      <c r="DT37" s="106" t="str">
        <f t="shared" si="44"/>
        <v/>
      </c>
      <c r="DU37" s="54"/>
      <c r="DV37" s="25"/>
      <c r="DW37" s="61" t="str">
        <f t="shared" si="64"/>
        <v/>
      </c>
      <c r="DX37" s="50" t="str">
        <f t="shared" si="64"/>
        <v/>
      </c>
      <c r="DY37" s="50" t="str">
        <f t="shared" si="64"/>
        <v/>
      </c>
      <c r="DZ37" s="50" t="str">
        <f t="shared" si="64"/>
        <v/>
      </c>
      <c r="EA37" s="50" t="str">
        <f t="shared" si="64"/>
        <v/>
      </c>
      <c r="EB37" s="50" t="str">
        <f t="shared" si="64"/>
        <v/>
      </c>
      <c r="EC37" s="50" t="str">
        <f t="shared" si="64"/>
        <v/>
      </c>
      <c r="ED37" s="50" t="str">
        <f t="shared" si="64"/>
        <v/>
      </c>
      <c r="EE37" s="50" t="str">
        <f t="shared" si="64"/>
        <v/>
      </c>
      <c r="EF37" s="50" t="str">
        <f t="shared" si="64"/>
        <v/>
      </c>
      <c r="EG37" s="50" t="str">
        <f t="shared" si="64"/>
        <v/>
      </c>
      <c r="EH37" s="50" t="str">
        <f t="shared" si="64"/>
        <v/>
      </c>
      <c r="EI37" s="50" t="str">
        <f t="shared" si="64"/>
        <v/>
      </c>
      <c r="EJ37" s="50" t="str">
        <f t="shared" si="64"/>
        <v/>
      </c>
      <c r="EK37" s="50" t="str">
        <f t="shared" si="64"/>
        <v/>
      </c>
      <c r="EL37" s="50" t="str">
        <f t="shared" si="64"/>
        <v/>
      </c>
      <c r="EM37" s="50" t="str">
        <f t="shared" si="65"/>
        <v/>
      </c>
      <c r="EN37" s="50" t="str">
        <f t="shared" si="65"/>
        <v/>
      </c>
      <c r="EO37" s="50" t="str">
        <f t="shared" si="65"/>
        <v/>
      </c>
      <c r="EP37" s="50" t="str">
        <f t="shared" si="65"/>
        <v/>
      </c>
      <c r="EQ37" s="50" t="str">
        <f t="shared" si="65"/>
        <v/>
      </c>
      <c r="ER37" s="50" t="str">
        <f t="shared" si="65"/>
        <v/>
      </c>
      <c r="ES37" s="50" t="str">
        <f t="shared" si="65"/>
        <v/>
      </c>
      <c r="ET37" s="50" t="str">
        <f t="shared" si="65"/>
        <v/>
      </c>
      <c r="EU37" s="50" t="str">
        <f t="shared" si="65"/>
        <v/>
      </c>
      <c r="EV37" s="50" t="str">
        <f t="shared" si="65"/>
        <v/>
      </c>
      <c r="EW37" s="50" t="str">
        <f t="shared" si="65"/>
        <v/>
      </c>
      <c r="EX37" s="50" t="str">
        <f t="shared" si="65"/>
        <v/>
      </c>
      <c r="EY37" s="50" t="str">
        <f t="shared" si="65"/>
        <v/>
      </c>
      <c r="EZ37" s="50" t="str">
        <f t="shared" si="65"/>
        <v/>
      </c>
      <c r="FA37" s="50" t="str">
        <f t="shared" si="65"/>
        <v/>
      </c>
      <c r="FB37" s="50" t="str">
        <f t="shared" si="65"/>
        <v/>
      </c>
      <c r="FC37" s="50" t="str">
        <f t="shared" ref="FC37:GW38" si="70">IF($B37=FC$12,$O37,"")</f>
        <v/>
      </c>
      <c r="FD37" s="50" t="str">
        <f t="shared" si="70"/>
        <v/>
      </c>
      <c r="FE37" s="50" t="str">
        <f t="shared" si="70"/>
        <v/>
      </c>
      <c r="FF37" s="50" t="str">
        <f t="shared" si="70"/>
        <v/>
      </c>
      <c r="FG37" s="50" t="str">
        <f t="shared" si="70"/>
        <v/>
      </c>
      <c r="FH37" s="50" t="str">
        <f t="shared" si="70"/>
        <v/>
      </c>
      <c r="FI37" s="50" t="str">
        <f t="shared" si="70"/>
        <v/>
      </c>
      <c r="FJ37" s="50" t="str">
        <f t="shared" si="70"/>
        <v/>
      </c>
      <c r="FK37" s="50" t="str">
        <f t="shared" si="70"/>
        <v/>
      </c>
      <c r="FL37" s="50" t="str">
        <f t="shared" si="70"/>
        <v/>
      </c>
      <c r="FM37" s="50" t="str">
        <f t="shared" si="70"/>
        <v/>
      </c>
      <c r="FN37" s="50" t="str">
        <f t="shared" si="70"/>
        <v/>
      </c>
      <c r="FO37" s="50" t="str">
        <f t="shared" si="70"/>
        <v/>
      </c>
      <c r="FP37" s="50" t="str">
        <f t="shared" si="70"/>
        <v/>
      </c>
      <c r="FQ37" s="50" t="str">
        <f t="shared" si="70"/>
        <v/>
      </c>
      <c r="FR37" s="50" t="str">
        <f t="shared" si="70"/>
        <v/>
      </c>
      <c r="FS37" s="50" t="str">
        <f t="shared" si="70"/>
        <v/>
      </c>
      <c r="FT37" s="50" t="str">
        <f t="shared" si="70"/>
        <v/>
      </c>
      <c r="FU37" s="50" t="str">
        <f t="shared" si="70"/>
        <v/>
      </c>
      <c r="FV37" s="50" t="str">
        <f t="shared" si="70"/>
        <v/>
      </c>
      <c r="FW37" s="50" t="str">
        <f t="shared" si="70"/>
        <v/>
      </c>
      <c r="FX37" s="50" t="str">
        <f t="shared" si="70"/>
        <v/>
      </c>
      <c r="FY37" s="50" t="str">
        <f t="shared" si="70"/>
        <v/>
      </c>
      <c r="FZ37" s="50" t="str">
        <f t="shared" si="70"/>
        <v/>
      </c>
      <c r="GA37" s="50" t="str">
        <f t="shared" si="70"/>
        <v/>
      </c>
      <c r="GB37" s="50" t="str">
        <f t="shared" si="70"/>
        <v/>
      </c>
      <c r="GC37" s="50" t="str">
        <f t="shared" si="70"/>
        <v/>
      </c>
      <c r="GD37" s="50" t="str">
        <f t="shared" si="70"/>
        <v/>
      </c>
      <c r="GE37" s="50" t="str">
        <f t="shared" si="70"/>
        <v/>
      </c>
      <c r="GF37" s="50" t="str">
        <f t="shared" si="70"/>
        <v/>
      </c>
      <c r="GG37" s="50" t="str">
        <f t="shared" si="70"/>
        <v/>
      </c>
      <c r="GH37" s="50" t="str">
        <f t="shared" si="70"/>
        <v/>
      </c>
      <c r="GI37" s="50" t="str">
        <f t="shared" si="70"/>
        <v/>
      </c>
      <c r="GJ37" s="50" t="str">
        <f t="shared" si="70"/>
        <v/>
      </c>
      <c r="GK37" s="50" t="str">
        <f t="shared" si="70"/>
        <v/>
      </c>
      <c r="GL37" s="50" t="str">
        <f t="shared" si="70"/>
        <v/>
      </c>
      <c r="GM37" s="50" t="str">
        <f t="shared" si="70"/>
        <v/>
      </c>
      <c r="GN37" s="50" t="str">
        <f t="shared" si="70"/>
        <v/>
      </c>
      <c r="GO37" s="50" t="str">
        <f t="shared" si="70"/>
        <v/>
      </c>
      <c r="GP37" s="50" t="str">
        <f t="shared" si="70"/>
        <v/>
      </c>
      <c r="GQ37" s="50" t="str">
        <f t="shared" si="70"/>
        <v/>
      </c>
      <c r="GR37" s="50" t="str">
        <f t="shared" si="70"/>
        <v/>
      </c>
      <c r="GS37" s="50" t="str">
        <f t="shared" si="70"/>
        <v/>
      </c>
      <c r="GT37" s="50" t="str">
        <f t="shared" si="70"/>
        <v/>
      </c>
      <c r="GU37" s="50" t="str">
        <f t="shared" si="70"/>
        <v/>
      </c>
      <c r="GV37" s="50" t="str">
        <f t="shared" si="70"/>
        <v/>
      </c>
      <c r="GW37" s="50" t="str">
        <f t="shared" si="70"/>
        <v/>
      </c>
      <c r="GX37" s="50" t="str">
        <f t="shared" si="68"/>
        <v/>
      </c>
      <c r="GY37" s="50" t="str">
        <f t="shared" si="68"/>
        <v/>
      </c>
      <c r="GZ37" s="50" t="str">
        <f t="shared" si="68"/>
        <v/>
      </c>
      <c r="HA37" s="50" t="str">
        <f t="shared" si="68"/>
        <v/>
      </c>
      <c r="HB37" s="50" t="str">
        <f t="shared" si="68"/>
        <v/>
      </c>
      <c r="HC37" s="50" t="str">
        <f t="shared" si="68"/>
        <v/>
      </c>
      <c r="HD37" s="50" t="str">
        <f t="shared" si="68"/>
        <v/>
      </c>
      <c r="HE37" s="50" t="str">
        <f t="shared" si="68"/>
        <v/>
      </c>
      <c r="HF37" s="50" t="str">
        <f t="shared" si="68"/>
        <v/>
      </c>
      <c r="HG37" s="50" t="str">
        <f t="shared" si="68"/>
        <v/>
      </c>
      <c r="HH37" s="50" t="str">
        <f t="shared" si="68"/>
        <v/>
      </c>
      <c r="HI37" s="50" t="str">
        <f t="shared" si="68"/>
        <v/>
      </c>
      <c r="HJ37" s="50" t="str">
        <f t="shared" si="68"/>
        <v/>
      </c>
      <c r="HK37" s="50" t="str">
        <f t="shared" si="68"/>
        <v/>
      </c>
      <c r="HL37" s="50" t="str">
        <f t="shared" si="68"/>
        <v/>
      </c>
      <c r="HM37" s="50" t="str">
        <f t="shared" ref="HM37" si="71">IF($B37=HM$12,$O37,"")</f>
        <v/>
      </c>
      <c r="HN37" s="50" t="str">
        <f t="shared" si="48"/>
        <v/>
      </c>
      <c r="HO37" s="50" t="str">
        <f t="shared" si="48"/>
        <v/>
      </c>
      <c r="HP37" s="50" t="str">
        <f t="shared" si="48"/>
        <v/>
      </c>
      <c r="HQ37" s="50" t="str">
        <f t="shared" si="48"/>
        <v/>
      </c>
      <c r="HR37" s="112" t="str">
        <f t="shared" si="48"/>
        <v/>
      </c>
    </row>
    <row r="38" spans="1:226" ht="11.1" customHeight="1" x14ac:dyDescent="0.25">
      <c r="A38" s="26"/>
      <c r="B38" s="27"/>
      <c r="C38" s="28" t="str">
        <f>IF(A38=0,"",VLOOKUP(A38,[2]CO!$A$3:$F$5327,2,0))</f>
        <v/>
      </c>
      <c r="D38" s="29"/>
      <c r="E38" s="29"/>
      <c r="F38" s="29"/>
      <c r="G38" s="30" t="str">
        <f>IF(A38=0,"",VLOOKUP(A38,[2]CO!$A$3:$F$5327,3,0))</f>
        <v/>
      </c>
      <c r="H38" s="95"/>
      <c r="I38" s="31"/>
      <c r="J38" s="31"/>
      <c r="K38" s="31"/>
      <c r="L38" s="31"/>
      <c r="M38" s="32" t="str">
        <f t="shared" si="55"/>
        <v/>
      </c>
      <c r="N38" s="32" t="str">
        <f>IF(B38=0,"",IF(H38="M",HLOOKUP(B38,$Y$12:$DT$13,2),IF(A38=0,"",VLOOKUP(A38,[2]CO!$A$3:$F$5327,4,0))))</f>
        <v/>
      </c>
      <c r="O38" s="32" t="str">
        <f t="shared" si="56"/>
        <v/>
      </c>
      <c r="P38" s="33"/>
      <c r="Q38" s="34" t="str">
        <f t="shared" si="57"/>
        <v/>
      </c>
      <c r="R38" s="35" t="str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RESIDENTE",G38="TOPOGRAFIA"),VLOOKUP(B38,P$14:Q$59,2),"")*S38)</f>
        <v/>
      </c>
      <c r="T38" s="53" t="str">
        <f>IF(A38=0,"",VLOOKUP(A38,[2]CO!$A$3:$F$5318,5,0))</f>
        <v/>
      </c>
      <c r="U38" s="54">
        <f t="shared" si="58"/>
        <v>0</v>
      </c>
      <c r="V38" s="24"/>
      <c r="W38" s="25"/>
      <c r="X38" s="25"/>
      <c r="Y38" s="64" t="str">
        <f t="shared" si="41"/>
        <v/>
      </c>
      <c r="Z38" s="55" t="str">
        <f t="shared" si="41"/>
        <v/>
      </c>
      <c r="AA38" s="55" t="str">
        <f t="shared" si="41"/>
        <v/>
      </c>
      <c r="AB38" s="55" t="str">
        <f t="shared" si="41"/>
        <v/>
      </c>
      <c r="AC38" s="55" t="str">
        <f t="shared" si="41"/>
        <v/>
      </c>
      <c r="AD38" s="55" t="str">
        <f t="shared" si="41"/>
        <v/>
      </c>
      <c r="AE38" s="55" t="str">
        <f t="shared" si="41"/>
        <v/>
      </c>
      <c r="AF38" s="55" t="str">
        <f t="shared" si="41"/>
        <v/>
      </c>
      <c r="AG38" s="55" t="str">
        <f t="shared" si="41"/>
        <v/>
      </c>
      <c r="AH38" s="55" t="str">
        <f t="shared" si="41"/>
        <v/>
      </c>
      <c r="AI38" s="55" t="str">
        <f t="shared" si="41"/>
        <v/>
      </c>
      <c r="AJ38" s="55" t="str">
        <f t="shared" si="41"/>
        <v/>
      </c>
      <c r="AK38" s="55" t="str">
        <f t="shared" si="41"/>
        <v/>
      </c>
      <c r="AL38" s="55" t="str">
        <f t="shared" si="41"/>
        <v/>
      </c>
      <c r="AM38" s="55" t="str">
        <f t="shared" si="41"/>
        <v/>
      </c>
      <c r="AN38" s="55" t="str">
        <f t="shared" si="41"/>
        <v/>
      </c>
      <c r="AO38" s="55" t="str">
        <f t="shared" si="51"/>
        <v/>
      </c>
      <c r="AP38" s="55" t="str">
        <f t="shared" si="51"/>
        <v/>
      </c>
      <c r="AQ38" s="55" t="str">
        <f t="shared" si="51"/>
        <v/>
      </c>
      <c r="AR38" s="55" t="str">
        <f t="shared" si="51"/>
        <v/>
      </c>
      <c r="AS38" s="55" t="str">
        <f t="shared" si="51"/>
        <v/>
      </c>
      <c r="AT38" s="55" t="str">
        <f t="shared" si="51"/>
        <v/>
      </c>
      <c r="AU38" s="55" t="str">
        <f t="shared" si="51"/>
        <v/>
      </c>
      <c r="AV38" s="55" t="str">
        <f t="shared" si="51"/>
        <v/>
      </c>
      <c r="AW38" s="55" t="str">
        <f t="shared" si="51"/>
        <v/>
      </c>
      <c r="AX38" s="55" t="str">
        <f t="shared" si="51"/>
        <v/>
      </c>
      <c r="AY38" s="55" t="str">
        <f t="shared" si="51"/>
        <v/>
      </c>
      <c r="AZ38" s="55" t="str">
        <f t="shared" si="51"/>
        <v/>
      </c>
      <c r="BA38" s="55" t="str">
        <f t="shared" si="51"/>
        <v/>
      </c>
      <c r="BB38" s="55" t="str">
        <f t="shared" si="51"/>
        <v/>
      </c>
      <c r="BC38" s="55" t="str">
        <f t="shared" si="51"/>
        <v/>
      </c>
      <c r="BD38" s="55" t="str">
        <f t="shared" si="51"/>
        <v/>
      </c>
      <c r="BE38" s="55" t="str">
        <f t="shared" si="69"/>
        <v/>
      </c>
      <c r="BF38" s="55" t="str">
        <f t="shared" si="69"/>
        <v/>
      </c>
      <c r="BG38" s="55" t="str">
        <f t="shared" si="69"/>
        <v/>
      </c>
      <c r="BH38" s="55" t="str">
        <f t="shared" si="69"/>
        <v/>
      </c>
      <c r="BI38" s="55" t="str">
        <f t="shared" si="69"/>
        <v/>
      </c>
      <c r="BJ38" s="55" t="str">
        <f t="shared" si="69"/>
        <v/>
      </c>
      <c r="BK38" s="55" t="str">
        <f t="shared" si="69"/>
        <v/>
      </c>
      <c r="BL38" s="55" t="str">
        <f t="shared" si="69"/>
        <v/>
      </c>
      <c r="BM38" s="55" t="str">
        <f t="shared" si="69"/>
        <v/>
      </c>
      <c r="BN38" s="55" t="str">
        <f t="shared" si="69"/>
        <v/>
      </c>
      <c r="BO38" s="55" t="str">
        <f t="shared" si="69"/>
        <v/>
      </c>
      <c r="BP38" s="55" t="str">
        <f t="shared" si="69"/>
        <v/>
      </c>
      <c r="BQ38" s="55" t="str">
        <f t="shared" si="69"/>
        <v/>
      </c>
      <c r="BR38" s="55" t="str">
        <f t="shared" si="69"/>
        <v/>
      </c>
      <c r="BS38" s="55" t="str">
        <f t="shared" si="69"/>
        <v/>
      </c>
      <c r="BT38" s="55" t="str">
        <f t="shared" si="69"/>
        <v/>
      </c>
      <c r="BU38" s="55" t="str">
        <f t="shared" si="69"/>
        <v/>
      </c>
      <c r="BV38" s="55" t="str">
        <f t="shared" si="69"/>
        <v/>
      </c>
      <c r="BW38" s="55" t="str">
        <f t="shared" si="69"/>
        <v/>
      </c>
      <c r="BX38" s="55" t="str">
        <f t="shared" si="69"/>
        <v/>
      </c>
      <c r="BY38" s="55" t="str">
        <f t="shared" si="69"/>
        <v/>
      </c>
      <c r="BZ38" s="55" t="str">
        <f t="shared" si="69"/>
        <v/>
      </c>
      <c r="CA38" s="55" t="str">
        <f t="shared" si="69"/>
        <v/>
      </c>
      <c r="CB38" s="55" t="str">
        <f t="shared" si="69"/>
        <v/>
      </c>
      <c r="CC38" s="55" t="str">
        <f t="shared" si="69"/>
        <v/>
      </c>
      <c r="CD38" s="55" t="str">
        <f t="shared" si="69"/>
        <v/>
      </c>
      <c r="CE38" s="55" t="str">
        <f t="shared" si="69"/>
        <v/>
      </c>
      <c r="CF38" s="55" t="str">
        <f t="shared" si="69"/>
        <v/>
      </c>
      <c r="CG38" s="55" t="str">
        <f t="shared" si="69"/>
        <v/>
      </c>
      <c r="CH38" s="55" t="str">
        <f t="shared" si="69"/>
        <v/>
      </c>
      <c r="CI38" s="55" t="str">
        <f t="shared" si="69"/>
        <v/>
      </c>
      <c r="CJ38" s="55" t="str">
        <f t="shared" si="69"/>
        <v/>
      </c>
      <c r="CK38" s="55" t="str">
        <f t="shared" si="69"/>
        <v/>
      </c>
      <c r="CL38" s="55" t="str">
        <f t="shared" si="69"/>
        <v/>
      </c>
      <c r="CM38" s="55" t="str">
        <f t="shared" si="69"/>
        <v/>
      </c>
      <c r="CN38" s="55" t="str">
        <f t="shared" si="69"/>
        <v/>
      </c>
      <c r="CO38" s="55" t="str">
        <f t="shared" si="69"/>
        <v/>
      </c>
      <c r="CP38" s="55" t="str">
        <f t="shared" si="69"/>
        <v/>
      </c>
      <c r="CQ38" s="55" t="str">
        <f t="shared" si="69"/>
        <v/>
      </c>
      <c r="CR38" s="55" t="str">
        <f t="shared" si="69"/>
        <v/>
      </c>
      <c r="CS38" s="55" t="str">
        <f t="shared" si="69"/>
        <v/>
      </c>
      <c r="CT38" s="55" t="str">
        <f t="shared" si="69"/>
        <v/>
      </c>
      <c r="CU38" s="55" t="str">
        <f t="shared" si="69"/>
        <v/>
      </c>
      <c r="CV38" s="55" t="str">
        <f t="shared" si="69"/>
        <v/>
      </c>
      <c r="CW38" s="55" t="str">
        <f t="shared" si="69"/>
        <v/>
      </c>
      <c r="CX38" s="55" t="str">
        <f t="shared" si="69"/>
        <v/>
      </c>
      <c r="CY38" s="55" t="str">
        <f t="shared" si="69"/>
        <v/>
      </c>
      <c r="CZ38" s="55" t="str">
        <f t="shared" si="49"/>
        <v/>
      </c>
      <c r="DA38" s="55" t="str">
        <f t="shared" si="49"/>
        <v/>
      </c>
      <c r="DB38" s="55" t="str">
        <f t="shared" si="49"/>
        <v/>
      </c>
      <c r="DC38" s="55" t="str">
        <f t="shared" si="49"/>
        <v/>
      </c>
      <c r="DD38" s="55" t="str">
        <f t="shared" si="49"/>
        <v/>
      </c>
      <c r="DE38" s="55" t="str">
        <f t="shared" si="49"/>
        <v/>
      </c>
      <c r="DF38" s="55" t="str">
        <f t="shared" si="49"/>
        <v/>
      </c>
      <c r="DG38" s="55" t="str">
        <f t="shared" si="49"/>
        <v/>
      </c>
      <c r="DH38" s="55" t="str">
        <f t="shared" si="49"/>
        <v/>
      </c>
      <c r="DI38" s="55" t="str">
        <f t="shared" si="49"/>
        <v/>
      </c>
      <c r="DJ38" s="55" t="str">
        <f t="shared" si="49"/>
        <v/>
      </c>
      <c r="DK38" s="55" t="str">
        <f t="shared" si="43"/>
        <v/>
      </c>
      <c r="DL38" s="55" t="str">
        <f t="shared" si="43"/>
        <v/>
      </c>
      <c r="DM38" s="55" t="str">
        <f t="shared" si="43"/>
        <v/>
      </c>
      <c r="DN38" s="55" t="str">
        <f t="shared" si="43"/>
        <v/>
      </c>
      <c r="DO38" s="55" t="str">
        <f t="shared" si="43"/>
        <v/>
      </c>
      <c r="DP38" s="55" t="str">
        <f t="shared" si="43"/>
        <v/>
      </c>
      <c r="DQ38" s="55" t="str">
        <f t="shared" si="44"/>
        <v/>
      </c>
      <c r="DR38" s="55" t="str">
        <f t="shared" si="44"/>
        <v/>
      </c>
      <c r="DS38" s="55" t="str">
        <f t="shared" si="44"/>
        <v/>
      </c>
      <c r="DT38" s="106" t="str">
        <f t="shared" si="44"/>
        <v/>
      </c>
      <c r="DU38" s="54"/>
      <c r="DV38" s="25"/>
      <c r="DW38" s="61" t="str">
        <f t="shared" si="45"/>
        <v/>
      </c>
      <c r="DX38" s="50" t="str">
        <f t="shared" si="45"/>
        <v/>
      </c>
      <c r="DY38" s="50" t="str">
        <f t="shared" si="45"/>
        <v/>
      </c>
      <c r="DZ38" s="50" t="str">
        <f t="shared" si="45"/>
        <v/>
      </c>
      <c r="EA38" s="50" t="str">
        <f t="shared" si="45"/>
        <v/>
      </c>
      <c r="EB38" s="50" t="str">
        <f t="shared" si="45"/>
        <v/>
      </c>
      <c r="EC38" s="50" t="str">
        <f t="shared" si="45"/>
        <v/>
      </c>
      <c r="ED38" s="50" t="str">
        <f t="shared" si="45"/>
        <v/>
      </c>
      <c r="EE38" s="50" t="str">
        <f t="shared" si="45"/>
        <v/>
      </c>
      <c r="EF38" s="50" t="str">
        <f t="shared" si="45"/>
        <v/>
      </c>
      <c r="EG38" s="50" t="str">
        <f t="shared" si="45"/>
        <v/>
      </c>
      <c r="EH38" s="50" t="str">
        <f t="shared" si="45"/>
        <v/>
      </c>
      <c r="EI38" s="50" t="str">
        <f t="shared" si="45"/>
        <v/>
      </c>
      <c r="EJ38" s="50" t="str">
        <f t="shared" si="45"/>
        <v/>
      </c>
      <c r="EK38" s="50" t="str">
        <f t="shared" si="45"/>
        <v/>
      </c>
      <c r="EL38" s="50" t="str">
        <f t="shared" si="45"/>
        <v/>
      </c>
      <c r="EM38" s="50" t="str">
        <f t="shared" si="53"/>
        <v/>
      </c>
      <c r="EN38" s="50" t="str">
        <f t="shared" si="53"/>
        <v/>
      </c>
      <c r="EO38" s="50" t="str">
        <f t="shared" si="53"/>
        <v/>
      </c>
      <c r="EP38" s="50" t="str">
        <f t="shared" si="53"/>
        <v/>
      </c>
      <c r="EQ38" s="50" t="str">
        <f t="shared" si="53"/>
        <v/>
      </c>
      <c r="ER38" s="50" t="str">
        <f t="shared" si="53"/>
        <v/>
      </c>
      <c r="ES38" s="50" t="str">
        <f t="shared" si="53"/>
        <v/>
      </c>
      <c r="ET38" s="50" t="str">
        <f t="shared" si="53"/>
        <v/>
      </c>
      <c r="EU38" s="50" t="str">
        <f t="shared" si="53"/>
        <v/>
      </c>
      <c r="EV38" s="50" t="str">
        <f t="shared" si="53"/>
        <v/>
      </c>
      <c r="EW38" s="50" t="str">
        <f t="shared" si="53"/>
        <v/>
      </c>
      <c r="EX38" s="50" t="str">
        <f t="shared" si="53"/>
        <v/>
      </c>
      <c r="EY38" s="50" t="str">
        <f t="shared" si="53"/>
        <v/>
      </c>
      <c r="EZ38" s="50" t="str">
        <f t="shared" si="53"/>
        <v/>
      </c>
      <c r="FA38" s="50" t="str">
        <f t="shared" si="53"/>
        <v/>
      </c>
      <c r="FB38" s="50" t="str">
        <f t="shared" si="53"/>
        <v/>
      </c>
      <c r="FC38" s="50" t="str">
        <f t="shared" si="70"/>
        <v/>
      </c>
      <c r="FD38" s="50" t="str">
        <f t="shared" si="70"/>
        <v/>
      </c>
      <c r="FE38" s="50" t="str">
        <f t="shared" si="70"/>
        <v/>
      </c>
      <c r="FF38" s="50" t="str">
        <f t="shared" si="70"/>
        <v/>
      </c>
      <c r="FG38" s="50" t="str">
        <f t="shared" si="70"/>
        <v/>
      </c>
      <c r="FH38" s="50" t="str">
        <f t="shared" si="70"/>
        <v/>
      </c>
      <c r="FI38" s="50" t="str">
        <f t="shared" si="70"/>
        <v/>
      </c>
      <c r="FJ38" s="50" t="str">
        <f t="shared" si="70"/>
        <v/>
      </c>
      <c r="FK38" s="50" t="str">
        <f t="shared" si="70"/>
        <v/>
      </c>
      <c r="FL38" s="50" t="str">
        <f t="shared" si="70"/>
        <v/>
      </c>
      <c r="FM38" s="50" t="str">
        <f t="shared" si="70"/>
        <v/>
      </c>
      <c r="FN38" s="50" t="str">
        <f t="shared" si="70"/>
        <v/>
      </c>
      <c r="FO38" s="50" t="str">
        <f t="shared" si="70"/>
        <v/>
      </c>
      <c r="FP38" s="50" t="str">
        <f t="shared" si="70"/>
        <v/>
      </c>
      <c r="FQ38" s="50" t="str">
        <f t="shared" si="70"/>
        <v/>
      </c>
      <c r="FR38" s="50" t="str">
        <f t="shared" si="70"/>
        <v/>
      </c>
      <c r="FS38" s="50" t="str">
        <f t="shared" si="70"/>
        <v/>
      </c>
      <c r="FT38" s="50" t="str">
        <f t="shared" si="70"/>
        <v/>
      </c>
      <c r="FU38" s="50" t="str">
        <f t="shared" si="70"/>
        <v/>
      </c>
      <c r="FV38" s="50" t="str">
        <f t="shared" si="70"/>
        <v/>
      </c>
      <c r="FW38" s="50" t="str">
        <f t="shared" si="70"/>
        <v/>
      </c>
      <c r="FX38" s="50" t="str">
        <f t="shared" si="70"/>
        <v/>
      </c>
      <c r="FY38" s="50" t="str">
        <f t="shared" si="70"/>
        <v/>
      </c>
      <c r="FZ38" s="50" t="str">
        <f t="shared" si="70"/>
        <v/>
      </c>
      <c r="GA38" s="50" t="str">
        <f t="shared" si="70"/>
        <v/>
      </c>
      <c r="GB38" s="50" t="str">
        <f t="shared" si="70"/>
        <v/>
      </c>
      <c r="GC38" s="50" t="str">
        <f t="shared" si="70"/>
        <v/>
      </c>
      <c r="GD38" s="50" t="str">
        <f t="shared" si="70"/>
        <v/>
      </c>
      <c r="GE38" s="50" t="str">
        <f t="shared" si="70"/>
        <v/>
      </c>
      <c r="GF38" s="50" t="str">
        <f t="shared" si="70"/>
        <v/>
      </c>
      <c r="GG38" s="50" t="str">
        <f t="shared" si="70"/>
        <v/>
      </c>
      <c r="GH38" s="50" t="str">
        <f t="shared" si="70"/>
        <v/>
      </c>
      <c r="GI38" s="50" t="str">
        <f t="shared" si="70"/>
        <v/>
      </c>
      <c r="GJ38" s="50" t="str">
        <f t="shared" si="70"/>
        <v/>
      </c>
      <c r="GK38" s="50" t="str">
        <f t="shared" si="70"/>
        <v/>
      </c>
      <c r="GL38" s="50" t="str">
        <f t="shared" si="70"/>
        <v/>
      </c>
      <c r="GM38" s="50" t="str">
        <f t="shared" si="70"/>
        <v/>
      </c>
      <c r="GN38" s="50" t="str">
        <f t="shared" si="70"/>
        <v/>
      </c>
      <c r="GO38" s="50" t="str">
        <f t="shared" si="70"/>
        <v/>
      </c>
      <c r="GP38" s="50" t="str">
        <f t="shared" si="70"/>
        <v/>
      </c>
      <c r="GQ38" s="50" t="str">
        <f t="shared" si="70"/>
        <v/>
      </c>
      <c r="GR38" s="50" t="str">
        <f t="shared" si="70"/>
        <v/>
      </c>
      <c r="GS38" s="50" t="str">
        <f t="shared" si="70"/>
        <v/>
      </c>
      <c r="GT38" s="50" t="str">
        <f t="shared" si="70"/>
        <v/>
      </c>
      <c r="GU38" s="50" t="str">
        <f t="shared" si="70"/>
        <v/>
      </c>
      <c r="GV38" s="50" t="str">
        <f t="shared" si="70"/>
        <v/>
      </c>
      <c r="GW38" s="50" t="str">
        <f t="shared" si="70"/>
        <v/>
      </c>
      <c r="GX38" s="50" t="str">
        <f t="shared" si="50"/>
        <v/>
      </c>
      <c r="GY38" s="50" t="str">
        <f t="shared" si="50"/>
        <v/>
      </c>
      <c r="GZ38" s="50" t="str">
        <f t="shared" si="50"/>
        <v/>
      </c>
      <c r="HA38" s="50" t="str">
        <f t="shared" si="50"/>
        <v/>
      </c>
      <c r="HB38" s="50" t="str">
        <f t="shared" si="50"/>
        <v/>
      </c>
      <c r="HC38" s="50" t="str">
        <f t="shared" si="50"/>
        <v/>
      </c>
      <c r="HD38" s="50" t="str">
        <f t="shared" si="50"/>
        <v/>
      </c>
      <c r="HE38" s="50" t="str">
        <f t="shared" si="50"/>
        <v/>
      </c>
      <c r="HF38" s="50" t="str">
        <f t="shared" si="50"/>
        <v/>
      </c>
      <c r="HG38" s="50" t="str">
        <f t="shared" si="50"/>
        <v/>
      </c>
      <c r="HH38" s="50" t="str">
        <f t="shared" si="50"/>
        <v/>
      </c>
      <c r="HI38" s="50" t="str">
        <f t="shared" si="50"/>
        <v/>
      </c>
      <c r="HJ38" s="50" t="str">
        <f t="shared" si="50"/>
        <v/>
      </c>
      <c r="HK38" s="50" t="str">
        <f t="shared" si="50"/>
        <v/>
      </c>
      <c r="HL38" s="50" t="str">
        <f t="shared" si="50"/>
        <v/>
      </c>
      <c r="HM38" s="50" t="str">
        <f t="shared" si="50"/>
        <v/>
      </c>
      <c r="HN38" s="50" t="str">
        <f t="shared" si="48"/>
        <v/>
      </c>
      <c r="HO38" s="50" t="str">
        <f t="shared" si="48"/>
        <v/>
      </c>
      <c r="HP38" s="50" t="str">
        <f t="shared" si="48"/>
        <v/>
      </c>
      <c r="HQ38" s="50" t="str">
        <f t="shared" si="48"/>
        <v/>
      </c>
      <c r="HR38" s="112" t="str">
        <f t="shared" si="48"/>
        <v/>
      </c>
    </row>
    <row r="39" spans="1:226" ht="11.1" customHeight="1" x14ac:dyDescent="0.25">
      <c r="A39" s="26"/>
      <c r="B39" s="27"/>
      <c r="C39" s="28" t="str">
        <f>IF(A39=0,"",VLOOKUP(A39,[2]CO!$A$3:$F$5327,2,0))</f>
        <v/>
      </c>
      <c r="D39" s="29"/>
      <c r="E39" s="29"/>
      <c r="F39" s="29"/>
      <c r="G39" s="30" t="str">
        <f>IF(A39=0,"",VLOOKUP(A39,[2]CO!$A$3:$F$5327,3,0))</f>
        <v/>
      </c>
      <c r="H39" s="95"/>
      <c r="I39" s="31"/>
      <c r="J39" s="31"/>
      <c r="K39" s="31"/>
      <c r="L39" s="31"/>
      <c r="M39" s="32" t="str">
        <f t="shared" si="38"/>
        <v/>
      </c>
      <c r="N39" s="32" t="str">
        <f>IF(B39=0,"",IF(H39="M",HLOOKUP(B39,$Y$12:$DT$13,2),IF(A39=0,"",VLOOKUP(A39,[2]CO!$A$3:$F$5327,4,0))))</f>
        <v/>
      </c>
      <c r="O39" s="32" t="str">
        <f t="shared" si="7"/>
        <v/>
      </c>
      <c r="P39" s="33"/>
      <c r="Q39" s="34" t="str">
        <f t="shared" si="39"/>
        <v/>
      </c>
      <c r="R39" s="35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RESIDENTE",G39="TOPOGRAFIA"),VLOOKUP(B39,P$14:Q$59,2),"")*S39)</f>
        <v/>
      </c>
      <c r="T39" s="53" t="str">
        <f>IF(A39=0,"",VLOOKUP(A39,[2]CO!$A$3:$F$5318,5,0))</f>
        <v/>
      </c>
      <c r="U39" s="54">
        <f t="shared" si="40"/>
        <v>0</v>
      </c>
      <c r="V39" s="24"/>
      <c r="W39" s="25"/>
      <c r="X39" s="25"/>
      <c r="Y39" s="64" t="str">
        <f t="shared" si="41"/>
        <v/>
      </c>
      <c r="Z39" s="55" t="str">
        <f t="shared" si="41"/>
        <v/>
      </c>
      <c r="AA39" s="55" t="str">
        <f t="shared" si="41"/>
        <v/>
      </c>
      <c r="AB39" s="55" t="str">
        <f t="shared" si="41"/>
        <v/>
      </c>
      <c r="AC39" s="55" t="str">
        <f t="shared" si="41"/>
        <v/>
      </c>
      <c r="AD39" s="55" t="str">
        <f t="shared" si="41"/>
        <v/>
      </c>
      <c r="AE39" s="55" t="str">
        <f t="shared" si="41"/>
        <v/>
      </c>
      <c r="AF39" s="55" t="str">
        <f t="shared" si="41"/>
        <v/>
      </c>
      <c r="AG39" s="55" t="str">
        <f t="shared" si="41"/>
        <v/>
      </c>
      <c r="AH39" s="55" t="str">
        <f t="shared" si="41"/>
        <v/>
      </c>
      <c r="AI39" s="55" t="str">
        <f t="shared" si="41"/>
        <v/>
      </c>
      <c r="AJ39" s="55" t="str">
        <f t="shared" si="41"/>
        <v/>
      </c>
      <c r="AK39" s="55" t="str">
        <f t="shared" si="41"/>
        <v/>
      </c>
      <c r="AL39" s="55" t="str">
        <f t="shared" si="41"/>
        <v/>
      </c>
      <c r="AM39" s="55" t="str">
        <f t="shared" si="41"/>
        <v/>
      </c>
      <c r="AN39" s="55" t="str">
        <f t="shared" si="41"/>
        <v/>
      </c>
      <c r="AO39" s="55" t="str">
        <f t="shared" si="51"/>
        <v/>
      </c>
      <c r="AP39" s="55" t="str">
        <f t="shared" si="51"/>
        <v/>
      </c>
      <c r="AQ39" s="55" t="str">
        <f t="shared" si="51"/>
        <v/>
      </c>
      <c r="AR39" s="55" t="str">
        <f t="shared" si="51"/>
        <v/>
      </c>
      <c r="AS39" s="55" t="str">
        <f t="shared" si="51"/>
        <v/>
      </c>
      <c r="AT39" s="55" t="str">
        <f t="shared" si="51"/>
        <v/>
      </c>
      <c r="AU39" s="55" t="str">
        <f t="shared" si="51"/>
        <v/>
      </c>
      <c r="AV39" s="55" t="str">
        <f t="shared" si="51"/>
        <v/>
      </c>
      <c r="AW39" s="55" t="str">
        <f t="shared" si="51"/>
        <v/>
      </c>
      <c r="AX39" s="55" t="str">
        <f t="shared" si="51"/>
        <v/>
      </c>
      <c r="AY39" s="55" t="str">
        <f t="shared" si="51"/>
        <v/>
      </c>
      <c r="AZ39" s="55" t="str">
        <f t="shared" si="51"/>
        <v/>
      </c>
      <c r="BA39" s="55" t="str">
        <f t="shared" si="51"/>
        <v/>
      </c>
      <c r="BB39" s="55" t="str">
        <f t="shared" si="51"/>
        <v/>
      </c>
      <c r="BC39" s="55" t="str">
        <f t="shared" si="51"/>
        <v/>
      </c>
      <c r="BD39" s="55" t="str">
        <f t="shared" si="51"/>
        <v/>
      </c>
      <c r="BE39" s="55" t="str">
        <f t="shared" si="52"/>
        <v/>
      </c>
      <c r="BF39" s="55" t="str">
        <f t="shared" si="52"/>
        <v/>
      </c>
      <c r="BG39" s="55" t="str">
        <f t="shared" si="52"/>
        <v/>
      </c>
      <c r="BH39" s="55" t="str">
        <f t="shared" si="52"/>
        <v/>
      </c>
      <c r="BI39" s="55" t="str">
        <f t="shared" si="52"/>
        <v/>
      </c>
      <c r="BJ39" s="55" t="str">
        <f t="shared" si="52"/>
        <v/>
      </c>
      <c r="BK39" s="55" t="str">
        <f t="shared" si="52"/>
        <v/>
      </c>
      <c r="BL39" s="55" t="str">
        <f t="shared" si="52"/>
        <v/>
      </c>
      <c r="BM39" s="55" t="str">
        <f t="shared" si="52"/>
        <v/>
      </c>
      <c r="BN39" s="55" t="str">
        <f t="shared" si="52"/>
        <v/>
      </c>
      <c r="BO39" s="55" t="str">
        <f t="shared" si="52"/>
        <v/>
      </c>
      <c r="BP39" s="55" t="str">
        <f t="shared" si="52"/>
        <v/>
      </c>
      <c r="BQ39" s="55" t="str">
        <f t="shared" si="52"/>
        <v/>
      </c>
      <c r="BR39" s="55" t="str">
        <f t="shared" si="52"/>
        <v/>
      </c>
      <c r="BS39" s="55" t="str">
        <f t="shared" si="52"/>
        <v/>
      </c>
      <c r="BT39" s="55" t="str">
        <f t="shared" si="52"/>
        <v/>
      </c>
      <c r="BU39" s="55" t="str">
        <f t="shared" si="52"/>
        <v/>
      </c>
      <c r="BV39" s="55" t="str">
        <f t="shared" si="52"/>
        <v/>
      </c>
      <c r="BW39" s="55" t="str">
        <f t="shared" si="52"/>
        <v/>
      </c>
      <c r="BX39" s="55" t="str">
        <f t="shared" si="52"/>
        <v/>
      </c>
      <c r="BY39" s="55" t="str">
        <f t="shared" si="52"/>
        <v/>
      </c>
      <c r="BZ39" s="55" t="str">
        <f t="shared" si="52"/>
        <v/>
      </c>
      <c r="CA39" s="55" t="str">
        <f t="shared" si="52"/>
        <v/>
      </c>
      <c r="CB39" s="55" t="str">
        <f t="shared" si="52"/>
        <v/>
      </c>
      <c r="CC39" s="55" t="str">
        <f t="shared" si="52"/>
        <v/>
      </c>
      <c r="CD39" s="55" t="str">
        <f t="shared" si="52"/>
        <v/>
      </c>
      <c r="CE39" s="55" t="str">
        <f t="shared" si="52"/>
        <v/>
      </c>
      <c r="CF39" s="55" t="str">
        <f t="shared" si="52"/>
        <v/>
      </c>
      <c r="CG39" s="55" t="str">
        <f t="shared" si="52"/>
        <v/>
      </c>
      <c r="CH39" s="55" t="str">
        <f t="shared" si="52"/>
        <v/>
      </c>
      <c r="CI39" s="55" t="str">
        <f t="shared" si="52"/>
        <v/>
      </c>
      <c r="CJ39" s="55" t="str">
        <f t="shared" si="52"/>
        <v/>
      </c>
      <c r="CK39" s="55" t="str">
        <f t="shared" si="52"/>
        <v/>
      </c>
      <c r="CL39" s="55" t="str">
        <f t="shared" si="52"/>
        <v/>
      </c>
      <c r="CM39" s="55" t="str">
        <f t="shared" si="52"/>
        <v/>
      </c>
      <c r="CN39" s="55" t="str">
        <f t="shared" si="52"/>
        <v/>
      </c>
      <c r="CO39" s="55" t="str">
        <f t="shared" si="52"/>
        <v/>
      </c>
      <c r="CP39" s="55" t="str">
        <f t="shared" si="52"/>
        <v/>
      </c>
      <c r="CQ39" s="55" t="str">
        <f t="shared" si="52"/>
        <v/>
      </c>
      <c r="CR39" s="55" t="str">
        <f t="shared" si="52"/>
        <v/>
      </c>
      <c r="CS39" s="55" t="str">
        <f t="shared" si="52"/>
        <v/>
      </c>
      <c r="CT39" s="55" t="str">
        <f t="shared" si="52"/>
        <v/>
      </c>
      <c r="CU39" s="55" t="str">
        <f t="shared" si="52"/>
        <v/>
      </c>
      <c r="CV39" s="55" t="str">
        <f t="shared" si="52"/>
        <v/>
      </c>
      <c r="CW39" s="55" t="str">
        <f t="shared" si="52"/>
        <v/>
      </c>
      <c r="CX39" s="55" t="str">
        <f t="shared" si="52"/>
        <v/>
      </c>
      <c r="CY39" s="55" t="str">
        <f t="shared" si="52"/>
        <v/>
      </c>
      <c r="CZ39" s="55" t="str">
        <f t="shared" si="49"/>
        <v/>
      </c>
      <c r="DA39" s="55" t="str">
        <f t="shared" si="49"/>
        <v/>
      </c>
      <c r="DB39" s="55" t="str">
        <f t="shared" si="49"/>
        <v/>
      </c>
      <c r="DC39" s="55" t="str">
        <f t="shared" si="49"/>
        <v/>
      </c>
      <c r="DD39" s="55" t="str">
        <f t="shared" si="49"/>
        <v/>
      </c>
      <c r="DE39" s="55" t="str">
        <f t="shared" si="49"/>
        <v/>
      </c>
      <c r="DF39" s="55" t="str">
        <f t="shared" si="49"/>
        <v/>
      </c>
      <c r="DG39" s="55" t="str">
        <f t="shared" si="49"/>
        <v/>
      </c>
      <c r="DH39" s="55" t="str">
        <f t="shared" si="49"/>
        <v/>
      </c>
      <c r="DI39" s="55" t="str">
        <f t="shared" si="49"/>
        <v/>
      </c>
      <c r="DJ39" s="55" t="str">
        <f t="shared" si="49"/>
        <v/>
      </c>
      <c r="DK39" s="55" t="str">
        <f t="shared" si="43"/>
        <v/>
      </c>
      <c r="DL39" s="55" t="str">
        <f t="shared" si="43"/>
        <v/>
      </c>
      <c r="DM39" s="55" t="str">
        <f t="shared" si="43"/>
        <v/>
      </c>
      <c r="DN39" s="55" t="str">
        <f t="shared" si="43"/>
        <v/>
      </c>
      <c r="DO39" s="55" t="str">
        <f t="shared" si="43"/>
        <v/>
      </c>
      <c r="DP39" s="55" t="str">
        <f t="shared" si="43"/>
        <v/>
      </c>
      <c r="DQ39" s="55" t="str">
        <f t="shared" si="44"/>
        <v/>
      </c>
      <c r="DR39" s="55" t="str">
        <f t="shared" si="44"/>
        <v/>
      </c>
      <c r="DS39" s="55" t="str">
        <f t="shared" si="44"/>
        <v/>
      </c>
      <c r="DT39" s="106" t="str">
        <f t="shared" si="44"/>
        <v/>
      </c>
      <c r="DU39" s="54"/>
      <c r="DV39" s="25"/>
      <c r="DW39" s="61" t="str">
        <f t="shared" si="45"/>
        <v/>
      </c>
      <c r="DX39" s="50" t="str">
        <f t="shared" si="45"/>
        <v/>
      </c>
      <c r="DY39" s="50" t="str">
        <f t="shared" si="45"/>
        <v/>
      </c>
      <c r="DZ39" s="50" t="str">
        <f t="shared" si="45"/>
        <v/>
      </c>
      <c r="EA39" s="50" t="str">
        <f t="shared" si="45"/>
        <v/>
      </c>
      <c r="EB39" s="50" t="str">
        <f t="shared" si="45"/>
        <v/>
      </c>
      <c r="EC39" s="50" t="str">
        <f t="shared" si="45"/>
        <v/>
      </c>
      <c r="ED39" s="50" t="str">
        <f t="shared" si="45"/>
        <v/>
      </c>
      <c r="EE39" s="50" t="str">
        <f t="shared" si="45"/>
        <v/>
      </c>
      <c r="EF39" s="50" t="str">
        <f t="shared" si="45"/>
        <v/>
      </c>
      <c r="EG39" s="50" t="str">
        <f t="shared" si="45"/>
        <v/>
      </c>
      <c r="EH39" s="50" t="str">
        <f t="shared" si="45"/>
        <v/>
      </c>
      <c r="EI39" s="50" t="str">
        <f t="shared" si="45"/>
        <v/>
      </c>
      <c r="EJ39" s="50" t="str">
        <f t="shared" si="45"/>
        <v/>
      </c>
      <c r="EK39" s="50" t="str">
        <f t="shared" si="45"/>
        <v/>
      </c>
      <c r="EL39" s="50" t="str">
        <f t="shared" si="45"/>
        <v/>
      </c>
      <c r="EM39" s="50" t="str">
        <f t="shared" si="53"/>
        <v/>
      </c>
      <c r="EN39" s="50" t="str">
        <f t="shared" si="53"/>
        <v/>
      </c>
      <c r="EO39" s="50" t="str">
        <f t="shared" si="53"/>
        <v/>
      </c>
      <c r="EP39" s="50" t="str">
        <f t="shared" si="53"/>
        <v/>
      </c>
      <c r="EQ39" s="50" t="str">
        <f t="shared" si="53"/>
        <v/>
      </c>
      <c r="ER39" s="50" t="str">
        <f t="shared" si="53"/>
        <v/>
      </c>
      <c r="ES39" s="50" t="str">
        <f t="shared" si="53"/>
        <v/>
      </c>
      <c r="ET39" s="50" t="str">
        <f t="shared" si="53"/>
        <v/>
      </c>
      <c r="EU39" s="50" t="str">
        <f t="shared" si="53"/>
        <v/>
      </c>
      <c r="EV39" s="50" t="str">
        <f t="shared" si="53"/>
        <v/>
      </c>
      <c r="EW39" s="50" t="str">
        <f t="shared" si="53"/>
        <v/>
      </c>
      <c r="EX39" s="50" t="str">
        <f t="shared" si="53"/>
        <v/>
      </c>
      <c r="EY39" s="50" t="str">
        <f t="shared" si="53"/>
        <v/>
      </c>
      <c r="EZ39" s="50" t="str">
        <f t="shared" si="53"/>
        <v/>
      </c>
      <c r="FA39" s="50" t="str">
        <f t="shared" si="53"/>
        <v/>
      </c>
      <c r="FB39" s="50" t="str">
        <f t="shared" si="53"/>
        <v/>
      </c>
      <c r="FC39" s="50" t="str">
        <f t="shared" si="54"/>
        <v/>
      </c>
      <c r="FD39" s="50" t="str">
        <f t="shared" si="54"/>
        <v/>
      </c>
      <c r="FE39" s="50" t="str">
        <f t="shared" si="54"/>
        <v/>
      </c>
      <c r="FF39" s="50" t="str">
        <f t="shared" si="54"/>
        <v/>
      </c>
      <c r="FG39" s="50" t="str">
        <f t="shared" si="54"/>
        <v/>
      </c>
      <c r="FH39" s="50" t="str">
        <f t="shared" si="54"/>
        <v/>
      </c>
      <c r="FI39" s="50" t="str">
        <f t="shared" si="54"/>
        <v/>
      </c>
      <c r="FJ39" s="50" t="str">
        <f t="shared" si="54"/>
        <v/>
      </c>
      <c r="FK39" s="50" t="str">
        <f t="shared" si="54"/>
        <v/>
      </c>
      <c r="FL39" s="50" t="str">
        <f t="shared" si="54"/>
        <v/>
      </c>
      <c r="FM39" s="50" t="str">
        <f t="shared" si="54"/>
        <v/>
      </c>
      <c r="FN39" s="50" t="str">
        <f t="shared" si="54"/>
        <v/>
      </c>
      <c r="FO39" s="50" t="str">
        <f t="shared" si="54"/>
        <v/>
      </c>
      <c r="FP39" s="50" t="str">
        <f t="shared" si="54"/>
        <v/>
      </c>
      <c r="FQ39" s="50" t="str">
        <f t="shared" si="54"/>
        <v/>
      </c>
      <c r="FR39" s="50" t="str">
        <f t="shared" si="54"/>
        <v/>
      </c>
      <c r="FS39" s="50" t="str">
        <f t="shared" si="54"/>
        <v/>
      </c>
      <c r="FT39" s="50" t="str">
        <f t="shared" si="54"/>
        <v/>
      </c>
      <c r="FU39" s="50" t="str">
        <f t="shared" si="54"/>
        <v/>
      </c>
      <c r="FV39" s="50" t="str">
        <f t="shared" si="54"/>
        <v/>
      </c>
      <c r="FW39" s="50" t="str">
        <f t="shared" si="54"/>
        <v/>
      </c>
      <c r="FX39" s="50" t="str">
        <f t="shared" si="54"/>
        <v/>
      </c>
      <c r="FY39" s="50" t="str">
        <f t="shared" si="54"/>
        <v/>
      </c>
      <c r="FZ39" s="50" t="str">
        <f t="shared" si="54"/>
        <v/>
      </c>
      <c r="GA39" s="50" t="str">
        <f t="shared" si="54"/>
        <v/>
      </c>
      <c r="GB39" s="50" t="str">
        <f t="shared" si="54"/>
        <v/>
      </c>
      <c r="GC39" s="50" t="str">
        <f t="shared" si="54"/>
        <v/>
      </c>
      <c r="GD39" s="50" t="str">
        <f t="shared" si="54"/>
        <v/>
      </c>
      <c r="GE39" s="50" t="str">
        <f t="shared" si="54"/>
        <v/>
      </c>
      <c r="GF39" s="50" t="str">
        <f t="shared" si="54"/>
        <v/>
      </c>
      <c r="GG39" s="50" t="str">
        <f t="shared" si="54"/>
        <v/>
      </c>
      <c r="GH39" s="50" t="str">
        <f t="shared" si="54"/>
        <v/>
      </c>
      <c r="GI39" s="50" t="str">
        <f t="shared" si="54"/>
        <v/>
      </c>
      <c r="GJ39" s="50" t="str">
        <f t="shared" si="54"/>
        <v/>
      </c>
      <c r="GK39" s="50" t="str">
        <f t="shared" si="54"/>
        <v/>
      </c>
      <c r="GL39" s="50" t="str">
        <f t="shared" si="54"/>
        <v/>
      </c>
      <c r="GM39" s="50" t="str">
        <f t="shared" si="54"/>
        <v/>
      </c>
      <c r="GN39" s="50" t="str">
        <f t="shared" si="54"/>
        <v/>
      </c>
      <c r="GO39" s="50" t="str">
        <f t="shared" si="54"/>
        <v/>
      </c>
      <c r="GP39" s="50" t="str">
        <f t="shared" si="54"/>
        <v/>
      </c>
      <c r="GQ39" s="50" t="str">
        <f t="shared" si="54"/>
        <v/>
      </c>
      <c r="GR39" s="50" t="str">
        <f t="shared" si="54"/>
        <v/>
      </c>
      <c r="GS39" s="50" t="str">
        <f t="shared" si="54"/>
        <v/>
      </c>
      <c r="GT39" s="50" t="str">
        <f t="shared" si="54"/>
        <v/>
      </c>
      <c r="GU39" s="50" t="str">
        <f t="shared" si="54"/>
        <v/>
      </c>
      <c r="GV39" s="50" t="str">
        <f t="shared" si="54"/>
        <v/>
      </c>
      <c r="GW39" s="50" t="str">
        <f t="shared" si="54"/>
        <v/>
      </c>
      <c r="GX39" s="50" t="str">
        <f t="shared" si="50"/>
        <v/>
      </c>
      <c r="GY39" s="50" t="str">
        <f t="shared" si="50"/>
        <v/>
      </c>
      <c r="GZ39" s="50" t="str">
        <f t="shared" si="50"/>
        <v/>
      </c>
      <c r="HA39" s="50" t="str">
        <f t="shared" si="50"/>
        <v/>
      </c>
      <c r="HB39" s="50" t="str">
        <f t="shared" si="50"/>
        <v/>
      </c>
      <c r="HC39" s="50" t="str">
        <f t="shared" si="50"/>
        <v/>
      </c>
      <c r="HD39" s="50" t="str">
        <f t="shared" si="50"/>
        <v/>
      </c>
      <c r="HE39" s="50" t="str">
        <f t="shared" si="50"/>
        <v/>
      </c>
      <c r="HF39" s="50" t="str">
        <f t="shared" si="50"/>
        <v/>
      </c>
      <c r="HG39" s="50" t="str">
        <f t="shared" si="50"/>
        <v/>
      </c>
      <c r="HH39" s="50" t="str">
        <f t="shared" si="50"/>
        <v/>
      </c>
      <c r="HI39" s="50" t="str">
        <f t="shared" si="50"/>
        <v/>
      </c>
      <c r="HJ39" s="50" t="str">
        <f t="shared" si="50"/>
        <v/>
      </c>
      <c r="HK39" s="50" t="str">
        <f t="shared" si="50"/>
        <v/>
      </c>
      <c r="HL39" s="50" t="str">
        <f t="shared" si="50"/>
        <v/>
      </c>
      <c r="HM39" s="50" t="str">
        <f t="shared" si="50"/>
        <v/>
      </c>
      <c r="HN39" s="50" t="str">
        <f t="shared" si="48"/>
        <v/>
      </c>
      <c r="HO39" s="50" t="str">
        <f t="shared" si="48"/>
        <v/>
      </c>
      <c r="HP39" s="50" t="str">
        <f t="shared" si="48"/>
        <v/>
      </c>
      <c r="HQ39" s="50" t="str">
        <f t="shared" si="48"/>
        <v/>
      </c>
      <c r="HR39" s="112" t="str">
        <f t="shared" si="48"/>
        <v/>
      </c>
    </row>
    <row r="40" spans="1:226" ht="11.1" customHeight="1" thickBot="1" x14ac:dyDescent="0.3">
      <c r="A40" s="66"/>
      <c r="B40" s="67"/>
      <c r="C40" s="68" t="str">
        <f>IF(A40=0,"",VLOOKUP(A40,[2]CO!$A$3:$F$5327,2,0))</f>
        <v/>
      </c>
      <c r="D40" s="69"/>
      <c r="E40" s="69"/>
      <c r="F40" s="69"/>
      <c r="G40" s="70" t="str">
        <f>IF(A40=0,"",VLOOKUP(A40,[2]CO!$A$3:$F$5327,3,0))</f>
        <v/>
      </c>
      <c r="H40" s="96"/>
      <c r="I40" s="71"/>
      <c r="J40" s="71"/>
      <c r="K40" s="71"/>
      <c r="L40" s="71"/>
      <c r="M40" s="72" t="str">
        <f t="shared" si="38"/>
        <v/>
      </c>
      <c r="N40" s="72" t="str">
        <f>IF(B40=0,"",IF(H40="M",HLOOKUP(B40,$Y$12:$DT$13,2),IF(A40=0,"",VLOOKUP(A40,[2]CO!$A$3:$F$5327,4,0))))</f>
        <v/>
      </c>
      <c r="O40" s="72" t="str">
        <f t="shared" si="7"/>
        <v/>
      </c>
      <c r="P40" s="73"/>
      <c r="Q40" s="74" t="str">
        <f t="shared" si="39"/>
        <v/>
      </c>
      <c r="R40" s="75" t="str">
        <f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RESIDENTE",G40="TOPOGRAFIA"),VLOOKUP(B40,P$14:Q$59,2),"")*S40)</f>
        <v/>
      </c>
      <c r="T40" s="53" t="str">
        <f>IF(A40=0,"",VLOOKUP(A40,[2]CO!$A$3:$F$5318,5,0))</f>
        <v/>
      </c>
      <c r="U40" s="54">
        <f t="shared" si="40"/>
        <v>0</v>
      </c>
      <c r="V40" s="24"/>
      <c r="W40" s="25"/>
      <c r="X40" s="25"/>
      <c r="Y40" s="76" t="str">
        <f t="shared" si="41"/>
        <v/>
      </c>
      <c r="Z40" s="77" t="str">
        <f t="shared" si="41"/>
        <v/>
      </c>
      <c r="AA40" s="77" t="str">
        <f t="shared" si="41"/>
        <v/>
      </c>
      <c r="AB40" s="77" t="str">
        <f t="shared" si="41"/>
        <v/>
      </c>
      <c r="AC40" s="77" t="str">
        <f t="shared" si="41"/>
        <v/>
      </c>
      <c r="AD40" s="77" t="str">
        <f t="shared" si="41"/>
        <v/>
      </c>
      <c r="AE40" s="77" t="str">
        <f t="shared" si="41"/>
        <v/>
      </c>
      <c r="AF40" s="77" t="str">
        <f t="shared" si="41"/>
        <v/>
      </c>
      <c r="AG40" s="77" t="str">
        <f t="shared" si="41"/>
        <v/>
      </c>
      <c r="AH40" s="77" t="str">
        <f t="shared" si="41"/>
        <v/>
      </c>
      <c r="AI40" s="77" t="str">
        <f t="shared" si="41"/>
        <v/>
      </c>
      <c r="AJ40" s="77" t="str">
        <f t="shared" si="41"/>
        <v/>
      </c>
      <c r="AK40" s="77" t="str">
        <f t="shared" si="41"/>
        <v/>
      </c>
      <c r="AL40" s="77" t="str">
        <f t="shared" si="41"/>
        <v/>
      </c>
      <c r="AM40" s="77" t="str">
        <f t="shared" si="41"/>
        <v/>
      </c>
      <c r="AN40" s="77" t="str">
        <f t="shared" si="41"/>
        <v/>
      </c>
      <c r="AO40" s="77" t="str">
        <f t="shared" si="51"/>
        <v/>
      </c>
      <c r="AP40" s="77" t="str">
        <f t="shared" si="51"/>
        <v/>
      </c>
      <c r="AQ40" s="77" t="str">
        <f t="shared" si="51"/>
        <v/>
      </c>
      <c r="AR40" s="77" t="str">
        <f t="shared" si="51"/>
        <v/>
      </c>
      <c r="AS40" s="77" t="str">
        <f t="shared" si="51"/>
        <v/>
      </c>
      <c r="AT40" s="77" t="str">
        <f t="shared" si="51"/>
        <v/>
      </c>
      <c r="AU40" s="77" t="str">
        <f t="shared" si="51"/>
        <v/>
      </c>
      <c r="AV40" s="77" t="str">
        <f t="shared" si="51"/>
        <v/>
      </c>
      <c r="AW40" s="77" t="str">
        <f t="shared" si="51"/>
        <v/>
      </c>
      <c r="AX40" s="77" t="str">
        <f t="shared" si="51"/>
        <v/>
      </c>
      <c r="AY40" s="77" t="str">
        <f t="shared" si="51"/>
        <v/>
      </c>
      <c r="AZ40" s="77" t="str">
        <f t="shared" si="51"/>
        <v/>
      </c>
      <c r="BA40" s="77" t="str">
        <f t="shared" si="51"/>
        <v/>
      </c>
      <c r="BB40" s="77" t="str">
        <f t="shared" si="51"/>
        <v/>
      </c>
      <c r="BC40" s="77" t="str">
        <f t="shared" si="51"/>
        <v/>
      </c>
      <c r="BD40" s="77" t="str">
        <f t="shared" si="51"/>
        <v/>
      </c>
      <c r="BE40" s="77" t="str">
        <f t="shared" si="52"/>
        <v/>
      </c>
      <c r="BF40" s="77" t="str">
        <f t="shared" si="52"/>
        <v/>
      </c>
      <c r="BG40" s="77" t="str">
        <f t="shared" si="52"/>
        <v/>
      </c>
      <c r="BH40" s="77" t="str">
        <f t="shared" si="52"/>
        <v/>
      </c>
      <c r="BI40" s="77" t="str">
        <f t="shared" si="52"/>
        <v/>
      </c>
      <c r="BJ40" s="77" t="str">
        <f t="shared" si="52"/>
        <v/>
      </c>
      <c r="BK40" s="77" t="str">
        <f t="shared" si="52"/>
        <v/>
      </c>
      <c r="BL40" s="77" t="str">
        <f t="shared" si="52"/>
        <v/>
      </c>
      <c r="BM40" s="77" t="str">
        <f t="shared" si="52"/>
        <v/>
      </c>
      <c r="BN40" s="77" t="str">
        <f t="shared" si="52"/>
        <v/>
      </c>
      <c r="BO40" s="77" t="str">
        <f t="shared" si="52"/>
        <v/>
      </c>
      <c r="BP40" s="77" t="str">
        <f t="shared" si="52"/>
        <v/>
      </c>
      <c r="BQ40" s="77" t="str">
        <f t="shared" si="52"/>
        <v/>
      </c>
      <c r="BR40" s="77" t="str">
        <f t="shared" si="52"/>
        <v/>
      </c>
      <c r="BS40" s="77" t="str">
        <f t="shared" si="52"/>
        <v/>
      </c>
      <c r="BT40" s="77" t="str">
        <f t="shared" si="52"/>
        <v/>
      </c>
      <c r="BU40" s="77" t="str">
        <f t="shared" si="52"/>
        <v/>
      </c>
      <c r="BV40" s="77" t="str">
        <f t="shared" si="52"/>
        <v/>
      </c>
      <c r="BW40" s="77" t="str">
        <f t="shared" si="52"/>
        <v/>
      </c>
      <c r="BX40" s="77" t="str">
        <f t="shared" si="52"/>
        <v/>
      </c>
      <c r="BY40" s="77" t="str">
        <f t="shared" ref="BY40:CY40" si="72">IF($B40=BY$12,$U40,"")</f>
        <v/>
      </c>
      <c r="BZ40" s="77" t="str">
        <f t="shared" si="72"/>
        <v/>
      </c>
      <c r="CA40" s="77" t="str">
        <f t="shared" si="72"/>
        <v/>
      </c>
      <c r="CB40" s="77" t="str">
        <f t="shared" si="72"/>
        <v/>
      </c>
      <c r="CC40" s="77" t="str">
        <f t="shared" si="72"/>
        <v/>
      </c>
      <c r="CD40" s="77" t="str">
        <f t="shared" si="72"/>
        <v/>
      </c>
      <c r="CE40" s="77" t="str">
        <f t="shared" si="72"/>
        <v/>
      </c>
      <c r="CF40" s="77" t="str">
        <f t="shared" si="72"/>
        <v/>
      </c>
      <c r="CG40" s="77" t="str">
        <f t="shared" si="72"/>
        <v/>
      </c>
      <c r="CH40" s="77" t="str">
        <f t="shared" si="72"/>
        <v/>
      </c>
      <c r="CI40" s="77" t="str">
        <f t="shared" si="72"/>
        <v/>
      </c>
      <c r="CJ40" s="77" t="str">
        <f t="shared" si="72"/>
        <v/>
      </c>
      <c r="CK40" s="77" t="str">
        <f t="shared" si="72"/>
        <v/>
      </c>
      <c r="CL40" s="77" t="str">
        <f t="shared" si="72"/>
        <v/>
      </c>
      <c r="CM40" s="77" t="str">
        <f t="shared" si="72"/>
        <v/>
      </c>
      <c r="CN40" s="77" t="str">
        <f t="shared" si="72"/>
        <v/>
      </c>
      <c r="CO40" s="77" t="str">
        <f t="shared" si="72"/>
        <v/>
      </c>
      <c r="CP40" s="77" t="str">
        <f t="shared" si="72"/>
        <v/>
      </c>
      <c r="CQ40" s="77" t="str">
        <f t="shared" si="72"/>
        <v/>
      </c>
      <c r="CR40" s="77" t="str">
        <f t="shared" si="72"/>
        <v/>
      </c>
      <c r="CS40" s="77" t="str">
        <f t="shared" si="72"/>
        <v/>
      </c>
      <c r="CT40" s="77" t="str">
        <f t="shared" si="72"/>
        <v/>
      </c>
      <c r="CU40" s="77" t="str">
        <f t="shared" si="72"/>
        <v/>
      </c>
      <c r="CV40" s="77" t="str">
        <f t="shared" si="72"/>
        <v/>
      </c>
      <c r="CW40" s="77" t="str">
        <f t="shared" si="72"/>
        <v/>
      </c>
      <c r="CX40" s="77" t="str">
        <f t="shared" si="72"/>
        <v/>
      </c>
      <c r="CY40" s="77" t="str">
        <f t="shared" si="72"/>
        <v/>
      </c>
      <c r="CZ40" s="77" t="str">
        <f t="shared" si="49"/>
        <v/>
      </c>
      <c r="DA40" s="77" t="str">
        <f t="shared" si="49"/>
        <v/>
      </c>
      <c r="DB40" s="77" t="str">
        <f t="shared" si="49"/>
        <v/>
      </c>
      <c r="DC40" s="77" t="str">
        <f t="shared" si="49"/>
        <v/>
      </c>
      <c r="DD40" s="77" t="str">
        <f t="shared" si="49"/>
        <v/>
      </c>
      <c r="DE40" s="77" t="str">
        <f t="shared" si="49"/>
        <v/>
      </c>
      <c r="DF40" s="77" t="str">
        <f t="shared" si="49"/>
        <v/>
      </c>
      <c r="DG40" s="77" t="str">
        <f t="shared" si="49"/>
        <v/>
      </c>
      <c r="DH40" s="77" t="str">
        <f t="shared" si="49"/>
        <v/>
      </c>
      <c r="DI40" s="77" t="str">
        <f t="shared" si="49"/>
        <v/>
      </c>
      <c r="DJ40" s="77" t="str">
        <f t="shared" si="49"/>
        <v/>
      </c>
      <c r="DK40" s="77" t="str">
        <f t="shared" si="43"/>
        <v/>
      </c>
      <c r="DL40" s="77" t="str">
        <f t="shared" si="43"/>
        <v/>
      </c>
      <c r="DM40" s="77" t="str">
        <f t="shared" si="43"/>
        <v/>
      </c>
      <c r="DN40" s="77" t="str">
        <f t="shared" si="43"/>
        <v/>
      </c>
      <c r="DO40" s="77" t="str">
        <f t="shared" si="43"/>
        <v/>
      </c>
      <c r="DP40" s="77" t="str">
        <f t="shared" si="43"/>
        <v/>
      </c>
      <c r="DQ40" s="77" t="str">
        <f t="shared" si="44"/>
        <v/>
      </c>
      <c r="DR40" s="77" t="str">
        <f t="shared" si="44"/>
        <v/>
      </c>
      <c r="DS40" s="77" t="str">
        <f t="shared" si="44"/>
        <v/>
      </c>
      <c r="DT40" s="107" t="str">
        <f t="shared" si="44"/>
        <v/>
      </c>
      <c r="DU40" s="54"/>
      <c r="DV40" s="25"/>
      <c r="DW40" s="78" t="str">
        <f t="shared" si="45"/>
        <v/>
      </c>
      <c r="DX40" s="79" t="str">
        <f t="shared" si="45"/>
        <v/>
      </c>
      <c r="DY40" s="79" t="str">
        <f t="shared" si="45"/>
        <v/>
      </c>
      <c r="DZ40" s="79" t="str">
        <f t="shared" si="45"/>
        <v/>
      </c>
      <c r="EA40" s="79" t="str">
        <f t="shared" si="45"/>
        <v/>
      </c>
      <c r="EB40" s="79" t="str">
        <f t="shared" si="45"/>
        <v/>
      </c>
      <c r="EC40" s="79" t="str">
        <f t="shared" si="45"/>
        <v/>
      </c>
      <c r="ED40" s="79" t="str">
        <f t="shared" si="45"/>
        <v/>
      </c>
      <c r="EE40" s="79" t="str">
        <f t="shared" si="45"/>
        <v/>
      </c>
      <c r="EF40" s="79" t="str">
        <f t="shared" si="45"/>
        <v/>
      </c>
      <c r="EG40" s="79" t="str">
        <f t="shared" si="45"/>
        <v/>
      </c>
      <c r="EH40" s="79" t="str">
        <f t="shared" si="45"/>
        <v/>
      </c>
      <c r="EI40" s="79" t="str">
        <f t="shared" si="45"/>
        <v/>
      </c>
      <c r="EJ40" s="79" t="str">
        <f t="shared" si="45"/>
        <v/>
      </c>
      <c r="EK40" s="79" t="str">
        <f t="shared" si="45"/>
        <v/>
      </c>
      <c r="EL40" s="79" t="str">
        <f t="shared" si="45"/>
        <v/>
      </c>
      <c r="EM40" s="79" t="str">
        <f t="shared" si="53"/>
        <v/>
      </c>
      <c r="EN40" s="79" t="str">
        <f t="shared" si="53"/>
        <v/>
      </c>
      <c r="EO40" s="79" t="str">
        <f t="shared" si="53"/>
        <v/>
      </c>
      <c r="EP40" s="79" t="str">
        <f t="shared" si="53"/>
        <v/>
      </c>
      <c r="EQ40" s="79" t="str">
        <f t="shared" si="53"/>
        <v/>
      </c>
      <c r="ER40" s="79" t="str">
        <f t="shared" si="53"/>
        <v/>
      </c>
      <c r="ES40" s="79" t="str">
        <f t="shared" si="53"/>
        <v/>
      </c>
      <c r="ET40" s="79" t="str">
        <f t="shared" si="53"/>
        <v/>
      </c>
      <c r="EU40" s="79" t="str">
        <f t="shared" si="53"/>
        <v/>
      </c>
      <c r="EV40" s="79" t="str">
        <f t="shared" si="53"/>
        <v/>
      </c>
      <c r="EW40" s="79" t="str">
        <f t="shared" si="53"/>
        <v/>
      </c>
      <c r="EX40" s="79" t="str">
        <f t="shared" si="53"/>
        <v/>
      </c>
      <c r="EY40" s="79" t="str">
        <f t="shared" si="53"/>
        <v/>
      </c>
      <c r="EZ40" s="79" t="str">
        <f t="shared" si="53"/>
        <v/>
      </c>
      <c r="FA40" s="79" t="str">
        <f t="shared" si="53"/>
        <v/>
      </c>
      <c r="FB40" s="79" t="str">
        <f t="shared" si="53"/>
        <v/>
      </c>
      <c r="FC40" s="79" t="str">
        <f t="shared" si="54"/>
        <v/>
      </c>
      <c r="FD40" s="79" t="str">
        <f t="shared" si="54"/>
        <v/>
      </c>
      <c r="FE40" s="79" t="str">
        <f t="shared" si="54"/>
        <v/>
      </c>
      <c r="FF40" s="79" t="str">
        <f t="shared" si="54"/>
        <v/>
      </c>
      <c r="FG40" s="79" t="str">
        <f t="shared" si="54"/>
        <v/>
      </c>
      <c r="FH40" s="79" t="str">
        <f t="shared" si="54"/>
        <v/>
      </c>
      <c r="FI40" s="79" t="str">
        <f t="shared" si="54"/>
        <v/>
      </c>
      <c r="FJ40" s="79" t="str">
        <f t="shared" si="54"/>
        <v/>
      </c>
      <c r="FK40" s="79" t="str">
        <f t="shared" si="54"/>
        <v/>
      </c>
      <c r="FL40" s="79" t="str">
        <f t="shared" si="54"/>
        <v/>
      </c>
      <c r="FM40" s="79" t="str">
        <f t="shared" si="54"/>
        <v/>
      </c>
      <c r="FN40" s="79" t="str">
        <f t="shared" si="54"/>
        <v/>
      </c>
      <c r="FO40" s="79" t="str">
        <f t="shared" si="54"/>
        <v/>
      </c>
      <c r="FP40" s="79" t="str">
        <f t="shared" si="54"/>
        <v/>
      </c>
      <c r="FQ40" s="79" t="str">
        <f t="shared" si="54"/>
        <v/>
      </c>
      <c r="FR40" s="79" t="str">
        <f t="shared" si="54"/>
        <v/>
      </c>
      <c r="FS40" s="79" t="str">
        <f t="shared" si="54"/>
        <v/>
      </c>
      <c r="FT40" s="79" t="str">
        <f t="shared" si="54"/>
        <v/>
      </c>
      <c r="FU40" s="79" t="str">
        <f t="shared" si="54"/>
        <v/>
      </c>
      <c r="FV40" s="79" t="str">
        <f t="shared" si="54"/>
        <v/>
      </c>
      <c r="FW40" s="79" t="str">
        <f t="shared" ref="FW40:GW40" si="73">IF($B40=FW$12,$O40,"")</f>
        <v/>
      </c>
      <c r="FX40" s="79" t="str">
        <f t="shared" si="73"/>
        <v/>
      </c>
      <c r="FY40" s="79" t="str">
        <f t="shared" si="73"/>
        <v/>
      </c>
      <c r="FZ40" s="79" t="str">
        <f t="shared" si="73"/>
        <v/>
      </c>
      <c r="GA40" s="79" t="str">
        <f t="shared" si="73"/>
        <v/>
      </c>
      <c r="GB40" s="79" t="str">
        <f t="shared" si="73"/>
        <v/>
      </c>
      <c r="GC40" s="79" t="str">
        <f t="shared" si="73"/>
        <v/>
      </c>
      <c r="GD40" s="79" t="str">
        <f t="shared" si="73"/>
        <v/>
      </c>
      <c r="GE40" s="79" t="str">
        <f t="shared" si="73"/>
        <v/>
      </c>
      <c r="GF40" s="79" t="str">
        <f t="shared" si="73"/>
        <v/>
      </c>
      <c r="GG40" s="79" t="str">
        <f t="shared" si="73"/>
        <v/>
      </c>
      <c r="GH40" s="79" t="str">
        <f t="shared" si="73"/>
        <v/>
      </c>
      <c r="GI40" s="79" t="str">
        <f t="shared" si="73"/>
        <v/>
      </c>
      <c r="GJ40" s="79" t="str">
        <f t="shared" si="73"/>
        <v/>
      </c>
      <c r="GK40" s="79" t="str">
        <f t="shared" si="73"/>
        <v/>
      </c>
      <c r="GL40" s="79" t="str">
        <f t="shared" si="73"/>
        <v/>
      </c>
      <c r="GM40" s="79" t="str">
        <f t="shared" si="73"/>
        <v/>
      </c>
      <c r="GN40" s="79" t="str">
        <f t="shared" si="73"/>
        <v/>
      </c>
      <c r="GO40" s="79" t="str">
        <f t="shared" si="73"/>
        <v/>
      </c>
      <c r="GP40" s="79" t="str">
        <f t="shared" si="73"/>
        <v/>
      </c>
      <c r="GQ40" s="79" t="str">
        <f t="shared" si="73"/>
        <v/>
      </c>
      <c r="GR40" s="79" t="str">
        <f t="shared" si="73"/>
        <v/>
      </c>
      <c r="GS40" s="79" t="str">
        <f t="shared" si="73"/>
        <v/>
      </c>
      <c r="GT40" s="79" t="str">
        <f t="shared" si="73"/>
        <v/>
      </c>
      <c r="GU40" s="79" t="str">
        <f t="shared" si="73"/>
        <v/>
      </c>
      <c r="GV40" s="79" t="str">
        <f t="shared" si="73"/>
        <v/>
      </c>
      <c r="GW40" s="79" t="str">
        <f t="shared" si="73"/>
        <v/>
      </c>
      <c r="GX40" s="79" t="str">
        <f t="shared" si="50"/>
        <v/>
      </c>
      <c r="GY40" s="79" t="str">
        <f t="shared" si="50"/>
        <v/>
      </c>
      <c r="GZ40" s="79" t="str">
        <f t="shared" si="50"/>
        <v/>
      </c>
      <c r="HA40" s="79" t="str">
        <f t="shared" si="50"/>
        <v/>
      </c>
      <c r="HB40" s="79" t="str">
        <f t="shared" si="50"/>
        <v/>
      </c>
      <c r="HC40" s="79" t="str">
        <f t="shared" si="50"/>
        <v/>
      </c>
      <c r="HD40" s="79" t="str">
        <f t="shared" si="50"/>
        <v/>
      </c>
      <c r="HE40" s="79" t="str">
        <f t="shared" si="50"/>
        <v/>
      </c>
      <c r="HF40" s="79" t="str">
        <f t="shared" si="50"/>
        <v/>
      </c>
      <c r="HG40" s="79" t="str">
        <f t="shared" si="50"/>
        <v/>
      </c>
      <c r="HH40" s="79" t="str">
        <f t="shared" si="50"/>
        <v/>
      </c>
      <c r="HI40" s="79" t="str">
        <f t="shared" si="50"/>
        <v/>
      </c>
      <c r="HJ40" s="79" t="str">
        <f t="shared" si="50"/>
        <v/>
      </c>
      <c r="HK40" s="79" t="str">
        <f t="shared" si="50"/>
        <v/>
      </c>
      <c r="HL40" s="79" t="str">
        <f t="shared" si="50"/>
        <v/>
      </c>
      <c r="HM40" s="79" t="str">
        <f t="shared" si="50"/>
        <v/>
      </c>
      <c r="HN40" s="79" t="str">
        <f t="shared" si="48"/>
        <v/>
      </c>
      <c r="HO40" s="79" t="str">
        <f t="shared" si="48"/>
        <v/>
      </c>
      <c r="HP40" s="79" t="str">
        <f t="shared" si="48"/>
        <v/>
      </c>
      <c r="HQ40" s="79" t="str">
        <f t="shared" si="48"/>
        <v/>
      </c>
      <c r="HR40" s="113" t="str">
        <f t="shared" si="48"/>
        <v/>
      </c>
    </row>
    <row r="41" spans="1:226" ht="11.1" customHeight="1" thickTop="1" x14ac:dyDescent="0.25"/>
    <row r="42" spans="1:226" x14ac:dyDescent="0.25">
      <c r="L42" s="119"/>
      <c r="O42" s="48" t="s">
        <v>17</v>
      </c>
      <c r="P42" s="49"/>
      <c r="Q42" s="104">
        <f>SUM(Q28:Q40)</f>
        <v>17784.383999999998</v>
      </c>
      <c r="R42" s="104">
        <f>SUM(R28:R40)</f>
        <v>17784.383999999998</v>
      </c>
    </row>
    <row r="43" spans="1:226" ht="11.1" customHeight="1" thickBot="1" x14ac:dyDescent="0.3"/>
    <row r="44" spans="1:226" ht="16.2" thickBot="1" x14ac:dyDescent="0.3">
      <c r="A44" s="146"/>
      <c r="B44" s="147"/>
      <c r="C44" s="99"/>
      <c r="D44" s="147"/>
      <c r="E44" s="99"/>
      <c r="F44" s="99"/>
      <c r="G44" s="99" t="s">
        <v>19</v>
      </c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100"/>
    </row>
    <row r="45" spans="1:226" ht="11.1" customHeight="1" thickBot="1" x14ac:dyDescent="0.3"/>
    <row r="46" spans="1:226" ht="11.1" customHeight="1" thickTop="1" x14ac:dyDescent="0.25">
      <c r="A46" s="80"/>
      <c r="B46" s="81"/>
      <c r="C46" s="82" t="str">
        <f>IF(A46=0,"",VLOOKUP(A46,[2]CO!$A$3:$F$5327,2,0))</f>
        <v/>
      </c>
      <c r="D46" s="83"/>
      <c r="E46" s="83"/>
      <c r="F46" s="102" t="str">
        <f t="shared" ref="F46:F52" si="74">IF(AND(B46&gt;0,H46&gt;0),(H46*100) &amp; "% DE $" &amp;$Q$24,"")</f>
        <v/>
      </c>
      <c r="G46" s="84" t="str">
        <f>IF(A46=0,"",VLOOKUP(A46,[2]CO!$A$3:$F$5327,3,0))</f>
        <v/>
      </c>
      <c r="H46" s="94"/>
      <c r="I46" s="85"/>
      <c r="J46" s="85"/>
      <c r="K46" s="85"/>
      <c r="L46" s="85"/>
      <c r="M46" s="86" t="str">
        <f t="shared" ref="M46:M51" si="75">IF(L46=0,"",H46*Q$24/N46)</f>
        <v/>
      </c>
      <c r="N46" s="86" t="str">
        <f>IF(B46=0,"",IF(H46="M",HLOOKUP(B46,$Y$12:$DT$13,2),IF(A46=0,"",VLOOKUP(A46,[2]CO!$A$3:$F$5327,4,0))))</f>
        <v/>
      </c>
      <c r="O46" s="86" t="str">
        <f t="shared" si="7"/>
        <v/>
      </c>
      <c r="P46" s="87"/>
      <c r="Q46" s="88" t="str">
        <f t="shared" ref="Q46:Q52" si="76">IF(P46=0,"",(HLOOKUP(P46,$DW$12:$HR$13,2)))</f>
        <v/>
      </c>
      <c r="R46" s="89"/>
      <c r="T46" s="53" t="str">
        <f>IF(A46=0,"",VLOOKUP(A46,[2]CO!$A$3:$F$5318,5,0))</f>
        <v/>
      </c>
      <c r="U46" s="54">
        <f t="shared" si="40"/>
        <v>0</v>
      </c>
      <c r="V46" s="24"/>
      <c r="W46" s="25"/>
      <c r="X46" s="25"/>
      <c r="Y46" s="90" t="str">
        <f t="shared" ref="Y46:AN52" si="77">IF($B46=Y$12,$U46,"")</f>
        <v/>
      </c>
      <c r="Z46" s="91" t="str">
        <f t="shared" si="77"/>
        <v/>
      </c>
      <c r="AA46" s="91" t="str">
        <f t="shared" si="77"/>
        <v/>
      </c>
      <c r="AB46" s="91" t="str">
        <f t="shared" si="77"/>
        <v/>
      </c>
      <c r="AC46" s="91" t="str">
        <f t="shared" si="77"/>
        <v/>
      </c>
      <c r="AD46" s="91" t="str">
        <f t="shared" si="77"/>
        <v/>
      </c>
      <c r="AE46" s="91" t="str">
        <f t="shared" si="77"/>
        <v/>
      </c>
      <c r="AF46" s="91" t="str">
        <f t="shared" si="77"/>
        <v/>
      </c>
      <c r="AG46" s="91" t="str">
        <f t="shared" si="77"/>
        <v/>
      </c>
      <c r="AH46" s="91" t="str">
        <f t="shared" si="77"/>
        <v/>
      </c>
      <c r="AI46" s="91" t="str">
        <f t="shared" si="77"/>
        <v/>
      </c>
      <c r="AJ46" s="91" t="str">
        <f t="shared" si="77"/>
        <v/>
      </c>
      <c r="AK46" s="91" t="str">
        <f t="shared" si="77"/>
        <v/>
      </c>
      <c r="AL46" s="91" t="str">
        <f t="shared" si="77"/>
        <v/>
      </c>
      <c r="AM46" s="91" t="str">
        <f t="shared" si="77"/>
        <v/>
      </c>
      <c r="AN46" s="91" t="str">
        <f t="shared" si="77"/>
        <v/>
      </c>
      <c r="AO46" s="91" t="str">
        <f t="shared" ref="AO46:BD52" si="78">IF($B46=AO$12,$U46,"")</f>
        <v/>
      </c>
      <c r="AP46" s="91" t="str">
        <f t="shared" si="78"/>
        <v/>
      </c>
      <c r="AQ46" s="91" t="str">
        <f t="shared" si="78"/>
        <v/>
      </c>
      <c r="AR46" s="91" t="str">
        <f t="shared" si="78"/>
        <v/>
      </c>
      <c r="AS46" s="91" t="str">
        <f t="shared" si="78"/>
        <v/>
      </c>
      <c r="AT46" s="91" t="str">
        <f t="shared" si="78"/>
        <v/>
      </c>
      <c r="AU46" s="91" t="str">
        <f t="shared" si="78"/>
        <v/>
      </c>
      <c r="AV46" s="91" t="str">
        <f t="shared" si="78"/>
        <v/>
      </c>
      <c r="AW46" s="91" t="str">
        <f t="shared" si="78"/>
        <v/>
      </c>
      <c r="AX46" s="91" t="str">
        <f t="shared" si="78"/>
        <v/>
      </c>
      <c r="AY46" s="91" t="str">
        <f t="shared" si="78"/>
        <v/>
      </c>
      <c r="AZ46" s="91" t="str">
        <f t="shared" si="78"/>
        <v/>
      </c>
      <c r="BA46" s="91" t="str">
        <f t="shared" si="78"/>
        <v/>
      </c>
      <c r="BB46" s="91" t="str">
        <f t="shared" si="78"/>
        <v/>
      </c>
      <c r="BC46" s="91" t="str">
        <f t="shared" si="78"/>
        <v/>
      </c>
      <c r="BD46" s="91" t="str">
        <f t="shared" si="78"/>
        <v/>
      </c>
      <c r="BE46" s="91" t="str">
        <f t="shared" ref="BE46:BT52" si="79">IF($B46=BE$12,$U46,"")</f>
        <v/>
      </c>
      <c r="BF46" s="91" t="str">
        <f t="shared" si="79"/>
        <v/>
      </c>
      <c r="BG46" s="91" t="str">
        <f t="shared" si="79"/>
        <v/>
      </c>
      <c r="BH46" s="91" t="str">
        <f t="shared" si="79"/>
        <v/>
      </c>
      <c r="BI46" s="91" t="str">
        <f t="shared" si="79"/>
        <v/>
      </c>
      <c r="BJ46" s="91" t="str">
        <f t="shared" si="79"/>
        <v/>
      </c>
      <c r="BK46" s="91" t="str">
        <f t="shared" si="79"/>
        <v/>
      </c>
      <c r="BL46" s="91" t="str">
        <f t="shared" si="79"/>
        <v/>
      </c>
      <c r="BM46" s="91" t="str">
        <f t="shared" si="79"/>
        <v/>
      </c>
      <c r="BN46" s="91" t="str">
        <f t="shared" si="79"/>
        <v/>
      </c>
      <c r="BO46" s="91" t="str">
        <f t="shared" si="79"/>
        <v/>
      </c>
      <c r="BP46" s="91" t="str">
        <f t="shared" si="79"/>
        <v/>
      </c>
      <c r="BQ46" s="91" t="str">
        <f t="shared" si="79"/>
        <v/>
      </c>
      <c r="BR46" s="91" t="str">
        <f t="shared" si="79"/>
        <v/>
      </c>
      <c r="BS46" s="91" t="str">
        <f t="shared" si="79"/>
        <v/>
      </c>
      <c r="BT46" s="91" t="str">
        <f t="shared" si="79"/>
        <v/>
      </c>
      <c r="BU46" s="91" t="str">
        <f t="shared" ref="BU46:DT50" si="80">IF($B46=BU$12,$U46,"")</f>
        <v/>
      </c>
      <c r="BV46" s="91" t="str">
        <f t="shared" si="80"/>
        <v/>
      </c>
      <c r="BW46" s="91" t="str">
        <f t="shared" si="80"/>
        <v/>
      </c>
      <c r="BX46" s="91" t="str">
        <f t="shared" si="80"/>
        <v/>
      </c>
      <c r="BY46" s="91" t="str">
        <f t="shared" si="80"/>
        <v/>
      </c>
      <c r="BZ46" s="91" t="str">
        <f t="shared" si="80"/>
        <v/>
      </c>
      <c r="CA46" s="91" t="str">
        <f t="shared" si="80"/>
        <v/>
      </c>
      <c r="CB46" s="91" t="str">
        <f t="shared" si="80"/>
        <v/>
      </c>
      <c r="CC46" s="91" t="str">
        <f t="shared" si="80"/>
        <v/>
      </c>
      <c r="CD46" s="91" t="str">
        <f t="shared" si="80"/>
        <v/>
      </c>
      <c r="CE46" s="91" t="str">
        <f t="shared" si="80"/>
        <v/>
      </c>
      <c r="CF46" s="91" t="str">
        <f t="shared" si="80"/>
        <v/>
      </c>
      <c r="CG46" s="91" t="str">
        <f t="shared" si="80"/>
        <v/>
      </c>
      <c r="CH46" s="91" t="str">
        <f t="shared" si="80"/>
        <v/>
      </c>
      <c r="CI46" s="91" t="str">
        <f t="shared" si="80"/>
        <v/>
      </c>
      <c r="CJ46" s="91" t="str">
        <f t="shared" si="80"/>
        <v/>
      </c>
      <c r="CK46" s="91" t="str">
        <f t="shared" si="80"/>
        <v/>
      </c>
      <c r="CL46" s="91" t="str">
        <f t="shared" si="80"/>
        <v/>
      </c>
      <c r="CM46" s="91" t="str">
        <f t="shared" si="80"/>
        <v/>
      </c>
      <c r="CN46" s="91" t="str">
        <f t="shared" si="80"/>
        <v/>
      </c>
      <c r="CO46" s="91" t="str">
        <f t="shared" si="80"/>
        <v/>
      </c>
      <c r="CP46" s="91" t="str">
        <f t="shared" si="80"/>
        <v/>
      </c>
      <c r="CQ46" s="91" t="str">
        <f t="shared" si="80"/>
        <v/>
      </c>
      <c r="CR46" s="91" t="str">
        <f t="shared" si="80"/>
        <v/>
      </c>
      <c r="CS46" s="91" t="str">
        <f t="shared" si="80"/>
        <v/>
      </c>
      <c r="CT46" s="91" t="str">
        <f t="shared" si="80"/>
        <v/>
      </c>
      <c r="CU46" s="91" t="str">
        <f t="shared" si="80"/>
        <v/>
      </c>
      <c r="CV46" s="91" t="str">
        <f t="shared" si="80"/>
        <v/>
      </c>
      <c r="CW46" s="91" t="str">
        <f t="shared" si="80"/>
        <v/>
      </c>
      <c r="CX46" s="91" t="str">
        <f t="shared" si="80"/>
        <v/>
      </c>
      <c r="CY46" s="91" t="str">
        <f t="shared" si="80"/>
        <v/>
      </c>
      <c r="CZ46" s="91" t="str">
        <f t="shared" si="80"/>
        <v/>
      </c>
      <c r="DA46" s="91" t="str">
        <f t="shared" si="80"/>
        <v/>
      </c>
      <c r="DB46" s="91" t="str">
        <f t="shared" si="80"/>
        <v/>
      </c>
      <c r="DC46" s="91" t="str">
        <f t="shared" si="80"/>
        <v/>
      </c>
      <c r="DD46" s="91" t="str">
        <f t="shared" si="80"/>
        <v/>
      </c>
      <c r="DE46" s="91" t="str">
        <f t="shared" si="80"/>
        <v/>
      </c>
      <c r="DF46" s="91" t="str">
        <f t="shared" si="80"/>
        <v/>
      </c>
      <c r="DG46" s="91" t="str">
        <f t="shared" si="80"/>
        <v/>
      </c>
      <c r="DH46" s="91" t="str">
        <f t="shared" si="80"/>
        <v/>
      </c>
      <c r="DI46" s="91" t="str">
        <f t="shared" si="80"/>
        <v/>
      </c>
      <c r="DJ46" s="91" t="str">
        <f t="shared" si="80"/>
        <v/>
      </c>
      <c r="DK46" s="91" t="str">
        <f t="shared" si="80"/>
        <v/>
      </c>
      <c r="DL46" s="91" t="str">
        <f t="shared" si="80"/>
        <v/>
      </c>
      <c r="DM46" s="91" t="str">
        <f t="shared" si="80"/>
        <v/>
      </c>
      <c r="DN46" s="91" t="str">
        <f t="shared" si="80"/>
        <v/>
      </c>
      <c r="DO46" s="91" t="str">
        <f t="shared" si="80"/>
        <v/>
      </c>
      <c r="DP46" s="91" t="str">
        <f t="shared" si="80"/>
        <v/>
      </c>
      <c r="DQ46" s="91" t="str">
        <f t="shared" si="80"/>
        <v/>
      </c>
      <c r="DR46" s="91" t="str">
        <f t="shared" si="80"/>
        <v/>
      </c>
      <c r="DS46" s="91" t="str">
        <f t="shared" si="80"/>
        <v/>
      </c>
      <c r="DT46" s="105" t="str">
        <f t="shared" si="80"/>
        <v/>
      </c>
      <c r="DU46" s="54"/>
      <c r="DV46" s="25"/>
      <c r="DW46" s="92" t="str">
        <f t="shared" ref="DW46:EL52" si="81">IF($B46=DW$12,$O46,"")</f>
        <v/>
      </c>
      <c r="DX46" s="93" t="str">
        <f t="shared" si="81"/>
        <v/>
      </c>
      <c r="DY46" s="93" t="str">
        <f t="shared" si="81"/>
        <v/>
      </c>
      <c r="DZ46" s="93" t="str">
        <f t="shared" si="81"/>
        <v/>
      </c>
      <c r="EA46" s="93" t="str">
        <f t="shared" si="81"/>
        <v/>
      </c>
      <c r="EB46" s="93" t="str">
        <f t="shared" si="81"/>
        <v/>
      </c>
      <c r="EC46" s="93" t="str">
        <f t="shared" si="81"/>
        <v/>
      </c>
      <c r="ED46" s="93" t="str">
        <f t="shared" si="81"/>
        <v/>
      </c>
      <c r="EE46" s="93" t="str">
        <f t="shared" si="81"/>
        <v/>
      </c>
      <c r="EF46" s="93" t="str">
        <f t="shared" si="81"/>
        <v/>
      </c>
      <c r="EG46" s="93" t="str">
        <f t="shared" si="81"/>
        <v/>
      </c>
      <c r="EH46" s="93" t="str">
        <f t="shared" si="81"/>
        <v/>
      </c>
      <c r="EI46" s="93" t="str">
        <f t="shared" si="81"/>
        <v/>
      </c>
      <c r="EJ46" s="93" t="str">
        <f t="shared" si="81"/>
        <v/>
      </c>
      <c r="EK46" s="93" t="str">
        <f t="shared" si="81"/>
        <v/>
      </c>
      <c r="EL46" s="93" t="str">
        <f t="shared" si="81"/>
        <v/>
      </c>
      <c r="EM46" s="93" t="str">
        <f t="shared" ref="EM46:FB52" si="82">IF($B46=EM$12,$O46,"")</f>
        <v/>
      </c>
      <c r="EN46" s="93" t="str">
        <f t="shared" si="82"/>
        <v/>
      </c>
      <c r="EO46" s="93" t="str">
        <f t="shared" si="82"/>
        <v/>
      </c>
      <c r="EP46" s="93" t="str">
        <f t="shared" si="82"/>
        <v/>
      </c>
      <c r="EQ46" s="93" t="str">
        <f t="shared" si="82"/>
        <v/>
      </c>
      <c r="ER46" s="93" t="str">
        <f t="shared" si="82"/>
        <v/>
      </c>
      <c r="ES46" s="93" t="str">
        <f t="shared" si="82"/>
        <v/>
      </c>
      <c r="ET46" s="93" t="str">
        <f t="shared" si="82"/>
        <v/>
      </c>
      <c r="EU46" s="93" t="str">
        <f t="shared" si="82"/>
        <v/>
      </c>
      <c r="EV46" s="93" t="str">
        <f t="shared" si="82"/>
        <v/>
      </c>
      <c r="EW46" s="93" t="str">
        <f t="shared" si="82"/>
        <v/>
      </c>
      <c r="EX46" s="93" t="str">
        <f t="shared" si="82"/>
        <v/>
      </c>
      <c r="EY46" s="93" t="str">
        <f t="shared" si="82"/>
        <v/>
      </c>
      <c r="EZ46" s="93" t="str">
        <f t="shared" si="82"/>
        <v/>
      </c>
      <c r="FA46" s="93" t="str">
        <f t="shared" si="82"/>
        <v/>
      </c>
      <c r="FB46" s="93" t="str">
        <f t="shared" si="82"/>
        <v/>
      </c>
      <c r="FC46" s="93" t="str">
        <f t="shared" ref="FC46:FR52" si="83">IF($B46=FC$12,$O46,"")</f>
        <v/>
      </c>
      <c r="FD46" s="93" t="str">
        <f t="shared" si="83"/>
        <v/>
      </c>
      <c r="FE46" s="93" t="str">
        <f t="shared" si="83"/>
        <v/>
      </c>
      <c r="FF46" s="93" t="str">
        <f t="shared" si="83"/>
        <v/>
      </c>
      <c r="FG46" s="93" t="str">
        <f t="shared" si="83"/>
        <v/>
      </c>
      <c r="FH46" s="93" t="str">
        <f t="shared" si="83"/>
        <v/>
      </c>
      <c r="FI46" s="93" t="str">
        <f t="shared" si="83"/>
        <v/>
      </c>
      <c r="FJ46" s="93" t="str">
        <f t="shared" si="83"/>
        <v/>
      </c>
      <c r="FK46" s="93" t="str">
        <f t="shared" si="83"/>
        <v/>
      </c>
      <c r="FL46" s="93" t="str">
        <f t="shared" si="83"/>
        <v/>
      </c>
      <c r="FM46" s="93" t="str">
        <f t="shared" si="83"/>
        <v/>
      </c>
      <c r="FN46" s="93" t="str">
        <f t="shared" si="83"/>
        <v/>
      </c>
      <c r="FO46" s="93" t="str">
        <f t="shared" si="83"/>
        <v/>
      </c>
      <c r="FP46" s="93" t="str">
        <f t="shared" si="83"/>
        <v/>
      </c>
      <c r="FQ46" s="93" t="str">
        <f t="shared" si="83"/>
        <v/>
      </c>
      <c r="FR46" s="93" t="str">
        <f t="shared" si="83"/>
        <v/>
      </c>
      <c r="FS46" s="93" t="str">
        <f t="shared" ref="FS46:HR50" si="84">IF($B46=FS$12,$O46,"")</f>
        <v/>
      </c>
      <c r="FT46" s="93" t="str">
        <f t="shared" si="84"/>
        <v/>
      </c>
      <c r="FU46" s="93" t="str">
        <f t="shared" si="84"/>
        <v/>
      </c>
      <c r="FV46" s="93" t="str">
        <f t="shared" si="84"/>
        <v/>
      </c>
      <c r="FW46" s="93" t="str">
        <f t="shared" si="84"/>
        <v/>
      </c>
      <c r="FX46" s="93" t="str">
        <f t="shared" si="84"/>
        <v/>
      </c>
      <c r="FY46" s="93" t="str">
        <f t="shared" si="84"/>
        <v/>
      </c>
      <c r="FZ46" s="93" t="str">
        <f t="shared" si="84"/>
        <v/>
      </c>
      <c r="GA46" s="93" t="str">
        <f t="shared" si="84"/>
        <v/>
      </c>
      <c r="GB46" s="93" t="str">
        <f t="shared" si="84"/>
        <v/>
      </c>
      <c r="GC46" s="93" t="str">
        <f t="shared" si="84"/>
        <v/>
      </c>
      <c r="GD46" s="93" t="str">
        <f t="shared" si="84"/>
        <v/>
      </c>
      <c r="GE46" s="93" t="str">
        <f t="shared" si="84"/>
        <v/>
      </c>
      <c r="GF46" s="93" t="str">
        <f t="shared" si="84"/>
        <v/>
      </c>
      <c r="GG46" s="93" t="str">
        <f t="shared" si="84"/>
        <v/>
      </c>
      <c r="GH46" s="93" t="str">
        <f t="shared" si="84"/>
        <v/>
      </c>
      <c r="GI46" s="93" t="str">
        <f t="shared" si="84"/>
        <v/>
      </c>
      <c r="GJ46" s="93" t="str">
        <f t="shared" si="84"/>
        <v/>
      </c>
      <c r="GK46" s="93" t="str">
        <f t="shared" si="84"/>
        <v/>
      </c>
      <c r="GL46" s="93" t="str">
        <f t="shared" si="84"/>
        <v/>
      </c>
      <c r="GM46" s="93" t="str">
        <f t="shared" si="84"/>
        <v/>
      </c>
      <c r="GN46" s="93" t="str">
        <f t="shared" si="84"/>
        <v/>
      </c>
      <c r="GO46" s="93" t="str">
        <f t="shared" si="84"/>
        <v/>
      </c>
      <c r="GP46" s="93" t="str">
        <f t="shared" si="84"/>
        <v/>
      </c>
      <c r="GQ46" s="93" t="str">
        <f t="shared" si="84"/>
        <v/>
      </c>
      <c r="GR46" s="93" t="str">
        <f t="shared" si="84"/>
        <v/>
      </c>
      <c r="GS46" s="93" t="str">
        <f t="shared" si="84"/>
        <v/>
      </c>
      <c r="GT46" s="93" t="str">
        <f t="shared" si="84"/>
        <v/>
      </c>
      <c r="GU46" s="93" t="str">
        <f t="shared" si="84"/>
        <v/>
      </c>
      <c r="GV46" s="93" t="str">
        <f t="shared" si="84"/>
        <v/>
      </c>
      <c r="GW46" s="93" t="str">
        <f t="shared" si="84"/>
        <v/>
      </c>
      <c r="GX46" s="93" t="str">
        <f t="shared" si="84"/>
        <v/>
      </c>
      <c r="GY46" s="93" t="str">
        <f t="shared" si="84"/>
        <v/>
      </c>
      <c r="GZ46" s="93" t="str">
        <f t="shared" si="84"/>
        <v/>
      </c>
      <c r="HA46" s="93" t="str">
        <f t="shared" si="84"/>
        <v/>
      </c>
      <c r="HB46" s="93" t="str">
        <f t="shared" si="84"/>
        <v/>
      </c>
      <c r="HC46" s="93" t="str">
        <f t="shared" si="84"/>
        <v/>
      </c>
      <c r="HD46" s="93" t="str">
        <f t="shared" si="84"/>
        <v/>
      </c>
      <c r="HE46" s="93" t="str">
        <f t="shared" si="84"/>
        <v/>
      </c>
      <c r="HF46" s="93" t="str">
        <f t="shared" si="84"/>
        <v/>
      </c>
      <c r="HG46" s="93" t="str">
        <f t="shared" si="84"/>
        <v/>
      </c>
      <c r="HH46" s="93" t="str">
        <f t="shared" si="84"/>
        <v/>
      </c>
      <c r="HI46" s="93" t="str">
        <f t="shared" si="84"/>
        <v/>
      </c>
      <c r="HJ46" s="93" t="str">
        <f t="shared" si="84"/>
        <v/>
      </c>
      <c r="HK46" s="93" t="str">
        <f t="shared" si="84"/>
        <v/>
      </c>
      <c r="HL46" s="93" t="str">
        <f t="shared" si="84"/>
        <v/>
      </c>
      <c r="HM46" s="93" t="str">
        <f t="shared" si="84"/>
        <v/>
      </c>
      <c r="HN46" s="93" t="str">
        <f t="shared" si="84"/>
        <v/>
      </c>
      <c r="HO46" s="93" t="str">
        <f t="shared" si="84"/>
        <v/>
      </c>
      <c r="HP46" s="93" t="str">
        <f t="shared" si="84"/>
        <v/>
      </c>
      <c r="HQ46" s="93" t="str">
        <f t="shared" si="84"/>
        <v/>
      </c>
      <c r="HR46" s="111" t="str">
        <f t="shared" si="84"/>
        <v/>
      </c>
    </row>
    <row r="47" spans="1:226" ht="11.1" customHeight="1" x14ac:dyDescent="0.25">
      <c r="A47" s="26" t="s">
        <v>33</v>
      </c>
      <c r="B47" s="27">
        <v>75</v>
      </c>
      <c r="C47" s="28" t="str">
        <f>IF(A47=0,"",VLOOKUP(A47,[2]CO!$A$3:$F$5327,2,0))</f>
        <v>Lote</v>
      </c>
      <c r="D47" s="29" t="s">
        <v>19</v>
      </c>
      <c r="E47" s="29"/>
      <c r="F47" s="101" t="str">
        <f t="shared" si="74"/>
        <v>12% DE $7665.6</v>
      </c>
      <c r="G47" s="30" t="str">
        <f>IF(A47=0,"",VLOOKUP(A47,[2]CO!$A$3:$F$5327,3,0))</f>
        <v>LOTE</v>
      </c>
      <c r="H47" s="95">
        <v>0.12</v>
      </c>
      <c r="I47" s="31"/>
      <c r="J47" s="31"/>
      <c r="K47" s="31"/>
      <c r="L47" s="31">
        <v>1</v>
      </c>
      <c r="M47" s="32">
        <f t="shared" si="75"/>
        <v>9.1987199999999998</v>
      </c>
      <c r="N47" s="32">
        <f>IF(B47=0,"",IF(H47="M",HLOOKUP(B47,$Y$12:$DT$13,2),IF(A47=0,"",VLOOKUP(A47,[2]CO!$A$3:$F$5327,4,0))))</f>
        <v>100</v>
      </c>
      <c r="O47" s="32">
        <f t="shared" si="7"/>
        <v>919.87199999999996</v>
      </c>
      <c r="P47" s="33">
        <v>75</v>
      </c>
      <c r="Q47" s="34">
        <f t="shared" si="76"/>
        <v>919.87199999999996</v>
      </c>
      <c r="R47" s="35"/>
      <c r="T47" s="53">
        <f>IF(A47=0,"",VLOOKUP(A47,[2]CO!$A$3:$F$5318,5,0))</f>
        <v>0</v>
      </c>
      <c r="U47" s="54">
        <f t="shared" si="40"/>
        <v>0</v>
      </c>
      <c r="V47" s="24"/>
      <c r="W47" s="25"/>
      <c r="X47" s="25"/>
      <c r="Y47" s="64" t="str">
        <f t="shared" si="77"/>
        <v/>
      </c>
      <c r="Z47" s="55" t="str">
        <f t="shared" si="77"/>
        <v/>
      </c>
      <c r="AA47" s="55" t="str">
        <f t="shared" si="77"/>
        <v/>
      </c>
      <c r="AB47" s="55" t="str">
        <f t="shared" si="77"/>
        <v/>
      </c>
      <c r="AC47" s="55" t="str">
        <f t="shared" si="77"/>
        <v/>
      </c>
      <c r="AD47" s="55" t="str">
        <f t="shared" si="77"/>
        <v/>
      </c>
      <c r="AE47" s="55" t="str">
        <f t="shared" si="77"/>
        <v/>
      </c>
      <c r="AF47" s="55" t="str">
        <f t="shared" si="77"/>
        <v/>
      </c>
      <c r="AG47" s="55" t="str">
        <f t="shared" si="77"/>
        <v/>
      </c>
      <c r="AH47" s="55" t="str">
        <f t="shared" si="77"/>
        <v/>
      </c>
      <c r="AI47" s="55" t="str">
        <f t="shared" si="77"/>
        <v/>
      </c>
      <c r="AJ47" s="55" t="str">
        <f t="shared" si="77"/>
        <v/>
      </c>
      <c r="AK47" s="55" t="str">
        <f t="shared" si="77"/>
        <v/>
      </c>
      <c r="AL47" s="55" t="str">
        <f t="shared" si="77"/>
        <v/>
      </c>
      <c r="AM47" s="55" t="str">
        <f t="shared" si="77"/>
        <v/>
      </c>
      <c r="AN47" s="55" t="str">
        <f t="shared" si="77"/>
        <v/>
      </c>
      <c r="AO47" s="55" t="str">
        <f t="shared" si="78"/>
        <v/>
      </c>
      <c r="AP47" s="55" t="str">
        <f t="shared" si="78"/>
        <v/>
      </c>
      <c r="AQ47" s="55" t="str">
        <f t="shared" si="78"/>
        <v/>
      </c>
      <c r="AR47" s="55" t="str">
        <f t="shared" si="78"/>
        <v/>
      </c>
      <c r="AS47" s="55" t="str">
        <f t="shared" si="78"/>
        <v/>
      </c>
      <c r="AT47" s="55" t="str">
        <f t="shared" si="78"/>
        <v/>
      </c>
      <c r="AU47" s="55" t="str">
        <f t="shared" si="78"/>
        <v/>
      </c>
      <c r="AV47" s="55" t="str">
        <f t="shared" si="78"/>
        <v/>
      </c>
      <c r="AW47" s="55" t="str">
        <f t="shared" si="78"/>
        <v/>
      </c>
      <c r="AX47" s="55" t="str">
        <f t="shared" si="78"/>
        <v/>
      </c>
      <c r="AY47" s="55" t="str">
        <f t="shared" si="78"/>
        <v/>
      </c>
      <c r="AZ47" s="55" t="str">
        <f t="shared" si="78"/>
        <v/>
      </c>
      <c r="BA47" s="55" t="str">
        <f t="shared" si="78"/>
        <v/>
      </c>
      <c r="BB47" s="55" t="str">
        <f t="shared" si="78"/>
        <v/>
      </c>
      <c r="BC47" s="55" t="str">
        <f t="shared" si="78"/>
        <v/>
      </c>
      <c r="BD47" s="55" t="str">
        <f t="shared" si="78"/>
        <v/>
      </c>
      <c r="BE47" s="55" t="str">
        <f t="shared" si="79"/>
        <v/>
      </c>
      <c r="BF47" s="55" t="str">
        <f t="shared" si="79"/>
        <v/>
      </c>
      <c r="BG47" s="55" t="str">
        <f t="shared" si="79"/>
        <v/>
      </c>
      <c r="BH47" s="55" t="str">
        <f t="shared" si="79"/>
        <v/>
      </c>
      <c r="BI47" s="55" t="str">
        <f t="shared" si="79"/>
        <v/>
      </c>
      <c r="BJ47" s="55" t="str">
        <f t="shared" si="79"/>
        <v/>
      </c>
      <c r="BK47" s="55" t="str">
        <f t="shared" si="79"/>
        <v/>
      </c>
      <c r="BL47" s="55" t="str">
        <f t="shared" si="79"/>
        <v/>
      </c>
      <c r="BM47" s="55" t="str">
        <f t="shared" si="79"/>
        <v/>
      </c>
      <c r="BN47" s="55" t="str">
        <f t="shared" si="79"/>
        <v/>
      </c>
      <c r="BO47" s="55" t="str">
        <f t="shared" si="79"/>
        <v/>
      </c>
      <c r="BP47" s="55" t="str">
        <f t="shared" si="79"/>
        <v/>
      </c>
      <c r="BQ47" s="55" t="str">
        <f t="shared" si="79"/>
        <v/>
      </c>
      <c r="BR47" s="55" t="str">
        <f t="shared" si="79"/>
        <v/>
      </c>
      <c r="BS47" s="55" t="str">
        <f t="shared" si="79"/>
        <v/>
      </c>
      <c r="BT47" s="55" t="str">
        <f t="shared" si="79"/>
        <v/>
      </c>
      <c r="BU47" s="55" t="str">
        <f t="shared" si="80"/>
        <v/>
      </c>
      <c r="BV47" s="55" t="str">
        <f t="shared" si="80"/>
        <v/>
      </c>
      <c r="BW47" s="55" t="str">
        <f t="shared" si="80"/>
        <v/>
      </c>
      <c r="BX47" s="55" t="str">
        <f t="shared" si="80"/>
        <v/>
      </c>
      <c r="BY47" s="55" t="str">
        <f t="shared" si="80"/>
        <v/>
      </c>
      <c r="BZ47" s="55" t="str">
        <f t="shared" si="80"/>
        <v/>
      </c>
      <c r="CA47" s="55" t="str">
        <f t="shared" si="80"/>
        <v/>
      </c>
      <c r="CB47" s="55" t="str">
        <f t="shared" si="80"/>
        <v/>
      </c>
      <c r="CC47" s="55" t="str">
        <f t="shared" si="80"/>
        <v/>
      </c>
      <c r="CD47" s="55" t="str">
        <f t="shared" si="80"/>
        <v/>
      </c>
      <c r="CE47" s="55" t="str">
        <f t="shared" si="80"/>
        <v/>
      </c>
      <c r="CF47" s="55" t="str">
        <f t="shared" si="80"/>
        <v/>
      </c>
      <c r="CG47" s="55" t="str">
        <f t="shared" si="80"/>
        <v/>
      </c>
      <c r="CH47" s="55" t="str">
        <f t="shared" si="80"/>
        <v/>
      </c>
      <c r="CI47" s="55" t="str">
        <f t="shared" si="80"/>
        <v/>
      </c>
      <c r="CJ47" s="55" t="str">
        <f t="shared" si="80"/>
        <v/>
      </c>
      <c r="CK47" s="55" t="str">
        <f t="shared" si="80"/>
        <v/>
      </c>
      <c r="CL47" s="55" t="str">
        <f t="shared" si="80"/>
        <v/>
      </c>
      <c r="CM47" s="55" t="str">
        <f t="shared" si="80"/>
        <v/>
      </c>
      <c r="CN47" s="55" t="str">
        <f t="shared" si="80"/>
        <v/>
      </c>
      <c r="CO47" s="55" t="str">
        <f t="shared" si="80"/>
        <v/>
      </c>
      <c r="CP47" s="55" t="str">
        <f t="shared" si="80"/>
        <v/>
      </c>
      <c r="CQ47" s="55" t="str">
        <f t="shared" si="80"/>
        <v/>
      </c>
      <c r="CR47" s="55" t="str">
        <f t="shared" si="80"/>
        <v/>
      </c>
      <c r="CS47" s="55" t="str">
        <f t="shared" si="80"/>
        <v/>
      </c>
      <c r="CT47" s="55" t="str">
        <f t="shared" si="80"/>
        <v/>
      </c>
      <c r="CU47" s="55">
        <f t="shared" si="80"/>
        <v>0</v>
      </c>
      <c r="CV47" s="55" t="str">
        <f t="shared" si="80"/>
        <v/>
      </c>
      <c r="CW47" s="55" t="str">
        <f t="shared" si="80"/>
        <v/>
      </c>
      <c r="CX47" s="55" t="str">
        <f t="shared" si="80"/>
        <v/>
      </c>
      <c r="CY47" s="55" t="str">
        <f t="shared" si="80"/>
        <v/>
      </c>
      <c r="CZ47" s="55" t="str">
        <f t="shared" si="80"/>
        <v/>
      </c>
      <c r="DA47" s="55" t="str">
        <f t="shared" si="80"/>
        <v/>
      </c>
      <c r="DB47" s="55" t="str">
        <f t="shared" si="80"/>
        <v/>
      </c>
      <c r="DC47" s="55" t="str">
        <f t="shared" si="80"/>
        <v/>
      </c>
      <c r="DD47" s="55" t="str">
        <f t="shared" si="80"/>
        <v/>
      </c>
      <c r="DE47" s="55" t="str">
        <f t="shared" si="80"/>
        <v/>
      </c>
      <c r="DF47" s="55" t="str">
        <f t="shared" si="80"/>
        <v/>
      </c>
      <c r="DG47" s="55" t="str">
        <f t="shared" si="80"/>
        <v/>
      </c>
      <c r="DH47" s="55" t="str">
        <f t="shared" si="80"/>
        <v/>
      </c>
      <c r="DI47" s="55" t="str">
        <f t="shared" si="80"/>
        <v/>
      </c>
      <c r="DJ47" s="55" t="str">
        <f t="shared" si="80"/>
        <v/>
      </c>
      <c r="DK47" s="55" t="str">
        <f t="shared" si="80"/>
        <v/>
      </c>
      <c r="DL47" s="55" t="str">
        <f t="shared" si="80"/>
        <v/>
      </c>
      <c r="DM47" s="55" t="str">
        <f t="shared" si="80"/>
        <v/>
      </c>
      <c r="DN47" s="55" t="str">
        <f t="shared" si="80"/>
        <v/>
      </c>
      <c r="DO47" s="55" t="str">
        <f t="shared" si="80"/>
        <v/>
      </c>
      <c r="DP47" s="55" t="str">
        <f t="shared" si="80"/>
        <v/>
      </c>
      <c r="DQ47" s="55" t="str">
        <f t="shared" si="80"/>
        <v/>
      </c>
      <c r="DR47" s="55" t="str">
        <f t="shared" si="80"/>
        <v/>
      </c>
      <c r="DS47" s="55" t="str">
        <f t="shared" si="80"/>
        <v/>
      </c>
      <c r="DT47" s="106" t="str">
        <f t="shared" si="80"/>
        <v/>
      </c>
      <c r="DU47" s="54"/>
      <c r="DV47" s="25"/>
      <c r="DW47" s="61" t="str">
        <f t="shared" si="81"/>
        <v/>
      </c>
      <c r="DX47" s="50" t="str">
        <f t="shared" si="81"/>
        <v/>
      </c>
      <c r="DY47" s="50" t="str">
        <f t="shared" si="81"/>
        <v/>
      </c>
      <c r="DZ47" s="50" t="str">
        <f t="shared" si="81"/>
        <v/>
      </c>
      <c r="EA47" s="50" t="str">
        <f t="shared" si="81"/>
        <v/>
      </c>
      <c r="EB47" s="50" t="str">
        <f t="shared" si="81"/>
        <v/>
      </c>
      <c r="EC47" s="50" t="str">
        <f t="shared" si="81"/>
        <v/>
      </c>
      <c r="ED47" s="50" t="str">
        <f t="shared" si="81"/>
        <v/>
      </c>
      <c r="EE47" s="50" t="str">
        <f t="shared" si="81"/>
        <v/>
      </c>
      <c r="EF47" s="50" t="str">
        <f t="shared" si="81"/>
        <v/>
      </c>
      <c r="EG47" s="50" t="str">
        <f t="shared" si="81"/>
        <v/>
      </c>
      <c r="EH47" s="50" t="str">
        <f t="shared" si="81"/>
        <v/>
      </c>
      <c r="EI47" s="50" t="str">
        <f t="shared" si="81"/>
        <v/>
      </c>
      <c r="EJ47" s="50" t="str">
        <f t="shared" si="81"/>
        <v/>
      </c>
      <c r="EK47" s="50" t="str">
        <f t="shared" si="81"/>
        <v/>
      </c>
      <c r="EL47" s="50" t="str">
        <f t="shared" si="81"/>
        <v/>
      </c>
      <c r="EM47" s="50" t="str">
        <f t="shared" si="82"/>
        <v/>
      </c>
      <c r="EN47" s="50" t="str">
        <f t="shared" si="82"/>
        <v/>
      </c>
      <c r="EO47" s="50" t="str">
        <f t="shared" si="82"/>
        <v/>
      </c>
      <c r="EP47" s="50" t="str">
        <f t="shared" si="82"/>
        <v/>
      </c>
      <c r="EQ47" s="50" t="str">
        <f t="shared" si="82"/>
        <v/>
      </c>
      <c r="ER47" s="50" t="str">
        <f t="shared" si="82"/>
        <v/>
      </c>
      <c r="ES47" s="50" t="str">
        <f t="shared" si="82"/>
        <v/>
      </c>
      <c r="ET47" s="50" t="str">
        <f t="shared" si="82"/>
        <v/>
      </c>
      <c r="EU47" s="50" t="str">
        <f t="shared" si="82"/>
        <v/>
      </c>
      <c r="EV47" s="50" t="str">
        <f t="shared" si="82"/>
        <v/>
      </c>
      <c r="EW47" s="50" t="str">
        <f t="shared" si="82"/>
        <v/>
      </c>
      <c r="EX47" s="50" t="str">
        <f t="shared" si="82"/>
        <v/>
      </c>
      <c r="EY47" s="50" t="str">
        <f t="shared" si="82"/>
        <v/>
      </c>
      <c r="EZ47" s="50" t="str">
        <f t="shared" si="82"/>
        <v/>
      </c>
      <c r="FA47" s="50" t="str">
        <f t="shared" si="82"/>
        <v/>
      </c>
      <c r="FB47" s="50" t="str">
        <f t="shared" si="82"/>
        <v/>
      </c>
      <c r="FC47" s="50" t="str">
        <f t="shared" si="83"/>
        <v/>
      </c>
      <c r="FD47" s="50" t="str">
        <f t="shared" si="83"/>
        <v/>
      </c>
      <c r="FE47" s="50" t="str">
        <f t="shared" si="83"/>
        <v/>
      </c>
      <c r="FF47" s="50" t="str">
        <f t="shared" si="83"/>
        <v/>
      </c>
      <c r="FG47" s="50" t="str">
        <f t="shared" si="83"/>
        <v/>
      </c>
      <c r="FH47" s="50" t="str">
        <f t="shared" si="83"/>
        <v/>
      </c>
      <c r="FI47" s="50" t="str">
        <f t="shared" si="83"/>
        <v/>
      </c>
      <c r="FJ47" s="50" t="str">
        <f t="shared" si="83"/>
        <v/>
      </c>
      <c r="FK47" s="50" t="str">
        <f t="shared" si="83"/>
        <v/>
      </c>
      <c r="FL47" s="50" t="str">
        <f t="shared" si="83"/>
        <v/>
      </c>
      <c r="FM47" s="50" t="str">
        <f t="shared" si="83"/>
        <v/>
      </c>
      <c r="FN47" s="50" t="str">
        <f t="shared" si="83"/>
        <v/>
      </c>
      <c r="FO47" s="50" t="str">
        <f t="shared" si="83"/>
        <v/>
      </c>
      <c r="FP47" s="50" t="str">
        <f t="shared" si="83"/>
        <v/>
      </c>
      <c r="FQ47" s="50" t="str">
        <f t="shared" si="83"/>
        <v/>
      </c>
      <c r="FR47" s="50" t="str">
        <f t="shared" si="83"/>
        <v/>
      </c>
      <c r="FS47" s="50" t="str">
        <f t="shared" si="84"/>
        <v/>
      </c>
      <c r="FT47" s="50" t="str">
        <f t="shared" si="84"/>
        <v/>
      </c>
      <c r="FU47" s="50" t="str">
        <f t="shared" si="84"/>
        <v/>
      </c>
      <c r="FV47" s="50" t="str">
        <f t="shared" si="84"/>
        <v/>
      </c>
      <c r="FW47" s="50" t="str">
        <f t="shared" si="84"/>
        <v/>
      </c>
      <c r="FX47" s="50" t="str">
        <f t="shared" si="84"/>
        <v/>
      </c>
      <c r="FY47" s="50" t="str">
        <f t="shared" si="84"/>
        <v/>
      </c>
      <c r="FZ47" s="50" t="str">
        <f t="shared" si="84"/>
        <v/>
      </c>
      <c r="GA47" s="50" t="str">
        <f t="shared" si="84"/>
        <v/>
      </c>
      <c r="GB47" s="50" t="str">
        <f t="shared" si="84"/>
        <v/>
      </c>
      <c r="GC47" s="50" t="str">
        <f t="shared" si="84"/>
        <v/>
      </c>
      <c r="GD47" s="50" t="str">
        <f t="shared" si="84"/>
        <v/>
      </c>
      <c r="GE47" s="50" t="str">
        <f t="shared" si="84"/>
        <v/>
      </c>
      <c r="GF47" s="50" t="str">
        <f t="shared" si="84"/>
        <v/>
      </c>
      <c r="GG47" s="50" t="str">
        <f t="shared" si="84"/>
        <v/>
      </c>
      <c r="GH47" s="50" t="str">
        <f t="shared" si="84"/>
        <v/>
      </c>
      <c r="GI47" s="50" t="str">
        <f t="shared" si="84"/>
        <v/>
      </c>
      <c r="GJ47" s="50" t="str">
        <f t="shared" si="84"/>
        <v/>
      </c>
      <c r="GK47" s="50" t="str">
        <f t="shared" si="84"/>
        <v/>
      </c>
      <c r="GL47" s="50" t="str">
        <f t="shared" si="84"/>
        <v/>
      </c>
      <c r="GM47" s="50" t="str">
        <f t="shared" si="84"/>
        <v/>
      </c>
      <c r="GN47" s="50" t="str">
        <f t="shared" si="84"/>
        <v/>
      </c>
      <c r="GO47" s="50" t="str">
        <f t="shared" si="84"/>
        <v/>
      </c>
      <c r="GP47" s="50" t="str">
        <f t="shared" si="84"/>
        <v/>
      </c>
      <c r="GQ47" s="50" t="str">
        <f t="shared" si="84"/>
        <v/>
      </c>
      <c r="GR47" s="50" t="str">
        <f t="shared" si="84"/>
        <v/>
      </c>
      <c r="GS47" s="50">
        <f t="shared" si="84"/>
        <v>919.87199999999996</v>
      </c>
      <c r="GT47" s="50" t="str">
        <f t="shared" si="84"/>
        <v/>
      </c>
      <c r="GU47" s="50" t="str">
        <f t="shared" si="84"/>
        <v/>
      </c>
      <c r="GV47" s="50" t="str">
        <f t="shared" si="84"/>
        <v/>
      </c>
      <c r="GW47" s="50" t="str">
        <f t="shared" si="84"/>
        <v/>
      </c>
      <c r="GX47" s="50" t="str">
        <f t="shared" si="84"/>
        <v/>
      </c>
      <c r="GY47" s="50" t="str">
        <f t="shared" si="84"/>
        <v/>
      </c>
      <c r="GZ47" s="50" t="str">
        <f t="shared" si="84"/>
        <v/>
      </c>
      <c r="HA47" s="50" t="str">
        <f t="shared" si="84"/>
        <v/>
      </c>
      <c r="HB47" s="50" t="str">
        <f t="shared" si="84"/>
        <v/>
      </c>
      <c r="HC47" s="50" t="str">
        <f t="shared" si="84"/>
        <v/>
      </c>
      <c r="HD47" s="50" t="str">
        <f t="shared" si="84"/>
        <v/>
      </c>
      <c r="HE47" s="50" t="str">
        <f t="shared" si="84"/>
        <v/>
      </c>
      <c r="HF47" s="50" t="str">
        <f t="shared" si="84"/>
        <v/>
      </c>
      <c r="HG47" s="50" t="str">
        <f t="shared" si="84"/>
        <v/>
      </c>
      <c r="HH47" s="50" t="str">
        <f t="shared" si="84"/>
        <v/>
      </c>
      <c r="HI47" s="50" t="str">
        <f t="shared" si="84"/>
        <v/>
      </c>
      <c r="HJ47" s="50" t="str">
        <f t="shared" si="84"/>
        <v/>
      </c>
      <c r="HK47" s="50" t="str">
        <f t="shared" si="84"/>
        <v/>
      </c>
      <c r="HL47" s="50" t="str">
        <f t="shared" si="84"/>
        <v/>
      </c>
      <c r="HM47" s="50" t="str">
        <f t="shared" si="84"/>
        <v/>
      </c>
      <c r="HN47" s="50" t="str">
        <f t="shared" si="84"/>
        <v/>
      </c>
      <c r="HO47" s="50" t="str">
        <f t="shared" si="84"/>
        <v/>
      </c>
      <c r="HP47" s="50" t="str">
        <f t="shared" si="84"/>
        <v/>
      </c>
      <c r="HQ47" s="50" t="str">
        <f t="shared" si="84"/>
        <v/>
      </c>
      <c r="HR47" s="112" t="str">
        <f t="shared" si="84"/>
        <v/>
      </c>
    </row>
    <row r="48" spans="1:226" ht="11.1" customHeight="1" x14ac:dyDescent="0.25">
      <c r="A48" s="26"/>
      <c r="B48" s="27"/>
      <c r="C48" s="28" t="str">
        <f>IF(A48=0,"",VLOOKUP(A48,[2]CO!$A$3:$F$5327,2,0))</f>
        <v/>
      </c>
      <c r="D48" s="29"/>
      <c r="E48" s="29"/>
      <c r="F48" s="101" t="str">
        <f t="shared" si="74"/>
        <v/>
      </c>
      <c r="G48" s="30" t="str">
        <f>IF(A48=0,"",VLOOKUP(A48,[2]CO!$A$3:$F$5327,3,0))</f>
        <v/>
      </c>
      <c r="H48" s="95"/>
      <c r="I48" s="31"/>
      <c r="J48" s="31"/>
      <c r="K48" s="31"/>
      <c r="L48" s="31"/>
      <c r="M48" s="32" t="str">
        <f t="shared" si="75"/>
        <v/>
      </c>
      <c r="N48" s="32" t="str">
        <f>IF(B48=0,"",IF(H48="M",HLOOKUP(B48,$Y$12:$DT$13,2),IF(A48=0,"",VLOOKUP(A48,[2]CO!$A$3:$F$5327,4,0))))</f>
        <v/>
      </c>
      <c r="O48" s="32" t="str">
        <f t="shared" si="7"/>
        <v/>
      </c>
      <c r="P48" s="33"/>
      <c r="Q48" s="34" t="str">
        <f t="shared" si="76"/>
        <v/>
      </c>
      <c r="R48" s="35"/>
      <c r="T48" s="53" t="str">
        <f>IF(A48=0,"",VLOOKUP(A48,[2]CO!$A$3:$F$5318,5,0))</f>
        <v/>
      </c>
      <c r="U48" s="54">
        <f t="shared" si="40"/>
        <v>0</v>
      </c>
      <c r="V48" s="24"/>
      <c r="W48" s="25"/>
      <c r="X48" s="25"/>
      <c r="Y48" s="64" t="str">
        <f t="shared" si="77"/>
        <v/>
      </c>
      <c r="Z48" s="55" t="str">
        <f t="shared" si="77"/>
        <v/>
      </c>
      <c r="AA48" s="55" t="str">
        <f t="shared" si="77"/>
        <v/>
      </c>
      <c r="AB48" s="55" t="str">
        <f t="shared" si="77"/>
        <v/>
      </c>
      <c r="AC48" s="55" t="str">
        <f t="shared" si="77"/>
        <v/>
      </c>
      <c r="AD48" s="55" t="str">
        <f t="shared" si="77"/>
        <v/>
      </c>
      <c r="AE48" s="55" t="str">
        <f t="shared" si="77"/>
        <v/>
      </c>
      <c r="AF48" s="55" t="str">
        <f t="shared" si="77"/>
        <v/>
      </c>
      <c r="AG48" s="55" t="str">
        <f t="shared" si="77"/>
        <v/>
      </c>
      <c r="AH48" s="55" t="str">
        <f t="shared" si="77"/>
        <v/>
      </c>
      <c r="AI48" s="55" t="str">
        <f t="shared" si="77"/>
        <v/>
      </c>
      <c r="AJ48" s="55" t="str">
        <f t="shared" si="77"/>
        <v/>
      </c>
      <c r="AK48" s="55" t="str">
        <f t="shared" si="77"/>
        <v/>
      </c>
      <c r="AL48" s="55" t="str">
        <f t="shared" si="77"/>
        <v/>
      </c>
      <c r="AM48" s="55" t="str">
        <f t="shared" si="77"/>
        <v/>
      </c>
      <c r="AN48" s="55" t="str">
        <f t="shared" si="77"/>
        <v/>
      </c>
      <c r="AO48" s="55" t="str">
        <f t="shared" si="78"/>
        <v/>
      </c>
      <c r="AP48" s="55" t="str">
        <f t="shared" si="78"/>
        <v/>
      </c>
      <c r="AQ48" s="55" t="str">
        <f t="shared" si="78"/>
        <v/>
      </c>
      <c r="AR48" s="55" t="str">
        <f t="shared" si="78"/>
        <v/>
      </c>
      <c r="AS48" s="55" t="str">
        <f t="shared" si="78"/>
        <v/>
      </c>
      <c r="AT48" s="55" t="str">
        <f t="shared" si="78"/>
        <v/>
      </c>
      <c r="AU48" s="55" t="str">
        <f t="shared" si="78"/>
        <v/>
      </c>
      <c r="AV48" s="55" t="str">
        <f t="shared" si="78"/>
        <v/>
      </c>
      <c r="AW48" s="55" t="str">
        <f t="shared" si="78"/>
        <v/>
      </c>
      <c r="AX48" s="55" t="str">
        <f t="shared" si="78"/>
        <v/>
      </c>
      <c r="AY48" s="55" t="str">
        <f t="shared" si="78"/>
        <v/>
      </c>
      <c r="AZ48" s="55" t="str">
        <f t="shared" si="78"/>
        <v/>
      </c>
      <c r="BA48" s="55" t="str">
        <f t="shared" si="78"/>
        <v/>
      </c>
      <c r="BB48" s="55" t="str">
        <f t="shared" si="78"/>
        <v/>
      </c>
      <c r="BC48" s="55" t="str">
        <f t="shared" si="78"/>
        <v/>
      </c>
      <c r="BD48" s="55" t="str">
        <f t="shared" si="78"/>
        <v/>
      </c>
      <c r="BE48" s="55" t="str">
        <f t="shared" si="79"/>
        <v/>
      </c>
      <c r="BF48" s="55" t="str">
        <f t="shared" si="79"/>
        <v/>
      </c>
      <c r="BG48" s="55" t="str">
        <f t="shared" si="79"/>
        <v/>
      </c>
      <c r="BH48" s="55" t="str">
        <f t="shared" si="79"/>
        <v/>
      </c>
      <c r="BI48" s="55" t="str">
        <f t="shared" si="79"/>
        <v/>
      </c>
      <c r="BJ48" s="55" t="str">
        <f t="shared" si="79"/>
        <v/>
      </c>
      <c r="BK48" s="55" t="str">
        <f t="shared" si="79"/>
        <v/>
      </c>
      <c r="BL48" s="55" t="str">
        <f t="shared" si="79"/>
        <v/>
      </c>
      <c r="BM48" s="55" t="str">
        <f t="shared" si="79"/>
        <v/>
      </c>
      <c r="BN48" s="55" t="str">
        <f t="shared" si="79"/>
        <v/>
      </c>
      <c r="BO48" s="55" t="str">
        <f t="shared" si="79"/>
        <v/>
      </c>
      <c r="BP48" s="55" t="str">
        <f t="shared" si="79"/>
        <v/>
      </c>
      <c r="BQ48" s="55" t="str">
        <f t="shared" si="79"/>
        <v/>
      </c>
      <c r="BR48" s="55" t="str">
        <f t="shared" si="79"/>
        <v/>
      </c>
      <c r="BS48" s="55" t="str">
        <f t="shared" si="79"/>
        <v/>
      </c>
      <c r="BT48" s="55" t="str">
        <f t="shared" si="79"/>
        <v/>
      </c>
      <c r="BU48" s="55" t="str">
        <f t="shared" si="80"/>
        <v/>
      </c>
      <c r="BV48" s="55" t="str">
        <f t="shared" si="80"/>
        <v/>
      </c>
      <c r="BW48" s="55" t="str">
        <f t="shared" si="80"/>
        <v/>
      </c>
      <c r="BX48" s="55" t="str">
        <f t="shared" si="80"/>
        <v/>
      </c>
      <c r="BY48" s="55" t="str">
        <f t="shared" si="80"/>
        <v/>
      </c>
      <c r="BZ48" s="55" t="str">
        <f t="shared" si="80"/>
        <v/>
      </c>
      <c r="CA48" s="55" t="str">
        <f t="shared" si="80"/>
        <v/>
      </c>
      <c r="CB48" s="55" t="str">
        <f t="shared" si="80"/>
        <v/>
      </c>
      <c r="CC48" s="55" t="str">
        <f t="shared" si="80"/>
        <v/>
      </c>
      <c r="CD48" s="55" t="str">
        <f t="shared" si="80"/>
        <v/>
      </c>
      <c r="CE48" s="55" t="str">
        <f t="shared" si="80"/>
        <v/>
      </c>
      <c r="CF48" s="55" t="str">
        <f t="shared" si="80"/>
        <v/>
      </c>
      <c r="CG48" s="55" t="str">
        <f t="shared" si="80"/>
        <v/>
      </c>
      <c r="CH48" s="55" t="str">
        <f t="shared" si="80"/>
        <v/>
      </c>
      <c r="CI48" s="55" t="str">
        <f t="shared" si="80"/>
        <v/>
      </c>
      <c r="CJ48" s="55" t="str">
        <f t="shared" si="80"/>
        <v/>
      </c>
      <c r="CK48" s="55" t="str">
        <f t="shared" si="80"/>
        <v/>
      </c>
      <c r="CL48" s="55" t="str">
        <f t="shared" si="80"/>
        <v/>
      </c>
      <c r="CM48" s="55" t="str">
        <f t="shared" si="80"/>
        <v/>
      </c>
      <c r="CN48" s="55" t="str">
        <f t="shared" si="80"/>
        <v/>
      </c>
      <c r="CO48" s="55" t="str">
        <f t="shared" si="80"/>
        <v/>
      </c>
      <c r="CP48" s="55" t="str">
        <f t="shared" si="80"/>
        <v/>
      </c>
      <c r="CQ48" s="55" t="str">
        <f t="shared" si="80"/>
        <v/>
      </c>
      <c r="CR48" s="55" t="str">
        <f t="shared" si="80"/>
        <v/>
      </c>
      <c r="CS48" s="55" t="str">
        <f t="shared" si="80"/>
        <v/>
      </c>
      <c r="CT48" s="55" t="str">
        <f t="shared" si="80"/>
        <v/>
      </c>
      <c r="CU48" s="55" t="str">
        <f t="shared" si="80"/>
        <v/>
      </c>
      <c r="CV48" s="55" t="str">
        <f t="shared" si="80"/>
        <v/>
      </c>
      <c r="CW48" s="55" t="str">
        <f t="shared" si="80"/>
        <v/>
      </c>
      <c r="CX48" s="55" t="str">
        <f t="shared" si="80"/>
        <v/>
      </c>
      <c r="CY48" s="55" t="str">
        <f t="shared" si="80"/>
        <v/>
      </c>
      <c r="CZ48" s="55" t="str">
        <f t="shared" si="80"/>
        <v/>
      </c>
      <c r="DA48" s="55" t="str">
        <f t="shared" si="80"/>
        <v/>
      </c>
      <c r="DB48" s="55" t="str">
        <f t="shared" si="80"/>
        <v/>
      </c>
      <c r="DC48" s="55" t="str">
        <f t="shared" si="80"/>
        <v/>
      </c>
      <c r="DD48" s="55" t="str">
        <f t="shared" si="80"/>
        <v/>
      </c>
      <c r="DE48" s="55" t="str">
        <f t="shared" si="80"/>
        <v/>
      </c>
      <c r="DF48" s="55" t="str">
        <f t="shared" si="80"/>
        <v/>
      </c>
      <c r="DG48" s="55" t="str">
        <f t="shared" si="80"/>
        <v/>
      </c>
      <c r="DH48" s="55" t="str">
        <f t="shared" si="80"/>
        <v/>
      </c>
      <c r="DI48" s="55" t="str">
        <f t="shared" si="80"/>
        <v/>
      </c>
      <c r="DJ48" s="55" t="str">
        <f t="shared" si="80"/>
        <v/>
      </c>
      <c r="DK48" s="55" t="str">
        <f t="shared" si="80"/>
        <v/>
      </c>
      <c r="DL48" s="55" t="str">
        <f t="shared" si="80"/>
        <v/>
      </c>
      <c r="DM48" s="55" t="str">
        <f t="shared" si="80"/>
        <v/>
      </c>
      <c r="DN48" s="55" t="str">
        <f t="shared" si="80"/>
        <v/>
      </c>
      <c r="DO48" s="55" t="str">
        <f t="shared" si="80"/>
        <v/>
      </c>
      <c r="DP48" s="55" t="str">
        <f t="shared" si="80"/>
        <v/>
      </c>
      <c r="DQ48" s="55" t="str">
        <f t="shared" si="80"/>
        <v/>
      </c>
      <c r="DR48" s="55" t="str">
        <f t="shared" si="80"/>
        <v/>
      </c>
      <c r="DS48" s="55" t="str">
        <f t="shared" si="80"/>
        <v/>
      </c>
      <c r="DT48" s="106" t="str">
        <f t="shared" si="80"/>
        <v/>
      </c>
      <c r="DU48" s="54"/>
      <c r="DV48" s="25"/>
      <c r="DW48" s="61" t="str">
        <f t="shared" si="81"/>
        <v/>
      </c>
      <c r="DX48" s="50" t="str">
        <f t="shared" si="81"/>
        <v/>
      </c>
      <c r="DY48" s="50" t="str">
        <f t="shared" si="81"/>
        <v/>
      </c>
      <c r="DZ48" s="50" t="str">
        <f t="shared" si="81"/>
        <v/>
      </c>
      <c r="EA48" s="50" t="str">
        <f t="shared" si="81"/>
        <v/>
      </c>
      <c r="EB48" s="50" t="str">
        <f t="shared" si="81"/>
        <v/>
      </c>
      <c r="EC48" s="50" t="str">
        <f t="shared" si="81"/>
        <v/>
      </c>
      <c r="ED48" s="50" t="str">
        <f t="shared" si="81"/>
        <v/>
      </c>
      <c r="EE48" s="50" t="str">
        <f t="shared" si="81"/>
        <v/>
      </c>
      <c r="EF48" s="50" t="str">
        <f t="shared" si="81"/>
        <v/>
      </c>
      <c r="EG48" s="50" t="str">
        <f t="shared" si="81"/>
        <v/>
      </c>
      <c r="EH48" s="50" t="str">
        <f t="shared" si="81"/>
        <v/>
      </c>
      <c r="EI48" s="50" t="str">
        <f t="shared" si="81"/>
        <v/>
      </c>
      <c r="EJ48" s="50" t="str">
        <f t="shared" si="81"/>
        <v/>
      </c>
      <c r="EK48" s="50" t="str">
        <f t="shared" si="81"/>
        <v/>
      </c>
      <c r="EL48" s="50" t="str">
        <f t="shared" si="81"/>
        <v/>
      </c>
      <c r="EM48" s="50" t="str">
        <f t="shared" si="82"/>
        <v/>
      </c>
      <c r="EN48" s="50" t="str">
        <f t="shared" si="82"/>
        <v/>
      </c>
      <c r="EO48" s="50" t="str">
        <f t="shared" si="82"/>
        <v/>
      </c>
      <c r="EP48" s="50" t="str">
        <f t="shared" si="82"/>
        <v/>
      </c>
      <c r="EQ48" s="50" t="str">
        <f t="shared" si="82"/>
        <v/>
      </c>
      <c r="ER48" s="50" t="str">
        <f t="shared" si="82"/>
        <v/>
      </c>
      <c r="ES48" s="50" t="str">
        <f t="shared" si="82"/>
        <v/>
      </c>
      <c r="ET48" s="50" t="str">
        <f t="shared" si="82"/>
        <v/>
      </c>
      <c r="EU48" s="50" t="str">
        <f t="shared" si="82"/>
        <v/>
      </c>
      <c r="EV48" s="50" t="str">
        <f t="shared" si="82"/>
        <v/>
      </c>
      <c r="EW48" s="50" t="str">
        <f t="shared" si="82"/>
        <v/>
      </c>
      <c r="EX48" s="50" t="str">
        <f t="shared" si="82"/>
        <v/>
      </c>
      <c r="EY48" s="50" t="str">
        <f t="shared" si="82"/>
        <v/>
      </c>
      <c r="EZ48" s="50" t="str">
        <f t="shared" si="82"/>
        <v/>
      </c>
      <c r="FA48" s="50" t="str">
        <f t="shared" si="82"/>
        <v/>
      </c>
      <c r="FB48" s="50" t="str">
        <f t="shared" si="82"/>
        <v/>
      </c>
      <c r="FC48" s="50" t="str">
        <f t="shared" si="83"/>
        <v/>
      </c>
      <c r="FD48" s="50" t="str">
        <f t="shared" si="83"/>
        <v/>
      </c>
      <c r="FE48" s="50" t="str">
        <f t="shared" si="83"/>
        <v/>
      </c>
      <c r="FF48" s="50" t="str">
        <f t="shared" si="83"/>
        <v/>
      </c>
      <c r="FG48" s="50" t="str">
        <f t="shared" si="83"/>
        <v/>
      </c>
      <c r="FH48" s="50" t="str">
        <f t="shared" si="83"/>
        <v/>
      </c>
      <c r="FI48" s="50" t="str">
        <f t="shared" si="83"/>
        <v/>
      </c>
      <c r="FJ48" s="50" t="str">
        <f t="shared" si="83"/>
        <v/>
      </c>
      <c r="FK48" s="50" t="str">
        <f t="shared" si="83"/>
        <v/>
      </c>
      <c r="FL48" s="50" t="str">
        <f t="shared" si="83"/>
        <v/>
      </c>
      <c r="FM48" s="50" t="str">
        <f t="shared" si="83"/>
        <v/>
      </c>
      <c r="FN48" s="50" t="str">
        <f t="shared" si="83"/>
        <v/>
      </c>
      <c r="FO48" s="50" t="str">
        <f t="shared" si="83"/>
        <v/>
      </c>
      <c r="FP48" s="50" t="str">
        <f t="shared" si="83"/>
        <v/>
      </c>
      <c r="FQ48" s="50" t="str">
        <f t="shared" si="83"/>
        <v/>
      </c>
      <c r="FR48" s="50" t="str">
        <f t="shared" si="83"/>
        <v/>
      </c>
      <c r="FS48" s="50" t="str">
        <f t="shared" si="84"/>
        <v/>
      </c>
      <c r="FT48" s="50" t="str">
        <f t="shared" si="84"/>
        <v/>
      </c>
      <c r="FU48" s="50" t="str">
        <f t="shared" si="84"/>
        <v/>
      </c>
      <c r="FV48" s="50" t="str">
        <f t="shared" si="84"/>
        <v/>
      </c>
      <c r="FW48" s="50" t="str">
        <f t="shared" si="84"/>
        <v/>
      </c>
      <c r="FX48" s="50" t="str">
        <f t="shared" si="84"/>
        <v/>
      </c>
      <c r="FY48" s="50" t="str">
        <f t="shared" si="84"/>
        <v/>
      </c>
      <c r="FZ48" s="50" t="str">
        <f t="shared" si="84"/>
        <v/>
      </c>
      <c r="GA48" s="50" t="str">
        <f t="shared" si="84"/>
        <v/>
      </c>
      <c r="GB48" s="50" t="str">
        <f t="shared" si="84"/>
        <v/>
      </c>
      <c r="GC48" s="50" t="str">
        <f t="shared" si="84"/>
        <v/>
      </c>
      <c r="GD48" s="50" t="str">
        <f t="shared" si="84"/>
        <v/>
      </c>
      <c r="GE48" s="50" t="str">
        <f t="shared" si="84"/>
        <v/>
      </c>
      <c r="GF48" s="50" t="str">
        <f t="shared" si="84"/>
        <v/>
      </c>
      <c r="GG48" s="50" t="str">
        <f t="shared" si="84"/>
        <v/>
      </c>
      <c r="GH48" s="50" t="str">
        <f t="shared" si="84"/>
        <v/>
      </c>
      <c r="GI48" s="50" t="str">
        <f t="shared" si="84"/>
        <v/>
      </c>
      <c r="GJ48" s="50" t="str">
        <f t="shared" si="84"/>
        <v/>
      </c>
      <c r="GK48" s="50" t="str">
        <f t="shared" si="84"/>
        <v/>
      </c>
      <c r="GL48" s="50" t="str">
        <f t="shared" si="84"/>
        <v/>
      </c>
      <c r="GM48" s="50" t="str">
        <f t="shared" si="84"/>
        <v/>
      </c>
      <c r="GN48" s="50" t="str">
        <f t="shared" si="84"/>
        <v/>
      </c>
      <c r="GO48" s="50" t="str">
        <f t="shared" si="84"/>
        <v/>
      </c>
      <c r="GP48" s="50" t="str">
        <f t="shared" si="84"/>
        <v/>
      </c>
      <c r="GQ48" s="50" t="str">
        <f t="shared" si="84"/>
        <v/>
      </c>
      <c r="GR48" s="50" t="str">
        <f t="shared" si="84"/>
        <v/>
      </c>
      <c r="GS48" s="50" t="str">
        <f t="shared" si="84"/>
        <v/>
      </c>
      <c r="GT48" s="50" t="str">
        <f t="shared" si="84"/>
        <v/>
      </c>
      <c r="GU48" s="50" t="str">
        <f t="shared" si="84"/>
        <v/>
      </c>
      <c r="GV48" s="50" t="str">
        <f t="shared" si="84"/>
        <v/>
      </c>
      <c r="GW48" s="50" t="str">
        <f t="shared" si="84"/>
        <v/>
      </c>
      <c r="GX48" s="50" t="str">
        <f t="shared" si="84"/>
        <v/>
      </c>
      <c r="GY48" s="50" t="str">
        <f t="shared" si="84"/>
        <v/>
      </c>
      <c r="GZ48" s="50" t="str">
        <f t="shared" si="84"/>
        <v/>
      </c>
      <c r="HA48" s="50" t="str">
        <f t="shared" si="84"/>
        <v/>
      </c>
      <c r="HB48" s="50" t="str">
        <f t="shared" si="84"/>
        <v/>
      </c>
      <c r="HC48" s="50" t="str">
        <f t="shared" si="84"/>
        <v/>
      </c>
      <c r="HD48" s="50" t="str">
        <f t="shared" si="84"/>
        <v/>
      </c>
      <c r="HE48" s="50" t="str">
        <f t="shared" si="84"/>
        <v/>
      </c>
      <c r="HF48" s="50" t="str">
        <f t="shared" si="84"/>
        <v/>
      </c>
      <c r="HG48" s="50" t="str">
        <f t="shared" si="84"/>
        <v/>
      </c>
      <c r="HH48" s="50" t="str">
        <f t="shared" si="84"/>
        <v/>
      </c>
      <c r="HI48" s="50" t="str">
        <f t="shared" si="84"/>
        <v/>
      </c>
      <c r="HJ48" s="50" t="str">
        <f t="shared" si="84"/>
        <v/>
      </c>
      <c r="HK48" s="50" t="str">
        <f t="shared" si="84"/>
        <v/>
      </c>
      <c r="HL48" s="50" t="str">
        <f t="shared" si="84"/>
        <v/>
      </c>
      <c r="HM48" s="50" t="str">
        <f t="shared" si="84"/>
        <v/>
      </c>
      <c r="HN48" s="50" t="str">
        <f t="shared" si="84"/>
        <v/>
      </c>
      <c r="HO48" s="50" t="str">
        <f t="shared" si="84"/>
        <v/>
      </c>
      <c r="HP48" s="50" t="str">
        <f t="shared" si="84"/>
        <v/>
      </c>
      <c r="HQ48" s="50" t="str">
        <f t="shared" si="84"/>
        <v/>
      </c>
      <c r="HR48" s="112" t="str">
        <f t="shared" si="84"/>
        <v/>
      </c>
    </row>
    <row r="49" spans="1:226" ht="11.1" customHeight="1" x14ac:dyDescent="0.25">
      <c r="A49" s="26"/>
      <c r="B49" s="27"/>
      <c r="C49" s="28" t="str">
        <f>IF(A49=0,"",VLOOKUP(A49,[2]CO!$A$3:$F$5327,2,0))</f>
        <v/>
      </c>
      <c r="D49" s="29"/>
      <c r="E49" s="29"/>
      <c r="F49" s="101" t="str">
        <f t="shared" si="74"/>
        <v/>
      </c>
      <c r="G49" s="30" t="str">
        <f>IF(A49=0,"",VLOOKUP(A49,[2]CO!$A$3:$F$5327,3,0))</f>
        <v/>
      </c>
      <c r="H49" s="95"/>
      <c r="I49" s="31"/>
      <c r="J49" s="31"/>
      <c r="K49" s="31"/>
      <c r="L49" s="31"/>
      <c r="M49" s="32" t="str">
        <f t="shared" si="75"/>
        <v/>
      </c>
      <c r="N49" s="32" t="str">
        <f>IF(B49=0,"",IF(H49="M",HLOOKUP(B49,$Y$12:$DT$13,2),IF(A49=0,"",VLOOKUP(A49,[2]CO!$A$3:$F$5327,4,0))))</f>
        <v/>
      </c>
      <c r="O49" s="32" t="str">
        <f t="shared" si="7"/>
        <v/>
      </c>
      <c r="P49" s="33"/>
      <c r="Q49" s="34" t="str">
        <f t="shared" si="76"/>
        <v/>
      </c>
      <c r="R49" s="35"/>
      <c r="T49" s="53" t="str">
        <f>IF(A49=0,"",VLOOKUP(A49,[2]CO!$A$3:$F$5318,5,0))</f>
        <v/>
      </c>
      <c r="U49" s="54">
        <f t="shared" si="40"/>
        <v>0</v>
      </c>
      <c r="V49" s="24"/>
      <c r="W49" s="25"/>
      <c r="X49" s="25"/>
      <c r="Y49" s="64" t="str">
        <f t="shared" si="77"/>
        <v/>
      </c>
      <c r="Z49" s="55" t="str">
        <f t="shared" si="77"/>
        <v/>
      </c>
      <c r="AA49" s="55" t="str">
        <f t="shared" si="77"/>
        <v/>
      </c>
      <c r="AB49" s="55" t="str">
        <f t="shared" si="77"/>
        <v/>
      </c>
      <c r="AC49" s="55" t="str">
        <f t="shared" si="77"/>
        <v/>
      </c>
      <c r="AD49" s="55" t="str">
        <f t="shared" si="77"/>
        <v/>
      </c>
      <c r="AE49" s="55" t="str">
        <f t="shared" si="77"/>
        <v/>
      </c>
      <c r="AF49" s="55" t="str">
        <f t="shared" si="77"/>
        <v/>
      </c>
      <c r="AG49" s="55" t="str">
        <f t="shared" si="77"/>
        <v/>
      </c>
      <c r="AH49" s="55" t="str">
        <f t="shared" si="77"/>
        <v/>
      </c>
      <c r="AI49" s="55" t="str">
        <f t="shared" si="77"/>
        <v/>
      </c>
      <c r="AJ49" s="55" t="str">
        <f t="shared" si="77"/>
        <v/>
      </c>
      <c r="AK49" s="55" t="str">
        <f t="shared" si="77"/>
        <v/>
      </c>
      <c r="AL49" s="55" t="str">
        <f t="shared" si="77"/>
        <v/>
      </c>
      <c r="AM49" s="55" t="str">
        <f t="shared" si="77"/>
        <v/>
      </c>
      <c r="AN49" s="55" t="str">
        <f t="shared" si="77"/>
        <v/>
      </c>
      <c r="AO49" s="55" t="str">
        <f t="shared" si="78"/>
        <v/>
      </c>
      <c r="AP49" s="55" t="str">
        <f t="shared" si="78"/>
        <v/>
      </c>
      <c r="AQ49" s="55" t="str">
        <f t="shared" si="78"/>
        <v/>
      </c>
      <c r="AR49" s="55" t="str">
        <f t="shared" si="78"/>
        <v/>
      </c>
      <c r="AS49" s="55" t="str">
        <f t="shared" si="78"/>
        <v/>
      </c>
      <c r="AT49" s="55" t="str">
        <f t="shared" si="78"/>
        <v/>
      </c>
      <c r="AU49" s="55" t="str">
        <f t="shared" si="78"/>
        <v/>
      </c>
      <c r="AV49" s="55" t="str">
        <f t="shared" si="78"/>
        <v/>
      </c>
      <c r="AW49" s="55" t="str">
        <f t="shared" si="78"/>
        <v/>
      </c>
      <c r="AX49" s="55" t="str">
        <f t="shared" si="78"/>
        <v/>
      </c>
      <c r="AY49" s="55" t="str">
        <f t="shared" si="78"/>
        <v/>
      </c>
      <c r="AZ49" s="55" t="str">
        <f t="shared" si="78"/>
        <v/>
      </c>
      <c r="BA49" s="55" t="str">
        <f t="shared" si="78"/>
        <v/>
      </c>
      <c r="BB49" s="55" t="str">
        <f t="shared" si="78"/>
        <v/>
      </c>
      <c r="BC49" s="55" t="str">
        <f t="shared" si="78"/>
        <v/>
      </c>
      <c r="BD49" s="55" t="str">
        <f t="shared" si="78"/>
        <v/>
      </c>
      <c r="BE49" s="55" t="str">
        <f t="shared" si="79"/>
        <v/>
      </c>
      <c r="BF49" s="55" t="str">
        <f t="shared" si="79"/>
        <v/>
      </c>
      <c r="BG49" s="55" t="str">
        <f t="shared" si="79"/>
        <v/>
      </c>
      <c r="BH49" s="55" t="str">
        <f t="shared" si="79"/>
        <v/>
      </c>
      <c r="BI49" s="55" t="str">
        <f t="shared" si="79"/>
        <v/>
      </c>
      <c r="BJ49" s="55" t="str">
        <f t="shared" si="79"/>
        <v/>
      </c>
      <c r="BK49" s="55" t="str">
        <f t="shared" si="79"/>
        <v/>
      </c>
      <c r="BL49" s="55" t="str">
        <f t="shared" si="79"/>
        <v/>
      </c>
      <c r="BM49" s="55" t="str">
        <f t="shared" si="79"/>
        <v/>
      </c>
      <c r="BN49" s="55" t="str">
        <f t="shared" si="79"/>
        <v/>
      </c>
      <c r="BO49" s="55" t="str">
        <f t="shared" si="79"/>
        <v/>
      </c>
      <c r="BP49" s="55" t="str">
        <f t="shared" si="79"/>
        <v/>
      </c>
      <c r="BQ49" s="55" t="str">
        <f t="shared" si="79"/>
        <v/>
      </c>
      <c r="BR49" s="55" t="str">
        <f t="shared" si="79"/>
        <v/>
      </c>
      <c r="BS49" s="55" t="str">
        <f t="shared" si="79"/>
        <v/>
      </c>
      <c r="BT49" s="55" t="str">
        <f t="shared" si="79"/>
        <v/>
      </c>
      <c r="BU49" s="55" t="str">
        <f t="shared" si="80"/>
        <v/>
      </c>
      <c r="BV49" s="55" t="str">
        <f t="shared" si="80"/>
        <v/>
      </c>
      <c r="BW49" s="55" t="str">
        <f t="shared" si="80"/>
        <v/>
      </c>
      <c r="BX49" s="55" t="str">
        <f t="shared" si="80"/>
        <v/>
      </c>
      <c r="BY49" s="55" t="str">
        <f t="shared" si="80"/>
        <v/>
      </c>
      <c r="BZ49" s="55" t="str">
        <f t="shared" si="80"/>
        <v/>
      </c>
      <c r="CA49" s="55" t="str">
        <f t="shared" si="80"/>
        <v/>
      </c>
      <c r="CB49" s="55" t="str">
        <f t="shared" si="80"/>
        <v/>
      </c>
      <c r="CC49" s="55" t="str">
        <f t="shared" si="80"/>
        <v/>
      </c>
      <c r="CD49" s="55" t="str">
        <f t="shared" si="80"/>
        <v/>
      </c>
      <c r="CE49" s="55" t="str">
        <f t="shared" si="80"/>
        <v/>
      </c>
      <c r="CF49" s="55" t="str">
        <f t="shared" si="80"/>
        <v/>
      </c>
      <c r="CG49" s="55" t="str">
        <f t="shared" si="80"/>
        <v/>
      </c>
      <c r="CH49" s="55" t="str">
        <f t="shared" si="80"/>
        <v/>
      </c>
      <c r="CI49" s="55" t="str">
        <f t="shared" si="80"/>
        <v/>
      </c>
      <c r="CJ49" s="55" t="str">
        <f t="shared" si="80"/>
        <v/>
      </c>
      <c r="CK49" s="55" t="str">
        <f t="shared" si="80"/>
        <v/>
      </c>
      <c r="CL49" s="55" t="str">
        <f t="shared" si="80"/>
        <v/>
      </c>
      <c r="CM49" s="55" t="str">
        <f t="shared" si="80"/>
        <v/>
      </c>
      <c r="CN49" s="55" t="str">
        <f t="shared" si="80"/>
        <v/>
      </c>
      <c r="CO49" s="55" t="str">
        <f t="shared" si="80"/>
        <v/>
      </c>
      <c r="CP49" s="55" t="str">
        <f t="shared" si="80"/>
        <v/>
      </c>
      <c r="CQ49" s="55" t="str">
        <f t="shared" si="80"/>
        <v/>
      </c>
      <c r="CR49" s="55" t="str">
        <f t="shared" si="80"/>
        <v/>
      </c>
      <c r="CS49" s="55" t="str">
        <f t="shared" si="80"/>
        <v/>
      </c>
      <c r="CT49" s="55" t="str">
        <f t="shared" si="80"/>
        <v/>
      </c>
      <c r="CU49" s="55" t="str">
        <f t="shared" si="80"/>
        <v/>
      </c>
      <c r="CV49" s="55" t="str">
        <f t="shared" si="80"/>
        <v/>
      </c>
      <c r="CW49" s="55" t="str">
        <f t="shared" si="80"/>
        <v/>
      </c>
      <c r="CX49" s="55" t="str">
        <f t="shared" si="80"/>
        <v/>
      </c>
      <c r="CY49" s="55" t="str">
        <f t="shared" si="80"/>
        <v/>
      </c>
      <c r="CZ49" s="55" t="str">
        <f t="shared" si="80"/>
        <v/>
      </c>
      <c r="DA49" s="55" t="str">
        <f t="shared" si="80"/>
        <v/>
      </c>
      <c r="DB49" s="55" t="str">
        <f t="shared" si="80"/>
        <v/>
      </c>
      <c r="DC49" s="55" t="str">
        <f t="shared" si="80"/>
        <v/>
      </c>
      <c r="DD49" s="55" t="str">
        <f t="shared" si="80"/>
        <v/>
      </c>
      <c r="DE49" s="55" t="str">
        <f t="shared" si="80"/>
        <v/>
      </c>
      <c r="DF49" s="55" t="str">
        <f t="shared" si="80"/>
        <v/>
      </c>
      <c r="DG49" s="55" t="str">
        <f t="shared" si="80"/>
        <v/>
      </c>
      <c r="DH49" s="55" t="str">
        <f t="shared" si="80"/>
        <v/>
      </c>
      <c r="DI49" s="55" t="str">
        <f t="shared" si="80"/>
        <v/>
      </c>
      <c r="DJ49" s="55" t="str">
        <f t="shared" si="80"/>
        <v/>
      </c>
      <c r="DK49" s="55" t="str">
        <f t="shared" si="80"/>
        <v/>
      </c>
      <c r="DL49" s="55" t="str">
        <f t="shared" si="80"/>
        <v/>
      </c>
      <c r="DM49" s="55" t="str">
        <f t="shared" si="80"/>
        <v/>
      </c>
      <c r="DN49" s="55" t="str">
        <f t="shared" si="80"/>
        <v/>
      </c>
      <c r="DO49" s="55" t="str">
        <f t="shared" si="80"/>
        <v/>
      </c>
      <c r="DP49" s="55" t="str">
        <f t="shared" si="80"/>
        <v/>
      </c>
      <c r="DQ49" s="55" t="str">
        <f t="shared" si="80"/>
        <v/>
      </c>
      <c r="DR49" s="55" t="str">
        <f t="shared" si="80"/>
        <v/>
      </c>
      <c r="DS49" s="55" t="str">
        <f t="shared" si="80"/>
        <v/>
      </c>
      <c r="DT49" s="106" t="str">
        <f t="shared" si="80"/>
        <v/>
      </c>
      <c r="DU49" s="54"/>
      <c r="DV49" s="25"/>
      <c r="DW49" s="61" t="str">
        <f t="shared" si="81"/>
        <v/>
      </c>
      <c r="DX49" s="50" t="str">
        <f t="shared" si="81"/>
        <v/>
      </c>
      <c r="DY49" s="50" t="str">
        <f t="shared" si="81"/>
        <v/>
      </c>
      <c r="DZ49" s="50" t="str">
        <f t="shared" si="81"/>
        <v/>
      </c>
      <c r="EA49" s="50" t="str">
        <f t="shared" si="81"/>
        <v/>
      </c>
      <c r="EB49" s="50" t="str">
        <f t="shared" si="81"/>
        <v/>
      </c>
      <c r="EC49" s="50" t="str">
        <f t="shared" si="81"/>
        <v/>
      </c>
      <c r="ED49" s="50" t="str">
        <f t="shared" si="81"/>
        <v/>
      </c>
      <c r="EE49" s="50" t="str">
        <f t="shared" si="81"/>
        <v/>
      </c>
      <c r="EF49" s="50" t="str">
        <f t="shared" si="81"/>
        <v/>
      </c>
      <c r="EG49" s="50" t="str">
        <f t="shared" si="81"/>
        <v/>
      </c>
      <c r="EH49" s="50" t="str">
        <f t="shared" si="81"/>
        <v/>
      </c>
      <c r="EI49" s="50" t="str">
        <f t="shared" si="81"/>
        <v/>
      </c>
      <c r="EJ49" s="50" t="str">
        <f t="shared" si="81"/>
        <v/>
      </c>
      <c r="EK49" s="50" t="str">
        <f t="shared" si="81"/>
        <v/>
      </c>
      <c r="EL49" s="50" t="str">
        <f t="shared" si="81"/>
        <v/>
      </c>
      <c r="EM49" s="50" t="str">
        <f t="shared" si="82"/>
        <v/>
      </c>
      <c r="EN49" s="50" t="str">
        <f t="shared" si="82"/>
        <v/>
      </c>
      <c r="EO49" s="50" t="str">
        <f t="shared" si="82"/>
        <v/>
      </c>
      <c r="EP49" s="50" t="str">
        <f t="shared" si="82"/>
        <v/>
      </c>
      <c r="EQ49" s="50" t="str">
        <f t="shared" si="82"/>
        <v/>
      </c>
      <c r="ER49" s="50" t="str">
        <f t="shared" si="82"/>
        <v/>
      </c>
      <c r="ES49" s="50" t="str">
        <f t="shared" si="82"/>
        <v/>
      </c>
      <c r="ET49" s="50" t="str">
        <f t="shared" si="82"/>
        <v/>
      </c>
      <c r="EU49" s="50" t="str">
        <f t="shared" si="82"/>
        <v/>
      </c>
      <c r="EV49" s="50" t="str">
        <f t="shared" si="82"/>
        <v/>
      </c>
      <c r="EW49" s="50" t="str">
        <f t="shared" si="82"/>
        <v/>
      </c>
      <c r="EX49" s="50" t="str">
        <f t="shared" si="82"/>
        <v/>
      </c>
      <c r="EY49" s="50" t="str">
        <f t="shared" si="82"/>
        <v/>
      </c>
      <c r="EZ49" s="50" t="str">
        <f t="shared" si="82"/>
        <v/>
      </c>
      <c r="FA49" s="50" t="str">
        <f t="shared" si="82"/>
        <v/>
      </c>
      <c r="FB49" s="50" t="str">
        <f t="shared" si="82"/>
        <v/>
      </c>
      <c r="FC49" s="50" t="str">
        <f t="shared" si="83"/>
        <v/>
      </c>
      <c r="FD49" s="50" t="str">
        <f t="shared" si="83"/>
        <v/>
      </c>
      <c r="FE49" s="50" t="str">
        <f t="shared" si="83"/>
        <v/>
      </c>
      <c r="FF49" s="50" t="str">
        <f t="shared" si="83"/>
        <v/>
      </c>
      <c r="FG49" s="50" t="str">
        <f t="shared" si="83"/>
        <v/>
      </c>
      <c r="FH49" s="50" t="str">
        <f t="shared" si="83"/>
        <v/>
      </c>
      <c r="FI49" s="50" t="str">
        <f t="shared" si="83"/>
        <v/>
      </c>
      <c r="FJ49" s="50" t="str">
        <f t="shared" si="83"/>
        <v/>
      </c>
      <c r="FK49" s="50" t="str">
        <f t="shared" si="83"/>
        <v/>
      </c>
      <c r="FL49" s="50" t="str">
        <f t="shared" si="83"/>
        <v/>
      </c>
      <c r="FM49" s="50" t="str">
        <f t="shared" si="83"/>
        <v/>
      </c>
      <c r="FN49" s="50" t="str">
        <f t="shared" si="83"/>
        <v/>
      </c>
      <c r="FO49" s="50" t="str">
        <f t="shared" si="83"/>
        <v/>
      </c>
      <c r="FP49" s="50" t="str">
        <f t="shared" si="83"/>
        <v/>
      </c>
      <c r="FQ49" s="50" t="str">
        <f t="shared" si="83"/>
        <v/>
      </c>
      <c r="FR49" s="50" t="str">
        <f t="shared" si="83"/>
        <v/>
      </c>
      <c r="FS49" s="50" t="str">
        <f t="shared" si="84"/>
        <v/>
      </c>
      <c r="FT49" s="50" t="str">
        <f t="shared" si="84"/>
        <v/>
      </c>
      <c r="FU49" s="50" t="str">
        <f t="shared" si="84"/>
        <v/>
      </c>
      <c r="FV49" s="50" t="str">
        <f t="shared" si="84"/>
        <v/>
      </c>
      <c r="FW49" s="50" t="str">
        <f t="shared" si="84"/>
        <v/>
      </c>
      <c r="FX49" s="50" t="str">
        <f t="shared" si="84"/>
        <v/>
      </c>
      <c r="FY49" s="50" t="str">
        <f t="shared" si="84"/>
        <v/>
      </c>
      <c r="FZ49" s="50" t="str">
        <f t="shared" si="84"/>
        <v/>
      </c>
      <c r="GA49" s="50" t="str">
        <f t="shared" si="84"/>
        <v/>
      </c>
      <c r="GB49" s="50" t="str">
        <f t="shared" si="84"/>
        <v/>
      </c>
      <c r="GC49" s="50" t="str">
        <f t="shared" si="84"/>
        <v/>
      </c>
      <c r="GD49" s="50" t="str">
        <f t="shared" si="84"/>
        <v/>
      </c>
      <c r="GE49" s="50" t="str">
        <f t="shared" si="84"/>
        <v/>
      </c>
      <c r="GF49" s="50" t="str">
        <f t="shared" si="84"/>
        <v/>
      </c>
      <c r="GG49" s="50" t="str">
        <f t="shared" si="84"/>
        <v/>
      </c>
      <c r="GH49" s="50" t="str">
        <f t="shared" si="84"/>
        <v/>
      </c>
      <c r="GI49" s="50" t="str">
        <f t="shared" si="84"/>
        <v/>
      </c>
      <c r="GJ49" s="50" t="str">
        <f t="shared" si="84"/>
        <v/>
      </c>
      <c r="GK49" s="50" t="str">
        <f t="shared" si="84"/>
        <v/>
      </c>
      <c r="GL49" s="50" t="str">
        <f t="shared" si="84"/>
        <v/>
      </c>
      <c r="GM49" s="50" t="str">
        <f t="shared" si="84"/>
        <v/>
      </c>
      <c r="GN49" s="50" t="str">
        <f t="shared" si="84"/>
        <v/>
      </c>
      <c r="GO49" s="50" t="str">
        <f t="shared" si="84"/>
        <v/>
      </c>
      <c r="GP49" s="50" t="str">
        <f t="shared" si="84"/>
        <v/>
      </c>
      <c r="GQ49" s="50" t="str">
        <f t="shared" si="84"/>
        <v/>
      </c>
      <c r="GR49" s="50" t="str">
        <f t="shared" si="84"/>
        <v/>
      </c>
      <c r="GS49" s="50" t="str">
        <f t="shared" si="84"/>
        <v/>
      </c>
      <c r="GT49" s="50" t="str">
        <f t="shared" si="84"/>
        <v/>
      </c>
      <c r="GU49" s="50" t="str">
        <f t="shared" si="84"/>
        <v/>
      </c>
      <c r="GV49" s="50" t="str">
        <f t="shared" si="84"/>
        <v/>
      </c>
      <c r="GW49" s="50" t="str">
        <f t="shared" si="84"/>
        <v/>
      </c>
      <c r="GX49" s="50" t="str">
        <f t="shared" si="84"/>
        <v/>
      </c>
      <c r="GY49" s="50" t="str">
        <f t="shared" si="84"/>
        <v/>
      </c>
      <c r="GZ49" s="50" t="str">
        <f t="shared" si="84"/>
        <v/>
      </c>
      <c r="HA49" s="50" t="str">
        <f t="shared" si="84"/>
        <v/>
      </c>
      <c r="HB49" s="50" t="str">
        <f t="shared" si="84"/>
        <v/>
      </c>
      <c r="HC49" s="50" t="str">
        <f t="shared" si="84"/>
        <v/>
      </c>
      <c r="HD49" s="50" t="str">
        <f t="shared" si="84"/>
        <v/>
      </c>
      <c r="HE49" s="50" t="str">
        <f t="shared" si="84"/>
        <v/>
      </c>
      <c r="HF49" s="50" t="str">
        <f t="shared" si="84"/>
        <v/>
      </c>
      <c r="HG49" s="50" t="str">
        <f t="shared" si="84"/>
        <v/>
      </c>
      <c r="HH49" s="50" t="str">
        <f t="shared" si="84"/>
        <v/>
      </c>
      <c r="HI49" s="50" t="str">
        <f t="shared" si="84"/>
        <v/>
      </c>
      <c r="HJ49" s="50" t="str">
        <f t="shared" si="84"/>
        <v/>
      </c>
      <c r="HK49" s="50" t="str">
        <f t="shared" si="84"/>
        <v/>
      </c>
      <c r="HL49" s="50" t="str">
        <f t="shared" si="84"/>
        <v/>
      </c>
      <c r="HM49" s="50" t="str">
        <f t="shared" si="84"/>
        <v/>
      </c>
      <c r="HN49" s="50" t="str">
        <f t="shared" si="84"/>
        <v/>
      </c>
      <c r="HO49" s="50" t="str">
        <f t="shared" si="84"/>
        <v/>
      </c>
      <c r="HP49" s="50" t="str">
        <f t="shared" si="84"/>
        <v/>
      </c>
      <c r="HQ49" s="50" t="str">
        <f t="shared" si="84"/>
        <v/>
      </c>
      <c r="HR49" s="112" t="str">
        <f t="shared" si="84"/>
        <v/>
      </c>
    </row>
    <row r="50" spans="1:226" ht="11.1" customHeight="1" x14ac:dyDescent="0.25">
      <c r="A50" s="26"/>
      <c r="B50" s="27"/>
      <c r="C50" s="28" t="str">
        <f>IF(A50=0,"",VLOOKUP(A50,[2]CO!$A$3:$F$5327,2,0))</f>
        <v/>
      </c>
      <c r="D50" s="29"/>
      <c r="E50" s="29"/>
      <c r="F50" s="101" t="str">
        <f t="shared" si="74"/>
        <v/>
      </c>
      <c r="G50" s="30" t="str">
        <f>IF(A50=0,"",VLOOKUP(A50,[2]CO!$A$3:$F$5327,3,0))</f>
        <v/>
      </c>
      <c r="H50" s="95"/>
      <c r="I50" s="31"/>
      <c r="J50" s="31"/>
      <c r="K50" s="31"/>
      <c r="L50" s="31"/>
      <c r="M50" s="32" t="str">
        <f t="shared" si="75"/>
        <v/>
      </c>
      <c r="N50" s="32" t="str">
        <f>IF(B50=0,"",IF(H50="M",HLOOKUP(B50,$Y$12:$DT$13,2),IF(A50=0,"",VLOOKUP(A50,[2]CO!$A$3:$F$5327,4,0))))</f>
        <v/>
      </c>
      <c r="O50" s="32" t="str">
        <f t="shared" si="7"/>
        <v/>
      </c>
      <c r="P50" s="33"/>
      <c r="Q50" s="34" t="str">
        <f t="shared" si="76"/>
        <v/>
      </c>
      <c r="R50" s="35"/>
      <c r="T50" s="53" t="str">
        <f>IF(A50=0,"",VLOOKUP(A50,[2]CO!$A$3:$F$5318,5,0))</f>
        <v/>
      </c>
      <c r="U50" s="54">
        <f t="shared" si="40"/>
        <v>0</v>
      </c>
      <c r="V50" s="24"/>
      <c r="W50" s="25"/>
      <c r="X50" s="25"/>
      <c r="Y50" s="64" t="str">
        <f t="shared" si="77"/>
        <v/>
      </c>
      <c r="Z50" s="55" t="str">
        <f t="shared" si="77"/>
        <v/>
      </c>
      <c r="AA50" s="55" t="str">
        <f t="shared" si="77"/>
        <v/>
      </c>
      <c r="AB50" s="55" t="str">
        <f t="shared" si="77"/>
        <v/>
      </c>
      <c r="AC50" s="55" t="str">
        <f t="shared" si="77"/>
        <v/>
      </c>
      <c r="AD50" s="55" t="str">
        <f t="shared" si="77"/>
        <v/>
      </c>
      <c r="AE50" s="55" t="str">
        <f t="shared" si="77"/>
        <v/>
      </c>
      <c r="AF50" s="55" t="str">
        <f t="shared" si="77"/>
        <v/>
      </c>
      <c r="AG50" s="55" t="str">
        <f t="shared" si="77"/>
        <v/>
      </c>
      <c r="AH50" s="55" t="str">
        <f t="shared" si="77"/>
        <v/>
      </c>
      <c r="AI50" s="55" t="str">
        <f t="shared" si="77"/>
        <v/>
      </c>
      <c r="AJ50" s="55" t="str">
        <f t="shared" si="77"/>
        <v/>
      </c>
      <c r="AK50" s="55" t="str">
        <f t="shared" si="77"/>
        <v/>
      </c>
      <c r="AL50" s="55" t="str">
        <f t="shared" si="77"/>
        <v/>
      </c>
      <c r="AM50" s="55" t="str">
        <f t="shared" si="77"/>
        <v/>
      </c>
      <c r="AN50" s="55" t="str">
        <f t="shared" si="77"/>
        <v/>
      </c>
      <c r="AO50" s="55" t="str">
        <f t="shared" si="78"/>
        <v/>
      </c>
      <c r="AP50" s="55" t="str">
        <f t="shared" si="78"/>
        <v/>
      </c>
      <c r="AQ50" s="55" t="str">
        <f t="shared" si="78"/>
        <v/>
      </c>
      <c r="AR50" s="55" t="str">
        <f t="shared" si="78"/>
        <v/>
      </c>
      <c r="AS50" s="55" t="str">
        <f t="shared" si="78"/>
        <v/>
      </c>
      <c r="AT50" s="55" t="str">
        <f t="shared" si="78"/>
        <v/>
      </c>
      <c r="AU50" s="55" t="str">
        <f t="shared" si="78"/>
        <v/>
      </c>
      <c r="AV50" s="55" t="str">
        <f t="shared" si="78"/>
        <v/>
      </c>
      <c r="AW50" s="55" t="str">
        <f t="shared" si="78"/>
        <v/>
      </c>
      <c r="AX50" s="55" t="str">
        <f t="shared" si="78"/>
        <v/>
      </c>
      <c r="AY50" s="55" t="str">
        <f t="shared" si="78"/>
        <v/>
      </c>
      <c r="AZ50" s="55" t="str">
        <f t="shared" si="78"/>
        <v/>
      </c>
      <c r="BA50" s="55" t="str">
        <f t="shared" si="78"/>
        <v/>
      </c>
      <c r="BB50" s="55" t="str">
        <f t="shared" si="78"/>
        <v/>
      </c>
      <c r="BC50" s="55" t="str">
        <f t="shared" si="78"/>
        <v/>
      </c>
      <c r="BD50" s="55" t="str">
        <f t="shared" si="78"/>
        <v/>
      </c>
      <c r="BE50" s="55" t="str">
        <f t="shared" si="79"/>
        <v/>
      </c>
      <c r="BF50" s="55" t="str">
        <f t="shared" si="79"/>
        <v/>
      </c>
      <c r="BG50" s="55" t="str">
        <f t="shared" si="79"/>
        <v/>
      </c>
      <c r="BH50" s="55" t="str">
        <f t="shared" si="79"/>
        <v/>
      </c>
      <c r="BI50" s="55" t="str">
        <f t="shared" si="79"/>
        <v/>
      </c>
      <c r="BJ50" s="55" t="str">
        <f t="shared" si="79"/>
        <v/>
      </c>
      <c r="BK50" s="55" t="str">
        <f t="shared" si="79"/>
        <v/>
      </c>
      <c r="BL50" s="55" t="str">
        <f t="shared" si="79"/>
        <v/>
      </c>
      <c r="BM50" s="55" t="str">
        <f t="shared" si="79"/>
        <v/>
      </c>
      <c r="BN50" s="55" t="str">
        <f t="shared" si="79"/>
        <v/>
      </c>
      <c r="BO50" s="55" t="str">
        <f t="shared" si="79"/>
        <v/>
      </c>
      <c r="BP50" s="55" t="str">
        <f t="shared" si="79"/>
        <v/>
      </c>
      <c r="BQ50" s="55" t="str">
        <f t="shared" si="79"/>
        <v/>
      </c>
      <c r="BR50" s="55" t="str">
        <f t="shared" si="79"/>
        <v/>
      </c>
      <c r="BS50" s="55" t="str">
        <f t="shared" si="79"/>
        <v/>
      </c>
      <c r="BT50" s="55" t="str">
        <f t="shared" si="79"/>
        <v/>
      </c>
      <c r="BU50" s="55" t="str">
        <f t="shared" si="80"/>
        <v/>
      </c>
      <c r="BV50" s="55" t="str">
        <f t="shared" si="80"/>
        <v/>
      </c>
      <c r="BW50" s="55" t="str">
        <f t="shared" si="80"/>
        <v/>
      </c>
      <c r="BX50" s="55" t="str">
        <f t="shared" si="80"/>
        <v/>
      </c>
      <c r="BY50" s="55" t="str">
        <f t="shared" si="80"/>
        <v/>
      </c>
      <c r="BZ50" s="55" t="str">
        <f t="shared" si="80"/>
        <v/>
      </c>
      <c r="CA50" s="55" t="str">
        <f t="shared" si="80"/>
        <v/>
      </c>
      <c r="CB50" s="55" t="str">
        <f t="shared" si="80"/>
        <v/>
      </c>
      <c r="CC50" s="55" t="str">
        <f t="shared" si="80"/>
        <v/>
      </c>
      <c r="CD50" s="55" t="str">
        <f t="shared" si="80"/>
        <v/>
      </c>
      <c r="CE50" s="55" t="str">
        <f t="shared" si="80"/>
        <v/>
      </c>
      <c r="CF50" s="55" t="str">
        <f t="shared" si="80"/>
        <v/>
      </c>
      <c r="CG50" s="55" t="str">
        <f t="shared" si="80"/>
        <v/>
      </c>
      <c r="CH50" s="55" t="str">
        <f t="shared" si="80"/>
        <v/>
      </c>
      <c r="CI50" s="55" t="str">
        <f t="shared" si="80"/>
        <v/>
      </c>
      <c r="CJ50" s="55" t="str">
        <f t="shared" si="80"/>
        <v/>
      </c>
      <c r="CK50" s="55" t="str">
        <f t="shared" si="80"/>
        <v/>
      </c>
      <c r="CL50" s="55" t="str">
        <f t="shared" si="80"/>
        <v/>
      </c>
      <c r="CM50" s="55" t="str">
        <f t="shared" si="80"/>
        <v/>
      </c>
      <c r="CN50" s="55" t="str">
        <f t="shared" si="80"/>
        <v/>
      </c>
      <c r="CO50" s="55" t="str">
        <f t="shared" si="80"/>
        <v/>
      </c>
      <c r="CP50" s="55" t="str">
        <f t="shared" si="80"/>
        <v/>
      </c>
      <c r="CQ50" s="55" t="str">
        <f t="shared" si="80"/>
        <v/>
      </c>
      <c r="CR50" s="55" t="str">
        <f t="shared" si="80"/>
        <v/>
      </c>
      <c r="CS50" s="55" t="str">
        <f t="shared" si="80"/>
        <v/>
      </c>
      <c r="CT50" s="55" t="str">
        <f t="shared" si="80"/>
        <v/>
      </c>
      <c r="CU50" s="55" t="str">
        <f t="shared" si="80"/>
        <v/>
      </c>
      <c r="CV50" s="55" t="str">
        <f t="shared" si="80"/>
        <v/>
      </c>
      <c r="CW50" s="55" t="str">
        <f t="shared" si="80"/>
        <v/>
      </c>
      <c r="CX50" s="55" t="str">
        <f t="shared" si="80"/>
        <v/>
      </c>
      <c r="CY50" s="55" t="str">
        <f t="shared" si="80"/>
        <v/>
      </c>
      <c r="CZ50" s="55" t="str">
        <f t="shared" si="80"/>
        <v/>
      </c>
      <c r="DA50" s="55" t="str">
        <f t="shared" si="80"/>
        <v/>
      </c>
      <c r="DB50" s="55" t="str">
        <f t="shared" si="80"/>
        <v/>
      </c>
      <c r="DC50" s="55" t="str">
        <f t="shared" si="80"/>
        <v/>
      </c>
      <c r="DD50" s="55" t="str">
        <f t="shared" si="80"/>
        <v/>
      </c>
      <c r="DE50" s="55" t="str">
        <f t="shared" si="80"/>
        <v/>
      </c>
      <c r="DF50" s="55" t="str">
        <f t="shared" si="80"/>
        <v/>
      </c>
      <c r="DG50" s="55" t="str">
        <f t="shared" si="80"/>
        <v/>
      </c>
      <c r="DH50" s="55" t="str">
        <f t="shared" si="80"/>
        <v/>
      </c>
      <c r="DI50" s="55" t="str">
        <f t="shared" si="80"/>
        <v/>
      </c>
      <c r="DJ50" s="55" t="str">
        <f t="shared" si="80"/>
        <v/>
      </c>
      <c r="DK50" s="55" t="str">
        <f t="shared" si="80"/>
        <v/>
      </c>
      <c r="DL50" s="55" t="str">
        <f t="shared" si="80"/>
        <v/>
      </c>
      <c r="DM50" s="55" t="str">
        <f t="shared" si="80"/>
        <v/>
      </c>
      <c r="DN50" s="55" t="str">
        <f t="shared" si="80"/>
        <v/>
      </c>
      <c r="DO50" s="55" t="str">
        <f t="shared" si="80"/>
        <v/>
      </c>
      <c r="DP50" s="55" t="str">
        <f t="shared" ref="DP50:DT52" si="85">IF($B50=DP$12,$U50,"")</f>
        <v/>
      </c>
      <c r="DQ50" s="55" t="str">
        <f t="shared" si="85"/>
        <v/>
      </c>
      <c r="DR50" s="55" t="str">
        <f t="shared" si="85"/>
        <v/>
      </c>
      <c r="DS50" s="55" t="str">
        <f t="shared" si="85"/>
        <v/>
      </c>
      <c r="DT50" s="106" t="str">
        <f t="shared" si="85"/>
        <v/>
      </c>
      <c r="DU50" s="54"/>
      <c r="DV50" s="25"/>
      <c r="DW50" s="61" t="str">
        <f t="shared" si="81"/>
        <v/>
      </c>
      <c r="DX50" s="50" t="str">
        <f t="shared" si="81"/>
        <v/>
      </c>
      <c r="DY50" s="50" t="str">
        <f t="shared" si="81"/>
        <v/>
      </c>
      <c r="DZ50" s="50" t="str">
        <f t="shared" si="81"/>
        <v/>
      </c>
      <c r="EA50" s="50" t="str">
        <f t="shared" si="81"/>
        <v/>
      </c>
      <c r="EB50" s="50" t="str">
        <f t="shared" si="81"/>
        <v/>
      </c>
      <c r="EC50" s="50" t="str">
        <f t="shared" si="81"/>
        <v/>
      </c>
      <c r="ED50" s="50" t="str">
        <f t="shared" si="81"/>
        <v/>
      </c>
      <c r="EE50" s="50" t="str">
        <f t="shared" si="81"/>
        <v/>
      </c>
      <c r="EF50" s="50" t="str">
        <f t="shared" si="81"/>
        <v/>
      </c>
      <c r="EG50" s="50" t="str">
        <f t="shared" si="81"/>
        <v/>
      </c>
      <c r="EH50" s="50" t="str">
        <f t="shared" si="81"/>
        <v/>
      </c>
      <c r="EI50" s="50" t="str">
        <f t="shared" si="81"/>
        <v/>
      </c>
      <c r="EJ50" s="50" t="str">
        <f t="shared" si="81"/>
        <v/>
      </c>
      <c r="EK50" s="50" t="str">
        <f t="shared" si="81"/>
        <v/>
      </c>
      <c r="EL50" s="50" t="str">
        <f t="shared" si="81"/>
        <v/>
      </c>
      <c r="EM50" s="50" t="str">
        <f t="shared" si="82"/>
        <v/>
      </c>
      <c r="EN50" s="50" t="str">
        <f t="shared" si="82"/>
        <v/>
      </c>
      <c r="EO50" s="50" t="str">
        <f t="shared" si="82"/>
        <v/>
      </c>
      <c r="EP50" s="50" t="str">
        <f t="shared" si="82"/>
        <v/>
      </c>
      <c r="EQ50" s="50" t="str">
        <f t="shared" si="82"/>
        <v/>
      </c>
      <c r="ER50" s="50" t="str">
        <f t="shared" si="82"/>
        <v/>
      </c>
      <c r="ES50" s="50" t="str">
        <f t="shared" si="82"/>
        <v/>
      </c>
      <c r="ET50" s="50" t="str">
        <f t="shared" si="82"/>
        <v/>
      </c>
      <c r="EU50" s="50" t="str">
        <f t="shared" si="82"/>
        <v/>
      </c>
      <c r="EV50" s="50" t="str">
        <f t="shared" si="82"/>
        <v/>
      </c>
      <c r="EW50" s="50" t="str">
        <f t="shared" si="82"/>
        <v/>
      </c>
      <c r="EX50" s="50" t="str">
        <f t="shared" si="82"/>
        <v/>
      </c>
      <c r="EY50" s="50" t="str">
        <f t="shared" si="82"/>
        <v/>
      </c>
      <c r="EZ50" s="50" t="str">
        <f t="shared" si="82"/>
        <v/>
      </c>
      <c r="FA50" s="50" t="str">
        <f t="shared" si="82"/>
        <v/>
      </c>
      <c r="FB50" s="50" t="str">
        <f t="shared" si="82"/>
        <v/>
      </c>
      <c r="FC50" s="50" t="str">
        <f t="shared" si="83"/>
        <v/>
      </c>
      <c r="FD50" s="50" t="str">
        <f t="shared" si="83"/>
        <v/>
      </c>
      <c r="FE50" s="50" t="str">
        <f t="shared" si="83"/>
        <v/>
      </c>
      <c r="FF50" s="50" t="str">
        <f t="shared" si="83"/>
        <v/>
      </c>
      <c r="FG50" s="50" t="str">
        <f t="shared" si="83"/>
        <v/>
      </c>
      <c r="FH50" s="50" t="str">
        <f t="shared" si="83"/>
        <v/>
      </c>
      <c r="FI50" s="50" t="str">
        <f t="shared" si="83"/>
        <v/>
      </c>
      <c r="FJ50" s="50" t="str">
        <f t="shared" si="83"/>
        <v/>
      </c>
      <c r="FK50" s="50" t="str">
        <f t="shared" si="83"/>
        <v/>
      </c>
      <c r="FL50" s="50" t="str">
        <f t="shared" si="83"/>
        <v/>
      </c>
      <c r="FM50" s="50" t="str">
        <f t="shared" si="83"/>
        <v/>
      </c>
      <c r="FN50" s="50" t="str">
        <f t="shared" si="83"/>
        <v/>
      </c>
      <c r="FO50" s="50" t="str">
        <f t="shared" si="83"/>
        <v/>
      </c>
      <c r="FP50" s="50" t="str">
        <f t="shared" si="83"/>
        <v/>
      </c>
      <c r="FQ50" s="50" t="str">
        <f t="shared" si="83"/>
        <v/>
      </c>
      <c r="FR50" s="50" t="str">
        <f t="shared" si="83"/>
        <v/>
      </c>
      <c r="FS50" s="50" t="str">
        <f t="shared" si="84"/>
        <v/>
      </c>
      <c r="FT50" s="50" t="str">
        <f t="shared" si="84"/>
        <v/>
      </c>
      <c r="FU50" s="50" t="str">
        <f t="shared" si="84"/>
        <v/>
      </c>
      <c r="FV50" s="50" t="str">
        <f t="shared" si="84"/>
        <v/>
      </c>
      <c r="FW50" s="50" t="str">
        <f t="shared" si="84"/>
        <v/>
      </c>
      <c r="FX50" s="50" t="str">
        <f t="shared" si="84"/>
        <v/>
      </c>
      <c r="FY50" s="50" t="str">
        <f t="shared" si="84"/>
        <v/>
      </c>
      <c r="FZ50" s="50" t="str">
        <f t="shared" si="84"/>
        <v/>
      </c>
      <c r="GA50" s="50" t="str">
        <f t="shared" si="84"/>
        <v/>
      </c>
      <c r="GB50" s="50" t="str">
        <f t="shared" si="84"/>
        <v/>
      </c>
      <c r="GC50" s="50" t="str">
        <f t="shared" si="84"/>
        <v/>
      </c>
      <c r="GD50" s="50" t="str">
        <f t="shared" si="84"/>
        <v/>
      </c>
      <c r="GE50" s="50" t="str">
        <f t="shared" si="84"/>
        <v/>
      </c>
      <c r="GF50" s="50" t="str">
        <f t="shared" si="84"/>
        <v/>
      </c>
      <c r="GG50" s="50" t="str">
        <f t="shared" si="84"/>
        <v/>
      </c>
      <c r="GH50" s="50" t="str">
        <f t="shared" si="84"/>
        <v/>
      </c>
      <c r="GI50" s="50" t="str">
        <f t="shared" si="84"/>
        <v/>
      </c>
      <c r="GJ50" s="50" t="str">
        <f t="shared" si="84"/>
        <v/>
      </c>
      <c r="GK50" s="50" t="str">
        <f t="shared" si="84"/>
        <v/>
      </c>
      <c r="GL50" s="50" t="str">
        <f t="shared" si="84"/>
        <v/>
      </c>
      <c r="GM50" s="50" t="str">
        <f t="shared" si="84"/>
        <v/>
      </c>
      <c r="GN50" s="50" t="str">
        <f t="shared" si="84"/>
        <v/>
      </c>
      <c r="GO50" s="50" t="str">
        <f t="shared" si="84"/>
        <v/>
      </c>
      <c r="GP50" s="50" t="str">
        <f t="shared" si="84"/>
        <v/>
      </c>
      <c r="GQ50" s="50" t="str">
        <f t="shared" si="84"/>
        <v/>
      </c>
      <c r="GR50" s="50" t="str">
        <f t="shared" si="84"/>
        <v/>
      </c>
      <c r="GS50" s="50" t="str">
        <f t="shared" si="84"/>
        <v/>
      </c>
      <c r="GT50" s="50" t="str">
        <f t="shared" si="84"/>
        <v/>
      </c>
      <c r="GU50" s="50" t="str">
        <f t="shared" si="84"/>
        <v/>
      </c>
      <c r="GV50" s="50" t="str">
        <f t="shared" si="84"/>
        <v/>
      </c>
      <c r="GW50" s="50" t="str">
        <f t="shared" si="84"/>
        <v/>
      </c>
      <c r="GX50" s="50" t="str">
        <f t="shared" si="84"/>
        <v/>
      </c>
      <c r="GY50" s="50" t="str">
        <f t="shared" si="84"/>
        <v/>
      </c>
      <c r="GZ50" s="50" t="str">
        <f t="shared" si="84"/>
        <v/>
      </c>
      <c r="HA50" s="50" t="str">
        <f t="shared" si="84"/>
        <v/>
      </c>
      <c r="HB50" s="50" t="str">
        <f t="shared" si="84"/>
        <v/>
      </c>
      <c r="HC50" s="50" t="str">
        <f t="shared" si="84"/>
        <v/>
      </c>
      <c r="HD50" s="50" t="str">
        <f t="shared" si="84"/>
        <v/>
      </c>
      <c r="HE50" s="50" t="str">
        <f t="shared" si="84"/>
        <v/>
      </c>
      <c r="HF50" s="50" t="str">
        <f t="shared" si="84"/>
        <v/>
      </c>
      <c r="HG50" s="50" t="str">
        <f t="shared" si="84"/>
        <v/>
      </c>
      <c r="HH50" s="50" t="str">
        <f t="shared" si="84"/>
        <v/>
      </c>
      <c r="HI50" s="50" t="str">
        <f t="shared" si="84"/>
        <v/>
      </c>
      <c r="HJ50" s="50" t="str">
        <f t="shared" si="84"/>
        <v/>
      </c>
      <c r="HK50" s="50" t="str">
        <f t="shared" si="84"/>
        <v/>
      </c>
      <c r="HL50" s="50" t="str">
        <f t="shared" si="84"/>
        <v/>
      </c>
      <c r="HM50" s="50" t="str">
        <f t="shared" si="84"/>
        <v/>
      </c>
      <c r="HN50" s="50" t="str">
        <f t="shared" ref="HN50:HR52" si="86">IF($B50=HN$12,$O50,"")</f>
        <v/>
      </c>
      <c r="HO50" s="50" t="str">
        <f t="shared" si="86"/>
        <v/>
      </c>
      <c r="HP50" s="50" t="str">
        <f t="shared" si="86"/>
        <v/>
      </c>
      <c r="HQ50" s="50" t="str">
        <f t="shared" si="86"/>
        <v/>
      </c>
      <c r="HR50" s="112" t="str">
        <f t="shared" si="86"/>
        <v/>
      </c>
    </row>
    <row r="51" spans="1:226" ht="11.1" customHeight="1" x14ac:dyDescent="0.25">
      <c r="A51" s="26"/>
      <c r="B51" s="27"/>
      <c r="C51" s="28" t="str">
        <f>IF(A51=0,"",VLOOKUP(A51,[2]CO!$A$3:$F$5327,2,0))</f>
        <v/>
      </c>
      <c r="D51" s="29"/>
      <c r="E51" s="29"/>
      <c r="F51" s="101" t="str">
        <f t="shared" si="74"/>
        <v/>
      </c>
      <c r="G51" s="30" t="str">
        <f>IF(A51=0,"",VLOOKUP(A51,[2]CO!$A$3:$F$5327,3,0))</f>
        <v/>
      </c>
      <c r="H51" s="95"/>
      <c r="I51" s="31"/>
      <c r="J51" s="31"/>
      <c r="K51" s="31"/>
      <c r="L51" s="31"/>
      <c r="M51" s="32" t="str">
        <f t="shared" si="75"/>
        <v/>
      </c>
      <c r="N51" s="32" t="str">
        <f>IF(B51=0,"",IF(H51="M",HLOOKUP(B51,$Y$12:$DT$13,2),IF(A51=0,"",VLOOKUP(A51,[2]CO!$A$3:$F$5327,4,0))))</f>
        <v/>
      </c>
      <c r="O51" s="32" t="str">
        <f t="shared" si="7"/>
        <v/>
      </c>
      <c r="P51" s="33"/>
      <c r="Q51" s="34" t="str">
        <f t="shared" si="76"/>
        <v/>
      </c>
      <c r="R51" s="35"/>
      <c r="T51" s="53" t="str">
        <f>IF(A51=0,"",VLOOKUP(A51,[2]CO!$A$3:$F$5318,5,0))</f>
        <v/>
      </c>
      <c r="U51" s="54">
        <f t="shared" si="40"/>
        <v>0</v>
      </c>
      <c r="V51" s="24"/>
      <c r="W51" s="25"/>
      <c r="X51" s="25"/>
      <c r="Y51" s="64" t="str">
        <f t="shared" si="77"/>
        <v/>
      </c>
      <c r="Z51" s="55" t="str">
        <f t="shared" si="77"/>
        <v/>
      </c>
      <c r="AA51" s="55" t="str">
        <f t="shared" si="77"/>
        <v/>
      </c>
      <c r="AB51" s="55" t="str">
        <f t="shared" si="77"/>
        <v/>
      </c>
      <c r="AC51" s="55" t="str">
        <f t="shared" si="77"/>
        <v/>
      </c>
      <c r="AD51" s="55" t="str">
        <f t="shared" si="77"/>
        <v/>
      </c>
      <c r="AE51" s="55" t="str">
        <f t="shared" si="77"/>
        <v/>
      </c>
      <c r="AF51" s="55" t="str">
        <f t="shared" si="77"/>
        <v/>
      </c>
      <c r="AG51" s="55" t="str">
        <f t="shared" si="77"/>
        <v/>
      </c>
      <c r="AH51" s="55" t="str">
        <f t="shared" si="77"/>
        <v/>
      </c>
      <c r="AI51" s="55" t="str">
        <f t="shared" si="77"/>
        <v/>
      </c>
      <c r="AJ51" s="55" t="str">
        <f t="shared" si="77"/>
        <v/>
      </c>
      <c r="AK51" s="55" t="str">
        <f t="shared" si="77"/>
        <v/>
      </c>
      <c r="AL51" s="55" t="str">
        <f t="shared" si="77"/>
        <v/>
      </c>
      <c r="AM51" s="55" t="str">
        <f t="shared" si="77"/>
        <v/>
      </c>
      <c r="AN51" s="55" t="str">
        <f t="shared" si="77"/>
        <v/>
      </c>
      <c r="AO51" s="55" t="str">
        <f t="shared" si="78"/>
        <v/>
      </c>
      <c r="AP51" s="55" t="str">
        <f t="shared" si="78"/>
        <v/>
      </c>
      <c r="AQ51" s="55" t="str">
        <f t="shared" si="78"/>
        <v/>
      </c>
      <c r="AR51" s="55" t="str">
        <f t="shared" si="78"/>
        <v/>
      </c>
      <c r="AS51" s="55" t="str">
        <f t="shared" si="78"/>
        <v/>
      </c>
      <c r="AT51" s="55" t="str">
        <f t="shared" si="78"/>
        <v/>
      </c>
      <c r="AU51" s="55" t="str">
        <f t="shared" si="78"/>
        <v/>
      </c>
      <c r="AV51" s="55" t="str">
        <f t="shared" si="78"/>
        <v/>
      </c>
      <c r="AW51" s="55" t="str">
        <f t="shared" si="78"/>
        <v/>
      </c>
      <c r="AX51" s="55" t="str">
        <f t="shared" si="78"/>
        <v/>
      </c>
      <c r="AY51" s="55" t="str">
        <f t="shared" si="78"/>
        <v/>
      </c>
      <c r="AZ51" s="55" t="str">
        <f t="shared" si="78"/>
        <v/>
      </c>
      <c r="BA51" s="55" t="str">
        <f t="shared" si="78"/>
        <v/>
      </c>
      <c r="BB51" s="55" t="str">
        <f t="shared" si="78"/>
        <v/>
      </c>
      <c r="BC51" s="55" t="str">
        <f t="shared" si="78"/>
        <v/>
      </c>
      <c r="BD51" s="55" t="str">
        <f t="shared" si="78"/>
        <v/>
      </c>
      <c r="BE51" s="55" t="str">
        <f t="shared" si="79"/>
        <v/>
      </c>
      <c r="BF51" s="55" t="str">
        <f t="shared" si="79"/>
        <v/>
      </c>
      <c r="BG51" s="55" t="str">
        <f t="shared" si="79"/>
        <v/>
      </c>
      <c r="BH51" s="55" t="str">
        <f t="shared" si="79"/>
        <v/>
      </c>
      <c r="BI51" s="55" t="str">
        <f t="shared" si="79"/>
        <v/>
      </c>
      <c r="BJ51" s="55" t="str">
        <f t="shared" si="79"/>
        <v/>
      </c>
      <c r="BK51" s="55" t="str">
        <f t="shared" si="79"/>
        <v/>
      </c>
      <c r="BL51" s="55" t="str">
        <f t="shared" si="79"/>
        <v/>
      </c>
      <c r="BM51" s="55" t="str">
        <f t="shared" si="79"/>
        <v/>
      </c>
      <c r="BN51" s="55" t="str">
        <f t="shared" si="79"/>
        <v/>
      </c>
      <c r="BO51" s="55" t="str">
        <f t="shared" si="79"/>
        <v/>
      </c>
      <c r="BP51" s="55" t="str">
        <f t="shared" si="79"/>
        <v/>
      </c>
      <c r="BQ51" s="55" t="str">
        <f t="shared" si="79"/>
        <v/>
      </c>
      <c r="BR51" s="55" t="str">
        <f t="shared" si="79"/>
        <v/>
      </c>
      <c r="BS51" s="55" t="str">
        <f t="shared" si="79"/>
        <v/>
      </c>
      <c r="BT51" s="55" t="str">
        <f t="shared" si="79"/>
        <v/>
      </c>
      <c r="BU51" s="55" t="str">
        <f t="shared" ref="BU51:DP52" si="87">IF($B51=BU$12,$U51,"")</f>
        <v/>
      </c>
      <c r="BV51" s="55" t="str">
        <f t="shared" si="87"/>
        <v/>
      </c>
      <c r="BW51" s="55" t="str">
        <f t="shared" si="87"/>
        <v/>
      </c>
      <c r="BX51" s="55" t="str">
        <f t="shared" si="87"/>
        <v/>
      </c>
      <c r="BY51" s="55" t="str">
        <f t="shared" si="87"/>
        <v/>
      </c>
      <c r="BZ51" s="55" t="str">
        <f t="shared" si="87"/>
        <v/>
      </c>
      <c r="CA51" s="55" t="str">
        <f t="shared" si="87"/>
        <v/>
      </c>
      <c r="CB51" s="55" t="str">
        <f t="shared" si="87"/>
        <v/>
      </c>
      <c r="CC51" s="55" t="str">
        <f t="shared" si="87"/>
        <v/>
      </c>
      <c r="CD51" s="55" t="str">
        <f t="shared" si="87"/>
        <v/>
      </c>
      <c r="CE51" s="55" t="str">
        <f t="shared" si="87"/>
        <v/>
      </c>
      <c r="CF51" s="55" t="str">
        <f t="shared" si="87"/>
        <v/>
      </c>
      <c r="CG51" s="55" t="str">
        <f t="shared" si="87"/>
        <v/>
      </c>
      <c r="CH51" s="55" t="str">
        <f t="shared" si="87"/>
        <v/>
      </c>
      <c r="CI51" s="55" t="str">
        <f t="shared" si="87"/>
        <v/>
      </c>
      <c r="CJ51" s="55" t="str">
        <f t="shared" si="87"/>
        <v/>
      </c>
      <c r="CK51" s="55" t="str">
        <f t="shared" si="87"/>
        <v/>
      </c>
      <c r="CL51" s="55" t="str">
        <f t="shared" si="87"/>
        <v/>
      </c>
      <c r="CM51" s="55" t="str">
        <f t="shared" si="87"/>
        <v/>
      </c>
      <c r="CN51" s="55" t="str">
        <f t="shared" si="87"/>
        <v/>
      </c>
      <c r="CO51" s="55" t="str">
        <f t="shared" si="87"/>
        <v/>
      </c>
      <c r="CP51" s="55" t="str">
        <f t="shared" si="87"/>
        <v/>
      </c>
      <c r="CQ51" s="55" t="str">
        <f t="shared" si="87"/>
        <v/>
      </c>
      <c r="CR51" s="55" t="str">
        <f t="shared" si="87"/>
        <v/>
      </c>
      <c r="CS51" s="55" t="str">
        <f t="shared" si="87"/>
        <v/>
      </c>
      <c r="CT51" s="55" t="str">
        <f t="shared" si="87"/>
        <v/>
      </c>
      <c r="CU51" s="55" t="str">
        <f t="shared" si="87"/>
        <v/>
      </c>
      <c r="CV51" s="55" t="str">
        <f t="shared" si="87"/>
        <v/>
      </c>
      <c r="CW51" s="55" t="str">
        <f t="shared" si="87"/>
        <v/>
      </c>
      <c r="CX51" s="55" t="str">
        <f t="shared" si="87"/>
        <v/>
      </c>
      <c r="CY51" s="55" t="str">
        <f t="shared" si="87"/>
        <v/>
      </c>
      <c r="CZ51" s="55" t="str">
        <f t="shared" si="87"/>
        <v/>
      </c>
      <c r="DA51" s="55" t="str">
        <f t="shared" si="87"/>
        <v/>
      </c>
      <c r="DB51" s="55" t="str">
        <f t="shared" si="87"/>
        <v/>
      </c>
      <c r="DC51" s="55" t="str">
        <f t="shared" si="87"/>
        <v/>
      </c>
      <c r="DD51" s="55" t="str">
        <f t="shared" si="87"/>
        <v/>
      </c>
      <c r="DE51" s="55" t="str">
        <f t="shared" si="87"/>
        <v/>
      </c>
      <c r="DF51" s="55" t="str">
        <f t="shared" si="87"/>
        <v/>
      </c>
      <c r="DG51" s="55" t="str">
        <f t="shared" si="87"/>
        <v/>
      </c>
      <c r="DH51" s="55" t="str">
        <f t="shared" si="87"/>
        <v/>
      </c>
      <c r="DI51" s="55" t="str">
        <f t="shared" si="87"/>
        <v/>
      </c>
      <c r="DJ51" s="55" t="str">
        <f t="shared" si="87"/>
        <v/>
      </c>
      <c r="DK51" s="55" t="str">
        <f t="shared" si="87"/>
        <v/>
      </c>
      <c r="DL51" s="55" t="str">
        <f t="shared" si="87"/>
        <v/>
      </c>
      <c r="DM51" s="55" t="str">
        <f t="shared" si="87"/>
        <v/>
      </c>
      <c r="DN51" s="55" t="str">
        <f t="shared" si="87"/>
        <v/>
      </c>
      <c r="DO51" s="55" t="str">
        <f t="shared" si="87"/>
        <v/>
      </c>
      <c r="DP51" s="55" t="str">
        <f t="shared" si="85"/>
        <v/>
      </c>
      <c r="DQ51" s="55" t="str">
        <f t="shared" si="85"/>
        <v/>
      </c>
      <c r="DR51" s="55" t="str">
        <f t="shared" si="85"/>
        <v/>
      </c>
      <c r="DS51" s="55" t="str">
        <f t="shared" si="85"/>
        <v/>
      </c>
      <c r="DT51" s="106" t="str">
        <f t="shared" si="85"/>
        <v/>
      </c>
      <c r="DU51" s="54"/>
      <c r="DV51" s="25"/>
      <c r="DW51" s="61" t="str">
        <f t="shared" si="81"/>
        <v/>
      </c>
      <c r="DX51" s="50" t="str">
        <f t="shared" si="81"/>
        <v/>
      </c>
      <c r="DY51" s="50" t="str">
        <f t="shared" si="81"/>
        <v/>
      </c>
      <c r="DZ51" s="50" t="str">
        <f t="shared" si="81"/>
        <v/>
      </c>
      <c r="EA51" s="50" t="str">
        <f t="shared" si="81"/>
        <v/>
      </c>
      <c r="EB51" s="50" t="str">
        <f t="shared" si="81"/>
        <v/>
      </c>
      <c r="EC51" s="50" t="str">
        <f t="shared" si="81"/>
        <v/>
      </c>
      <c r="ED51" s="50" t="str">
        <f t="shared" si="81"/>
        <v/>
      </c>
      <c r="EE51" s="50" t="str">
        <f t="shared" si="81"/>
        <v/>
      </c>
      <c r="EF51" s="50" t="str">
        <f t="shared" si="81"/>
        <v/>
      </c>
      <c r="EG51" s="50" t="str">
        <f t="shared" si="81"/>
        <v/>
      </c>
      <c r="EH51" s="50" t="str">
        <f t="shared" si="81"/>
        <v/>
      </c>
      <c r="EI51" s="50" t="str">
        <f t="shared" si="81"/>
        <v/>
      </c>
      <c r="EJ51" s="50" t="str">
        <f t="shared" si="81"/>
        <v/>
      </c>
      <c r="EK51" s="50" t="str">
        <f t="shared" si="81"/>
        <v/>
      </c>
      <c r="EL51" s="50" t="str">
        <f t="shared" si="81"/>
        <v/>
      </c>
      <c r="EM51" s="50" t="str">
        <f t="shared" si="82"/>
        <v/>
      </c>
      <c r="EN51" s="50" t="str">
        <f t="shared" si="82"/>
        <v/>
      </c>
      <c r="EO51" s="50" t="str">
        <f t="shared" si="82"/>
        <v/>
      </c>
      <c r="EP51" s="50" t="str">
        <f t="shared" si="82"/>
        <v/>
      </c>
      <c r="EQ51" s="50" t="str">
        <f t="shared" si="82"/>
        <v/>
      </c>
      <c r="ER51" s="50" t="str">
        <f t="shared" si="82"/>
        <v/>
      </c>
      <c r="ES51" s="50" t="str">
        <f t="shared" si="82"/>
        <v/>
      </c>
      <c r="ET51" s="50" t="str">
        <f t="shared" si="82"/>
        <v/>
      </c>
      <c r="EU51" s="50" t="str">
        <f t="shared" si="82"/>
        <v/>
      </c>
      <c r="EV51" s="50" t="str">
        <f t="shared" si="82"/>
        <v/>
      </c>
      <c r="EW51" s="50" t="str">
        <f t="shared" si="82"/>
        <v/>
      </c>
      <c r="EX51" s="50" t="str">
        <f t="shared" si="82"/>
        <v/>
      </c>
      <c r="EY51" s="50" t="str">
        <f t="shared" si="82"/>
        <v/>
      </c>
      <c r="EZ51" s="50" t="str">
        <f t="shared" si="82"/>
        <v/>
      </c>
      <c r="FA51" s="50" t="str">
        <f t="shared" si="82"/>
        <v/>
      </c>
      <c r="FB51" s="50" t="str">
        <f t="shared" si="82"/>
        <v/>
      </c>
      <c r="FC51" s="50" t="str">
        <f t="shared" si="83"/>
        <v/>
      </c>
      <c r="FD51" s="50" t="str">
        <f t="shared" si="83"/>
        <v/>
      </c>
      <c r="FE51" s="50" t="str">
        <f t="shared" si="83"/>
        <v/>
      </c>
      <c r="FF51" s="50" t="str">
        <f t="shared" si="83"/>
        <v/>
      </c>
      <c r="FG51" s="50" t="str">
        <f t="shared" si="83"/>
        <v/>
      </c>
      <c r="FH51" s="50" t="str">
        <f t="shared" si="83"/>
        <v/>
      </c>
      <c r="FI51" s="50" t="str">
        <f t="shared" si="83"/>
        <v/>
      </c>
      <c r="FJ51" s="50" t="str">
        <f t="shared" si="83"/>
        <v/>
      </c>
      <c r="FK51" s="50" t="str">
        <f t="shared" si="83"/>
        <v/>
      </c>
      <c r="FL51" s="50" t="str">
        <f t="shared" si="83"/>
        <v/>
      </c>
      <c r="FM51" s="50" t="str">
        <f t="shared" si="83"/>
        <v/>
      </c>
      <c r="FN51" s="50" t="str">
        <f t="shared" si="83"/>
        <v/>
      </c>
      <c r="FO51" s="50" t="str">
        <f t="shared" si="83"/>
        <v/>
      </c>
      <c r="FP51" s="50" t="str">
        <f t="shared" si="83"/>
        <v/>
      </c>
      <c r="FQ51" s="50" t="str">
        <f t="shared" si="83"/>
        <v/>
      </c>
      <c r="FR51" s="50" t="str">
        <f t="shared" si="83"/>
        <v/>
      </c>
      <c r="FS51" s="50" t="str">
        <f t="shared" ref="FS51:HN52" si="88">IF($B51=FS$12,$O51,"")</f>
        <v/>
      </c>
      <c r="FT51" s="50" t="str">
        <f t="shared" si="88"/>
        <v/>
      </c>
      <c r="FU51" s="50" t="str">
        <f t="shared" si="88"/>
        <v/>
      </c>
      <c r="FV51" s="50" t="str">
        <f t="shared" si="88"/>
        <v/>
      </c>
      <c r="FW51" s="50" t="str">
        <f t="shared" si="88"/>
        <v/>
      </c>
      <c r="FX51" s="50" t="str">
        <f t="shared" si="88"/>
        <v/>
      </c>
      <c r="FY51" s="50" t="str">
        <f t="shared" si="88"/>
        <v/>
      </c>
      <c r="FZ51" s="50" t="str">
        <f t="shared" si="88"/>
        <v/>
      </c>
      <c r="GA51" s="50" t="str">
        <f t="shared" si="88"/>
        <v/>
      </c>
      <c r="GB51" s="50" t="str">
        <f t="shared" si="88"/>
        <v/>
      </c>
      <c r="GC51" s="50" t="str">
        <f t="shared" si="88"/>
        <v/>
      </c>
      <c r="GD51" s="50" t="str">
        <f t="shared" si="88"/>
        <v/>
      </c>
      <c r="GE51" s="50" t="str">
        <f t="shared" si="88"/>
        <v/>
      </c>
      <c r="GF51" s="50" t="str">
        <f t="shared" si="88"/>
        <v/>
      </c>
      <c r="GG51" s="50" t="str">
        <f t="shared" si="88"/>
        <v/>
      </c>
      <c r="GH51" s="50" t="str">
        <f t="shared" si="88"/>
        <v/>
      </c>
      <c r="GI51" s="50" t="str">
        <f t="shared" si="88"/>
        <v/>
      </c>
      <c r="GJ51" s="50" t="str">
        <f t="shared" si="88"/>
        <v/>
      </c>
      <c r="GK51" s="50" t="str">
        <f t="shared" si="88"/>
        <v/>
      </c>
      <c r="GL51" s="50" t="str">
        <f t="shared" si="88"/>
        <v/>
      </c>
      <c r="GM51" s="50" t="str">
        <f t="shared" si="88"/>
        <v/>
      </c>
      <c r="GN51" s="50" t="str">
        <f t="shared" si="88"/>
        <v/>
      </c>
      <c r="GO51" s="50" t="str">
        <f t="shared" si="88"/>
        <v/>
      </c>
      <c r="GP51" s="50" t="str">
        <f t="shared" si="88"/>
        <v/>
      </c>
      <c r="GQ51" s="50" t="str">
        <f t="shared" si="88"/>
        <v/>
      </c>
      <c r="GR51" s="50" t="str">
        <f t="shared" si="88"/>
        <v/>
      </c>
      <c r="GS51" s="50" t="str">
        <f t="shared" si="88"/>
        <v/>
      </c>
      <c r="GT51" s="50" t="str">
        <f t="shared" si="88"/>
        <v/>
      </c>
      <c r="GU51" s="50" t="str">
        <f t="shared" si="88"/>
        <v/>
      </c>
      <c r="GV51" s="50" t="str">
        <f t="shared" si="88"/>
        <v/>
      </c>
      <c r="GW51" s="50" t="str">
        <f t="shared" si="88"/>
        <v/>
      </c>
      <c r="GX51" s="50" t="str">
        <f t="shared" si="88"/>
        <v/>
      </c>
      <c r="GY51" s="50" t="str">
        <f t="shared" si="88"/>
        <v/>
      </c>
      <c r="GZ51" s="50" t="str">
        <f t="shared" si="88"/>
        <v/>
      </c>
      <c r="HA51" s="50" t="str">
        <f t="shared" si="88"/>
        <v/>
      </c>
      <c r="HB51" s="50" t="str">
        <f t="shared" si="88"/>
        <v/>
      </c>
      <c r="HC51" s="50" t="str">
        <f t="shared" si="88"/>
        <v/>
      </c>
      <c r="HD51" s="50" t="str">
        <f t="shared" si="88"/>
        <v/>
      </c>
      <c r="HE51" s="50" t="str">
        <f t="shared" si="88"/>
        <v/>
      </c>
      <c r="HF51" s="50" t="str">
        <f t="shared" si="88"/>
        <v/>
      </c>
      <c r="HG51" s="50" t="str">
        <f t="shared" si="88"/>
        <v/>
      </c>
      <c r="HH51" s="50" t="str">
        <f t="shared" si="88"/>
        <v/>
      </c>
      <c r="HI51" s="50" t="str">
        <f t="shared" si="88"/>
        <v/>
      </c>
      <c r="HJ51" s="50" t="str">
        <f t="shared" si="88"/>
        <v/>
      </c>
      <c r="HK51" s="50" t="str">
        <f t="shared" si="88"/>
        <v/>
      </c>
      <c r="HL51" s="50" t="str">
        <f t="shared" si="88"/>
        <v/>
      </c>
      <c r="HM51" s="50" t="str">
        <f t="shared" si="88"/>
        <v/>
      </c>
      <c r="HN51" s="50" t="str">
        <f t="shared" si="86"/>
        <v/>
      </c>
      <c r="HO51" s="50" t="str">
        <f t="shared" si="86"/>
        <v/>
      </c>
      <c r="HP51" s="50" t="str">
        <f t="shared" si="86"/>
        <v/>
      </c>
      <c r="HQ51" s="50" t="str">
        <f t="shared" si="86"/>
        <v/>
      </c>
      <c r="HR51" s="112" t="str">
        <f t="shared" si="86"/>
        <v/>
      </c>
    </row>
    <row r="52" spans="1:226" ht="11.1" customHeight="1" thickBot="1" x14ac:dyDescent="0.3">
      <c r="A52" s="36"/>
      <c r="B52" s="37"/>
      <c r="C52" s="38" t="str">
        <f>IF(A52=0,"",VLOOKUP(A52,[2]CO!$A$3:$F$5327,2,0))</f>
        <v/>
      </c>
      <c r="D52" s="39"/>
      <c r="E52" s="39"/>
      <c r="F52" s="103" t="str">
        <f t="shared" si="74"/>
        <v/>
      </c>
      <c r="G52" s="40" t="str">
        <f>IF(A52=0,"",VLOOKUP(A52,[2]CO!$A$3:$F$5327,3,0))</f>
        <v/>
      </c>
      <c r="H52" s="97"/>
      <c r="I52" s="41"/>
      <c r="J52" s="41"/>
      <c r="K52" s="41"/>
      <c r="L52" s="41"/>
      <c r="M52" s="42" t="str">
        <f>IF(L52=0,"",PRODUCT(I52:L52))</f>
        <v/>
      </c>
      <c r="N52" s="42" t="str">
        <f>IF(B52=0,"",IF(H52="M",HLOOKUP(B52,$Y$12:$DT$13,2),IF(A52=0,"",VLOOKUP(A52,[2]CO!$A$3:$F$5327,4,0))))</f>
        <v/>
      </c>
      <c r="O52" s="42" t="str">
        <f t="shared" si="7"/>
        <v/>
      </c>
      <c r="P52" s="37"/>
      <c r="Q52" s="43" t="str">
        <f t="shared" si="76"/>
        <v/>
      </c>
      <c r="R52" s="44"/>
      <c r="T52" s="53" t="str">
        <f>IF(A52=0,"",VLOOKUP(A52,[2]CO!$A$3:$F$5318,5,0))</f>
        <v/>
      </c>
      <c r="U52" s="54">
        <f t="shared" si="40"/>
        <v>0</v>
      </c>
      <c r="V52" s="24"/>
      <c r="W52" s="24"/>
      <c r="X52" s="24"/>
      <c r="Y52" s="76" t="str">
        <f t="shared" si="77"/>
        <v/>
      </c>
      <c r="Z52" s="77" t="str">
        <f t="shared" si="77"/>
        <v/>
      </c>
      <c r="AA52" s="77" t="str">
        <f t="shared" si="77"/>
        <v/>
      </c>
      <c r="AB52" s="77" t="str">
        <f t="shared" si="77"/>
        <v/>
      </c>
      <c r="AC52" s="77" t="str">
        <f t="shared" si="77"/>
        <v/>
      </c>
      <c r="AD52" s="77" t="str">
        <f t="shared" si="77"/>
        <v/>
      </c>
      <c r="AE52" s="77" t="str">
        <f t="shared" si="77"/>
        <v/>
      </c>
      <c r="AF52" s="77" t="str">
        <f t="shared" si="77"/>
        <v/>
      </c>
      <c r="AG52" s="77" t="str">
        <f t="shared" si="77"/>
        <v/>
      </c>
      <c r="AH52" s="77" t="str">
        <f t="shared" si="77"/>
        <v/>
      </c>
      <c r="AI52" s="77" t="str">
        <f t="shared" si="77"/>
        <v/>
      </c>
      <c r="AJ52" s="77" t="str">
        <f t="shared" si="77"/>
        <v/>
      </c>
      <c r="AK52" s="77" t="str">
        <f t="shared" si="77"/>
        <v/>
      </c>
      <c r="AL52" s="77" t="str">
        <f t="shared" si="77"/>
        <v/>
      </c>
      <c r="AM52" s="77" t="str">
        <f t="shared" si="77"/>
        <v/>
      </c>
      <c r="AN52" s="77" t="str">
        <f t="shared" si="77"/>
        <v/>
      </c>
      <c r="AO52" s="77" t="str">
        <f t="shared" si="78"/>
        <v/>
      </c>
      <c r="AP52" s="77" t="str">
        <f t="shared" si="78"/>
        <v/>
      </c>
      <c r="AQ52" s="77" t="str">
        <f t="shared" si="78"/>
        <v/>
      </c>
      <c r="AR52" s="77" t="str">
        <f t="shared" si="78"/>
        <v/>
      </c>
      <c r="AS52" s="77" t="str">
        <f t="shared" si="78"/>
        <v/>
      </c>
      <c r="AT52" s="77" t="str">
        <f t="shared" si="78"/>
        <v/>
      </c>
      <c r="AU52" s="77" t="str">
        <f t="shared" si="78"/>
        <v/>
      </c>
      <c r="AV52" s="77" t="str">
        <f t="shared" si="78"/>
        <v/>
      </c>
      <c r="AW52" s="77" t="str">
        <f t="shared" si="78"/>
        <v/>
      </c>
      <c r="AX52" s="77" t="str">
        <f t="shared" si="78"/>
        <v/>
      </c>
      <c r="AY52" s="77" t="str">
        <f t="shared" si="78"/>
        <v/>
      </c>
      <c r="AZ52" s="77" t="str">
        <f t="shared" si="78"/>
        <v/>
      </c>
      <c r="BA52" s="77" t="str">
        <f t="shared" si="78"/>
        <v/>
      </c>
      <c r="BB52" s="77" t="str">
        <f t="shared" si="78"/>
        <v/>
      </c>
      <c r="BC52" s="77" t="str">
        <f t="shared" si="78"/>
        <v/>
      </c>
      <c r="BD52" s="77" t="str">
        <f t="shared" si="78"/>
        <v/>
      </c>
      <c r="BE52" s="77" t="str">
        <f t="shared" si="79"/>
        <v/>
      </c>
      <c r="BF52" s="77" t="str">
        <f t="shared" si="79"/>
        <v/>
      </c>
      <c r="BG52" s="77" t="str">
        <f t="shared" si="79"/>
        <v/>
      </c>
      <c r="BH52" s="77" t="str">
        <f t="shared" si="79"/>
        <v/>
      </c>
      <c r="BI52" s="77" t="str">
        <f t="shared" si="79"/>
        <v/>
      </c>
      <c r="BJ52" s="77" t="str">
        <f t="shared" si="79"/>
        <v/>
      </c>
      <c r="BK52" s="77" t="str">
        <f t="shared" si="79"/>
        <v/>
      </c>
      <c r="BL52" s="77" t="str">
        <f t="shared" si="79"/>
        <v/>
      </c>
      <c r="BM52" s="77" t="str">
        <f t="shared" si="79"/>
        <v/>
      </c>
      <c r="BN52" s="77" t="str">
        <f t="shared" si="79"/>
        <v/>
      </c>
      <c r="BO52" s="77" t="str">
        <f t="shared" si="79"/>
        <v/>
      </c>
      <c r="BP52" s="77" t="str">
        <f t="shared" si="79"/>
        <v/>
      </c>
      <c r="BQ52" s="77" t="str">
        <f t="shared" si="79"/>
        <v/>
      </c>
      <c r="BR52" s="77" t="str">
        <f t="shared" si="79"/>
        <v/>
      </c>
      <c r="BS52" s="77" t="str">
        <f t="shared" si="79"/>
        <v/>
      </c>
      <c r="BT52" s="77" t="str">
        <f t="shared" si="79"/>
        <v/>
      </c>
      <c r="BU52" s="77" t="str">
        <f t="shared" si="87"/>
        <v/>
      </c>
      <c r="BV52" s="77" t="str">
        <f t="shared" si="87"/>
        <v/>
      </c>
      <c r="BW52" s="77" t="str">
        <f t="shared" si="87"/>
        <v/>
      </c>
      <c r="BX52" s="77" t="str">
        <f t="shared" si="87"/>
        <v/>
      </c>
      <c r="BY52" s="77" t="str">
        <f t="shared" si="87"/>
        <v/>
      </c>
      <c r="BZ52" s="77" t="str">
        <f t="shared" si="87"/>
        <v/>
      </c>
      <c r="CA52" s="77" t="str">
        <f t="shared" si="87"/>
        <v/>
      </c>
      <c r="CB52" s="77" t="str">
        <f t="shared" si="87"/>
        <v/>
      </c>
      <c r="CC52" s="77" t="str">
        <f t="shared" si="87"/>
        <v/>
      </c>
      <c r="CD52" s="77" t="str">
        <f t="shared" si="87"/>
        <v/>
      </c>
      <c r="CE52" s="77" t="str">
        <f t="shared" si="87"/>
        <v/>
      </c>
      <c r="CF52" s="77" t="str">
        <f t="shared" si="87"/>
        <v/>
      </c>
      <c r="CG52" s="77" t="str">
        <f t="shared" si="87"/>
        <v/>
      </c>
      <c r="CH52" s="77" t="str">
        <f t="shared" si="87"/>
        <v/>
      </c>
      <c r="CI52" s="77" t="str">
        <f t="shared" si="87"/>
        <v/>
      </c>
      <c r="CJ52" s="77" t="str">
        <f t="shared" si="87"/>
        <v/>
      </c>
      <c r="CK52" s="77" t="str">
        <f t="shared" si="87"/>
        <v/>
      </c>
      <c r="CL52" s="77" t="str">
        <f t="shared" si="87"/>
        <v/>
      </c>
      <c r="CM52" s="77" t="str">
        <f t="shared" si="87"/>
        <v/>
      </c>
      <c r="CN52" s="77" t="str">
        <f t="shared" si="87"/>
        <v/>
      </c>
      <c r="CO52" s="77" t="str">
        <f t="shared" si="87"/>
        <v/>
      </c>
      <c r="CP52" s="77" t="str">
        <f t="shared" si="87"/>
        <v/>
      </c>
      <c r="CQ52" s="77" t="str">
        <f t="shared" si="87"/>
        <v/>
      </c>
      <c r="CR52" s="77" t="str">
        <f t="shared" si="87"/>
        <v/>
      </c>
      <c r="CS52" s="77" t="str">
        <f t="shared" si="87"/>
        <v/>
      </c>
      <c r="CT52" s="77" t="str">
        <f t="shared" si="87"/>
        <v/>
      </c>
      <c r="CU52" s="77" t="str">
        <f t="shared" si="87"/>
        <v/>
      </c>
      <c r="CV52" s="77" t="str">
        <f t="shared" si="87"/>
        <v/>
      </c>
      <c r="CW52" s="77" t="str">
        <f t="shared" si="87"/>
        <v/>
      </c>
      <c r="CX52" s="77" t="str">
        <f t="shared" si="87"/>
        <v/>
      </c>
      <c r="CY52" s="77" t="str">
        <f t="shared" si="87"/>
        <v/>
      </c>
      <c r="CZ52" s="77" t="str">
        <f t="shared" si="87"/>
        <v/>
      </c>
      <c r="DA52" s="77" t="str">
        <f t="shared" si="87"/>
        <v/>
      </c>
      <c r="DB52" s="77" t="str">
        <f t="shared" si="87"/>
        <v/>
      </c>
      <c r="DC52" s="77" t="str">
        <f t="shared" si="87"/>
        <v/>
      </c>
      <c r="DD52" s="77" t="str">
        <f t="shared" si="87"/>
        <v/>
      </c>
      <c r="DE52" s="77" t="str">
        <f t="shared" si="87"/>
        <v/>
      </c>
      <c r="DF52" s="77" t="str">
        <f t="shared" si="87"/>
        <v/>
      </c>
      <c r="DG52" s="77" t="str">
        <f t="shared" si="87"/>
        <v/>
      </c>
      <c r="DH52" s="77" t="str">
        <f t="shared" si="87"/>
        <v/>
      </c>
      <c r="DI52" s="77" t="str">
        <f t="shared" si="87"/>
        <v/>
      </c>
      <c r="DJ52" s="77" t="str">
        <f t="shared" si="87"/>
        <v/>
      </c>
      <c r="DK52" s="77" t="str">
        <f t="shared" si="87"/>
        <v/>
      </c>
      <c r="DL52" s="77" t="str">
        <f t="shared" si="87"/>
        <v/>
      </c>
      <c r="DM52" s="77" t="str">
        <f t="shared" si="87"/>
        <v/>
      </c>
      <c r="DN52" s="77" t="str">
        <f t="shared" si="87"/>
        <v/>
      </c>
      <c r="DO52" s="77" t="str">
        <f t="shared" si="87"/>
        <v/>
      </c>
      <c r="DP52" s="77" t="str">
        <f t="shared" si="87"/>
        <v/>
      </c>
      <c r="DQ52" s="77" t="str">
        <f t="shared" si="85"/>
        <v/>
      </c>
      <c r="DR52" s="77" t="str">
        <f t="shared" si="85"/>
        <v/>
      </c>
      <c r="DS52" s="77" t="str">
        <f t="shared" si="85"/>
        <v/>
      </c>
      <c r="DT52" s="107" t="str">
        <f t="shared" si="85"/>
        <v/>
      </c>
      <c r="DU52" s="54"/>
      <c r="DV52" s="21"/>
      <c r="DW52" s="78" t="str">
        <f t="shared" si="81"/>
        <v/>
      </c>
      <c r="DX52" s="79" t="str">
        <f t="shared" si="81"/>
        <v/>
      </c>
      <c r="DY52" s="79" t="str">
        <f t="shared" si="81"/>
        <v/>
      </c>
      <c r="DZ52" s="79" t="str">
        <f t="shared" si="81"/>
        <v/>
      </c>
      <c r="EA52" s="79" t="str">
        <f t="shared" si="81"/>
        <v/>
      </c>
      <c r="EB52" s="79" t="str">
        <f t="shared" si="81"/>
        <v/>
      </c>
      <c r="EC52" s="79" t="str">
        <f t="shared" si="81"/>
        <v/>
      </c>
      <c r="ED52" s="79" t="str">
        <f t="shared" si="81"/>
        <v/>
      </c>
      <c r="EE52" s="79" t="str">
        <f t="shared" si="81"/>
        <v/>
      </c>
      <c r="EF52" s="79" t="str">
        <f t="shared" si="81"/>
        <v/>
      </c>
      <c r="EG52" s="79" t="str">
        <f t="shared" si="81"/>
        <v/>
      </c>
      <c r="EH52" s="79" t="str">
        <f t="shared" si="81"/>
        <v/>
      </c>
      <c r="EI52" s="79" t="str">
        <f t="shared" si="81"/>
        <v/>
      </c>
      <c r="EJ52" s="79" t="str">
        <f t="shared" si="81"/>
        <v/>
      </c>
      <c r="EK52" s="79" t="str">
        <f t="shared" si="81"/>
        <v/>
      </c>
      <c r="EL52" s="79" t="str">
        <f t="shared" si="81"/>
        <v/>
      </c>
      <c r="EM52" s="79" t="str">
        <f t="shared" si="82"/>
        <v/>
      </c>
      <c r="EN52" s="79" t="str">
        <f t="shared" si="82"/>
        <v/>
      </c>
      <c r="EO52" s="79" t="str">
        <f t="shared" si="82"/>
        <v/>
      </c>
      <c r="EP52" s="79" t="str">
        <f t="shared" si="82"/>
        <v/>
      </c>
      <c r="EQ52" s="79" t="str">
        <f t="shared" si="82"/>
        <v/>
      </c>
      <c r="ER52" s="79" t="str">
        <f t="shared" si="82"/>
        <v/>
      </c>
      <c r="ES52" s="79" t="str">
        <f t="shared" si="82"/>
        <v/>
      </c>
      <c r="ET52" s="79" t="str">
        <f t="shared" si="82"/>
        <v/>
      </c>
      <c r="EU52" s="79" t="str">
        <f t="shared" si="82"/>
        <v/>
      </c>
      <c r="EV52" s="79" t="str">
        <f t="shared" si="82"/>
        <v/>
      </c>
      <c r="EW52" s="79" t="str">
        <f t="shared" si="82"/>
        <v/>
      </c>
      <c r="EX52" s="79" t="str">
        <f t="shared" si="82"/>
        <v/>
      </c>
      <c r="EY52" s="79" t="str">
        <f t="shared" si="82"/>
        <v/>
      </c>
      <c r="EZ52" s="79" t="str">
        <f t="shared" si="82"/>
        <v/>
      </c>
      <c r="FA52" s="79" t="str">
        <f t="shared" si="82"/>
        <v/>
      </c>
      <c r="FB52" s="79" t="str">
        <f t="shared" si="82"/>
        <v/>
      </c>
      <c r="FC52" s="79" t="str">
        <f t="shared" si="83"/>
        <v/>
      </c>
      <c r="FD52" s="79" t="str">
        <f t="shared" si="83"/>
        <v/>
      </c>
      <c r="FE52" s="79" t="str">
        <f t="shared" si="83"/>
        <v/>
      </c>
      <c r="FF52" s="79" t="str">
        <f t="shared" si="83"/>
        <v/>
      </c>
      <c r="FG52" s="79" t="str">
        <f t="shared" si="83"/>
        <v/>
      </c>
      <c r="FH52" s="79" t="str">
        <f t="shared" si="83"/>
        <v/>
      </c>
      <c r="FI52" s="79" t="str">
        <f t="shared" si="83"/>
        <v/>
      </c>
      <c r="FJ52" s="79" t="str">
        <f t="shared" si="83"/>
        <v/>
      </c>
      <c r="FK52" s="79" t="str">
        <f t="shared" si="83"/>
        <v/>
      </c>
      <c r="FL52" s="79" t="str">
        <f t="shared" si="83"/>
        <v/>
      </c>
      <c r="FM52" s="79" t="str">
        <f t="shared" si="83"/>
        <v/>
      </c>
      <c r="FN52" s="79" t="str">
        <f t="shared" si="83"/>
        <v/>
      </c>
      <c r="FO52" s="79" t="str">
        <f t="shared" si="83"/>
        <v/>
      </c>
      <c r="FP52" s="79" t="str">
        <f t="shared" si="83"/>
        <v/>
      </c>
      <c r="FQ52" s="79" t="str">
        <f t="shared" si="83"/>
        <v/>
      </c>
      <c r="FR52" s="79" t="str">
        <f t="shared" si="83"/>
        <v/>
      </c>
      <c r="FS52" s="79" t="str">
        <f t="shared" si="88"/>
        <v/>
      </c>
      <c r="FT52" s="79" t="str">
        <f t="shared" si="88"/>
        <v/>
      </c>
      <c r="FU52" s="79" t="str">
        <f t="shared" si="88"/>
        <v/>
      </c>
      <c r="FV52" s="79" t="str">
        <f t="shared" si="88"/>
        <v/>
      </c>
      <c r="FW52" s="79" t="str">
        <f t="shared" si="88"/>
        <v/>
      </c>
      <c r="FX52" s="79" t="str">
        <f t="shared" si="88"/>
        <v/>
      </c>
      <c r="FY52" s="79" t="str">
        <f t="shared" si="88"/>
        <v/>
      </c>
      <c r="FZ52" s="79" t="str">
        <f t="shared" si="88"/>
        <v/>
      </c>
      <c r="GA52" s="79" t="str">
        <f t="shared" si="88"/>
        <v/>
      </c>
      <c r="GB52" s="79" t="str">
        <f t="shared" si="88"/>
        <v/>
      </c>
      <c r="GC52" s="79" t="str">
        <f t="shared" si="88"/>
        <v/>
      </c>
      <c r="GD52" s="79" t="str">
        <f t="shared" si="88"/>
        <v/>
      </c>
      <c r="GE52" s="79" t="str">
        <f t="shared" si="88"/>
        <v/>
      </c>
      <c r="GF52" s="79" t="str">
        <f t="shared" si="88"/>
        <v/>
      </c>
      <c r="GG52" s="79" t="str">
        <f t="shared" si="88"/>
        <v/>
      </c>
      <c r="GH52" s="79" t="str">
        <f t="shared" si="88"/>
        <v/>
      </c>
      <c r="GI52" s="79" t="str">
        <f t="shared" si="88"/>
        <v/>
      </c>
      <c r="GJ52" s="79" t="str">
        <f t="shared" si="88"/>
        <v/>
      </c>
      <c r="GK52" s="79" t="str">
        <f t="shared" si="88"/>
        <v/>
      </c>
      <c r="GL52" s="79" t="str">
        <f t="shared" si="88"/>
        <v/>
      </c>
      <c r="GM52" s="79" t="str">
        <f t="shared" si="88"/>
        <v/>
      </c>
      <c r="GN52" s="79" t="str">
        <f t="shared" si="88"/>
        <v/>
      </c>
      <c r="GO52" s="79" t="str">
        <f t="shared" si="88"/>
        <v/>
      </c>
      <c r="GP52" s="79" t="str">
        <f t="shared" si="88"/>
        <v/>
      </c>
      <c r="GQ52" s="79" t="str">
        <f t="shared" si="88"/>
        <v/>
      </c>
      <c r="GR52" s="79" t="str">
        <f t="shared" si="88"/>
        <v/>
      </c>
      <c r="GS52" s="79" t="str">
        <f t="shared" si="88"/>
        <v/>
      </c>
      <c r="GT52" s="79" t="str">
        <f t="shared" si="88"/>
        <v/>
      </c>
      <c r="GU52" s="79" t="str">
        <f t="shared" si="88"/>
        <v/>
      </c>
      <c r="GV52" s="79" t="str">
        <f t="shared" si="88"/>
        <v/>
      </c>
      <c r="GW52" s="79" t="str">
        <f t="shared" si="88"/>
        <v/>
      </c>
      <c r="GX52" s="79" t="str">
        <f t="shared" si="88"/>
        <v/>
      </c>
      <c r="GY52" s="79" t="str">
        <f t="shared" si="88"/>
        <v/>
      </c>
      <c r="GZ52" s="79" t="str">
        <f t="shared" si="88"/>
        <v/>
      </c>
      <c r="HA52" s="79" t="str">
        <f t="shared" si="88"/>
        <v/>
      </c>
      <c r="HB52" s="79" t="str">
        <f t="shared" si="88"/>
        <v/>
      </c>
      <c r="HC52" s="79" t="str">
        <f t="shared" si="88"/>
        <v/>
      </c>
      <c r="HD52" s="79" t="str">
        <f t="shared" si="88"/>
        <v/>
      </c>
      <c r="HE52" s="79" t="str">
        <f t="shared" si="88"/>
        <v/>
      </c>
      <c r="HF52" s="79" t="str">
        <f t="shared" si="88"/>
        <v/>
      </c>
      <c r="HG52" s="79" t="str">
        <f t="shared" si="88"/>
        <v/>
      </c>
      <c r="HH52" s="79" t="str">
        <f t="shared" si="88"/>
        <v/>
      </c>
      <c r="HI52" s="79" t="str">
        <f t="shared" si="88"/>
        <v/>
      </c>
      <c r="HJ52" s="79" t="str">
        <f t="shared" si="88"/>
        <v/>
      </c>
      <c r="HK52" s="79" t="str">
        <f t="shared" si="88"/>
        <v/>
      </c>
      <c r="HL52" s="79" t="str">
        <f t="shared" si="88"/>
        <v/>
      </c>
      <c r="HM52" s="79" t="str">
        <f t="shared" si="88"/>
        <v/>
      </c>
      <c r="HN52" s="79" t="str">
        <f t="shared" si="88"/>
        <v/>
      </c>
      <c r="HO52" s="79" t="str">
        <f t="shared" si="86"/>
        <v/>
      </c>
      <c r="HP52" s="79" t="str">
        <f t="shared" si="86"/>
        <v/>
      </c>
      <c r="HQ52" s="79" t="str">
        <f t="shared" si="86"/>
        <v/>
      </c>
      <c r="HR52" s="113" t="str">
        <f t="shared" si="86"/>
        <v/>
      </c>
    </row>
    <row r="53" spans="1:226" ht="10.199999999999999" customHeight="1" x14ac:dyDescent="0.25">
      <c r="A53" s="45"/>
      <c r="B53" s="23"/>
      <c r="C53" s="23" t="str">
        <f>IF(A53=0,"",VLOOKUP(A53,#REF!,2,0))</f>
        <v/>
      </c>
      <c r="D53" s="23"/>
      <c r="E53" s="23"/>
      <c r="F53" s="23"/>
      <c r="G53" s="23"/>
      <c r="H53" s="23"/>
      <c r="I53" s="46"/>
      <c r="J53" s="46"/>
      <c r="K53" s="46"/>
      <c r="L53" s="46"/>
      <c r="M53" s="47"/>
      <c r="N53" s="47"/>
      <c r="O53" s="47"/>
      <c r="P53" s="23"/>
      <c r="Q53" s="23"/>
      <c r="R53" s="23"/>
      <c r="T53" s="21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2"/>
      <c r="EU53" s="22"/>
      <c r="EV53" s="22"/>
    </row>
    <row r="54" spans="1:226" x14ac:dyDescent="0.25">
      <c r="A54" s="45"/>
      <c r="B54" s="23"/>
      <c r="C54" s="23"/>
      <c r="D54" s="23"/>
      <c r="E54" s="23"/>
      <c r="F54" s="23"/>
      <c r="G54" s="23"/>
      <c r="H54" s="23"/>
      <c r="I54" s="46"/>
      <c r="J54" s="46"/>
      <c r="K54" s="46"/>
      <c r="L54" s="46"/>
      <c r="M54" s="47"/>
      <c r="N54" s="47"/>
      <c r="O54" s="48" t="s">
        <v>17</v>
      </c>
      <c r="P54" s="49"/>
      <c r="Q54" s="104">
        <f>SUM(Q46:Q52)</f>
        <v>919.87199999999996</v>
      </c>
      <c r="R54" s="104">
        <f>SUM(R46:R52)</f>
        <v>0</v>
      </c>
      <c r="T54" s="21"/>
      <c r="U54" s="24"/>
      <c r="V54" s="24"/>
      <c r="W54" s="24"/>
      <c r="X54" s="24"/>
      <c r="EV54" s="22"/>
    </row>
    <row r="55" spans="1:226" x14ac:dyDescent="0.25">
      <c r="A55" s="45"/>
      <c r="B55" s="23"/>
      <c r="C55" s="23"/>
      <c r="D55" s="23"/>
      <c r="E55" s="23"/>
      <c r="F55" s="23"/>
      <c r="G55" s="23"/>
      <c r="H55" s="23"/>
      <c r="I55" s="46"/>
      <c r="J55" s="46"/>
      <c r="K55" s="46"/>
      <c r="L55" s="46"/>
      <c r="M55" s="47"/>
      <c r="N55" s="47"/>
      <c r="O55" s="47"/>
      <c r="P55" s="23"/>
      <c r="Q55" s="23"/>
      <c r="R55" s="23"/>
      <c r="T55" s="21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2"/>
      <c r="EU55" s="22"/>
      <c r="EV55" s="22"/>
    </row>
    <row r="56" spans="1:226" x14ac:dyDescent="0.25">
      <c r="A56" s="45"/>
      <c r="B56" s="23"/>
      <c r="C56" s="23"/>
      <c r="D56" s="23"/>
      <c r="E56" s="23"/>
      <c r="F56" s="23"/>
      <c r="G56" s="23"/>
      <c r="H56" s="23"/>
      <c r="I56" s="46"/>
      <c r="J56" s="46"/>
      <c r="K56" s="46"/>
      <c r="L56" s="46"/>
      <c r="M56" s="47"/>
      <c r="N56" s="47"/>
      <c r="O56" s="48" t="s">
        <v>18</v>
      </c>
      <c r="P56" s="23"/>
      <c r="Q56" s="104">
        <f>Q24+Q42+Q54</f>
        <v>26369.855999999996</v>
      </c>
      <c r="R56" s="104"/>
      <c r="T56" s="21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2"/>
      <c r="EU56" s="22"/>
      <c r="EV56" s="22"/>
    </row>
    <row r="57" spans="1:226" ht="10.199999999999999" customHeight="1" x14ac:dyDescent="0.25"/>
    <row r="58" spans="1:226" ht="10.199999999999999" customHeight="1" x14ac:dyDescent="0.25"/>
    <row r="59" spans="1:226" ht="10.199999999999999" customHeight="1" x14ac:dyDescent="0.25"/>
    <row r="1047589" spans="9:9" x14ac:dyDescent="0.25">
      <c r="I1047589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2026-06-29T20:27:42Z</dcterms:modified>
</cp:coreProperties>
</file>