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993D3303-B442-4580-AEC5-0B72FA39431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'026'!$A$1:$R$68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50" i="491" l="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W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Y50" i="491"/>
  <c r="T50" i="491"/>
  <c r="U50" i="491" s="1"/>
  <c r="R50" i="491"/>
  <c r="Q50" i="491"/>
  <c r="O50" i="491"/>
  <c r="N50" i="491"/>
  <c r="M50" i="491"/>
  <c r="G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W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Y49" i="491"/>
  <c r="T49" i="491"/>
  <c r="U49" i="491" s="1"/>
  <c r="R49" i="491"/>
  <c r="Q49" i="491"/>
  <c r="O49" i="491"/>
  <c r="N49" i="491"/>
  <c r="M49" i="491"/>
  <c r="G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R48" i="491"/>
  <c r="Q48" i="491"/>
  <c r="O48" i="491"/>
  <c r="N48" i="491"/>
  <c r="M48" i="491"/>
  <c r="G48" i="491"/>
  <c r="C48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W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Y32" i="491"/>
  <c r="T32" i="491"/>
  <c r="U32" i="491" s="1"/>
  <c r="R32" i="491"/>
  <c r="Q32" i="491"/>
  <c r="O32" i="491"/>
  <c r="N32" i="491"/>
  <c r="M32" i="49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W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Y31" i="491"/>
  <c r="T31" i="491"/>
  <c r="U31" i="491" s="1"/>
  <c r="R31" i="491"/>
  <c r="Q31" i="491"/>
  <c r="O31" i="491"/>
  <c r="N31" i="49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T30" i="491"/>
  <c r="U30" i="491" s="1"/>
  <c r="Y30" i="491" s="1"/>
  <c r="R30" i="491"/>
  <c r="Q30" i="491"/>
  <c r="O30" i="491"/>
  <c r="DW30" i="491" s="1"/>
  <c r="N30" i="491"/>
  <c r="M30" i="491"/>
  <c r="G30" i="491"/>
  <c r="C30" i="491"/>
  <c r="R66" i="491"/>
  <c r="C65" i="491"/>
  <c r="HR64" i="491"/>
  <c r="HQ64" i="491"/>
  <c r="HP64" i="491"/>
  <c r="HO64" i="491"/>
  <c r="HN64" i="491"/>
  <c r="HM64" i="491"/>
  <c r="HL64" i="491"/>
  <c r="HK64" i="491"/>
  <c r="HJ64" i="491"/>
  <c r="HI64" i="491"/>
  <c r="HH64" i="491"/>
  <c r="HG64" i="491"/>
  <c r="HF64" i="491"/>
  <c r="HE64" i="491"/>
  <c r="HD64" i="491"/>
  <c r="HC64" i="491"/>
  <c r="HB64" i="491"/>
  <c r="HA64" i="491"/>
  <c r="GZ64" i="491"/>
  <c r="GY64" i="491"/>
  <c r="GX64" i="491"/>
  <c r="GW64" i="491"/>
  <c r="GV64" i="491"/>
  <c r="GU64" i="491"/>
  <c r="GT64" i="491"/>
  <c r="GS64" i="491"/>
  <c r="GR64" i="491"/>
  <c r="GQ64" i="491"/>
  <c r="GP64" i="491"/>
  <c r="GO64" i="491"/>
  <c r="GN64" i="491"/>
  <c r="GM64" i="491"/>
  <c r="GL64" i="491"/>
  <c r="GK64" i="491"/>
  <c r="GJ64" i="491"/>
  <c r="GI64" i="491"/>
  <c r="GH64" i="491"/>
  <c r="GG64" i="491"/>
  <c r="GF64" i="491"/>
  <c r="GE64" i="491"/>
  <c r="GD64" i="491"/>
  <c r="GC64" i="491"/>
  <c r="GB64" i="491"/>
  <c r="GA64" i="491"/>
  <c r="FZ64" i="491"/>
  <c r="FY64" i="491"/>
  <c r="FX64" i="491"/>
  <c r="FW64" i="491"/>
  <c r="FV64" i="491"/>
  <c r="FU64" i="491"/>
  <c r="FT64" i="491"/>
  <c r="FS64" i="491"/>
  <c r="FR64" i="491"/>
  <c r="FQ64" i="491"/>
  <c r="FP64" i="491"/>
  <c r="FO64" i="491"/>
  <c r="FN64" i="491"/>
  <c r="FM64" i="491"/>
  <c r="FL64" i="491"/>
  <c r="FK64" i="491"/>
  <c r="FJ64" i="491"/>
  <c r="FI64" i="491"/>
  <c r="FH64" i="491"/>
  <c r="FG64" i="491"/>
  <c r="FF64" i="491"/>
  <c r="FE64" i="491"/>
  <c r="FD64" i="491"/>
  <c r="FC64" i="491"/>
  <c r="FB64" i="491"/>
  <c r="FA64" i="491"/>
  <c r="EZ64" i="491"/>
  <c r="EY64" i="491"/>
  <c r="EX64" i="491"/>
  <c r="EW64" i="491"/>
  <c r="EV64" i="491"/>
  <c r="EU64" i="491"/>
  <c r="ET64" i="491"/>
  <c r="ES64" i="491"/>
  <c r="ER64" i="491"/>
  <c r="EQ64" i="491"/>
  <c r="EP64" i="491"/>
  <c r="EO64" i="491"/>
  <c r="EN64" i="491"/>
  <c r="EM64" i="491"/>
  <c r="EL64" i="491"/>
  <c r="EK64" i="491"/>
  <c r="EJ64" i="491"/>
  <c r="EI64" i="491"/>
  <c r="EH64" i="491"/>
  <c r="EG64" i="491"/>
  <c r="EF64" i="491"/>
  <c r="EE64" i="491"/>
  <c r="ED64" i="491"/>
  <c r="EC64" i="491"/>
  <c r="EB64" i="491"/>
  <c r="EA64" i="491"/>
  <c r="DZ64" i="491"/>
  <c r="DY64" i="491"/>
  <c r="DX64" i="491"/>
  <c r="DW64" i="491"/>
  <c r="DT64" i="491"/>
  <c r="DS64" i="491"/>
  <c r="DR64" i="491"/>
  <c r="DQ64" i="491"/>
  <c r="DP64" i="491"/>
  <c r="DO64" i="491"/>
  <c r="DN64" i="491"/>
  <c r="DM64" i="491"/>
  <c r="DL64" i="491"/>
  <c r="DK64" i="491"/>
  <c r="DJ64" i="491"/>
  <c r="DI64" i="491"/>
  <c r="DH64" i="491"/>
  <c r="DG64" i="491"/>
  <c r="DF64" i="491"/>
  <c r="DE64" i="491"/>
  <c r="DD64" i="491"/>
  <c r="DC64" i="491"/>
  <c r="DB64" i="491"/>
  <c r="DA64" i="491"/>
  <c r="CZ64" i="491"/>
  <c r="CY64" i="491"/>
  <c r="CX64" i="491"/>
  <c r="CW64" i="491"/>
  <c r="CV64" i="491"/>
  <c r="CU64" i="491"/>
  <c r="CT64" i="491"/>
  <c r="CS64" i="491"/>
  <c r="CR64" i="491"/>
  <c r="CQ64" i="491"/>
  <c r="CP64" i="491"/>
  <c r="CO64" i="491"/>
  <c r="CN64" i="491"/>
  <c r="CM64" i="491"/>
  <c r="CL64" i="491"/>
  <c r="CK64" i="491"/>
  <c r="CJ64" i="491"/>
  <c r="CI64" i="491"/>
  <c r="CH64" i="491"/>
  <c r="CG64" i="491"/>
  <c r="CF64" i="491"/>
  <c r="CE64" i="491"/>
  <c r="CD64" i="491"/>
  <c r="CC64" i="491"/>
  <c r="CB64" i="491"/>
  <c r="CA64" i="491"/>
  <c r="BZ64" i="491"/>
  <c r="BY64" i="491"/>
  <c r="BX64" i="491"/>
  <c r="BW64" i="491"/>
  <c r="BV64" i="491"/>
  <c r="BU64" i="491"/>
  <c r="BT64" i="491"/>
  <c r="BS64" i="491"/>
  <c r="BR64" i="491"/>
  <c r="BQ64" i="491"/>
  <c r="BP64" i="491"/>
  <c r="BO64" i="491"/>
  <c r="BN64" i="491"/>
  <c r="BM64" i="491"/>
  <c r="BL64" i="491"/>
  <c r="BK64" i="491"/>
  <c r="BJ64" i="491"/>
  <c r="BI64" i="491"/>
  <c r="BH64" i="491"/>
  <c r="BG64" i="491"/>
  <c r="BF64" i="491"/>
  <c r="BE64" i="491"/>
  <c r="BD64" i="491"/>
  <c r="BC64" i="491"/>
  <c r="BB64" i="491"/>
  <c r="BA64" i="491"/>
  <c r="AZ64" i="491"/>
  <c r="AY64" i="491"/>
  <c r="AX64" i="491"/>
  <c r="AW64" i="491"/>
  <c r="AV64" i="491"/>
  <c r="AU64" i="491"/>
  <c r="AT64" i="491"/>
  <c r="AS64" i="491"/>
  <c r="AR64" i="491"/>
  <c r="AQ64" i="491"/>
  <c r="AP64" i="491"/>
  <c r="AO64" i="491"/>
  <c r="AN64" i="491"/>
  <c r="AM64" i="491"/>
  <c r="AL64" i="491"/>
  <c r="AK64" i="491"/>
  <c r="AJ64" i="491"/>
  <c r="AI64" i="491"/>
  <c r="AH64" i="491"/>
  <c r="AG64" i="491"/>
  <c r="AF64" i="491"/>
  <c r="AE64" i="491"/>
  <c r="AD64" i="491"/>
  <c r="AC64" i="491"/>
  <c r="AB64" i="491"/>
  <c r="AA64" i="491"/>
  <c r="Z64" i="491"/>
  <c r="Y64" i="491"/>
  <c r="T64" i="491"/>
  <c r="U64" i="491" s="1"/>
  <c r="Q64" i="491"/>
  <c r="O64" i="491"/>
  <c r="N64" i="491"/>
  <c r="M64" i="491"/>
  <c r="G64" i="491"/>
  <c r="F64" i="491"/>
  <c r="C64" i="491"/>
  <c r="HR63" i="491"/>
  <c r="HQ63" i="491"/>
  <c r="HP63" i="491"/>
  <c r="HO63" i="491"/>
  <c r="HN63" i="491"/>
  <c r="HM63" i="491"/>
  <c r="HL63" i="491"/>
  <c r="HK63" i="491"/>
  <c r="HJ63" i="491"/>
  <c r="HI63" i="491"/>
  <c r="HH63" i="491"/>
  <c r="HG63" i="491"/>
  <c r="HF63" i="491"/>
  <c r="HE63" i="491"/>
  <c r="HD63" i="491"/>
  <c r="HC63" i="491"/>
  <c r="HB63" i="491"/>
  <c r="HA63" i="491"/>
  <c r="GZ63" i="491"/>
  <c r="GY63" i="491"/>
  <c r="GX63" i="491"/>
  <c r="GW63" i="491"/>
  <c r="GV63" i="491"/>
  <c r="GU63" i="491"/>
  <c r="GT63" i="491"/>
  <c r="GS63" i="491"/>
  <c r="GR63" i="491"/>
  <c r="GQ63" i="491"/>
  <c r="GP63" i="491"/>
  <c r="GO63" i="491"/>
  <c r="GN63" i="491"/>
  <c r="GM63" i="491"/>
  <c r="GL63" i="491"/>
  <c r="GK63" i="491"/>
  <c r="GJ63" i="491"/>
  <c r="GI63" i="491"/>
  <c r="GH63" i="491"/>
  <c r="GG63" i="491"/>
  <c r="GF63" i="491"/>
  <c r="GE63" i="491"/>
  <c r="GD63" i="491"/>
  <c r="GC63" i="491"/>
  <c r="GB63" i="491"/>
  <c r="GA63" i="491"/>
  <c r="FZ63" i="491"/>
  <c r="FY63" i="491"/>
  <c r="FX63" i="491"/>
  <c r="FW63" i="491"/>
  <c r="FV63" i="491"/>
  <c r="FU63" i="491"/>
  <c r="FT63" i="491"/>
  <c r="FS63" i="491"/>
  <c r="FR63" i="491"/>
  <c r="FQ63" i="491"/>
  <c r="FP63" i="491"/>
  <c r="FO63" i="491"/>
  <c r="FN63" i="491"/>
  <c r="FM63" i="491"/>
  <c r="FL63" i="491"/>
  <c r="FK63" i="491"/>
  <c r="FJ63" i="491"/>
  <c r="FI63" i="491"/>
  <c r="FH63" i="491"/>
  <c r="FG63" i="491"/>
  <c r="FF63" i="491"/>
  <c r="FE63" i="491"/>
  <c r="FD63" i="491"/>
  <c r="FC63" i="491"/>
  <c r="FB63" i="491"/>
  <c r="FA63" i="491"/>
  <c r="EZ63" i="491"/>
  <c r="EY63" i="491"/>
  <c r="EX63" i="491"/>
  <c r="EW63" i="491"/>
  <c r="EV63" i="491"/>
  <c r="EU63" i="491"/>
  <c r="ET63" i="491"/>
  <c r="ES63" i="491"/>
  <c r="ER63" i="491"/>
  <c r="EQ63" i="491"/>
  <c r="EP63" i="491"/>
  <c r="EO63" i="491"/>
  <c r="EN63" i="491"/>
  <c r="EM63" i="491"/>
  <c r="EL63" i="491"/>
  <c r="EK63" i="491"/>
  <c r="EJ63" i="491"/>
  <c r="EI63" i="491"/>
  <c r="EH63" i="491"/>
  <c r="EG63" i="491"/>
  <c r="EF63" i="491"/>
  <c r="EE63" i="491"/>
  <c r="ED63" i="491"/>
  <c r="EC63" i="491"/>
  <c r="EB63" i="491"/>
  <c r="EA63" i="491"/>
  <c r="DZ63" i="491"/>
  <c r="DY63" i="491"/>
  <c r="DX63" i="491"/>
  <c r="DW63" i="491"/>
  <c r="DT63" i="491"/>
  <c r="DS63" i="491"/>
  <c r="DR63" i="491"/>
  <c r="DQ63" i="491"/>
  <c r="DP63" i="491"/>
  <c r="DO63" i="491"/>
  <c r="DN63" i="491"/>
  <c r="DM63" i="491"/>
  <c r="DL63" i="491"/>
  <c r="DK63" i="491"/>
  <c r="DJ63" i="491"/>
  <c r="DI63" i="491"/>
  <c r="DH63" i="491"/>
  <c r="DG63" i="491"/>
  <c r="DF63" i="491"/>
  <c r="DE63" i="491"/>
  <c r="DD63" i="491"/>
  <c r="DC63" i="491"/>
  <c r="DB63" i="491"/>
  <c r="DA63" i="491"/>
  <c r="CZ63" i="491"/>
  <c r="CY63" i="491"/>
  <c r="CX63" i="491"/>
  <c r="CW63" i="491"/>
  <c r="CV63" i="491"/>
  <c r="CU63" i="491"/>
  <c r="CT63" i="491"/>
  <c r="CS63" i="491"/>
  <c r="CR63" i="491"/>
  <c r="CQ63" i="491"/>
  <c r="CP63" i="491"/>
  <c r="CO63" i="491"/>
  <c r="CN63" i="491"/>
  <c r="CM63" i="491"/>
  <c r="CL63" i="491"/>
  <c r="CK63" i="491"/>
  <c r="CJ63" i="491"/>
  <c r="CI63" i="491"/>
  <c r="CH63" i="491"/>
  <c r="CG63" i="491"/>
  <c r="CF63" i="491"/>
  <c r="CE63" i="491"/>
  <c r="CD63" i="491"/>
  <c r="CC63" i="491"/>
  <c r="CB63" i="491"/>
  <c r="CA63" i="491"/>
  <c r="BZ63" i="491"/>
  <c r="BY63" i="491"/>
  <c r="BX63" i="491"/>
  <c r="BW63" i="491"/>
  <c r="BV63" i="491"/>
  <c r="BU63" i="491"/>
  <c r="BT63" i="491"/>
  <c r="BS63" i="491"/>
  <c r="BR63" i="491"/>
  <c r="BQ63" i="491"/>
  <c r="BP63" i="491"/>
  <c r="BO63" i="491"/>
  <c r="BN63" i="491"/>
  <c r="BM63" i="491"/>
  <c r="BL63" i="491"/>
  <c r="BK63" i="491"/>
  <c r="BJ63" i="491"/>
  <c r="BI63" i="491"/>
  <c r="BH63" i="491"/>
  <c r="BG63" i="491"/>
  <c r="BF63" i="491"/>
  <c r="BE63" i="491"/>
  <c r="BD63" i="491"/>
  <c r="BC63" i="491"/>
  <c r="BB63" i="491"/>
  <c r="BA63" i="491"/>
  <c r="AZ63" i="491"/>
  <c r="AY63" i="491"/>
  <c r="AX63" i="491"/>
  <c r="AW63" i="491"/>
  <c r="AV63" i="491"/>
  <c r="AU63" i="491"/>
  <c r="AT63" i="491"/>
  <c r="AS63" i="491"/>
  <c r="AR63" i="491"/>
  <c r="AQ63" i="491"/>
  <c r="AP63" i="491"/>
  <c r="AO63" i="491"/>
  <c r="AN63" i="491"/>
  <c r="AM63" i="491"/>
  <c r="AL63" i="491"/>
  <c r="AK63" i="491"/>
  <c r="AJ63" i="491"/>
  <c r="AI63" i="491"/>
  <c r="AH63" i="491"/>
  <c r="AG63" i="491"/>
  <c r="AF63" i="491"/>
  <c r="AE63" i="491"/>
  <c r="AD63" i="491"/>
  <c r="AC63" i="491"/>
  <c r="AB63" i="491"/>
  <c r="AA63" i="491"/>
  <c r="Z63" i="491"/>
  <c r="Y63" i="491"/>
  <c r="T63" i="491"/>
  <c r="U63" i="491" s="1"/>
  <c r="Q63" i="491"/>
  <c r="O63" i="491"/>
  <c r="N63" i="491"/>
  <c r="M63" i="491"/>
  <c r="G63" i="491"/>
  <c r="F63" i="491"/>
  <c r="C63" i="491"/>
  <c r="HR62" i="491"/>
  <c r="HQ62" i="491"/>
  <c r="HP62" i="491"/>
  <c r="HO62" i="491"/>
  <c r="HN62" i="491"/>
  <c r="HM62" i="491"/>
  <c r="HL62" i="491"/>
  <c r="HK62" i="491"/>
  <c r="HJ62" i="491"/>
  <c r="HI62" i="491"/>
  <c r="HH62" i="491"/>
  <c r="HG62" i="491"/>
  <c r="HF62" i="491"/>
  <c r="HE62" i="491"/>
  <c r="HD62" i="491"/>
  <c r="HC62" i="491"/>
  <c r="HB62" i="491"/>
  <c r="HA62" i="491"/>
  <c r="GZ62" i="491"/>
  <c r="GY62" i="491"/>
  <c r="GX62" i="491"/>
  <c r="GW62" i="491"/>
  <c r="GV62" i="491"/>
  <c r="GU62" i="491"/>
  <c r="GT62" i="491"/>
  <c r="GS62" i="491"/>
  <c r="GR62" i="491"/>
  <c r="GQ62" i="491"/>
  <c r="GP62" i="491"/>
  <c r="GO62" i="491"/>
  <c r="GN62" i="491"/>
  <c r="GM62" i="491"/>
  <c r="GL62" i="491"/>
  <c r="GK62" i="491"/>
  <c r="GJ62" i="491"/>
  <c r="GI62" i="491"/>
  <c r="GH62" i="491"/>
  <c r="GG62" i="491"/>
  <c r="GF62" i="491"/>
  <c r="GE62" i="491"/>
  <c r="GD62" i="491"/>
  <c r="GC62" i="491"/>
  <c r="GB62" i="491"/>
  <c r="GA62" i="491"/>
  <c r="FZ62" i="491"/>
  <c r="FY62" i="491"/>
  <c r="FX62" i="491"/>
  <c r="FW62" i="491"/>
  <c r="FV62" i="491"/>
  <c r="FU62" i="491"/>
  <c r="FT62" i="491"/>
  <c r="FS62" i="491"/>
  <c r="FR62" i="491"/>
  <c r="FQ62" i="491"/>
  <c r="FP62" i="491"/>
  <c r="FO62" i="491"/>
  <c r="FN62" i="491"/>
  <c r="FM62" i="491"/>
  <c r="FL62" i="491"/>
  <c r="FK62" i="491"/>
  <c r="FJ62" i="491"/>
  <c r="FI62" i="491"/>
  <c r="FH62" i="491"/>
  <c r="FG62" i="491"/>
  <c r="FF62" i="491"/>
  <c r="FE62" i="491"/>
  <c r="FD62" i="491"/>
  <c r="FC62" i="491"/>
  <c r="FB62" i="491"/>
  <c r="FA62" i="491"/>
  <c r="EZ62" i="491"/>
  <c r="EY62" i="491"/>
  <c r="EX62" i="491"/>
  <c r="EW62" i="491"/>
  <c r="EV62" i="491"/>
  <c r="EU62" i="491"/>
  <c r="ET62" i="491"/>
  <c r="ES62" i="491"/>
  <c r="ER62" i="491"/>
  <c r="EQ62" i="491"/>
  <c r="EP62" i="491"/>
  <c r="EO62" i="491"/>
  <c r="EN62" i="491"/>
  <c r="EM62" i="491"/>
  <c r="EL62" i="491"/>
  <c r="EK62" i="491"/>
  <c r="EJ62" i="491"/>
  <c r="EI62" i="491"/>
  <c r="EH62" i="491"/>
  <c r="EG62" i="491"/>
  <c r="EF62" i="491"/>
  <c r="EE62" i="491"/>
  <c r="ED62" i="491"/>
  <c r="EC62" i="491"/>
  <c r="EB62" i="491"/>
  <c r="EA62" i="491"/>
  <c r="DZ62" i="491"/>
  <c r="DY62" i="491"/>
  <c r="DX62" i="491"/>
  <c r="DW62" i="491"/>
  <c r="DT62" i="491"/>
  <c r="DS62" i="491"/>
  <c r="DR62" i="491"/>
  <c r="DQ62" i="491"/>
  <c r="DP62" i="491"/>
  <c r="DO62" i="491"/>
  <c r="DN62" i="491"/>
  <c r="DM62" i="491"/>
  <c r="DL62" i="491"/>
  <c r="DK62" i="491"/>
  <c r="DJ62" i="491"/>
  <c r="DI62" i="491"/>
  <c r="DH62" i="491"/>
  <c r="DG62" i="491"/>
  <c r="DF62" i="491"/>
  <c r="DE62" i="491"/>
  <c r="DD62" i="491"/>
  <c r="DC62" i="491"/>
  <c r="DB62" i="491"/>
  <c r="DA62" i="491"/>
  <c r="CZ62" i="491"/>
  <c r="CY62" i="491"/>
  <c r="CX62" i="491"/>
  <c r="CW62" i="491"/>
  <c r="CV62" i="491"/>
  <c r="CU62" i="491"/>
  <c r="CT62" i="491"/>
  <c r="CS62" i="491"/>
  <c r="CR62" i="491"/>
  <c r="CQ62" i="491"/>
  <c r="CP62" i="491"/>
  <c r="CO62" i="491"/>
  <c r="CN62" i="491"/>
  <c r="CM62" i="491"/>
  <c r="CL62" i="491"/>
  <c r="CK62" i="491"/>
  <c r="CJ62" i="491"/>
  <c r="CI62" i="491"/>
  <c r="CH62" i="491"/>
  <c r="CG62" i="491"/>
  <c r="CF62" i="491"/>
  <c r="CE62" i="491"/>
  <c r="CD62" i="491"/>
  <c r="CC62" i="491"/>
  <c r="CB62" i="491"/>
  <c r="CA62" i="491"/>
  <c r="BZ62" i="491"/>
  <c r="BY62" i="491"/>
  <c r="BX62" i="491"/>
  <c r="BW62" i="491"/>
  <c r="BV62" i="491"/>
  <c r="BU62" i="491"/>
  <c r="BT62" i="491"/>
  <c r="BS62" i="491"/>
  <c r="BR62" i="491"/>
  <c r="BQ62" i="491"/>
  <c r="BP62" i="491"/>
  <c r="BO62" i="491"/>
  <c r="BN62" i="491"/>
  <c r="BM62" i="491"/>
  <c r="BL62" i="491"/>
  <c r="BK62" i="491"/>
  <c r="BJ62" i="491"/>
  <c r="BI62" i="491"/>
  <c r="BH62" i="491"/>
  <c r="BG62" i="491"/>
  <c r="BF62" i="491"/>
  <c r="BE62" i="491"/>
  <c r="BD62" i="491"/>
  <c r="BC62" i="491"/>
  <c r="BB62" i="491"/>
  <c r="BA62" i="491"/>
  <c r="AZ62" i="491"/>
  <c r="AY62" i="491"/>
  <c r="AX62" i="491"/>
  <c r="AW62" i="491"/>
  <c r="AV62" i="491"/>
  <c r="AU62" i="491"/>
  <c r="AT62" i="491"/>
  <c r="AS62" i="491"/>
  <c r="AR62" i="491"/>
  <c r="AQ62" i="491"/>
  <c r="AP62" i="491"/>
  <c r="AO62" i="491"/>
  <c r="AN62" i="491"/>
  <c r="AM62" i="491"/>
  <c r="AL62" i="491"/>
  <c r="AK62" i="491"/>
  <c r="AJ62" i="491"/>
  <c r="AI62" i="491"/>
  <c r="AH62" i="491"/>
  <c r="AG62" i="491"/>
  <c r="AF62" i="491"/>
  <c r="AE62" i="491"/>
  <c r="AD62" i="491"/>
  <c r="AC62" i="491"/>
  <c r="AB62" i="491"/>
  <c r="AA62" i="491"/>
  <c r="Z62" i="491"/>
  <c r="Y62" i="491"/>
  <c r="T62" i="491"/>
  <c r="U62" i="491" s="1"/>
  <c r="Q62" i="491"/>
  <c r="O62" i="491"/>
  <c r="N62" i="491"/>
  <c r="M62" i="491"/>
  <c r="G62" i="491"/>
  <c r="F62" i="491"/>
  <c r="C62" i="491"/>
  <c r="HR61" i="491"/>
  <c r="HQ61" i="491"/>
  <c r="HP61" i="491"/>
  <c r="HO61" i="491"/>
  <c r="HN61" i="491"/>
  <c r="HM61" i="491"/>
  <c r="HL61" i="491"/>
  <c r="HK61" i="491"/>
  <c r="HJ61" i="491"/>
  <c r="HI61" i="491"/>
  <c r="HH61" i="491"/>
  <c r="HG61" i="491"/>
  <c r="HF61" i="491"/>
  <c r="HE61" i="491"/>
  <c r="HD61" i="491"/>
  <c r="HC61" i="491"/>
  <c r="HB61" i="491"/>
  <c r="HA61" i="491"/>
  <c r="GZ61" i="491"/>
  <c r="GY61" i="491"/>
  <c r="GX61" i="491"/>
  <c r="GW61" i="491"/>
  <c r="GV61" i="491"/>
  <c r="GU61" i="491"/>
  <c r="GT61" i="491"/>
  <c r="GS61" i="491"/>
  <c r="GR61" i="491"/>
  <c r="GQ61" i="491"/>
  <c r="GP61" i="491"/>
  <c r="GO61" i="491"/>
  <c r="GN61" i="491"/>
  <c r="GM61" i="491"/>
  <c r="GL61" i="491"/>
  <c r="GK61" i="491"/>
  <c r="GJ61" i="491"/>
  <c r="GI61" i="491"/>
  <c r="GH61" i="491"/>
  <c r="GG61" i="491"/>
  <c r="GF61" i="491"/>
  <c r="GE61" i="491"/>
  <c r="GD61" i="491"/>
  <c r="GC61" i="491"/>
  <c r="GB61" i="491"/>
  <c r="GA61" i="491"/>
  <c r="FZ61" i="491"/>
  <c r="FY61" i="491"/>
  <c r="FX61" i="491"/>
  <c r="FW61" i="491"/>
  <c r="FV61" i="491"/>
  <c r="FU61" i="491"/>
  <c r="FT61" i="491"/>
  <c r="FS61" i="491"/>
  <c r="FR61" i="491"/>
  <c r="FQ61" i="491"/>
  <c r="FP61" i="491"/>
  <c r="FO61" i="491"/>
  <c r="FN61" i="491"/>
  <c r="FM61" i="491"/>
  <c r="FL61" i="491"/>
  <c r="FK61" i="491"/>
  <c r="FJ61" i="491"/>
  <c r="FI61" i="491"/>
  <c r="FH61" i="491"/>
  <c r="FG61" i="491"/>
  <c r="FF61" i="491"/>
  <c r="FE61" i="491"/>
  <c r="FD61" i="491"/>
  <c r="FC61" i="491"/>
  <c r="FB61" i="491"/>
  <c r="FA61" i="491"/>
  <c r="EZ61" i="491"/>
  <c r="EY61" i="491"/>
  <c r="EX61" i="491"/>
  <c r="EW61" i="491"/>
  <c r="EV61" i="491"/>
  <c r="EU61" i="491"/>
  <c r="ET61" i="491"/>
  <c r="ES61" i="491"/>
  <c r="ER61" i="491"/>
  <c r="EQ61" i="491"/>
  <c r="EP61" i="491"/>
  <c r="EO61" i="491"/>
  <c r="EN61" i="491"/>
  <c r="EM61" i="491"/>
  <c r="EL61" i="491"/>
  <c r="EK61" i="491"/>
  <c r="EJ61" i="491"/>
  <c r="EI61" i="491"/>
  <c r="EH61" i="491"/>
  <c r="EG61" i="491"/>
  <c r="EF61" i="491"/>
  <c r="EE61" i="491"/>
  <c r="ED61" i="491"/>
  <c r="EC61" i="491"/>
  <c r="EB61" i="491"/>
  <c r="EA61" i="491"/>
  <c r="DZ61" i="491"/>
  <c r="DY61" i="491"/>
  <c r="DX61" i="491"/>
  <c r="DW61" i="491"/>
  <c r="DT61" i="491"/>
  <c r="DS61" i="491"/>
  <c r="DR61" i="491"/>
  <c r="DQ61" i="491"/>
  <c r="DP61" i="491"/>
  <c r="DO61" i="491"/>
  <c r="DN61" i="491"/>
  <c r="DM61" i="491"/>
  <c r="DL61" i="491"/>
  <c r="DK61" i="491"/>
  <c r="DJ61" i="491"/>
  <c r="DI61" i="491"/>
  <c r="DH61" i="491"/>
  <c r="DG61" i="491"/>
  <c r="DF61" i="491"/>
  <c r="DE61" i="491"/>
  <c r="DD61" i="491"/>
  <c r="DC61" i="491"/>
  <c r="DB61" i="491"/>
  <c r="DA61" i="491"/>
  <c r="CZ61" i="491"/>
  <c r="CY61" i="491"/>
  <c r="CX61" i="491"/>
  <c r="CW61" i="491"/>
  <c r="CV61" i="491"/>
  <c r="CU61" i="491"/>
  <c r="CT61" i="491"/>
  <c r="CS61" i="491"/>
  <c r="CR61" i="491"/>
  <c r="CQ61" i="491"/>
  <c r="CP61" i="491"/>
  <c r="CO61" i="491"/>
  <c r="CN61" i="491"/>
  <c r="CM61" i="491"/>
  <c r="CL61" i="491"/>
  <c r="CK61" i="491"/>
  <c r="CJ61" i="491"/>
  <c r="CI61" i="491"/>
  <c r="CH61" i="491"/>
  <c r="CG61" i="491"/>
  <c r="CF61" i="491"/>
  <c r="CE61" i="491"/>
  <c r="CD61" i="491"/>
  <c r="CC61" i="491"/>
  <c r="CB61" i="491"/>
  <c r="CA61" i="491"/>
  <c r="BZ61" i="491"/>
  <c r="BY61" i="491"/>
  <c r="BX61" i="491"/>
  <c r="BW61" i="491"/>
  <c r="BV61" i="491"/>
  <c r="BU61" i="491"/>
  <c r="BT61" i="491"/>
  <c r="BS61" i="491"/>
  <c r="BR61" i="491"/>
  <c r="BQ61" i="491"/>
  <c r="BP61" i="491"/>
  <c r="BO61" i="491"/>
  <c r="BN61" i="491"/>
  <c r="BM61" i="491"/>
  <c r="BL61" i="491"/>
  <c r="BK61" i="491"/>
  <c r="BJ61" i="491"/>
  <c r="BI61" i="491"/>
  <c r="BH61" i="491"/>
  <c r="BG61" i="491"/>
  <c r="BF61" i="491"/>
  <c r="BE61" i="491"/>
  <c r="BD61" i="491"/>
  <c r="BC61" i="491"/>
  <c r="BB61" i="491"/>
  <c r="BA61" i="491"/>
  <c r="AZ61" i="491"/>
  <c r="AY61" i="491"/>
  <c r="AX61" i="491"/>
  <c r="AW61" i="491"/>
  <c r="AV61" i="491"/>
  <c r="AU61" i="491"/>
  <c r="AT61" i="491"/>
  <c r="AS61" i="491"/>
  <c r="AR61" i="491"/>
  <c r="AQ61" i="491"/>
  <c r="AP61" i="491"/>
  <c r="AO61" i="491"/>
  <c r="AN61" i="491"/>
  <c r="AM61" i="491"/>
  <c r="AL61" i="491"/>
  <c r="AK61" i="491"/>
  <c r="AJ61" i="491"/>
  <c r="AI61" i="491"/>
  <c r="AH61" i="491"/>
  <c r="AG61" i="491"/>
  <c r="AF61" i="491"/>
  <c r="AE61" i="491"/>
  <c r="AD61" i="491"/>
  <c r="AC61" i="491"/>
  <c r="AB61" i="491"/>
  <c r="AA61" i="491"/>
  <c r="Z61" i="491"/>
  <c r="Y61" i="491"/>
  <c r="T61" i="491"/>
  <c r="U61" i="491" s="1"/>
  <c r="Q61" i="491"/>
  <c r="O61" i="491"/>
  <c r="N61" i="491"/>
  <c r="M61" i="491"/>
  <c r="G61" i="491"/>
  <c r="F61" i="491"/>
  <c r="C61" i="491"/>
  <c r="HR60" i="491"/>
  <c r="HQ60" i="491"/>
  <c r="HP60" i="491"/>
  <c r="HO60" i="491"/>
  <c r="HN60" i="491"/>
  <c r="HM60" i="491"/>
  <c r="HL60" i="491"/>
  <c r="HK60" i="491"/>
  <c r="HJ60" i="491"/>
  <c r="HI60" i="491"/>
  <c r="HH60" i="491"/>
  <c r="HG60" i="491"/>
  <c r="HF60" i="491"/>
  <c r="HE60" i="491"/>
  <c r="HD60" i="491"/>
  <c r="HC60" i="491"/>
  <c r="HB60" i="491"/>
  <c r="HA60" i="491"/>
  <c r="GZ60" i="491"/>
  <c r="GY60" i="491"/>
  <c r="GX60" i="491"/>
  <c r="GW60" i="491"/>
  <c r="GV60" i="491"/>
  <c r="GU60" i="491"/>
  <c r="GT60" i="491"/>
  <c r="GS60" i="491"/>
  <c r="GR60" i="491"/>
  <c r="GQ60" i="491"/>
  <c r="GP60" i="491"/>
  <c r="GO60" i="491"/>
  <c r="GN60" i="491"/>
  <c r="GM60" i="491"/>
  <c r="GL60" i="491"/>
  <c r="GK60" i="491"/>
  <c r="GJ60" i="491"/>
  <c r="GI60" i="491"/>
  <c r="GH60" i="491"/>
  <c r="GG60" i="491"/>
  <c r="GF60" i="491"/>
  <c r="GE60" i="491"/>
  <c r="GD60" i="491"/>
  <c r="GC60" i="491"/>
  <c r="GB60" i="491"/>
  <c r="GA60" i="491"/>
  <c r="FZ60" i="491"/>
  <c r="FY60" i="491"/>
  <c r="FX60" i="491"/>
  <c r="FW60" i="491"/>
  <c r="FV60" i="491"/>
  <c r="FU60" i="491"/>
  <c r="FT60" i="491"/>
  <c r="FS60" i="491"/>
  <c r="FR60" i="491"/>
  <c r="FQ60" i="491"/>
  <c r="FP60" i="491"/>
  <c r="FO60" i="491"/>
  <c r="FN60" i="491"/>
  <c r="FM60" i="491"/>
  <c r="FL60" i="491"/>
  <c r="FK60" i="491"/>
  <c r="FJ60" i="491"/>
  <c r="FI60" i="491"/>
  <c r="FH60" i="491"/>
  <c r="FG60" i="491"/>
  <c r="FF60" i="491"/>
  <c r="FE60" i="491"/>
  <c r="FD60" i="491"/>
  <c r="FC60" i="491"/>
  <c r="FB60" i="491"/>
  <c r="FA60" i="491"/>
  <c r="EZ60" i="491"/>
  <c r="EY60" i="491"/>
  <c r="EX60" i="491"/>
  <c r="EW60" i="491"/>
  <c r="EV60" i="491"/>
  <c r="EU60" i="491"/>
  <c r="ET60" i="491"/>
  <c r="ES60" i="491"/>
  <c r="ER60" i="491"/>
  <c r="EQ60" i="491"/>
  <c r="EP60" i="491"/>
  <c r="EO60" i="491"/>
  <c r="EN60" i="491"/>
  <c r="EM60" i="491"/>
  <c r="EL60" i="491"/>
  <c r="EK60" i="491"/>
  <c r="EJ60" i="491"/>
  <c r="EI60" i="491"/>
  <c r="EH60" i="491"/>
  <c r="EG60" i="491"/>
  <c r="EF60" i="491"/>
  <c r="EE60" i="491"/>
  <c r="ED60" i="491"/>
  <c r="EC60" i="491"/>
  <c r="EB60" i="491"/>
  <c r="EA60" i="491"/>
  <c r="DZ60" i="491"/>
  <c r="DY60" i="491"/>
  <c r="DX60" i="491"/>
  <c r="DW60" i="491"/>
  <c r="DT60" i="491"/>
  <c r="DS60" i="491"/>
  <c r="DR60" i="491"/>
  <c r="DQ60" i="491"/>
  <c r="DP60" i="491"/>
  <c r="DO60" i="491"/>
  <c r="DN60" i="491"/>
  <c r="DM60" i="491"/>
  <c r="DL60" i="491"/>
  <c r="DK60" i="491"/>
  <c r="DJ60" i="491"/>
  <c r="DI60" i="491"/>
  <c r="DH60" i="491"/>
  <c r="DG60" i="491"/>
  <c r="DF60" i="491"/>
  <c r="DE60" i="491"/>
  <c r="DD60" i="491"/>
  <c r="DC60" i="491"/>
  <c r="DB60" i="491"/>
  <c r="DA60" i="491"/>
  <c r="CZ60" i="491"/>
  <c r="CY60" i="491"/>
  <c r="CX60" i="491"/>
  <c r="CW60" i="491"/>
  <c r="CV60" i="491"/>
  <c r="CU60" i="491"/>
  <c r="CT60" i="491"/>
  <c r="CS60" i="491"/>
  <c r="CR60" i="491"/>
  <c r="CQ60" i="491"/>
  <c r="CP60" i="491"/>
  <c r="CO60" i="491"/>
  <c r="CN60" i="491"/>
  <c r="CM60" i="491"/>
  <c r="CL60" i="491"/>
  <c r="CK60" i="491"/>
  <c r="CJ60" i="491"/>
  <c r="CI60" i="491"/>
  <c r="CH60" i="491"/>
  <c r="CG60" i="491"/>
  <c r="CF60" i="491"/>
  <c r="CE60" i="491"/>
  <c r="CD60" i="491"/>
  <c r="CC60" i="491"/>
  <c r="CB60" i="491"/>
  <c r="CA60" i="491"/>
  <c r="BZ60" i="491"/>
  <c r="BY60" i="491"/>
  <c r="BX60" i="491"/>
  <c r="BW60" i="491"/>
  <c r="BV60" i="491"/>
  <c r="BU60" i="491"/>
  <c r="BT60" i="491"/>
  <c r="BS60" i="491"/>
  <c r="BR60" i="491"/>
  <c r="BQ60" i="491"/>
  <c r="BP60" i="491"/>
  <c r="BO60" i="491"/>
  <c r="BN60" i="491"/>
  <c r="BM60" i="491"/>
  <c r="BL60" i="491"/>
  <c r="BK60" i="491"/>
  <c r="BJ60" i="491"/>
  <c r="BI60" i="491"/>
  <c r="BH60" i="491"/>
  <c r="BG60" i="491"/>
  <c r="BF60" i="491"/>
  <c r="BE60" i="491"/>
  <c r="BD60" i="491"/>
  <c r="BC60" i="491"/>
  <c r="BB60" i="491"/>
  <c r="BA60" i="491"/>
  <c r="AZ60" i="491"/>
  <c r="AY60" i="491"/>
  <c r="AX60" i="491"/>
  <c r="AW60" i="491"/>
  <c r="AV60" i="491"/>
  <c r="AU60" i="491"/>
  <c r="AT60" i="491"/>
  <c r="AS60" i="491"/>
  <c r="AR60" i="491"/>
  <c r="AQ60" i="491"/>
  <c r="AP60" i="491"/>
  <c r="AO60" i="491"/>
  <c r="AN60" i="491"/>
  <c r="AM60" i="491"/>
  <c r="AL60" i="491"/>
  <c r="AK60" i="491"/>
  <c r="AJ60" i="491"/>
  <c r="AI60" i="491"/>
  <c r="AH60" i="491"/>
  <c r="AG60" i="491"/>
  <c r="AF60" i="491"/>
  <c r="AE60" i="491"/>
  <c r="AD60" i="491"/>
  <c r="AC60" i="491"/>
  <c r="AB60" i="491"/>
  <c r="AA60" i="491"/>
  <c r="Z60" i="491"/>
  <c r="Y60" i="491"/>
  <c r="T60" i="491"/>
  <c r="U60" i="491" s="1"/>
  <c r="Q60" i="491"/>
  <c r="O60" i="491"/>
  <c r="N60" i="491"/>
  <c r="M60" i="491"/>
  <c r="G60" i="491"/>
  <c r="F60" i="491"/>
  <c r="C60" i="491"/>
  <c r="HR59" i="491"/>
  <c r="HQ59" i="491"/>
  <c r="HP59" i="491"/>
  <c r="HO59" i="491"/>
  <c r="HN59" i="491"/>
  <c r="HM59" i="491"/>
  <c r="HL59" i="491"/>
  <c r="HK59" i="491"/>
  <c r="HJ59" i="491"/>
  <c r="HI59" i="491"/>
  <c r="HH59" i="491"/>
  <c r="HG59" i="491"/>
  <c r="HF59" i="491"/>
  <c r="HE59" i="491"/>
  <c r="HD59" i="491"/>
  <c r="HC59" i="491"/>
  <c r="HB59" i="491"/>
  <c r="HA59" i="491"/>
  <c r="GZ59" i="491"/>
  <c r="GY59" i="491"/>
  <c r="GX59" i="491"/>
  <c r="GW59" i="491"/>
  <c r="GV59" i="491"/>
  <c r="GU59" i="491"/>
  <c r="GT59" i="491"/>
  <c r="GR59" i="491"/>
  <c r="GQ59" i="491"/>
  <c r="GP59" i="491"/>
  <c r="GO59" i="491"/>
  <c r="GN59" i="491"/>
  <c r="GM59" i="491"/>
  <c r="GL59" i="491"/>
  <c r="GK59" i="491"/>
  <c r="GJ59" i="491"/>
  <c r="GI59" i="491"/>
  <c r="GH59" i="491"/>
  <c r="GG59" i="491"/>
  <c r="GF59" i="491"/>
  <c r="GE59" i="491"/>
  <c r="GD59" i="491"/>
  <c r="GC59" i="491"/>
  <c r="GB59" i="491"/>
  <c r="GA59" i="491"/>
  <c r="FZ59" i="491"/>
  <c r="FY59" i="491"/>
  <c r="FX59" i="491"/>
  <c r="FW59" i="491"/>
  <c r="FV59" i="491"/>
  <c r="FU59" i="491"/>
  <c r="FT59" i="491"/>
  <c r="FS59" i="491"/>
  <c r="FR59" i="491"/>
  <c r="FQ59" i="491"/>
  <c r="FP59" i="491"/>
  <c r="FO59" i="491"/>
  <c r="FN59" i="491"/>
  <c r="FM59" i="491"/>
  <c r="FL59" i="491"/>
  <c r="FK59" i="491"/>
  <c r="FJ59" i="491"/>
  <c r="FI59" i="491"/>
  <c r="FH59" i="491"/>
  <c r="FG59" i="491"/>
  <c r="FF59" i="491"/>
  <c r="FE59" i="491"/>
  <c r="FD59" i="491"/>
  <c r="FC59" i="491"/>
  <c r="FB59" i="491"/>
  <c r="FA59" i="491"/>
  <c r="EZ59" i="491"/>
  <c r="EY59" i="491"/>
  <c r="EX59" i="491"/>
  <c r="EW59" i="491"/>
  <c r="EV59" i="491"/>
  <c r="EU59" i="491"/>
  <c r="ET59" i="491"/>
  <c r="ES59" i="491"/>
  <c r="ER59" i="491"/>
  <c r="EQ59" i="491"/>
  <c r="EP59" i="491"/>
  <c r="EO59" i="491"/>
  <c r="EN59" i="491"/>
  <c r="EM59" i="491"/>
  <c r="EL59" i="491"/>
  <c r="EK59" i="491"/>
  <c r="EJ59" i="491"/>
  <c r="EI59" i="491"/>
  <c r="EH59" i="491"/>
  <c r="EG59" i="491"/>
  <c r="EF59" i="491"/>
  <c r="EE59" i="491"/>
  <c r="ED59" i="491"/>
  <c r="EC59" i="491"/>
  <c r="EB59" i="491"/>
  <c r="EA59" i="491"/>
  <c r="DZ59" i="491"/>
  <c r="DY59" i="491"/>
  <c r="DX59" i="491"/>
  <c r="DW59" i="491"/>
  <c r="DT59" i="491"/>
  <c r="DS59" i="491"/>
  <c r="DR59" i="491"/>
  <c r="DQ59" i="491"/>
  <c r="DP59" i="491"/>
  <c r="DO59" i="491"/>
  <c r="DN59" i="491"/>
  <c r="DM59" i="491"/>
  <c r="DL59" i="491"/>
  <c r="DK59" i="491"/>
  <c r="DJ59" i="491"/>
  <c r="DI59" i="491"/>
  <c r="DH59" i="491"/>
  <c r="DG59" i="491"/>
  <c r="DF59" i="491"/>
  <c r="DE59" i="491"/>
  <c r="DD59" i="491"/>
  <c r="DC59" i="491"/>
  <c r="DB59" i="491"/>
  <c r="DA59" i="491"/>
  <c r="CZ59" i="491"/>
  <c r="CY59" i="491"/>
  <c r="CX59" i="491"/>
  <c r="CW59" i="491"/>
  <c r="CV59" i="491"/>
  <c r="CT59" i="491"/>
  <c r="CS59" i="491"/>
  <c r="CR59" i="491"/>
  <c r="CQ59" i="491"/>
  <c r="CP59" i="491"/>
  <c r="CO59" i="491"/>
  <c r="CN59" i="491"/>
  <c r="CM59" i="491"/>
  <c r="CL59" i="491"/>
  <c r="CK59" i="491"/>
  <c r="CJ59" i="491"/>
  <c r="CI59" i="491"/>
  <c r="CH59" i="491"/>
  <c r="CG59" i="491"/>
  <c r="CF59" i="491"/>
  <c r="CE59" i="491"/>
  <c r="CD59" i="491"/>
  <c r="CC59" i="491"/>
  <c r="CB59" i="491"/>
  <c r="CA59" i="491"/>
  <c r="BZ59" i="491"/>
  <c r="BY59" i="491"/>
  <c r="BX59" i="491"/>
  <c r="BW59" i="491"/>
  <c r="BV59" i="491"/>
  <c r="BU59" i="491"/>
  <c r="BT59" i="491"/>
  <c r="BS59" i="491"/>
  <c r="BR59" i="491"/>
  <c r="BQ59" i="491"/>
  <c r="BP59" i="491"/>
  <c r="BO59" i="491"/>
  <c r="BN59" i="491"/>
  <c r="BM59" i="491"/>
  <c r="BL59" i="491"/>
  <c r="BK59" i="491"/>
  <c r="BJ59" i="491"/>
  <c r="BI59" i="491"/>
  <c r="BH59" i="491"/>
  <c r="BG59" i="491"/>
  <c r="BF59" i="491"/>
  <c r="BE59" i="491"/>
  <c r="BD59" i="491"/>
  <c r="BC59" i="491"/>
  <c r="BB59" i="491"/>
  <c r="BA59" i="491"/>
  <c r="AZ59" i="491"/>
  <c r="AY59" i="491"/>
  <c r="AX59" i="491"/>
  <c r="AW59" i="491"/>
  <c r="AV59" i="491"/>
  <c r="AU59" i="491"/>
  <c r="AT59" i="491"/>
  <c r="AS59" i="491"/>
  <c r="AR59" i="491"/>
  <c r="AQ59" i="491"/>
  <c r="AP59" i="491"/>
  <c r="AO59" i="491"/>
  <c r="AN59" i="491"/>
  <c r="AM59" i="491"/>
  <c r="AL59" i="491"/>
  <c r="AK59" i="491"/>
  <c r="AJ59" i="491"/>
  <c r="AI59" i="491"/>
  <c r="AH59" i="491"/>
  <c r="AG59" i="491"/>
  <c r="AF59" i="491"/>
  <c r="AE59" i="491"/>
  <c r="AD59" i="491"/>
  <c r="AC59" i="491"/>
  <c r="AB59" i="491"/>
  <c r="AA59" i="491"/>
  <c r="Z59" i="491"/>
  <c r="Y59" i="491"/>
  <c r="T59" i="491"/>
  <c r="U59" i="491" s="1"/>
  <c r="CU59" i="491" s="1"/>
  <c r="N59" i="491"/>
  <c r="G59" i="491"/>
  <c r="C59" i="491"/>
  <c r="HR58" i="491"/>
  <c r="HQ58" i="491"/>
  <c r="HP58" i="491"/>
  <c r="HO58" i="491"/>
  <c r="HN58" i="491"/>
  <c r="HM58" i="491"/>
  <c r="HL58" i="491"/>
  <c r="HK58" i="491"/>
  <c r="HJ58" i="491"/>
  <c r="HI58" i="491"/>
  <c r="HH58" i="491"/>
  <c r="HG58" i="491"/>
  <c r="HF58" i="491"/>
  <c r="HE58" i="491"/>
  <c r="HD58" i="491"/>
  <c r="HC58" i="491"/>
  <c r="HB58" i="491"/>
  <c r="HA58" i="491"/>
  <c r="GZ58" i="491"/>
  <c r="GY58" i="491"/>
  <c r="GX58" i="491"/>
  <c r="GW58" i="491"/>
  <c r="GV58" i="491"/>
  <c r="GU58" i="491"/>
  <c r="GT58" i="491"/>
  <c r="GS58" i="491"/>
  <c r="GR58" i="491"/>
  <c r="GQ58" i="491"/>
  <c r="GP58" i="491"/>
  <c r="GO58" i="491"/>
  <c r="GN58" i="491"/>
  <c r="GM58" i="491"/>
  <c r="GL58" i="491"/>
  <c r="GK58" i="491"/>
  <c r="GJ58" i="491"/>
  <c r="GI58" i="491"/>
  <c r="GH58" i="491"/>
  <c r="GG58" i="491"/>
  <c r="GF58" i="491"/>
  <c r="GE58" i="491"/>
  <c r="GD58" i="491"/>
  <c r="GC58" i="491"/>
  <c r="GB58" i="491"/>
  <c r="GA58" i="491"/>
  <c r="FZ58" i="491"/>
  <c r="FY58" i="491"/>
  <c r="FX58" i="491"/>
  <c r="FW58" i="491"/>
  <c r="FV58" i="491"/>
  <c r="FU58" i="491"/>
  <c r="FT58" i="491"/>
  <c r="FS58" i="491"/>
  <c r="FR58" i="491"/>
  <c r="FQ58" i="491"/>
  <c r="FP58" i="491"/>
  <c r="FO58" i="491"/>
  <c r="FN58" i="491"/>
  <c r="FM58" i="491"/>
  <c r="FL58" i="491"/>
  <c r="FK58" i="491"/>
  <c r="FJ58" i="491"/>
  <c r="FI58" i="491"/>
  <c r="FH58" i="491"/>
  <c r="FG58" i="491"/>
  <c r="FF58" i="491"/>
  <c r="FE58" i="491"/>
  <c r="FD58" i="491"/>
  <c r="FC58" i="491"/>
  <c r="FB58" i="491"/>
  <c r="FA58" i="491"/>
  <c r="EZ58" i="491"/>
  <c r="EY58" i="491"/>
  <c r="EX58" i="491"/>
  <c r="EW58" i="491"/>
  <c r="EV58" i="491"/>
  <c r="EU58" i="491"/>
  <c r="ET58" i="491"/>
  <c r="ES58" i="491"/>
  <c r="ER58" i="491"/>
  <c r="EQ58" i="491"/>
  <c r="EP58" i="491"/>
  <c r="EO58" i="491"/>
  <c r="EN58" i="491"/>
  <c r="EM58" i="491"/>
  <c r="EL58" i="491"/>
  <c r="EK58" i="491"/>
  <c r="EJ58" i="491"/>
  <c r="EI58" i="491"/>
  <c r="EH58" i="491"/>
  <c r="EG58" i="491"/>
  <c r="EF58" i="491"/>
  <c r="EE58" i="491"/>
  <c r="ED58" i="491"/>
  <c r="EC58" i="491"/>
  <c r="EB58" i="491"/>
  <c r="EA58" i="491"/>
  <c r="DZ58" i="491"/>
  <c r="DY58" i="491"/>
  <c r="DX58" i="491"/>
  <c r="DW58" i="491"/>
  <c r="DT58" i="491"/>
  <c r="DS58" i="491"/>
  <c r="DR58" i="491"/>
  <c r="DQ58" i="491"/>
  <c r="DP58" i="491"/>
  <c r="DO58" i="491"/>
  <c r="DN58" i="491"/>
  <c r="DM58" i="491"/>
  <c r="DL58" i="491"/>
  <c r="DK58" i="491"/>
  <c r="DJ58" i="491"/>
  <c r="DI58" i="491"/>
  <c r="DH58" i="491"/>
  <c r="DG58" i="491"/>
  <c r="DF58" i="491"/>
  <c r="DE58" i="491"/>
  <c r="DD58" i="491"/>
  <c r="DC58" i="491"/>
  <c r="DB58" i="491"/>
  <c r="DA58" i="491"/>
  <c r="CZ58" i="491"/>
  <c r="CY58" i="491"/>
  <c r="CX58" i="491"/>
  <c r="CW58" i="491"/>
  <c r="CV58" i="491"/>
  <c r="CU58" i="491"/>
  <c r="CT58" i="491"/>
  <c r="CS58" i="491"/>
  <c r="CR58" i="491"/>
  <c r="CQ58" i="491"/>
  <c r="CP58" i="491"/>
  <c r="CO58" i="491"/>
  <c r="CN58" i="491"/>
  <c r="CM58" i="491"/>
  <c r="CL58" i="491"/>
  <c r="CK58" i="491"/>
  <c r="CJ58" i="491"/>
  <c r="CI58" i="491"/>
  <c r="CH58" i="491"/>
  <c r="CG58" i="491"/>
  <c r="CF58" i="491"/>
  <c r="CE58" i="491"/>
  <c r="CD58" i="491"/>
  <c r="CC58" i="491"/>
  <c r="CB58" i="491"/>
  <c r="CA58" i="491"/>
  <c r="BZ58" i="491"/>
  <c r="BY58" i="491"/>
  <c r="BX58" i="491"/>
  <c r="BW58" i="491"/>
  <c r="BV58" i="491"/>
  <c r="BU58" i="491"/>
  <c r="BT58" i="491"/>
  <c r="BS58" i="491"/>
  <c r="BR58" i="491"/>
  <c r="BQ58" i="491"/>
  <c r="BP58" i="491"/>
  <c r="BO58" i="491"/>
  <c r="BN58" i="491"/>
  <c r="BM58" i="491"/>
  <c r="BL58" i="491"/>
  <c r="BK58" i="491"/>
  <c r="BJ58" i="491"/>
  <c r="BI58" i="491"/>
  <c r="BH58" i="491"/>
  <c r="BG58" i="491"/>
  <c r="BF58" i="491"/>
  <c r="BE58" i="491"/>
  <c r="BD58" i="491"/>
  <c r="BC58" i="491"/>
  <c r="BB58" i="491"/>
  <c r="BA58" i="491"/>
  <c r="AZ58" i="491"/>
  <c r="AY58" i="491"/>
  <c r="AX58" i="491"/>
  <c r="AW58" i="491"/>
  <c r="AV58" i="491"/>
  <c r="AU58" i="491"/>
  <c r="AT58" i="491"/>
  <c r="AS58" i="491"/>
  <c r="AR58" i="491"/>
  <c r="AQ58" i="491"/>
  <c r="AP58" i="491"/>
  <c r="AO58" i="491"/>
  <c r="AN58" i="491"/>
  <c r="AM58" i="491"/>
  <c r="AL58" i="491"/>
  <c r="AK58" i="491"/>
  <c r="AJ58" i="491"/>
  <c r="AI58" i="491"/>
  <c r="AH58" i="491"/>
  <c r="AG58" i="491"/>
  <c r="AF58" i="491"/>
  <c r="AE58" i="491"/>
  <c r="AD58" i="491"/>
  <c r="AC58" i="491"/>
  <c r="AB58" i="491"/>
  <c r="AA58" i="491"/>
  <c r="Z58" i="491"/>
  <c r="Y58" i="491"/>
  <c r="T58" i="491"/>
  <c r="U58" i="491" s="1"/>
  <c r="Q58" i="491"/>
  <c r="O58" i="491"/>
  <c r="N58" i="491"/>
  <c r="M58" i="491"/>
  <c r="G58" i="491"/>
  <c r="F58" i="491"/>
  <c r="C58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W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Y52" i="491"/>
  <c r="T52" i="491"/>
  <c r="U52" i="491" s="1"/>
  <c r="R52" i="491"/>
  <c r="Q52" i="491"/>
  <c r="O52" i="491"/>
  <c r="N52" i="491"/>
  <c r="M52" i="491"/>
  <c r="G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W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R51" i="491"/>
  <c r="Q51" i="491"/>
  <c r="O51" i="491"/>
  <c r="N51" i="491"/>
  <c r="M51" i="491"/>
  <c r="G51" i="491"/>
  <c r="C51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T47" i="491"/>
  <c r="U47" i="491" s="1"/>
  <c r="Y47" i="491" s="1"/>
  <c r="R47" i="491"/>
  <c r="N47" i="491"/>
  <c r="M47" i="49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R46" i="491"/>
  <c r="Q46" i="491"/>
  <c r="O46" i="491"/>
  <c r="DW46" i="491" s="1"/>
  <c r="N46" i="491"/>
  <c r="M46" i="491"/>
  <c r="G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T45" i="491"/>
  <c r="U45" i="491" s="1"/>
  <c r="Y45" i="491" s="1"/>
  <c r="R45" i="491"/>
  <c r="Q45" i="491"/>
  <c r="O45" i="491"/>
  <c r="DW45" i="491" s="1"/>
  <c r="N45" i="491"/>
  <c r="M45" i="491"/>
  <c r="G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S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U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T44" i="491"/>
  <c r="U44" i="491" s="1"/>
  <c r="CG44" i="491" s="1"/>
  <c r="N44" i="491"/>
  <c r="M44" i="491"/>
  <c r="G44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W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Y43" i="491"/>
  <c r="T43" i="491"/>
  <c r="U43" i="491" s="1"/>
  <c r="R43" i="491"/>
  <c r="Q43" i="491"/>
  <c r="O43" i="491"/>
  <c r="N43" i="491"/>
  <c r="M43" i="491"/>
  <c r="G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W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Y42" i="491"/>
  <c r="T42" i="491"/>
  <c r="U42" i="491" s="1"/>
  <c r="CF42" i="491" s="1"/>
  <c r="R42" i="491"/>
  <c r="N42" i="491"/>
  <c r="G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W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CF41" i="491" s="1"/>
  <c r="Q41" i="491"/>
  <c r="O41" i="491"/>
  <c r="GD41" i="491" s="1"/>
  <c r="N41" i="491"/>
  <c r="M41" i="491"/>
  <c r="G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W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Y34" i="491"/>
  <c r="T34" i="491"/>
  <c r="U34" i="491" s="1"/>
  <c r="R34" i="491"/>
  <c r="Q34" i="491"/>
  <c r="O34" i="49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W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Y33" i="491"/>
  <c r="T33" i="491"/>
  <c r="U33" i="491" s="1"/>
  <c r="R33" i="491"/>
  <c r="Q33" i="491"/>
  <c r="O33" i="491"/>
  <c r="N33" i="491"/>
  <c r="M33" i="491"/>
  <c r="G33" i="491"/>
  <c r="C33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T29" i="491"/>
  <c r="R29" i="491"/>
  <c r="Q29" i="491"/>
  <c r="N29" i="491"/>
  <c r="O29" i="491" s="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T28" i="491"/>
  <c r="U28" i="491" s="1"/>
  <c r="Y28" i="491" s="1"/>
  <c r="R28" i="491"/>
  <c r="Q28" i="491"/>
  <c r="N28" i="491"/>
  <c r="M28" i="491"/>
  <c r="O28" i="491" s="1"/>
  <c r="DW28" i="491" s="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T26" i="491"/>
  <c r="U26" i="491" s="1"/>
  <c r="Y26" i="491" s="1"/>
  <c r="R26" i="491"/>
  <c r="Q26" i="491"/>
  <c r="O26" i="491"/>
  <c r="DW26" i="491" s="1"/>
  <c r="N26" i="491"/>
  <c r="M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T25" i="491"/>
  <c r="U25" i="491" s="1"/>
  <c r="Y25" i="491" s="1"/>
  <c r="R25" i="491"/>
  <c r="N25" i="49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Y24" i="491"/>
  <c r="T24" i="491"/>
  <c r="U24" i="491" s="1"/>
  <c r="Z24" i="491" s="1"/>
  <c r="Q24" i="491"/>
  <c r="N24" i="491"/>
  <c r="M24" i="49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T23" i="491"/>
  <c r="U23" i="491" s="1"/>
  <c r="Y23" i="491" s="1"/>
  <c r="R23" i="491"/>
  <c r="Q23" i="491"/>
  <c r="N23" i="491"/>
  <c r="O23" i="491" s="1"/>
  <c r="DW23" i="491" s="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T22" i="491"/>
  <c r="U22" i="491" s="1"/>
  <c r="Y22" i="491" s="1"/>
  <c r="R22" i="491"/>
  <c r="Q22" i="491"/>
  <c r="O22" i="491"/>
  <c r="DW22" i="491" s="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T21" i="491"/>
  <c r="U21" i="491" s="1"/>
  <c r="Y21" i="491" s="1"/>
  <c r="R21" i="491"/>
  <c r="N21" i="491"/>
  <c r="M21" i="49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T20" i="491"/>
  <c r="U20" i="491" s="1"/>
  <c r="Y20" i="491" s="1"/>
  <c r="R20" i="491"/>
  <c r="Q20" i="491"/>
  <c r="N20" i="491"/>
  <c r="M20" i="491"/>
  <c r="O20" i="491" s="1"/>
  <c r="DW20" i="491" s="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R19" i="491"/>
  <c r="Q19" i="491"/>
  <c r="N19" i="491"/>
  <c r="M19" i="49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T18" i="491"/>
  <c r="R18" i="491"/>
  <c r="Q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O15" i="491"/>
  <c r="DW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25" i="491" l="1"/>
  <c r="DX25" i="491" s="1"/>
  <c r="O47" i="491"/>
  <c r="DW47" i="491" s="1"/>
  <c r="O44" i="491"/>
  <c r="GE44" i="491" s="1"/>
  <c r="CG47" i="491"/>
  <c r="Z25" i="491"/>
  <c r="O24" i="491"/>
  <c r="DW24" i="491" s="1"/>
  <c r="O21" i="491"/>
  <c r="DW21" i="491" s="1"/>
  <c r="O19" i="491"/>
  <c r="DW19" i="491" s="1"/>
  <c r="O18" i="491"/>
  <c r="DW18" i="491" s="1"/>
  <c r="Y44" i="491"/>
  <c r="DW44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U29" i="491"/>
  <c r="Y29" i="491" s="1"/>
  <c r="DW29" i="491"/>
  <c r="GE47" i="491" l="1"/>
  <c r="GE13" i="491" s="1"/>
  <c r="Q44" i="491"/>
  <c r="Q47" i="491"/>
  <c r="DX24" i="491"/>
  <c r="DX13" i="491" s="1"/>
  <c r="U18" i="491"/>
  <c r="Y18" i="491" s="1"/>
  <c r="U19" i="491"/>
  <c r="Y19" i="491" s="1"/>
  <c r="Z13" i="491"/>
  <c r="Y13" i="491" l="1"/>
  <c r="DW13" i="491" s="1"/>
  <c r="Q21" i="491" s="1"/>
  <c r="R15" i="491" s="1"/>
  <c r="Q25" i="491"/>
  <c r="R17" i="491"/>
  <c r="R16" i="491" l="1"/>
  <c r="Q36" i="491"/>
  <c r="M59" i="491" s="1"/>
  <c r="O59" i="491" s="1"/>
  <c r="GS59" i="491" s="1"/>
  <c r="GS13" i="491" s="1"/>
  <c r="Q59" i="491" s="1"/>
  <c r="Q66" i="491" s="1"/>
  <c r="R24" i="491"/>
  <c r="M42" i="491" l="1"/>
  <c r="O42" i="491" s="1"/>
  <c r="GD42" i="491" s="1"/>
  <c r="GD13" i="491" s="1"/>
  <c r="Q42" i="491" s="1"/>
  <c r="Q54" i="491" s="1"/>
  <c r="Q68" i="491" s="1"/>
  <c r="F59" i="491"/>
  <c r="R36" i="491"/>
  <c r="R44" i="491"/>
  <c r="R41" i="491"/>
  <c r="R54" i="491" l="1"/>
</calcChain>
</file>

<file path=xl/sharedStrings.xml><?xml version="1.0" encoding="utf-8"?>
<sst xmlns="http://schemas.openxmlformats.org/spreadsheetml/2006/main" count="55" uniqueCount="47">
  <si>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</si>
  <si>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</si>
  <si>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</si>
  <si>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</si>
  <si>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</si>
  <si>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</si>
  <si>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</si>
  <si>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</si>
  <si>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</si>
  <si>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</si>
  <si>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</si>
  <si>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</si>
  <si>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</si>
  <si>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</si>
  <si>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</si>
  <si>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</si>
  <si>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</si>
  <si>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</si>
  <si>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</si>
  <si>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</si>
  <si>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</si>
  <si>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</si>
  <si>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</si>
  <si>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</si>
  <si>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</si>
  <si>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</si>
  <si>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ID-1200</t>
  </si>
  <si>
    <t>TLAJOMULCO</t>
  </si>
  <si>
    <t>22/06/26</t>
  </si>
  <si>
    <t>28/06/26</t>
  </si>
  <si>
    <t>BANQUETA EXTERIOR NORTE</t>
  </si>
  <si>
    <t>los12</t>
  </si>
  <si>
    <t>rep02</t>
  </si>
  <si>
    <t>GENERALES</t>
  </si>
  <si>
    <t>lote10</t>
  </si>
  <si>
    <t>Limpieza, acarreos y traspaleos de</t>
  </si>
  <si>
    <t>escombro.</t>
  </si>
  <si>
    <t>lote</t>
  </si>
  <si>
    <t>1/2 domingo trabajado</t>
  </si>
  <si>
    <t>PERSONAL POR EL DIA - GENERALES</t>
  </si>
  <si>
    <t>Limpieza general de obra, retirar</t>
  </si>
  <si>
    <t>escombro, acarreo de basura, chatarra,</t>
  </si>
  <si>
    <t>traspaleos de tierra</t>
  </si>
  <si>
    <t>destaj</t>
  </si>
  <si>
    <t>RESID</t>
  </si>
  <si>
    <t>Supervision personal Watts</t>
  </si>
  <si>
    <t>1/2 Domingo trabajado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</si>
</sst>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9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2" fillId="0" borderId="31" xfId="0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2" fillId="0" borderId="64" xfId="0" applyFont="1" applyBorder="1" applyProtection="1"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601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6" bestFit="1" customWidth="1"/>
    <col min="2" max="2" width="3.5546875" style="146" bestFit="1" customWidth="1"/>
    <col min="3" max="3" width="0.44140625" customWidth="1"/>
    <col min="4" max="4" width="2.44140625" style="146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25" width="5.109375" bestFit="1" customWidth="1"/>
    <col min="26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8" width="6.33203125" bestFit="1" customWidth="1"/>
    <col min="129" max="135" width="1.5546875" bestFit="1" customWidth="1"/>
    <col min="136" max="185" width="2.33203125" bestFit="1" customWidth="1"/>
    <col min="186" max="186" width="5.109375" bestFit="1" customWidth="1"/>
    <col min="187" max="187" width="7.109375" bestFit="1" customWidth="1"/>
    <col min="188" max="200" width="2.33203125" bestFit="1" customWidth="1"/>
    <col min="201" max="201" width="6.3320312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1" t="s">
        <v>0</v>
      </c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3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4"/>
      <c r="B2" s="155"/>
      <c r="C2" s="156"/>
      <c r="D2" s="4"/>
      <c r="E2" s="157" t="s">
        <v>21</v>
      </c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9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7" t="s">
        <v>22</v>
      </c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115" t="str">
        <f>LEFT(D6,2)</f>
        <v>ID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1200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60" t="s">
        <v>2</v>
      </c>
      <c r="B6" s="161"/>
      <c r="C6" s="162"/>
      <c r="D6" s="169" t="s">
        <v>26</v>
      </c>
      <c r="E6" s="169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1" t="s">
        <v>25</v>
      </c>
      <c r="Q6" s="172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3"/>
      <c r="B7" s="164"/>
      <c r="C7" s="165"/>
      <c r="D7" s="173" t="str">
        <f>VLOOKUP($D$6,[1]OB!$A$2:$I$5052,4,FALSE)</f>
        <v>CRUCE DE VÍAS, DEMOLICIÓN DE CRUCE VIEJO DE CASETA 1</v>
      </c>
      <c r="E7" s="174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6" t="s">
        <v>24</v>
      </c>
      <c r="Q7" s="177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6"/>
      <c r="B8" s="167"/>
      <c r="C8" s="168"/>
      <c r="D8" s="150" t="s">
        <v>27</v>
      </c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>SUM(Y14:Y64)</f>
        <v>573.77261042253531</v>
      </c>
      <c r="Z13" s="57">
        <f>SUM(Z14:Z64)</f>
        <v>0</v>
      </c>
      <c r="AA13" s="57">
        <f>SUM(AA14:AA64)</f>
        <v>0</v>
      </c>
      <c r="AB13" s="57">
        <f>SUM(AB14:AB64)</f>
        <v>0</v>
      </c>
      <c r="AC13" s="57">
        <f>SUM(AC14:AC64)</f>
        <v>0</v>
      </c>
      <c r="AD13" s="57">
        <f>SUM(AD14:AD64)</f>
        <v>0</v>
      </c>
      <c r="AE13" s="57">
        <f>SUM(AE14:AE64)</f>
        <v>0</v>
      </c>
      <c r="AF13" s="57">
        <f>SUM(AF14:AF64)</f>
        <v>0</v>
      </c>
      <c r="AG13" s="57">
        <f>SUM(AG14:AG64)</f>
        <v>0</v>
      </c>
      <c r="AH13" s="57">
        <f>SUM(AH14:AH64)</f>
        <v>0</v>
      </c>
      <c r="AI13" s="57">
        <f>SUM(AI14:AI64)</f>
        <v>0</v>
      </c>
      <c r="AJ13" s="57">
        <f>SUM(AJ14:AJ64)</f>
        <v>0</v>
      </c>
      <c r="AK13" s="57">
        <f>SUM(AK14:AK64)</f>
        <v>0</v>
      </c>
      <c r="AL13" s="57">
        <f>SUM(AL14:AL64)</f>
        <v>0</v>
      </c>
      <c r="AM13" s="57">
        <f>SUM(AM14:AM64)</f>
        <v>0</v>
      </c>
      <c r="AN13" s="57">
        <f>SUM(AN14:AN64)</f>
        <v>0</v>
      </c>
      <c r="AO13" s="57">
        <f>SUM(AO14:AO64)</f>
        <v>0</v>
      </c>
      <c r="AP13" s="57">
        <f>SUM(AP14:AP64)</f>
        <v>0</v>
      </c>
      <c r="AQ13" s="57">
        <f>SUM(AQ14:AQ64)</f>
        <v>0</v>
      </c>
      <c r="AR13" s="57">
        <f>SUM(AR14:AR64)</f>
        <v>0</v>
      </c>
      <c r="AS13" s="57">
        <f>SUM(AS14:AS64)</f>
        <v>0</v>
      </c>
      <c r="AT13" s="57">
        <f>SUM(AT14:AT64)</f>
        <v>0</v>
      </c>
      <c r="AU13" s="57">
        <f>SUM(AU14:AU64)</f>
        <v>0</v>
      </c>
      <c r="AV13" s="57">
        <f>SUM(AV14:AV64)</f>
        <v>0</v>
      </c>
      <c r="AW13" s="57">
        <f>SUM(AW14:AW64)</f>
        <v>0</v>
      </c>
      <c r="AX13" s="57">
        <f>SUM(AX14:AX64)</f>
        <v>0</v>
      </c>
      <c r="AY13" s="57">
        <f>SUM(AY14:AY64)</f>
        <v>0</v>
      </c>
      <c r="AZ13" s="57">
        <f>SUM(AZ14:AZ64)</f>
        <v>0</v>
      </c>
      <c r="BA13" s="57">
        <f>SUM(BA14:BA64)</f>
        <v>0</v>
      </c>
      <c r="BB13" s="57">
        <f>SUM(BB14:BB64)</f>
        <v>0</v>
      </c>
      <c r="BC13" s="57">
        <f>SUM(BC14:BC64)</f>
        <v>0</v>
      </c>
      <c r="BD13" s="57">
        <f>SUM(BD14:BD64)</f>
        <v>0</v>
      </c>
      <c r="BE13" s="57">
        <f>SUM(BE14:BE64)</f>
        <v>0</v>
      </c>
      <c r="BF13" s="57">
        <f>SUM(BF14:BF64)</f>
        <v>0</v>
      </c>
      <c r="BG13" s="57">
        <f>SUM(BG14:BG64)</f>
        <v>0</v>
      </c>
      <c r="BH13" s="57">
        <f>SUM(BH14:BH64)</f>
        <v>0</v>
      </c>
      <c r="BI13" s="57">
        <f>SUM(BI14:BI64)</f>
        <v>0</v>
      </c>
      <c r="BJ13" s="57">
        <f>SUM(BJ14:BJ64)</f>
        <v>0</v>
      </c>
      <c r="BK13" s="57">
        <f>SUM(BK14:BK64)</f>
        <v>0</v>
      </c>
      <c r="BL13" s="57">
        <f>SUM(BL14:BL64)</f>
        <v>0</v>
      </c>
      <c r="BM13" s="57">
        <f>SUM(BM14:BM64)</f>
        <v>0</v>
      </c>
      <c r="BN13" s="57">
        <f>SUM(BN14:BN64)</f>
        <v>0</v>
      </c>
      <c r="BO13" s="57">
        <f>SUM(BO14:BO64)</f>
        <v>0</v>
      </c>
      <c r="BP13" s="57">
        <f>SUM(BP14:BP64)</f>
        <v>0</v>
      </c>
      <c r="BQ13" s="57">
        <f>SUM(BQ14:BQ64)</f>
        <v>0</v>
      </c>
      <c r="BR13" s="57">
        <f>SUM(BR14:BR64)</f>
        <v>0</v>
      </c>
      <c r="BS13" s="57">
        <f>SUM(BS14:BS64)</f>
        <v>0</v>
      </c>
      <c r="BT13" s="57">
        <f>SUM(BT14:BT64)</f>
        <v>0</v>
      </c>
      <c r="BU13" s="57">
        <f>SUM(BU14:BU64)</f>
        <v>0</v>
      </c>
      <c r="BV13" s="57">
        <f>SUM(BV14:BV64)</f>
        <v>0</v>
      </c>
      <c r="BW13" s="57">
        <f>SUM(BW14:BW64)</f>
        <v>0</v>
      </c>
      <c r="BX13" s="57">
        <f>SUM(BX14:BX64)</f>
        <v>0</v>
      </c>
      <c r="BY13" s="57">
        <f>SUM(BY14:BY64)</f>
        <v>0</v>
      </c>
      <c r="BZ13" s="57">
        <f>SUM(BZ14:BZ64)</f>
        <v>0</v>
      </c>
      <c r="CA13" s="57">
        <f>SUM(CA14:CA64)</f>
        <v>0</v>
      </c>
      <c r="CB13" s="57">
        <f>SUM(CB14:CB64)</f>
        <v>0</v>
      </c>
      <c r="CC13" s="57">
        <f>SUM(CC14:CC64)</f>
        <v>0</v>
      </c>
      <c r="CD13" s="57">
        <f>SUM(CD14:CD64)</f>
        <v>0</v>
      </c>
      <c r="CE13" s="57">
        <f>SUM(CE14:CE64)</f>
        <v>0</v>
      </c>
      <c r="CF13" s="57">
        <f>SUM(CF14:CF64)</f>
        <v>0</v>
      </c>
      <c r="CG13" s="57">
        <f>SUM(CG14:CG64)</f>
        <v>0</v>
      </c>
      <c r="CH13" s="57">
        <f>SUM(CH14:CH64)</f>
        <v>0</v>
      </c>
      <c r="CI13" s="57">
        <f>SUM(CI14:CI64)</f>
        <v>0</v>
      </c>
      <c r="CJ13" s="57">
        <f>SUM(CJ14:CJ64)</f>
        <v>0</v>
      </c>
      <c r="CK13" s="57">
        <f>SUM(CK14:CK64)</f>
        <v>0</v>
      </c>
      <c r="CL13" s="57">
        <f>SUM(CL14:CL64)</f>
        <v>0</v>
      </c>
      <c r="CM13" s="57">
        <f>SUM(CM14:CM64)</f>
        <v>0</v>
      </c>
      <c r="CN13" s="57">
        <f>SUM(CN14:CN64)</f>
        <v>0</v>
      </c>
      <c r="CO13" s="57">
        <f>SUM(CO14:CO64)</f>
        <v>0</v>
      </c>
      <c r="CP13" s="57">
        <f>SUM(CP14:CP64)</f>
        <v>0</v>
      </c>
      <c r="CQ13" s="57">
        <f>SUM(CQ14:CQ64)</f>
        <v>0</v>
      </c>
      <c r="CR13" s="57">
        <f>SUM(CR14:CR64)</f>
        <v>0</v>
      </c>
      <c r="CS13" s="57">
        <f>SUM(CS14:CS64)</f>
        <v>0</v>
      </c>
      <c r="CT13" s="57">
        <f>SUM(CT14:CT64)</f>
        <v>0</v>
      </c>
      <c r="CU13" s="57">
        <f>SUM(CU14:CU64)</f>
        <v>0</v>
      </c>
      <c r="CV13" s="57">
        <f>SUM(CV14:CV64)</f>
        <v>0</v>
      </c>
      <c r="CW13" s="57">
        <f>SUM(CW14:CW64)</f>
        <v>0</v>
      </c>
      <c r="CX13" s="57">
        <f>SUM(CX14:CX64)</f>
        <v>0</v>
      </c>
      <c r="CY13" s="57">
        <f>SUM(CY14:CY64)</f>
        <v>0</v>
      </c>
      <c r="CZ13" s="57">
        <f>SUM(CZ14:CZ64)</f>
        <v>0</v>
      </c>
      <c r="DA13" s="57">
        <f>SUM(DA14:DA64)</f>
        <v>0</v>
      </c>
      <c r="DB13" s="57">
        <f>SUM(DB14:DB64)</f>
        <v>0</v>
      </c>
      <c r="DC13" s="57">
        <f>SUM(DC14:DC64)</f>
        <v>0</v>
      </c>
      <c r="DD13" s="57">
        <f>SUM(DD14:DD64)</f>
        <v>0</v>
      </c>
      <c r="DE13" s="57">
        <f>SUM(DE14:DE64)</f>
        <v>0</v>
      </c>
      <c r="DF13" s="57">
        <f>SUM(DF14:DF64)</f>
        <v>0</v>
      </c>
      <c r="DG13" s="57">
        <f>SUM(DG14:DG64)</f>
        <v>0</v>
      </c>
      <c r="DH13" s="57">
        <f>SUM(DH14:DH64)</f>
        <v>0</v>
      </c>
      <c r="DI13" s="57">
        <f>SUM(DI14:DI64)</f>
        <v>0</v>
      </c>
      <c r="DJ13" s="57">
        <f>SUM(DJ14:DJ64)</f>
        <v>0</v>
      </c>
      <c r="DK13" s="57">
        <f>SUM(DK14:DK64)</f>
        <v>0</v>
      </c>
      <c r="DL13" s="57">
        <f>SUM(DL14:DL64)</f>
        <v>0</v>
      </c>
      <c r="DM13" s="57">
        <f>SUM(DM14:DM64)</f>
        <v>0</v>
      </c>
      <c r="DN13" s="57">
        <f>SUM(DN14:DN64)</f>
        <v>0</v>
      </c>
      <c r="DO13" s="57">
        <f>SUM(DO14:DO64)</f>
        <v>0</v>
      </c>
      <c r="DP13" s="57">
        <f>SUM(DP14:DP64)</f>
        <v>0</v>
      </c>
      <c r="DQ13" s="57">
        <f>SUM(DQ14:DQ64)</f>
        <v>0</v>
      </c>
      <c r="DR13" s="57">
        <f>SUM(DR14:DR64)</f>
        <v>0</v>
      </c>
      <c r="DS13" s="57">
        <f>SUM(DS14:DS64)</f>
        <v>0</v>
      </c>
      <c r="DT13" s="109">
        <f>SUM(DT14:DT64)</f>
        <v>0</v>
      </c>
      <c r="DU13" s="54"/>
      <c r="DV13" s="58" t="s">
        <v>16</v>
      </c>
      <c r="DW13" s="56">
        <f>SUM(DW14:DW64)</f>
        <v>8087.7261042253522</v>
      </c>
      <c r="DX13" s="57">
        <f>SUM(DX14:DX64)</f>
        <v>4072.4</v>
      </c>
      <c r="DY13" s="57">
        <f>SUM(DY14:DY64)</f>
        <v>0</v>
      </c>
      <c r="DZ13" s="57">
        <f>SUM(DZ14:DZ64)</f>
        <v>0</v>
      </c>
      <c r="EA13" s="57">
        <f>SUM(EA14:EA64)</f>
        <v>0</v>
      </c>
      <c r="EB13" s="57">
        <f>SUM(EB14:EB64)</f>
        <v>0</v>
      </c>
      <c r="EC13" s="57">
        <f>SUM(EC14:EC64)</f>
        <v>0</v>
      </c>
      <c r="ED13" s="57">
        <f>SUM(ED14:ED64)</f>
        <v>0</v>
      </c>
      <c r="EE13" s="57">
        <f>SUM(EE14:EE64)</f>
        <v>0</v>
      </c>
      <c r="EF13" s="57">
        <f>SUM(EF14:EF64)</f>
        <v>0</v>
      </c>
      <c r="EG13" s="57">
        <f>SUM(EG14:EG64)</f>
        <v>0</v>
      </c>
      <c r="EH13" s="57">
        <f>SUM(EH14:EH64)</f>
        <v>0</v>
      </c>
      <c r="EI13" s="57">
        <f>SUM(EI14:EI64)</f>
        <v>0</v>
      </c>
      <c r="EJ13" s="57">
        <f>SUM(EJ14:EJ64)</f>
        <v>0</v>
      </c>
      <c r="EK13" s="57">
        <f>SUM(EK14:EK64)</f>
        <v>0</v>
      </c>
      <c r="EL13" s="57">
        <f>SUM(EL14:EL64)</f>
        <v>0</v>
      </c>
      <c r="EM13" s="57">
        <f>SUM(EM14:EM64)</f>
        <v>0</v>
      </c>
      <c r="EN13" s="57">
        <f>SUM(EN14:EN64)</f>
        <v>0</v>
      </c>
      <c r="EO13" s="57">
        <f>SUM(EO14:EO64)</f>
        <v>0</v>
      </c>
      <c r="EP13" s="57">
        <f>SUM(EP14:EP64)</f>
        <v>0</v>
      </c>
      <c r="EQ13" s="57">
        <f>SUM(EQ14:EQ64)</f>
        <v>0</v>
      </c>
      <c r="ER13" s="57">
        <f>SUM(ER14:ER64)</f>
        <v>0</v>
      </c>
      <c r="ES13" s="57">
        <f>SUM(ES14:ES64)</f>
        <v>0</v>
      </c>
      <c r="ET13" s="57">
        <f>SUM(ET14:ET64)</f>
        <v>0</v>
      </c>
      <c r="EU13" s="57">
        <f>SUM(EU14:EU64)</f>
        <v>0</v>
      </c>
      <c r="EV13" s="57">
        <f>SUM(EV14:EV64)</f>
        <v>0</v>
      </c>
      <c r="EW13" s="57">
        <f>SUM(EW14:EW64)</f>
        <v>0</v>
      </c>
      <c r="EX13" s="57">
        <f>SUM(EX14:EX64)</f>
        <v>0</v>
      </c>
      <c r="EY13" s="57">
        <f>SUM(EY14:EY64)</f>
        <v>0</v>
      </c>
      <c r="EZ13" s="57">
        <f>SUM(EZ14:EZ64)</f>
        <v>0</v>
      </c>
      <c r="FA13" s="57">
        <f>SUM(FA14:FA64)</f>
        <v>0</v>
      </c>
      <c r="FB13" s="57">
        <f>SUM(FB14:FB64)</f>
        <v>0</v>
      </c>
      <c r="FC13" s="57">
        <f>SUM(FC14:FC64)</f>
        <v>0</v>
      </c>
      <c r="FD13" s="57">
        <f>SUM(FD14:FD64)</f>
        <v>0</v>
      </c>
      <c r="FE13" s="57">
        <f>SUM(FE14:FE64)</f>
        <v>0</v>
      </c>
      <c r="FF13" s="57">
        <f>SUM(FF14:FF64)</f>
        <v>0</v>
      </c>
      <c r="FG13" s="57">
        <f>SUM(FG14:FG64)</f>
        <v>0</v>
      </c>
      <c r="FH13" s="57">
        <f>SUM(FH14:FH64)</f>
        <v>0</v>
      </c>
      <c r="FI13" s="57">
        <f>SUM(FI14:FI64)</f>
        <v>0</v>
      </c>
      <c r="FJ13" s="57">
        <f>SUM(FJ14:FJ64)</f>
        <v>0</v>
      </c>
      <c r="FK13" s="57">
        <f>SUM(FK14:FK64)</f>
        <v>0</v>
      </c>
      <c r="FL13" s="57">
        <f>SUM(FL14:FL64)</f>
        <v>0</v>
      </c>
      <c r="FM13" s="57">
        <f>SUM(FM14:FM64)</f>
        <v>0</v>
      </c>
      <c r="FN13" s="57">
        <f>SUM(FN14:FN64)</f>
        <v>0</v>
      </c>
      <c r="FO13" s="57">
        <f>SUM(FO14:FO64)</f>
        <v>0</v>
      </c>
      <c r="FP13" s="57">
        <f>SUM(FP14:FP64)</f>
        <v>0</v>
      </c>
      <c r="FQ13" s="57">
        <f>SUM(FQ14:FQ64)</f>
        <v>0</v>
      </c>
      <c r="FR13" s="57">
        <f>SUM(FR14:FR64)</f>
        <v>0</v>
      </c>
      <c r="FS13" s="57">
        <f>SUM(FS14:FS64)</f>
        <v>0</v>
      </c>
      <c r="FT13" s="57">
        <f>SUM(FT14:FT64)</f>
        <v>0</v>
      </c>
      <c r="FU13" s="57">
        <f>SUM(FU14:FU64)</f>
        <v>0</v>
      </c>
      <c r="FV13" s="57">
        <f>SUM(FV14:FV64)</f>
        <v>0</v>
      </c>
      <c r="FW13" s="57">
        <f>SUM(FW14:FW64)</f>
        <v>0</v>
      </c>
      <c r="FX13" s="57">
        <f>SUM(FX14:FX64)</f>
        <v>0</v>
      </c>
      <c r="FY13" s="57">
        <f>SUM(FY14:FY64)</f>
        <v>0</v>
      </c>
      <c r="FZ13" s="57">
        <f>SUM(FZ14:FZ64)</f>
        <v>0</v>
      </c>
      <c r="GA13" s="57">
        <f>SUM(GA14:GA64)</f>
        <v>0</v>
      </c>
      <c r="GB13" s="57">
        <f>SUM(GB14:GB64)</f>
        <v>0</v>
      </c>
      <c r="GC13" s="57">
        <f>SUM(GC14:GC64)</f>
        <v>0</v>
      </c>
      <c r="GD13" s="57">
        <f>SUM(GD14:GD64)</f>
        <v>486.4050441690141</v>
      </c>
      <c r="GE13" s="57">
        <f>SUM(GE14:GE64)</f>
        <v>11304.48</v>
      </c>
      <c r="GF13" s="57">
        <f>SUM(GF14:GF64)</f>
        <v>0</v>
      </c>
      <c r="GG13" s="57">
        <f>SUM(GG14:GG64)</f>
        <v>0</v>
      </c>
      <c r="GH13" s="57">
        <f>SUM(GH14:GH64)</f>
        <v>0</v>
      </c>
      <c r="GI13" s="57">
        <f>SUM(GI14:GI64)</f>
        <v>0</v>
      </c>
      <c r="GJ13" s="57">
        <f>SUM(GJ14:GJ64)</f>
        <v>0</v>
      </c>
      <c r="GK13" s="57">
        <f>SUM(GK14:GK64)</f>
        <v>0</v>
      </c>
      <c r="GL13" s="57">
        <f>SUM(GL14:GL64)</f>
        <v>0</v>
      </c>
      <c r="GM13" s="57">
        <f>SUM(GM14:GM64)</f>
        <v>0</v>
      </c>
      <c r="GN13" s="57">
        <f>SUM(GN14:GN64)</f>
        <v>0</v>
      </c>
      <c r="GO13" s="57">
        <f>SUM(GO14:GO64)</f>
        <v>0</v>
      </c>
      <c r="GP13" s="57">
        <f>SUM(GP14:GP64)</f>
        <v>0</v>
      </c>
      <c r="GQ13" s="57">
        <f>SUM(GQ14:GQ64)</f>
        <v>0</v>
      </c>
      <c r="GR13" s="57">
        <f>SUM(GR14:GR64)</f>
        <v>0</v>
      </c>
      <c r="GS13" s="57">
        <f>SUM(GS14:GS64)</f>
        <v>1459.2151325070422</v>
      </c>
      <c r="GT13" s="57">
        <f>SUM(GT14:GT64)</f>
        <v>0</v>
      </c>
      <c r="GU13" s="57">
        <f>SUM(GU14:GU64)</f>
        <v>0</v>
      </c>
      <c r="GV13" s="57">
        <f>SUM(GV14:GV64)</f>
        <v>0</v>
      </c>
      <c r="GW13" s="57">
        <f>SUM(GW14:GW64)</f>
        <v>0</v>
      </c>
      <c r="GX13" s="57">
        <f>SUM(GX14:GX64)</f>
        <v>0</v>
      </c>
      <c r="GY13" s="57">
        <f>SUM(GY14:GY64)</f>
        <v>0</v>
      </c>
      <c r="GZ13" s="57">
        <f>SUM(GZ14:GZ64)</f>
        <v>0</v>
      </c>
      <c r="HA13" s="57">
        <f>SUM(HA14:HA64)</f>
        <v>0</v>
      </c>
      <c r="HB13" s="57">
        <f>SUM(HB14:HB64)</f>
        <v>0</v>
      </c>
      <c r="HC13" s="57">
        <f>SUM(HC14:HC64)</f>
        <v>0</v>
      </c>
      <c r="HD13" s="57">
        <f>SUM(HD14:HD64)</f>
        <v>0</v>
      </c>
      <c r="HE13" s="57">
        <f>SUM(HE14:HE64)</f>
        <v>0</v>
      </c>
      <c r="HF13" s="57">
        <f>SUM(HF14:HF64)</f>
        <v>0</v>
      </c>
      <c r="HG13" s="57">
        <f>SUM(HG14:HG64)</f>
        <v>0</v>
      </c>
      <c r="HH13" s="57">
        <f>SUM(HH14:HH64)</f>
        <v>0</v>
      </c>
      <c r="HI13" s="57">
        <f>SUM(HI14:HI64)</f>
        <v>0</v>
      </c>
      <c r="HJ13" s="57">
        <f>SUM(HJ14:HJ64)</f>
        <v>0</v>
      </c>
      <c r="HK13" s="57">
        <f>SUM(HK14:HK64)</f>
        <v>0</v>
      </c>
      <c r="HL13" s="57">
        <f>SUM(HL14:HL64)</f>
        <v>0</v>
      </c>
      <c r="HM13" s="57">
        <f>SUM(HM14:HM64)</f>
        <v>0</v>
      </c>
      <c r="HN13" s="57">
        <f>SUM(HN14:HN64)</f>
        <v>0</v>
      </c>
      <c r="HO13" s="57">
        <f>SUM(HO14:HO64)</f>
        <v>0</v>
      </c>
      <c r="HP13" s="57">
        <f>SUM(HP14:HP64)</f>
        <v>0</v>
      </c>
      <c r="HQ13" s="57">
        <f>SUM(HQ14:HQ64)</f>
        <v>0</v>
      </c>
      <c r="HR13" s="109">
        <f>SUM(HR14:HR64)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34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34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RESIDENTE"),VLOOKUP(B14,P$14:Q$64,2),"")*S14)</f>
        <v/>
      </c>
      <c r="T14" s="53" t="str">
        <f>IF(A14=0,"",VLOOKUP(A14,[2]CO!$A$3:$F$5318,5,0))</f>
        <v/>
      </c>
      <c r="U14" s="54">
        <f t="shared" ref="U14:U34" si="2">IF(T14=1,O14*0.1,)</f>
        <v>0</v>
      </c>
      <c r="V14" s="24"/>
      <c r="Y14" s="62" t="str">
        <f t="shared" ref="Y14:CJ17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21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7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21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>
        <v>1201</v>
      </c>
      <c r="B15" s="145">
        <v>1</v>
      </c>
      <c r="C15" s="28" t="str">
        <f>IF(A15=0,"",VLOOKUP(A15,[2]CO!$A$3:$F$5327,2,0))</f>
        <v>FLORES OROPEZA ENRIQUE</v>
      </c>
      <c r="D15" s="149"/>
      <c r="E15" s="29"/>
      <c r="F15" s="29"/>
      <c r="G15" s="30" t="str">
        <f>IF(A15=0,"",VLOOKUP(A15,[2]CO!$A$3:$F$5327,3,0))</f>
        <v>OF</v>
      </c>
      <c r="H15" s="142"/>
      <c r="I15" s="143"/>
      <c r="J15" s="143"/>
      <c r="K15" s="143"/>
      <c r="L15" s="143"/>
      <c r="M15" s="32" t="str">
        <f t="shared" si="0"/>
        <v/>
      </c>
      <c r="N15" s="32">
        <f>IF(B15=0,"",IF(H15="M",HLOOKUP(B15,$Y$12:$DT$13,2),IF(A15=0,"",VLOOKUP(A15,[2]CO!$A$3:$F$5327,4,0))))</f>
        <v>638.79999999999995</v>
      </c>
      <c r="O15" s="32" t="str">
        <f t="shared" ref="O15:O64" si="7">IF(L15=0,"",PRODUCT(M15:N15))</f>
        <v/>
      </c>
      <c r="P15" s="33"/>
      <c r="Q15" s="34" t="str">
        <f t="shared" si="1"/>
        <v/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RESIDENTE"),VLOOKUP(B15,P$14:Q$64,2),"")*S15)</f>
        <v>4852.6356625352109</v>
      </c>
      <c r="S15" s="127">
        <v>0.6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6" t="str">
        <f t="shared" si="4"/>
        <v/>
      </c>
      <c r="DU15" s="54"/>
      <c r="DV15" s="25"/>
      <c r="DW15" s="61" t="str">
        <f t="shared" si="5"/>
        <v/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2" t="str">
        <f t="shared" si="6"/>
        <v/>
      </c>
    </row>
    <row r="16" spans="1:226" ht="11.1" customHeight="1" x14ac:dyDescent="0.25">
      <c r="A16" s="26">
        <v>1990</v>
      </c>
      <c r="B16" s="145">
        <v>1</v>
      </c>
      <c r="C16" s="28" t="str">
        <f>IF(A16=0,"",VLOOKUP(A16,[2]CO!$A$3:$F$5327,2,0))</f>
        <v>GUARDADO SÁNCHEZ MARTÍN</v>
      </c>
      <c r="D16" s="149"/>
      <c r="E16" s="29"/>
      <c r="F16" s="29"/>
      <c r="G16" s="30" t="str">
        <f>IF(A16=0,"",VLOOKUP(A16,[2]CO!$A$3:$F$5327,3,0))</f>
        <v>PEON</v>
      </c>
      <c r="H16" s="142"/>
      <c r="I16" s="143"/>
      <c r="J16" s="143"/>
      <c r="K16" s="143"/>
      <c r="L16" s="143"/>
      <c r="M16" s="32" t="str">
        <f t="shared" si="0"/>
        <v/>
      </c>
      <c r="N16" s="32">
        <f>IF(B16=0,"",IF(H16="M",HLOOKUP(B16,$Y$12:$DT$13,2),IF(A16=0,"",VLOOKUP(A16,[2]CO!$A$3:$F$5327,4,0))))</f>
        <v>354.88</v>
      </c>
      <c r="O16" s="32" t="str">
        <f t="shared" si="7"/>
        <v/>
      </c>
      <c r="P16" s="33"/>
      <c r="Q16" s="34" t="str">
        <f t="shared" si="1"/>
        <v/>
      </c>
      <c r="R16" s="35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RESIDENTE"),VLOOKUP(B16,P$14:Q$64,2),"")*S16)</f>
        <v>3235.0904416901412</v>
      </c>
      <c r="S16" s="127">
        <v>0.4</v>
      </c>
      <c r="T16" s="53">
        <f>IF(A16=0,"",VLOOKUP(A16,[2]CO!$A$3:$F$5318,5,0))</f>
        <v>0</v>
      </c>
      <c r="U16" s="54">
        <f t="shared" si="2"/>
        <v>0</v>
      </c>
      <c r="V16" s="24"/>
      <c r="W16" s="25"/>
      <c r="X16" s="25"/>
      <c r="Y16" s="64">
        <f t="shared" si="3"/>
        <v>0</v>
      </c>
      <c r="Z16" s="55" t="str">
        <f t="shared" si="3"/>
        <v/>
      </c>
      <c r="AA16" s="55" t="str">
        <f t="shared" si="3"/>
        <v/>
      </c>
      <c r="AB16" s="55" t="str">
        <f t="shared" si="3"/>
        <v/>
      </c>
      <c r="AC16" s="55" t="str">
        <f t="shared" si="3"/>
        <v/>
      </c>
      <c r="AD16" s="55" t="str">
        <f t="shared" si="3"/>
        <v/>
      </c>
      <c r="AE16" s="55" t="str">
        <f t="shared" si="3"/>
        <v/>
      </c>
      <c r="AF16" s="55" t="str">
        <f t="shared" si="3"/>
        <v/>
      </c>
      <c r="AG16" s="55" t="str">
        <f t="shared" si="3"/>
        <v/>
      </c>
      <c r="AH16" s="55" t="str">
        <f t="shared" si="3"/>
        <v/>
      </c>
      <c r="AI16" s="55" t="str">
        <f t="shared" si="3"/>
        <v/>
      </c>
      <c r="AJ16" s="55" t="str">
        <f t="shared" si="3"/>
        <v/>
      </c>
      <c r="AK16" s="55" t="str">
        <f t="shared" si="3"/>
        <v/>
      </c>
      <c r="AL16" s="55" t="str">
        <f t="shared" si="3"/>
        <v/>
      </c>
      <c r="AM16" s="55" t="str">
        <f t="shared" si="3"/>
        <v/>
      </c>
      <c r="AN16" s="55" t="str">
        <f t="shared" si="3"/>
        <v/>
      </c>
      <c r="AO16" s="55" t="str">
        <f t="shared" si="3"/>
        <v/>
      </c>
      <c r="AP16" s="55" t="str">
        <f t="shared" si="3"/>
        <v/>
      </c>
      <c r="AQ16" s="55" t="str">
        <f t="shared" si="3"/>
        <v/>
      </c>
      <c r="AR16" s="55" t="str">
        <f t="shared" si="3"/>
        <v/>
      </c>
      <c r="AS16" s="55" t="str">
        <f t="shared" si="3"/>
        <v/>
      </c>
      <c r="AT16" s="55" t="str">
        <f t="shared" si="3"/>
        <v/>
      </c>
      <c r="AU16" s="55" t="str">
        <f t="shared" si="3"/>
        <v/>
      </c>
      <c r="AV16" s="55" t="str">
        <f t="shared" si="3"/>
        <v/>
      </c>
      <c r="AW16" s="55" t="str">
        <f t="shared" si="3"/>
        <v/>
      </c>
      <c r="AX16" s="55" t="str">
        <f t="shared" si="3"/>
        <v/>
      </c>
      <c r="AY16" s="55" t="str">
        <f t="shared" si="3"/>
        <v/>
      </c>
      <c r="AZ16" s="55" t="str">
        <f t="shared" si="3"/>
        <v/>
      </c>
      <c r="BA16" s="55" t="str">
        <f t="shared" si="3"/>
        <v/>
      </c>
      <c r="BB16" s="55" t="str">
        <f t="shared" si="3"/>
        <v/>
      </c>
      <c r="BC16" s="55" t="str">
        <f t="shared" si="3"/>
        <v/>
      </c>
      <c r="BD16" s="55" t="str">
        <f t="shared" si="3"/>
        <v/>
      </c>
      <c r="BE16" s="55" t="str">
        <f t="shared" si="3"/>
        <v/>
      </c>
      <c r="BF16" s="55" t="str">
        <f t="shared" si="3"/>
        <v/>
      </c>
      <c r="BG16" s="55" t="str">
        <f t="shared" si="3"/>
        <v/>
      </c>
      <c r="BH16" s="55" t="str">
        <f t="shared" si="3"/>
        <v/>
      </c>
      <c r="BI16" s="55" t="str">
        <f t="shared" si="3"/>
        <v/>
      </c>
      <c r="BJ16" s="55" t="str">
        <f t="shared" si="3"/>
        <v/>
      </c>
      <c r="BK16" s="55" t="str">
        <f t="shared" si="3"/>
        <v/>
      </c>
      <c r="BL16" s="55" t="str">
        <f t="shared" si="3"/>
        <v/>
      </c>
      <c r="BM16" s="55" t="str">
        <f t="shared" si="3"/>
        <v/>
      </c>
      <c r="BN16" s="55" t="str">
        <f t="shared" si="3"/>
        <v/>
      </c>
      <c r="BO16" s="55" t="str">
        <f t="shared" si="3"/>
        <v/>
      </c>
      <c r="BP16" s="55" t="str">
        <f t="shared" si="3"/>
        <v/>
      </c>
      <c r="BQ16" s="55" t="str">
        <f t="shared" si="3"/>
        <v/>
      </c>
      <c r="BR16" s="55" t="str">
        <f t="shared" si="3"/>
        <v/>
      </c>
      <c r="BS16" s="55" t="str">
        <f t="shared" si="3"/>
        <v/>
      </c>
      <c r="BT16" s="55" t="str">
        <f t="shared" si="3"/>
        <v/>
      </c>
      <c r="BU16" s="55" t="str">
        <f t="shared" si="3"/>
        <v/>
      </c>
      <c r="BV16" s="55" t="str">
        <f t="shared" si="3"/>
        <v/>
      </c>
      <c r="BW16" s="55" t="str">
        <f t="shared" si="3"/>
        <v/>
      </c>
      <c r="BX16" s="55" t="str">
        <f t="shared" si="3"/>
        <v/>
      </c>
      <c r="BY16" s="55" t="str">
        <f t="shared" si="3"/>
        <v/>
      </c>
      <c r="BZ16" s="55" t="str">
        <f t="shared" si="3"/>
        <v/>
      </c>
      <c r="CA16" s="55" t="str">
        <f t="shared" si="3"/>
        <v/>
      </c>
      <c r="CB16" s="55" t="str">
        <f t="shared" si="3"/>
        <v/>
      </c>
      <c r="CC16" s="55" t="str">
        <f t="shared" si="3"/>
        <v/>
      </c>
      <c r="CD16" s="55" t="str">
        <f t="shared" si="3"/>
        <v/>
      </c>
      <c r="CE16" s="55" t="str">
        <f t="shared" si="3"/>
        <v/>
      </c>
      <c r="CF16" s="55" t="str">
        <f t="shared" si="3"/>
        <v/>
      </c>
      <c r="CG16" s="55" t="str">
        <f t="shared" si="3"/>
        <v/>
      </c>
      <c r="CH16" s="55" t="str">
        <f t="shared" si="3"/>
        <v/>
      </c>
      <c r="CI16" s="55" t="str">
        <f t="shared" si="3"/>
        <v/>
      </c>
      <c r="CJ16" s="55" t="str">
        <f t="shared" si="3"/>
        <v/>
      </c>
      <c r="CK16" s="55" t="str">
        <f t="shared" si="4"/>
        <v/>
      </c>
      <c r="CL16" s="55" t="str">
        <f t="shared" si="4"/>
        <v/>
      </c>
      <c r="CM16" s="55" t="str">
        <f t="shared" si="4"/>
        <v/>
      </c>
      <c r="CN16" s="55" t="str">
        <f t="shared" si="4"/>
        <v/>
      </c>
      <c r="CO16" s="55" t="str">
        <f t="shared" si="4"/>
        <v/>
      </c>
      <c r="CP16" s="55" t="str">
        <f t="shared" si="4"/>
        <v/>
      </c>
      <c r="CQ16" s="55" t="str">
        <f t="shared" si="4"/>
        <v/>
      </c>
      <c r="CR16" s="55" t="str">
        <f t="shared" si="4"/>
        <v/>
      </c>
      <c r="CS16" s="55" t="str">
        <f t="shared" si="4"/>
        <v/>
      </c>
      <c r="CT16" s="55" t="str">
        <f t="shared" si="4"/>
        <v/>
      </c>
      <c r="CU16" s="55" t="str">
        <f t="shared" si="4"/>
        <v/>
      </c>
      <c r="CV16" s="55" t="str">
        <f t="shared" si="4"/>
        <v/>
      </c>
      <c r="CW16" s="55" t="str">
        <f t="shared" si="4"/>
        <v/>
      </c>
      <c r="CX16" s="55" t="str">
        <f t="shared" si="4"/>
        <v/>
      </c>
      <c r="CY16" s="55" t="str">
        <f t="shared" si="4"/>
        <v/>
      </c>
      <c r="CZ16" s="55" t="str">
        <f t="shared" si="4"/>
        <v/>
      </c>
      <c r="DA16" s="55" t="str">
        <f t="shared" si="4"/>
        <v/>
      </c>
      <c r="DB16" s="55" t="str">
        <f t="shared" si="4"/>
        <v/>
      </c>
      <c r="DC16" s="55" t="str">
        <f t="shared" si="4"/>
        <v/>
      </c>
      <c r="DD16" s="55" t="str">
        <f t="shared" si="4"/>
        <v/>
      </c>
      <c r="DE16" s="55" t="str">
        <f t="shared" si="4"/>
        <v/>
      </c>
      <c r="DF16" s="55" t="str">
        <f t="shared" si="4"/>
        <v/>
      </c>
      <c r="DG16" s="55" t="str">
        <f t="shared" si="4"/>
        <v/>
      </c>
      <c r="DH16" s="55" t="str">
        <f t="shared" si="4"/>
        <v/>
      </c>
      <c r="DI16" s="55" t="str">
        <f t="shared" si="4"/>
        <v/>
      </c>
      <c r="DJ16" s="55" t="str">
        <f t="shared" si="4"/>
        <v/>
      </c>
      <c r="DK16" s="55" t="str">
        <f t="shared" si="4"/>
        <v/>
      </c>
      <c r="DL16" s="55" t="str">
        <f t="shared" si="4"/>
        <v/>
      </c>
      <c r="DM16" s="55" t="str">
        <f t="shared" si="4"/>
        <v/>
      </c>
      <c r="DN16" s="55" t="str">
        <f t="shared" si="4"/>
        <v/>
      </c>
      <c r="DO16" s="55" t="str">
        <f t="shared" si="4"/>
        <v/>
      </c>
      <c r="DP16" s="55" t="str">
        <f t="shared" si="4"/>
        <v/>
      </c>
      <c r="DQ16" s="55" t="str">
        <f t="shared" si="4"/>
        <v/>
      </c>
      <c r="DR16" s="55" t="str">
        <f t="shared" si="4"/>
        <v/>
      </c>
      <c r="DS16" s="55" t="str">
        <f t="shared" si="4"/>
        <v/>
      </c>
      <c r="DT16" s="106" t="str">
        <f t="shared" si="4"/>
        <v/>
      </c>
      <c r="DU16" s="54"/>
      <c r="DV16" s="25"/>
      <c r="DW16" s="61" t="str">
        <f t="shared" si="5"/>
        <v/>
      </c>
      <c r="DX16" s="50" t="str">
        <f t="shared" si="5"/>
        <v/>
      </c>
      <c r="DY16" s="50" t="str">
        <f t="shared" si="5"/>
        <v/>
      </c>
      <c r="DZ16" s="50" t="str">
        <f t="shared" si="5"/>
        <v/>
      </c>
      <c r="EA16" s="50" t="str">
        <f t="shared" si="5"/>
        <v/>
      </c>
      <c r="EB16" s="50" t="str">
        <f t="shared" si="5"/>
        <v/>
      </c>
      <c r="EC16" s="50" t="str">
        <f t="shared" si="5"/>
        <v/>
      </c>
      <c r="ED16" s="50" t="str">
        <f t="shared" si="5"/>
        <v/>
      </c>
      <c r="EE16" s="50" t="str">
        <f t="shared" si="5"/>
        <v/>
      </c>
      <c r="EF16" s="50" t="str">
        <f t="shared" si="5"/>
        <v/>
      </c>
      <c r="EG16" s="50" t="str">
        <f t="shared" si="5"/>
        <v/>
      </c>
      <c r="EH16" s="50" t="str">
        <f t="shared" si="5"/>
        <v/>
      </c>
      <c r="EI16" s="50" t="str">
        <f t="shared" si="5"/>
        <v/>
      </c>
      <c r="EJ16" s="50" t="str">
        <f t="shared" si="5"/>
        <v/>
      </c>
      <c r="EK16" s="50" t="str">
        <f t="shared" si="5"/>
        <v/>
      </c>
      <c r="EL16" s="50" t="str">
        <f t="shared" si="5"/>
        <v/>
      </c>
      <c r="EM16" s="50" t="str">
        <f t="shared" si="5"/>
        <v/>
      </c>
      <c r="EN16" s="50" t="str">
        <f t="shared" si="5"/>
        <v/>
      </c>
      <c r="EO16" s="50" t="str">
        <f t="shared" si="5"/>
        <v/>
      </c>
      <c r="EP16" s="50" t="str">
        <f t="shared" si="5"/>
        <v/>
      </c>
      <c r="EQ16" s="50" t="str">
        <f t="shared" si="5"/>
        <v/>
      </c>
      <c r="ER16" s="50" t="str">
        <f t="shared" si="5"/>
        <v/>
      </c>
      <c r="ES16" s="50" t="str">
        <f t="shared" si="5"/>
        <v/>
      </c>
      <c r="ET16" s="50" t="str">
        <f t="shared" si="5"/>
        <v/>
      </c>
      <c r="EU16" s="50" t="str">
        <f t="shared" si="5"/>
        <v/>
      </c>
      <c r="EV16" s="50" t="str">
        <f t="shared" si="5"/>
        <v/>
      </c>
      <c r="EW16" s="50" t="str">
        <f t="shared" si="5"/>
        <v/>
      </c>
      <c r="EX16" s="50" t="str">
        <f t="shared" si="5"/>
        <v/>
      </c>
      <c r="EY16" s="50" t="str">
        <f t="shared" si="5"/>
        <v/>
      </c>
      <c r="EZ16" s="50" t="str">
        <f t="shared" si="5"/>
        <v/>
      </c>
      <c r="FA16" s="50" t="str">
        <f t="shared" si="5"/>
        <v/>
      </c>
      <c r="FB16" s="50" t="str">
        <f t="shared" si="5"/>
        <v/>
      </c>
      <c r="FC16" s="50" t="str">
        <f t="shared" si="5"/>
        <v/>
      </c>
      <c r="FD16" s="50" t="str">
        <f t="shared" si="5"/>
        <v/>
      </c>
      <c r="FE16" s="50" t="str">
        <f t="shared" si="5"/>
        <v/>
      </c>
      <c r="FF16" s="50" t="str">
        <f t="shared" si="5"/>
        <v/>
      </c>
      <c r="FG16" s="50" t="str">
        <f t="shared" si="5"/>
        <v/>
      </c>
      <c r="FH16" s="50" t="str">
        <f t="shared" si="5"/>
        <v/>
      </c>
      <c r="FI16" s="50" t="str">
        <f t="shared" si="5"/>
        <v/>
      </c>
      <c r="FJ16" s="50" t="str">
        <f t="shared" si="5"/>
        <v/>
      </c>
      <c r="FK16" s="50" t="str">
        <f t="shared" si="5"/>
        <v/>
      </c>
      <c r="FL16" s="50" t="str">
        <f t="shared" si="5"/>
        <v/>
      </c>
      <c r="FM16" s="50" t="str">
        <f t="shared" si="5"/>
        <v/>
      </c>
      <c r="FN16" s="50" t="str">
        <f t="shared" si="5"/>
        <v/>
      </c>
      <c r="FO16" s="50" t="str">
        <f t="shared" si="5"/>
        <v/>
      </c>
      <c r="FP16" s="50" t="str">
        <f t="shared" si="5"/>
        <v/>
      </c>
      <c r="FQ16" s="50" t="str">
        <f t="shared" si="5"/>
        <v/>
      </c>
      <c r="FR16" s="50" t="str">
        <f t="shared" si="5"/>
        <v/>
      </c>
      <c r="FS16" s="50" t="str">
        <f t="shared" si="5"/>
        <v/>
      </c>
      <c r="FT16" s="50" t="str">
        <f t="shared" si="5"/>
        <v/>
      </c>
      <c r="FU16" s="50" t="str">
        <f t="shared" si="5"/>
        <v/>
      </c>
      <c r="FV16" s="50" t="str">
        <f t="shared" si="5"/>
        <v/>
      </c>
      <c r="FW16" s="50" t="str">
        <f t="shared" si="5"/>
        <v/>
      </c>
      <c r="FX16" s="50" t="str">
        <f t="shared" si="5"/>
        <v/>
      </c>
      <c r="FY16" s="50" t="str">
        <f t="shared" si="5"/>
        <v/>
      </c>
      <c r="FZ16" s="50" t="str">
        <f t="shared" si="5"/>
        <v/>
      </c>
      <c r="GA16" s="50" t="str">
        <f t="shared" si="5"/>
        <v/>
      </c>
      <c r="GB16" s="50" t="str">
        <f t="shared" si="5"/>
        <v/>
      </c>
      <c r="GC16" s="50" t="str">
        <f t="shared" si="5"/>
        <v/>
      </c>
      <c r="GD16" s="50" t="str">
        <f t="shared" si="5"/>
        <v/>
      </c>
      <c r="GE16" s="50" t="str">
        <f t="shared" si="5"/>
        <v/>
      </c>
      <c r="GF16" s="50" t="str">
        <f t="shared" si="5"/>
        <v/>
      </c>
      <c r="GG16" s="50" t="str">
        <f t="shared" si="5"/>
        <v/>
      </c>
      <c r="GH16" s="50" t="str">
        <f t="shared" si="5"/>
        <v/>
      </c>
      <c r="GI16" s="50" t="str">
        <f t="shared" si="6"/>
        <v/>
      </c>
      <c r="GJ16" s="50" t="str">
        <f t="shared" si="6"/>
        <v/>
      </c>
      <c r="GK16" s="50" t="str">
        <f t="shared" si="6"/>
        <v/>
      </c>
      <c r="GL16" s="50" t="str">
        <f t="shared" si="6"/>
        <v/>
      </c>
      <c r="GM16" s="50" t="str">
        <f t="shared" si="6"/>
        <v/>
      </c>
      <c r="GN16" s="50" t="str">
        <f t="shared" si="6"/>
        <v/>
      </c>
      <c r="GO16" s="50" t="str">
        <f t="shared" si="6"/>
        <v/>
      </c>
      <c r="GP16" s="50" t="str">
        <f t="shared" si="6"/>
        <v/>
      </c>
      <c r="GQ16" s="50" t="str">
        <f t="shared" si="6"/>
        <v/>
      </c>
      <c r="GR16" s="50" t="str">
        <f t="shared" si="6"/>
        <v/>
      </c>
      <c r="GS16" s="50" t="str">
        <f t="shared" si="6"/>
        <v/>
      </c>
      <c r="GT16" s="50" t="str">
        <f t="shared" si="6"/>
        <v/>
      </c>
      <c r="GU16" s="50" t="str">
        <f t="shared" si="6"/>
        <v/>
      </c>
      <c r="GV16" s="50" t="str">
        <f t="shared" si="6"/>
        <v/>
      </c>
      <c r="GW16" s="50" t="str">
        <f t="shared" si="6"/>
        <v/>
      </c>
      <c r="GX16" s="50" t="str">
        <f t="shared" si="6"/>
        <v/>
      </c>
      <c r="GY16" s="50" t="str">
        <f t="shared" si="6"/>
        <v/>
      </c>
      <c r="GZ16" s="50" t="str">
        <f t="shared" si="6"/>
        <v/>
      </c>
      <c r="HA16" s="50" t="str">
        <f t="shared" si="6"/>
        <v/>
      </c>
      <c r="HB16" s="50" t="str">
        <f t="shared" si="6"/>
        <v/>
      </c>
      <c r="HC16" s="50" t="str">
        <f t="shared" si="6"/>
        <v/>
      </c>
      <c r="HD16" s="50" t="str">
        <f t="shared" si="6"/>
        <v/>
      </c>
      <c r="HE16" s="50" t="str">
        <f t="shared" si="6"/>
        <v/>
      </c>
      <c r="HF16" s="50" t="str">
        <f t="shared" si="6"/>
        <v/>
      </c>
      <c r="HG16" s="50" t="str">
        <f t="shared" si="6"/>
        <v/>
      </c>
      <c r="HH16" s="50" t="str">
        <f t="shared" si="6"/>
        <v/>
      </c>
      <c r="HI16" s="50" t="str">
        <f t="shared" si="6"/>
        <v/>
      </c>
      <c r="HJ16" s="50" t="str">
        <f t="shared" si="6"/>
        <v/>
      </c>
      <c r="HK16" s="50" t="str">
        <f t="shared" si="6"/>
        <v/>
      </c>
      <c r="HL16" s="50" t="str">
        <f t="shared" si="6"/>
        <v/>
      </c>
      <c r="HM16" s="50" t="str">
        <f t="shared" si="6"/>
        <v/>
      </c>
      <c r="HN16" s="50" t="str">
        <f t="shared" si="6"/>
        <v/>
      </c>
      <c r="HO16" s="50" t="str">
        <f t="shared" si="6"/>
        <v/>
      </c>
      <c r="HP16" s="50" t="str">
        <f t="shared" si="6"/>
        <v/>
      </c>
      <c r="HQ16" s="50" t="str">
        <f t="shared" si="6"/>
        <v/>
      </c>
      <c r="HR16" s="112" t="str">
        <f t="shared" si="6"/>
        <v/>
      </c>
    </row>
    <row r="17" spans="1:226" ht="11.1" customHeight="1" x14ac:dyDescent="0.25">
      <c r="A17" s="26"/>
      <c r="B17" s="145"/>
      <c r="C17" s="28" t="str">
        <f>IF(A17=0,"",VLOOKUP(A17,[2]CO!$A$3:$F$5327,2,0))</f>
        <v/>
      </c>
      <c r="D17" s="178" t="s">
        <v>30</v>
      </c>
      <c r="E17" s="29"/>
      <c r="F17" s="29"/>
      <c r="G17" s="30" t="str">
        <f>IF(A17=0,"",VLOOKUP(A17,[2]CO!$A$3:$F$5327,3,0))</f>
        <v/>
      </c>
      <c r="H17" s="142"/>
      <c r="I17" s="143"/>
      <c r="J17" s="143"/>
      <c r="K17" s="143"/>
      <c r="L17" s="143"/>
      <c r="M17" s="32" t="str">
        <f t="shared" si="0"/>
        <v/>
      </c>
      <c r="N17" s="32" t="str">
        <f>IF(B17=0,"",IF(H17="M",HLOOKUP(B17,$Y$12:$DT$13,2),IF(A17=0,"",VLOOKUP(A17,[2]CO!$A$3:$F$5327,4,0))))</f>
        <v/>
      </c>
      <c r="O17" s="32" t="str">
        <f t="shared" si="7"/>
        <v/>
      </c>
      <c r="P17" s="33"/>
      <c r="Q17" s="34" t="str">
        <f t="shared" si="1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RESIDENTE"),VLOOKUP(B17,P$14:Q$64,2),"")*S17)</f>
        <v/>
      </c>
      <c r="S17" s="127"/>
      <c r="T17" s="53" t="str">
        <f>IF(A17=0,"",VLOOKUP(A17,[2]CO!$A$3:$F$5318,5,0))</f>
        <v/>
      </c>
      <c r="U17" s="54">
        <f t="shared" si="2"/>
        <v>0</v>
      </c>
      <c r="V17" s="24"/>
      <c r="W17" s="25"/>
      <c r="X17" s="25"/>
      <c r="Y17" s="64" t="str">
        <f t="shared" si="3"/>
        <v/>
      </c>
      <c r="Z17" s="55" t="str">
        <f t="shared" si="3"/>
        <v/>
      </c>
      <c r="AA17" s="55" t="str">
        <f t="shared" si="3"/>
        <v/>
      </c>
      <c r="AB17" s="55" t="str">
        <f t="shared" si="3"/>
        <v/>
      </c>
      <c r="AC17" s="55" t="str">
        <f t="shared" si="3"/>
        <v/>
      </c>
      <c r="AD17" s="55" t="str">
        <f t="shared" si="3"/>
        <v/>
      </c>
      <c r="AE17" s="55" t="str">
        <f t="shared" si="3"/>
        <v/>
      </c>
      <c r="AF17" s="55" t="str">
        <f t="shared" si="3"/>
        <v/>
      </c>
      <c r="AG17" s="55" t="str">
        <f t="shared" si="3"/>
        <v/>
      </c>
      <c r="AH17" s="55" t="str">
        <f t="shared" si="3"/>
        <v/>
      </c>
      <c r="AI17" s="55" t="str">
        <f t="shared" si="3"/>
        <v/>
      </c>
      <c r="AJ17" s="55" t="str">
        <f t="shared" si="3"/>
        <v/>
      </c>
      <c r="AK17" s="55" t="str">
        <f t="shared" si="3"/>
        <v/>
      </c>
      <c r="AL17" s="55" t="str">
        <f t="shared" si="3"/>
        <v/>
      </c>
      <c r="AM17" s="55" t="str">
        <f t="shared" si="3"/>
        <v/>
      </c>
      <c r="AN17" s="55" t="str">
        <f t="shared" si="3"/>
        <v/>
      </c>
      <c r="AO17" s="55" t="str">
        <f t="shared" si="3"/>
        <v/>
      </c>
      <c r="AP17" s="55" t="str">
        <f t="shared" si="3"/>
        <v/>
      </c>
      <c r="AQ17" s="55" t="str">
        <f t="shared" si="3"/>
        <v/>
      </c>
      <c r="AR17" s="55" t="str">
        <f t="shared" si="3"/>
        <v/>
      </c>
      <c r="AS17" s="55" t="str">
        <f t="shared" si="3"/>
        <v/>
      </c>
      <c r="AT17" s="55" t="str">
        <f t="shared" si="3"/>
        <v/>
      </c>
      <c r="AU17" s="55" t="str">
        <f t="shared" si="3"/>
        <v/>
      </c>
      <c r="AV17" s="55" t="str">
        <f t="shared" si="3"/>
        <v/>
      </c>
      <c r="AW17" s="55" t="str">
        <f t="shared" si="3"/>
        <v/>
      </c>
      <c r="AX17" s="55" t="str">
        <f t="shared" si="3"/>
        <v/>
      </c>
      <c r="AY17" s="55" t="str">
        <f t="shared" si="3"/>
        <v/>
      </c>
      <c r="AZ17" s="55" t="str">
        <f t="shared" si="3"/>
        <v/>
      </c>
      <c r="BA17" s="55" t="str">
        <f t="shared" si="3"/>
        <v/>
      </c>
      <c r="BB17" s="55" t="str">
        <f t="shared" si="3"/>
        <v/>
      </c>
      <c r="BC17" s="55" t="str">
        <f t="shared" si="3"/>
        <v/>
      </c>
      <c r="BD17" s="55" t="str">
        <f t="shared" si="3"/>
        <v/>
      </c>
      <c r="BE17" s="55" t="str">
        <f t="shared" si="3"/>
        <v/>
      </c>
      <c r="BF17" s="55" t="str">
        <f t="shared" si="3"/>
        <v/>
      </c>
      <c r="BG17" s="55" t="str">
        <f t="shared" si="3"/>
        <v/>
      </c>
      <c r="BH17" s="55" t="str">
        <f t="shared" si="3"/>
        <v/>
      </c>
      <c r="BI17" s="55" t="str">
        <f t="shared" si="3"/>
        <v/>
      </c>
      <c r="BJ17" s="55" t="str">
        <f t="shared" si="3"/>
        <v/>
      </c>
      <c r="BK17" s="55" t="str">
        <f t="shared" si="3"/>
        <v/>
      </c>
      <c r="BL17" s="55" t="str">
        <f t="shared" si="3"/>
        <v/>
      </c>
      <c r="BM17" s="55" t="str">
        <f t="shared" si="3"/>
        <v/>
      </c>
      <c r="BN17" s="55" t="str">
        <f t="shared" si="3"/>
        <v/>
      </c>
      <c r="BO17" s="55" t="str">
        <f t="shared" si="3"/>
        <v/>
      </c>
      <c r="BP17" s="55" t="str">
        <f t="shared" si="3"/>
        <v/>
      </c>
      <c r="BQ17" s="55" t="str">
        <f t="shared" si="3"/>
        <v/>
      </c>
      <c r="BR17" s="55" t="str">
        <f t="shared" si="3"/>
        <v/>
      </c>
      <c r="BS17" s="55" t="str">
        <f t="shared" si="3"/>
        <v/>
      </c>
      <c r="BT17" s="55" t="str">
        <f t="shared" si="3"/>
        <v/>
      </c>
      <c r="BU17" s="55" t="str">
        <f t="shared" si="3"/>
        <v/>
      </c>
      <c r="BV17" s="55" t="str">
        <f t="shared" si="3"/>
        <v/>
      </c>
      <c r="BW17" s="55" t="str">
        <f t="shared" si="3"/>
        <v/>
      </c>
      <c r="BX17" s="55" t="str">
        <f t="shared" si="3"/>
        <v/>
      </c>
      <c r="BY17" s="55" t="str">
        <f t="shared" si="3"/>
        <v/>
      </c>
      <c r="BZ17" s="55" t="str">
        <f t="shared" si="3"/>
        <v/>
      </c>
      <c r="CA17" s="55" t="str">
        <f t="shared" si="3"/>
        <v/>
      </c>
      <c r="CB17" s="55" t="str">
        <f t="shared" si="3"/>
        <v/>
      </c>
      <c r="CC17" s="55" t="str">
        <f t="shared" si="3"/>
        <v/>
      </c>
      <c r="CD17" s="55" t="str">
        <f t="shared" si="3"/>
        <v/>
      </c>
      <c r="CE17" s="55" t="str">
        <f t="shared" si="3"/>
        <v/>
      </c>
      <c r="CF17" s="55" t="str">
        <f t="shared" si="3"/>
        <v/>
      </c>
      <c r="CG17" s="55" t="str">
        <f t="shared" si="3"/>
        <v/>
      </c>
      <c r="CH17" s="55" t="str">
        <f t="shared" si="3"/>
        <v/>
      </c>
      <c r="CI17" s="55" t="str">
        <f t="shared" si="3"/>
        <v/>
      </c>
      <c r="CJ17" s="55" t="str">
        <f t="shared" ref="CJ17" si="8">IF($B17=CJ$12,$U17,"")</f>
        <v/>
      </c>
      <c r="CK17" s="55" t="str">
        <f t="shared" si="4"/>
        <v/>
      </c>
      <c r="CL17" s="55" t="str">
        <f t="shared" si="4"/>
        <v/>
      </c>
      <c r="CM17" s="55" t="str">
        <f t="shared" si="4"/>
        <v/>
      </c>
      <c r="CN17" s="55" t="str">
        <f t="shared" si="4"/>
        <v/>
      </c>
      <c r="CO17" s="55" t="str">
        <f t="shared" si="4"/>
        <v/>
      </c>
      <c r="CP17" s="55" t="str">
        <f t="shared" si="4"/>
        <v/>
      </c>
      <c r="CQ17" s="55" t="str">
        <f t="shared" si="4"/>
        <v/>
      </c>
      <c r="CR17" s="55" t="str">
        <f t="shared" si="4"/>
        <v/>
      </c>
      <c r="CS17" s="55" t="str">
        <f t="shared" si="4"/>
        <v/>
      </c>
      <c r="CT17" s="55" t="str">
        <f t="shared" si="4"/>
        <v/>
      </c>
      <c r="CU17" s="55" t="str">
        <f t="shared" si="4"/>
        <v/>
      </c>
      <c r="CV17" s="55" t="str">
        <f t="shared" si="4"/>
        <v/>
      </c>
      <c r="CW17" s="55" t="str">
        <f t="shared" si="4"/>
        <v/>
      </c>
      <c r="CX17" s="55" t="str">
        <f t="shared" si="4"/>
        <v/>
      </c>
      <c r="CY17" s="55" t="str">
        <f t="shared" si="4"/>
        <v/>
      </c>
      <c r="CZ17" s="55" t="str">
        <f t="shared" si="4"/>
        <v/>
      </c>
      <c r="DA17" s="55" t="str">
        <f t="shared" si="4"/>
        <v/>
      </c>
      <c r="DB17" s="55" t="str">
        <f t="shared" si="4"/>
        <v/>
      </c>
      <c r="DC17" s="55" t="str">
        <f t="shared" si="4"/>
        <v/>
      </c>
      <c r="DD17" s="55" t="str">
        <f t="shared" si="4"/>
        <v/>
      </c>
      <c r="DE17" s="55" t="str">
        <f t="shared" si="4"/>
        <v/>
      </c>
      <c r="DF17" s="55" t="str">
        <f t="shared" si="4"/>
        <v/>
      </c>
      <c r="DG17" s="55" t="str">
        <f t="shared" si="4"/>
        <v/>
      </c>
      <c r="DH17" s="55" t="str">
        <f t="shared" si="4"/>
        <v/>
      </c>
      <c r="DI17" s="55" t="str">
        <f t="shared" si="4"/>
        <v/>
      </c>
      <c r="DJ17" s="55" t="str">
        <f t="shared" si="4"/>
        <v/>
      </c>
      <c r="DK17" s="55" t="str">
        <f t="shared" si="4"/>
        <v/>
      </c>
      <c r="DL17" s="55" t="str">
        <f t="shared" si="4"/>
        <v/>
      </c>
      <c r="DM17" s="55" t="str">
        <f t="shared" si="4"/>
        <v/>
      </c>
      <c r="DN17" s="55" t="str">
        <f t="shared" si="4"/>
        <v/>
      </c>
      <c r="DO17" s="55" t="str">
        <f t="shared" si="4"/>
        <v/>
      </c>
      <c r="DP17" s="55" t="str">
        <f t="shared" si="4"/>
        <v/>
      </c>
      <c r="DQ17" s="55" t="str">
        <f t="shared" si="4"/>
        <v/>
      </c>
      <c r="DR17" s="55" t="str">
        <f t="shared" si="4"/>
        <v/>
      </c>
      <c r="DS17" s="55" t="str">
        <f t="shared" si="4"/>
        <v/>
      </c>
      <c r="DT17" s="106" t="str">
        <f t="shared" si="4"/>
        <v/>
      </c>
      <c r="DU17" s="54"/>
      <c r="DV17" s="25"/>
      <c r="DW17" s="61" t="str">
        <f t="shared" si="5"/>
        <v/>
      </c>
      <c r="DX17" s="50" t="str">
        <f t="shared" si="5"/>
        <v/>
      </c>
      <c r="DY17" s="50" t="str">
        <f t="shared" si="5"/>
        <v/>
      </c>
      <c r="DZ17" s="50" t="str">
        <f t="shared" si="5"/>
        <v/>
      </c>
      <c r="EA17" s="50" t="str">
        <f t="shared" si="5"/>
        <v/>
      </c>
      <c r="EB17" s="50" t="str">
        <f t="shared" si="5"/>
        <v/>
      </c>
      <c r="EC17" s="50" t="str">
        <f t="shared" si="5"/>
        <v/>
      </c>
      <c r="ED17" s="50" t="str">
        <f t="shared" si="5"/>
        <v/>
      </c>
      <c r="EE17" s="50" t="str">
        <f t="shared" si="5"/>
        <v/>
      </c>
      <c r="EF17" s="50" t="str">
        <f t="shared" si="5"/>
        <v/>
      </c>
      <c r="EG17" s="50" t="str">
        <f t="shared" si="5"/>
        <v/>
      </c>
      <c r="EH17" s="50" t="str">
        <f t="shared" si="5"/>
        <v/>
      </c>
      <c r="EI17" s="50" t="str">
        <f t="shared" si="5"/>
        <v/>
      </c>
      <c r="EJ17" s="50" t="str">
        <f t="shared" si="5"/>
        <v/>
      </c>
      <c r="EK17" s="50" t="str">
        <f t="shared" si="5"/>
        <v/>
      </c>
      <c r="EL17" s="50" t="str">
        <f t="shared" si="5"/>
        <v/>
      </c>
      <c r="EM17" s="50" t="str">
        <f t="shared" si="5"/>
        <v/>
      </c>
      <c r="EN17" s="50" t="str">
        <f t="shared" si="5"/>
        <v/>
      </c>
      <c r="EO17" s="50" t="str">
        <f t="shared" si="5"/>
        <v/>
      </c>
      <c r="EP17" s="50" t="str">
        <f t="shared" si="5"/>
        <v/>
      </c>
      <c r="EQ17" s="50" t="str">
        <f t="shared" si="5"/>
        <v/>
      </c>
      <c r="ER17" s="50" t="str">
        <f t="shared" si="5"/>
        <v/>
      </c>
      <c r="ES17" s="50" t="str">
        <f t="shared" si="5"/>
        <v/>
      </c>
      <c r="ET17" s="50" t="str">
        <f t="shared" si="5"/>
        <v/>
      </c>
      <c r="EU17" s="50" t="str">
        <f t="shared" si="5"/>
        <v/>
      </c>
      <c r="EV17" s="50" t="str">
        <f t="shared" si="5"/>
        <v/>
      </c>
      <c r="EW17" s="50" t="str">
        <f t="shared" si="5"/>
        <v/>
      </c>
      <c r="EX17" s="50" t="str">
        <f t="shared" si="5"/>
        <v/>
      </c>
      <c r="EY17" s="50" t="str">
        <f t="shared" si="5"/>
        <v/>
      </c>
      <c r="EZ17" s="50" t="str">
        <f t="shared" si="5"/>
        <v/>
      </c>
      <c r="FA17" s="50" t="str">
        <f t="shared" si="5"/>
        <v/>
      </c>
      <c r="FB17" s="50" t="str">
        <f t="shared" si="5"/>
        <v/>
      </c>
      <c r="FC17" s="50" t="str">
        <f t="shared" si="5"/>
        <v/>
      </c>
      <c r="FD17" s="50" t="str">
        <f t="shared" si="5"/>
        <v/>
      </c>
      <c r="FE17" s="50" t="str">
        <f t="shared" si="5"/>
        <v/>
      </c>
      <c r="FF17" s="50" t="str">
        <f t="shared" si="5"/>
        <v/>
      </c>
      <c r="FG17" s="50" t="str">
        <f t="shared" si="5"/>
        <v/>
      </c>
      <c r="FH17" s="50" t="str">
        <f t="shared" si="5"/>
        <v/>
      </c>
      <c r="FI17" s="50" t="str">
        <f t="shared" si="5"/>
        <v/>
      </c>
      <c r="FJ17" s="50" t="str">
        <f t="shared" si="5"/>
        <v/>
      </c>
      <c r="FK17" s="50" t="str">
        <f t="shared" si="5"/>
        <v/>
      </c>
      <c r="FL17" s="50" t="str">
        <f t="shared" si="5"/>
        <v/>
      </c>
      <c r="FM17" s="50" t="str">
        <f t="shared" si="5"/>
        <v/>
      </c>
      <c r="FN17" s="50" t="str">
        <f t="shared" si="5"/>
        <v/>
      </c>
      <c r="FO17" s="50" t="str">
        <f t="shared" si="5"/>
        <v/>
      </c>
      <c r="FP17" s="50" t="str">
        <f t="shared" si="5"/>
        <v/>
      </c>
      <c r="FQ17" s="50" t="str">
        <f t="shared" si="5"/>
        <v/>
      </c>
      <c r="FR17" s="50" t="str">
        <f t="shared" si="5"/>
        <v/>
      </c>
      <c r="FS17" s="50" t="str">
        <f t="shared" si="5"/>
        <v/>
      </c>
      <c r="FT17" s="50" t="str">
        <f t="shared" si="5"/>
        <v/>
      </c>
      <c r="FU17" s="50" t="str">
        <f t="shared" si="5"/>
        <v/>
      </c>
      <c r="FV17" s="50" t="str">
        <f t="shared" si="5"/>
        <v/>
      </c>
      <c r="FW17" s="50" t="str">
        <f t="shared" si="5"/>
        <v/>
      </c>
      <c r="FX17" s="50" t="str">
        <f t="shared" si="5"/>
        <v/>
      </c>
      <c r="FY17" s="50" t="str">
        <f t="shared" si="5"/>
        <v/>
      </c>
      <c r="FZ17" s="50" t="str">
        <f t="shared" si="5"/>
        <v/>
      </c>
      <c r="GA17" s="50" t="str">
        <f t="shared" si="5"/>
        <v/>
      </c>
      <c r="GB17" s="50" t="str">
        <f t="shared" si="5"/>
        <v/>
      </c>
      <c r="GC17" s="50" t="str">
        <f t="shared" si="5"/>
        <v/>
      </c>
      <c r="GD17" s="50" t="str">
        <f t="shared" si="5"/>
        <v/>
      </c>
      <c r="GE17" s="50" t="str">
        <f t="shared" si="5"/>
        <v/>
      </c>
      <c r="GF17" s="50" t="str">
        <f t="shared" si="5"/>
        <v/>
      </c>
      <c r="GG17" s="50" t="str">
        <f t="shared" si="5"/>
        <v/>
      </c>
      <c r="GH17" s="50" t="str">
        <f t="shared" ref="GH17" si="9">IF($B17=GH$12,$O17,"")</f>
        <v/>
      </c>
      <c r="GI17" s="50" t="str">
        <f t="shared" si="6"/>
        <v/>
      </c>
      <c r="GJ17" s="50" t="str">
        <f t="shared" si="6"/>
        <v/>
      </c>
      <c r="GK17" s="50" t="str">
        <f t="shared" si="6"/>
        <v/>
      </c>
      <c r="GL17" s="50" t="str">
        <f t="shared" si="6"/>
        <v/>
      </c>
      <c r="GM17" s="50" t="str">
        <f t="shared" si="6"/>
        <v/>
      </c>
      <c r="GN17" s="50" t="str">
        <f t="shared" si="6"/>
        <v/>
      </c>
      <c r="GO17" s="50" t="str">
        <f t="shared" si="6"/>
        <v/>
      </c>
      <c r="GP17" s="50" t="str">
        <f t="shared" si="6"/>
        <v/>
      </c>
      <c r="GQ17" s="50" t="str">
        <f t="shared" si="6"/>
        <v/>
      </c>
      <c r="GR17" s="50" t="str">
        <f t="shared" si="6"/>
        <v/>
      </c>
      <c r="GS17" s="50" t="str">
        <f t="shared" si="6"/>
        <v/>
      </c>
      <c r="GT17" s="50" t="str">
        <f t="shared" si="6"/>
        <v/>
      </c>
      <c r="GU17" s="50" t="str">
        <f t="shared" si="6"/>
        <v/>
      </c>
      <c r="GV17" s="50" t="str">
        <f t="shared" si="6"/>
        <v/>
      </c>
      <c r="GW17" s="50" t="str">
        <f t="shared" si="6"/>
        <v/>
      </c>
      <c r="GX17" s="50" t="str">
        <f t="shared" si="6"/>
        <v/>
      </c>
      <c r="GY17" s="50" t="str">
        <f t="shared" si="6"/>
        <v/>
      </c>
      <c r="GZ17" s="50" t="str">
        <f t="shared" si="6"/>
        <v/>
      </c>
      <c r="HA17" s="50" t="str">
        <f t="shared" si="6"/>
        <v/>
      </c>
      <c r="HB17" s="50" t="str">
        <f t="shared" si="6"/>
        <v/>
      </c>
      <c r="HC17" s="50" t="str">
        <f t="shared" si="6"/>
        <v/>
      </c>
      <c r="HD17" s="50" t="str">
        <f t="shared" si="6"/>
        <v/>
      </c>
      <c r="HE17" s="50" t="str">
        <f t="shared" si="6"/>
        <v/>
      </c>
      <c r="HF17" s="50" t="str">
        <f t="shared" si="6"/>
        <v/>
      </c>
      <c r="HG17" s="50" t="str">
        <f t="shared" si="6"/>
        <v/>
      </c>
      <c r="HH17" s="50" t="str">
        <f t="shared" si="6"/>
        <v/>
      </c>
      <c r="HI17" s="50" t="str">
        <f t="shared" si="6"/>
        <v/>
      </c>
      <c r="HJ17" s="50" t="str">
        <f t="shared" si="6"/>
        <v/>
      </c>
      <c r="HK17" s="50" t="str">
        <f t="shared" si="6"/>
        <v/>
      </c>
      <c r="HL17" s="50" t="str">
        <f t="shared" si="6"/>
        <v/>
      </c>
      <c r="HM17" s="50" t="str">
        <f t="shared" si="6"/>
        <v/>
      </c>
      <c r="HN17" s="50" t="str">
        <f t="shared" si="6"/>
        <v/>
      </c>
      <c r="HO17" s="50" t="str">
        <f t="shared" si="6"/>
        <v/>
      </c>
      <c r="HP17" s="50" t="str">
        <f t="shared" si="6"/>
        <v/>
      </c>
      <c r="HQ17" s="50" t="str">
        <f t="shared" si="6"/>
        <v/>
      </c>
      <c r="HR17" s="112" t="str">
        <f t="shared" si="6"/>
        <v/>
      </c>
    </row>
    <row r="18" spans="1:226" ht="11.1" customHeight="1" x14ac:dyDescent="0.25">
      <c r="A18" s="26" t="s">
        <v>31</v>
      </c>
      <c r="B18" s="145">
        <v>1</v>
      </c>
      <c r="C18" s="28" t="str">
        <f>IF(A18=0,"",VLOOKUP(A18,[2]CO!$A$3:$F$5327,2,0))</f>
        <v>Colado de losa esp. 12 cms rev. hecho/obra</v>
      </c>
      <c r="D18" s="149"/>
      <c r="E18" s="29"/>
      <c r="F18" s="29"/>
      <c r="G18" s="30" t="str">
        <f>IF(A18=0,"",VLOOKUP(A18,[2]CO!$A$3:$F$5327,3,0))</f>
        <v>M2</v>
      </c>
      <c r="H18" s="142"/>
      <c r="I18" s="143">
        <v>21.4</v>
      </c>
      <c r="J18" s="143">
        <v>1.95</v>
      </c>
      <c r="K18" s="143"/>
      <c r="L18" s="143">
        <v>1</v>
      </c>
      <c r="M18" s="32">
        <f t="shared" si="0"/>
        <v>41.73</v>
      </c>
      <c r="N18" s="32">
        <f>IF(B18=0,"",IF(H18="M",HLOOKUP(B18,$Y$12:$DT$13,2),IF(A18=0,"",VLOOKUP(A18,[2]CO!$A$3:$F$5327,4,0))))</f>
        <v>111.1830985915493</v>
      </c>
      <c r="O18" s="32">
        <f t="shared" si="7"/>
        <v>4639.670704225352</v>
      </c>
      <c r="P18" s="33"/>
      <c r="Q18" s="34" t="str">
        <f t="shared" si="1"/>
        <v/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RESIDENTE"),VLOOKUP(B18,P$14:Q$64,2),"")*S18)</f>
        <v/>
      </c>
      <c r="S18" s="127"/>
      <c r="T18" s="53">
        <f>IF(A18=0,"",VLOOKUP(A18,[2]CO!$A$3:$F$5318,5,0))</f>
        <v>1</v>
      </c>
      <c r="U18" s="54">
        <f t="shared" si="2"/>
        <v>463.96707042253524</v>
      </c>
      <c r="V18" s="24"/>
      <c r="W18" s="25"/>
      <c r="X18" s="25"/>
      <c r="Y18" s="64">
        <f t="shared" ref="Y18:CJ21" si="10">IF($B18=Y$12,$U18,"")</f>
        <v>463.96707042253524</v>
      </c>
      <c r="Z18" s="55" t="str">
        <f t="shared" si="10"/>
        <v/>
      </c>
      <c r="AA18" s="55" t="str">
        <f t="shared" si="10"/>
        <v/>
      </c>
      <c r="AB18" s="55" t="str">
        <f t="shared" si="10"/>
        <v/>
      </c>
      <c r="AC18" s="55" t="str">
        <f t="shared" si="10"/>
        <v/>
      </c>
      <c r="AD18" s="55" t="str">
        <f t="shared" si="10"/>
        <v/>
      </c>
      <c r="AE18" s="55" t="str">
        <f t="shared" si="10"/>
        <v/>
      </c>
      <c r="AF18" s="55" t="str">
        <f t="shared" si="10"/>
        <v/>
      </c>
      <c r="AG18" s="55" t="str">
        <f t="shared" si="10"/>
        <v/>
      </c>
      <c r="AH18" s="55" t="str">
        <f t="shared" si="10"/>
        <v/>
      </c>
      <c r="AI18" s="55" t="str">
        <f t="shared" si="10"/>
        <v/>
      </c>
      <c r="AJ18" s="55" t="str">
        <f t="shared" si="10"/>
        <v/>
      </c>
      <c r="AK18" s="55" t="str">
        <f t="shared" si="10"/>
        <v/>
      </c>
      <c r="AL18" s="55" t="str">
        <f t="shared" si="10"/>
        <v/>
      </c>
      <c r="AM18" s="55" t="str">
        <f t="shared" si="10"/>
        <v/>
      </c>
      <c r="AN18" s="55" t="str">
        <f t="shared" si="10"/>
        <v/>
      </c>
      <c r="AO18" s="55" t="str">
        <f t="shared" si="10"/>
        <v/>
      </c>
      <c r="AP18" s="55" t="str">
        <f t="shared" si="10"/>
        <v/>
      </c>
      <c r="AQ18" s="55" t="str">
        <f t="shared" si="10"/>
        <v/>
      </c>
      <c r="AR18" s="55" t="str">
        <f t="shared" si="10"/>
        <v/>
      </c>
      <c r="AS18" s="55" t="str">
        <f t="shared" si="10"/>
        <v/>
      </c>
      <c r="AT18" s="55" t="str">
        <f t="shared" si="10"/>
        <v/>
      </c>
      <c r="AU18" s="55" t="str">
        <f t="shared" si="10"/>
        <v/>
      </c>
      <c r="AV18" s="55" t="str">
        <f t="shared" si="10"/>
        <v/>
      </c>
      <c r="AW18" s="55" t="str">
        <f t="shared" si="10"/>
        <v/>
      </c>
      <c r="AX18" s="55" t="str">
        <f t="shared" si="10"/>
        <v/>
      </c>
      <c r="AY18" s="55" t="str">
        <f t="shared" si="10"/>
        <v/>
      </c>
      <c r="AZ18" s="55" t="str">
        <f t="shared" si="10"/>
        <v/>
      </c>
      <c r="BA18" s="55" t="str">
        <f t="shared" si="10"/>
        <v/>
      </c>
      <c r="BB18" s="55" t="str">
        <f t="shared" si="10"/>
        <v/>
      </c>
      <c r="BC18" s="55" t="str">
        <f t="shared" si="10"/>
        <v/>
      </c>
      <c r="BD18" s="55" t="str">
        <f t="shared" si="10"/>
        <v/>
      </c>
      <c r="BE18" s="55" t="str">
        <f t="shared" si="10"/>
        <v/>
      </c>
      <c r="BF18" s="55" t="str">
        <f t="shared" si="10"/>
        <v/>
      </c>
      <c r="BG18" s="55" t="str">
        <f t="shared" si="10"/>
        <v/>
      </c>
      <c r="BH18" s="55" t="str">
        <f t="shared" si="10"/>
        <v/>
      </c>
      <c r="BI18" s="55" t="str">
        <f t="shared" si="10"/>
        <v/>
      </c>
      <c r="BJ18" s="55" t="str">
        <f t="shared" si="10"/>
        <v/>
      </c>
      <c r="BK18" s="55" t="str">
        <f t="shared" si="10"/>
        <v/>
      </c>
      <c r="BL18" s="55" t="str">
        <f t="shared" si="10"/>
        <v/>
      </c>
      <c r="BM18" s="55" t="str">
        <f t="shared" si="10"/>
        <v/>
      </c>
      <c r="BN18" s="55" t="str">
        <f t="shared" si="10"/>
        <v/>
      </c>
      <c r="BO18" s="55" t="str">
        <f t="shared" si="10"/>
        <v/>
      </c>
      <c r="BP18" s="55" t="str">
        <f t="shared" si="10"/>
        <v/>
      </c>
      <c r="BQ18" s="55" t="str">
        <f t="shared" si="10"/>
        <v/>
      </c>
      <c r="BR18" s="55" t="str">
        <f t="shared" si="10"/>
        <v/>
      </c>
      <c r="BS18" s="55" t="str">
        <f t="shared" si="10"/>
        <v/>
      </c>
      <c r="BT18" s="55" t="str">
        <f t="shared" si="10"/>
        <v/>
      </c>
      <c r="BU18" s="55" t="str">
        <f t="shared" si="10"/>
        <v/>
      </c>
      <c r="BV18" s="55" t="str">
        <f t="shared" si="10"/>
        <v/>
      </c>
      <c r="BW18" s="55" t="str">
        <f t="shared" si="10"/>
        <v/>
      </c>
      <c r="BX18" s="55" t="str">
        <f t="shared" si="10"/>
        <v/>
      </c>
      <c r="BY18" s="55" t="str">
        <f t="shared" si="10"/>
        <v/>
      </c>
      <c r="BZ18" s="55" t="str">
        <f t="shared" si="10"/>
        <v/>
      </c>
      <c r="CA18" s="55" t="str">
        <f t="shared" si="10"/>
        <v/>
      </c>
      <c r="CB18" s="55" t="str">
        <f t="shared" si="10"/>
        <v/>
      </c>
      <c r="CC18" s="55" t="str">
        <f t="shared" si="10"/>
        <v/>
      </c>
      <c r="CD18" s="55" t="str">
        <f t="shared" si="10"/>
        <v/>
      </c>
      <c r="CE18" s="55" t="str">
        <f t="shared" si="10"/>
        <v/>
      </c>
      <c r="CF18" s="55" t="str">
        <f t="shared" si="10"/>
        <v/>
      </c>
      <c r="CG18" s="55" t="str">
        <f t="shared" si="10"/>
        <v/>
      </c>
      <c r="CH18" s="55" t="str">
        <f t="shared" si="10"/>
        <v/>
      </c>
      <c r="CI18" s="55" t="str">
        <f t="shared" si="10"/>
        <v/>
      </c>
      <c r="CJ18" s="55" t="str">
        <f t="shared" si="10"/>
        <v/>
      </c>
      <c r="CK18" s="55" t="str">
        <f t="shared" si="4"/>
        <v/>
      </c>
      <c r="CL18" s="55" t="str">
        <f t="shared" si="4"/>
        <v/>
      </c>
      <c r="CM18" s="55" t="str">
        <f t="shared" si="4"/>
        <v/>
      </c>
      <c r="CN18" s="55" t="str">
        <f t="shared" si="4"/>
        <v/>
      </c>
      <c r="CO18" s="55" t="str">
        <f t="shared" si="4"/>
        <v/>
      </c>
      <c r="CP18" s="55" t="str">
        <f t="shared" si="4"/>
        <v/>
      </c>
      <c r="CQ18" s="55" t="str">
        <f t="shared" si="4"/>
        <v/>
      </c>
      <c r="CR18" s="55" t="str">
        <f t="shared" si="4"/>
        <v/>
      </c>
      <c r="CS18" s="55" t="str">
        <f t="shared" si="4"/>
        <v/>
      </c>
      <c r="CT18" s="55" t="str">
        <f t="shared" si="4"/>
        <v/>
      </c>
      <c r="CU18" s="55" t="str">
        <f t="shared" si="4"/>
        <v/>
      </c>
      <c r="CV18" s="55" t="str">
        <f t="shared" si="4"/>
        <v/>
      </c>
      <c r="CW18" s="55" t="str">
        <f t="shared" si="4"/>
        <v/>
      </c>
      <c r="CX18" s="55" t="str">
        <f t="shared" si="4"/>
        <v/>
      </c>
      <c r="CY18" s="55" t="str">
        <f t="shared" si="4"/>
        <v/>
      </c>
      <c r="CZ18" s="55" t="str">
        <f t="shared" si="4"/>
        <v/>
      </c>
      <c r="DA18" s="55" t="str">
        <f t="shared" si="4"/>
        <v/>
      </c>
      <c r="DB18" s="55" t="str">
        <f t="shared" si="4"/>
        <v/>
      </c>
      <c r="DC18" s="55" t="str">
        <f t="shared" si="4"/>
        <v/>
      </c>
      <c r="DD18" s="55" t="str">
        <f t="shared" si="4"/>
        <v/>
      </c>
      <c r="DE18" s="55" t="str">
        <f t="shared" si="4"/>
        <v/>
      </c>
      <c r="DF18" s="55" t="str">
        <f t="shared" si="4"/>
        <v/>
      </c>
      <c r="DG18" s="55" t="str">
        <f t="shared" si="4"/>
        <v/>
      </c>
      <c r="DH18" s="55" t="str">
        <f t="shared" si="4"/>
        <v/>
      </c>
      <c r="DI18" s="55" t="str">
        <f t="shared" si="4"/>
        <v/>
      </c>
      <c r="DJ18" s="55" t="str">
        <f t="shared" si="4"/>
        <v/>
      </c>
      <c r="DK18" s="55" t="str">
        <f t="shared" si="4"/>
        <v/>
      </c>
      <c r="DL18" s="55" t="str">
        <f t="shared" si="4"/>
        <v/>
      </c>
      <c r="DM18" s="55" t="str">
        <f t="shared" si="4"/>
        <v/>
      </c>
      <c r="DN18" s="55" t="str">
        <f t="shared" si="4"/>
        <v/>
      </c>
      <c r="DO18" s="55" t="str">
        <f t="shared" si="4"/>
        <v/>
      </c>
      <c r="DP18" s="55" t="str">
        <f t="shared" si="4"/>
        <v/>
      </c>
      <c r="DQ18" s="55" t="str">
        <f t="shared" si="4"/>
        <v/>
      </c>
      <c r="DR18" s="55" t="str">
        <f t="shared" si="4"/>
        <v/>
      </c>
      <c r="DS18" s="55" t="str">
        <f t="shared" si="4"/>
        <v/>
      </c>
      <c r="DT18" s="106" t="str">
        <f t="shared" si="4"/>
        <v/>
      </c>
      <c r="DU18" s="54"/>
      <c r="DV18" s="25"/>
      <c r="DW18" s="61">
        <f t="shared" ref="DW18:GH21" si="11">IF($B18=DW$12,$O18,"")</f>
        <v>4639.670704225352</v>
      </c>
      <c r="DX18" s="50" t="str">
        <f t="shared" si="11"/>
        <v/>
      </c>
      <c r="DY18" s="50" t="str">
        <f t="shared" si="11"/>
        <v/>
      </c>
      <c r="DZ18" s="50" t="str">
        <f t="shared" si="11"/>
        <v/>
      </c>
      <c r="EA18" s="50" t="str">
        <f t="shared" si="11"/>
        <v/>
      </c>
      <c r="EB18" s="50" t="str">
        <f t="shared" si="11"/>
        <v/>
      </c>
      <c r="EC18" s="50" t="str">
        <f t="shared" si="11"/>
        <v/>
      </c>
      <c r="ED18" s="50" t="str">
        <f t="shared" si="11"/>
        <v/>
      </c>
      <c r="EE18" s="50" t="str">
        <f t="shared" si="11"/>
        <v/>
      </c>
      <c r="EF18" s="50" t="str">
        <f t="shared" si="11"/>
        <v/>
      </c>
      <c r="EG18" s="50" t="str">
        <f t="shared" si="11"/>
        <v/>
      </c>
      <c r="EH18" s="50" t="str">
        <f t="shared" si="11"/>
        <v/>
      </c>
      <c r="EI18" s="50" t="str">
        <f t="shared" si="11"/>
        <v/>
      </c>
      <c r="EJ18" s="50" t="str">
        <f t="shared" si="11"/>
        <v/>
      </c>
      <c r="EK18" s="50" t="str">
        <f t="shared" si="11"/>
        <v/>
      </c>
      <c r="EL18" s="50" t="str">
        <f t="shared" si="11"/>
        <v/>
      </c>
      <c r="EM18" s="50" t="str">
        <f t="shared" si="11"/>
        <v/>
      </c>
      <c r="EN18" s="50" t="str">
        <f t="shared" si="11"/>
        <v/>
      </c>
      <c r="EO18" s="50" t="str">
        <f t="shared" si="11"/>
        <v/>
      </c>
      <c r="EP18" s="50" t="str">
        <f t="shared" si="11"/>
        <v/>
      </c>
      <c r="EQ18" s="50" t="str">
        <f t="shared" si="11"/>
        <v/>
      </c>
      <c r="ER18" s="50" t="str">
        <f t="shared" si="11"/>
        <v/>
      </c>
      <c r="ES18" s="50" t="str">
        <f t="shared" si="11"/>
        <v/>
      </c>
      <c r="ET18" s="50" t="str">
        <f t="shared" si="11"/>
        <v/>
      </c>
      <c r="EU18" s="50" t="str">
        <f t="shared" si="11"/>
        <v/>
      </c>
      <c r="EV18" s="50" t="str">
        <f t="shared" si="11"/>
        <v/>
      </c>
      <c r="EW18" s="50" t="str">
        <f t="shared" si="11"/>
        <v/>
      </c>
      <c r="EX18" s="50" t="str">
        <f t="shared" si="11"/>
        <v/>
      </c>
      <c r="EY18" s="50" t="str">
        <f t="shared" si="11"/>
        <v/>
      </c>
      <c r="EZ18" s="50" t="str">
        <f t="shared" si="11"/>
        <v/>
      </c>
      <c r="FA18" s="50" t="str">
        <f t="shared" si="11"/>
        <v/>
      </c>
      <c r="FB18" s="50" t="str">
        <f t="shared" si="11"/>
        <v/>
      </c>
      <c r="FC18" s="50" t="str">
        <f t="shared" si="11"/>
        <v/>
      </c>
      <c r="FD18" s="50" t="str">
        <f t="shared" si="11"/>
        <v/>
      </c>
      <c r="FE18" s="50" t="str">
        <f t="shared" si="11"/>
        <v/>
      </c>
      <c r="FF18" s="50" t="str">
        <f t="shared" si="11"/>
        <v/>
      </c>
      <c r="FG18" s="50" t="str">
        <f t="shared" si="11"/>
        <v/>
      </c>
      <c r="FH18" s="50" t="str">
        <f t="shared" si="11"/>
        <v/>
      </c>
      <c r="FI18" s="50" t="str">
        <f t="shared" si="11"/>
        <v/>
      </c>
      <c r="FJ18" s="50" t="str">
        <f t="shared" si="11"/>
        <v/>
      </c>
      <c r="FK18" s="50" t="str">
        <f t="shared" si="11"/>
        <v/>
      </c>
      <c r="FL18" s="50" t="str">
        <f t="shared" si="11"/>
        <v/>
      </c>
      <c r="FM18" s="50" t="str">
        <f t="shared" si="11"/>
        <v/>
      </c>
      <c r="FN18" s="50" t="str">
        <f t="shared" si="11"/>
        <v/>
      </c>
      <c r="FO18" s="50" t="str">
        <f t="shared" si="11"/>
        <v/>
      </c>
      <c r="FP18" s="50" t="str">
        <f t="shared" si="11"/>
        <v/>
      </c>
      <c r="FQ18" s="50" t="str">
        <f t="shared" si="11"/>
        <v/>
      </c>
      <c r="FR18" s="50" t="str">
        <f t="shared" si="11"/>
        <v/>
      </c>
      <c r="FS18" s="50" t="str">
        <f t="shared" si="11"/>
        <v/>
      </c>
      <c r="FT18" s="50" t="str">
        <f t="shared" si="11"/>
        <v/>
      </c>
      <c r="FU18" s="50" t="str">
        <f t="shared" si="11"/>
        <v/>
      </c>
      <c r="FV18" s="50" t="str">
        <f t="shared" si="11"/>
        <v/>
      </c>
      <c r="FW18" s="50" t="str">
        <f t="shared" si="11"/>
        <v/>
      </c>
      <c r="FX18" s="50" t="str">
        <f t="shared" si="11"/>
        <v/>
      </c>
      <c r="FY18" s="50" t="str">
        <f t="shared" si="11"/>
        <v/>
      </c>
      <c r="FZ18" s="50" t="str">
        <f t="shared" si="11"/>
        <v/>
      </c>
      <c r="GA18" s="50" t="str">
        <f t="shared" si="11"/>
        <v/>
      </c>
      <c r="GB18" s="50" t="str">
        <f t="shared" si="11"/>
        <v/>
      </c>
      <c r="GC18" s="50" t="str">
        <f t="shared" si="11"/>
        <v/>
      </c>
      <c r="GD18" s="50" t="str">
        <f t="shared" si="11"/>
        <v/>
      </c>
      <c r="GE18" s="50" t="str">
        <f t="shared" si="11"/>
        <v/>
      </c>
      <c r="GF18" s="50" t="str">
        <f t="shared" si="11"/>
        <v/>
      </c>
      <c r="GG18" s="50" t="str">
        <f t="shared" si="11"/>
        <v/>
      </c>
      <c r="GH18" s="50" t="str">
        <f t="shared" si="11"/>
        <v/>
      </c>
      <c r="GI18" s="50" t="str">
        <f t="shared" si="6"/>
        <v/>
      </c>
      <c r="GJ18" s="50" t="str">
        <f t="shared" si="6"/>
        <v/>
      </c>
      <c r="GK18" s="50" t="str">
        <f t="shared" si="6"/>
        <v/>
      </c>
      <c r="GL18" s="50" t="str">
        <f t="shared" si="6"/>
        <v/>
      </c>
      <c r="GM18" s="50" t="str">
        <f t="shared" si="6"/>
        <v/>
      </c>
      <c r="GN18" s="50" t="str">
        <f t="shared" si="6"/>
        <v/>
      </c>
      <c r="GO18" s="50" t="str">
        <f t="shared" si="6"/>
        <v/>
      </c>
      <c r="GP18" s="50" t="str">
        <f t="shared" si="6"/>
        <v/>
      </c>
      <c r="GQ18" s="50" t="str">
        <f t="shared" si="6"/>
        <v/>
      </c>
      <c r="GR18" s="50" t="str">
        <f t="shared" si="6"/>
        <v/>
      </c>
      <c r="GS18" s="50" t="str">
        <f t="shared" si="6"/>
        <v/>
      </c>
      <c r="GT18" s="50" t="str">
        <f t="shared" si="6"/>
        <v/>
      </c>
      <c r="GU18" s="50" t="str">
        <f t="shared" si="6"/>
        <v/>
      </c>
      <c r="GV18" s="50" t="str">
        <f t="shared" si="6"/>
        <v/>
      </c>
      <c r="GW18" s="50" t="str">
        <f t="shared" si="6"/>
        <v/>
      </c>
      <c r="GX18" s="50" t="str">
        <f t="shared" si="6"/>
        <v/>
      </c>
      <c r="GY18" s="50" t="str">
        <f t="shared" si="6"/>
        <v/>
      </c>
      <c r="GZ18" s="50" t="str">
        <f t="shared" si="6"/>
        <v/>
      </c>
      <c r="HA18" s="50" t="str">
        <f t="shared" si="6"/>
        <v/>
      </c>
      <c r="HB18" s="50" t="str">
        <f t="shared" si="6"/>
        <v/>
      </c>
      <c r="HC18" s="50" t="str">
        <f t="shared" si="6"/>
        <v/>
      </c>
      <c r="HD18" s="50" t="str">
        <f t="shared" si="6"/>
        <v/>
      </c>
      <c r="HE18" s="50" t="str">
        <f t="shared" si="6"/>
        <v/>
      </c>
      <c r="HF18" s="50" t="str">
        <f t="shared" si="6"/>
        <v/>
      </c>
      <c r="HG18" s="50" t="str">
        <f t="shared" si="6"/>
        <v/>
      </c>
      <c r="HH18" s="50" t="str">
        <f t="shared" si="6"/>
        <v/>
      </c>
      <c r="HI18" s="50" t="str">
        <f t="shared" si="6"/>
        <v/>
      </c>
      <c r="HJ18" s="50" t="str">
        <f t="shared" si="6"/>
        <v/>
      </c>
      <c r="HK18" s="50" t="str">
        <f t="shared" si="6"/>
        <v/>
      </c>
      <c r="HL18" s="50" t="str">
        <f t="shared" si="6"/>
        <v/>
      </c>
      <c r="HM18" s="50" t="str">
        <f t="shared" si="6"/>
        <v/>
      </c>
      <c r="HN18" s="50" t="str">
        <f t="shared" si="6"/>
        <v/>
      </c>
      <c r="HO18" s="50" t="str">
        <f t="shared" si="6"/>
        <v/>
      </c>
      <c r="HP18" s="50" t="str">
        <f t="shared" si="6"/>
        <v/>
      </c>
      <c r="HQ18" s="50" t="str">
        <f t="shared" si="6"/>
        <v/>
      </c>
      <c r="HR18" s="112" t="str">
        <f t="shared" si="6"/>
        <v/>
      </c>
    </row>
    <row r="19" spans="1:226" ht="11.1" customHeight="1" x14ac:dyDescent="0.25">
      <c r="A19" s="26" t="s">
        <v>32</v>
      </c>
      <c r="B19" s="145">
        <v>1</v>
      </c>
      <c r="C19" s="28" t="str">
        <f>IF(A19=0,"",VLOOKUP(A19,[2]CO!$A$3:$F$5327,2,0))</f>
        <v>Repellado de hormigon, piso o concreto c/lechada</v>
      </c>
      <c r="D19" s="149"/>
      <c r="E19" s="29"/>
      <c r="F19" s="29"/>
      <c r="G19" s="30" t="str">
        <f>IF(A19=0,"",VLOOKUP(A19,[2]CO!$A$3:$F$5327,3,0))</f>
        <v>M2</v>
      </c>
      <c r="H19" s="142"/>
      <c r="I19" s="143">
        <v>21.4</v>
      </c>
      <c r="J19" s="143">
        <v>1.95</v>
      </c>
      <c r="K19" s="143"/>
      <c r="L19" s="143">
        <v>1</v>
      </c>
      <c r="M19" s="32">
        <f t="shared" si="0"/>
        <v>41.73</v>
      </c>
      <c r="N19" s="32">
        <f>IF(B19=0,"",IF(H19="M",HLOOKUP(B19,$Y$12:$DT$13,2),IF(A19=0,"",VLOOKUP(A19,[2]CO!$A$3:$F$5327,4,0))))</f>
        <v>26.313333333333333</v>
      </c>
      <c r="O19" s="32">
        <f t="shared" si="7"/>
        <v>1098.0554</v>
      </c>
      <c r="P19" s="33"/>
      <c r="Q19" s="34" t="str">
        <f t="shared" si="1"/>
        <v/>
      </c>
      <c r="R19" s="3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RESIDENTE"),VLOOKUP(B19,P$14:Q$64,2),"")*S19)</f>
        <v/>
      </c>
      <c r="T19" s="53">
        <f>IF(A19=0,"",VLOOKUP(A19,[2]CO!$A$3:$F$5318,5,0))</f>
        <v>1</v>
      </c>
      <c r="U19" s="54">
        <f t="shared" si="2"/>
        <v>109.80554000000001</v>
      </c>
      <c r="V19" s="24"/>
      <c r="W19" s="25"/>
      <c r="X19" s="25"/>
      <c r="Y19" s="64">
        <f t="shared" si="10"/>
        <v>109.80554000000001</v>
      </c>
      <c r="Z19" s="55" t="str">
        <f t="shared" si="10"/>
        <v/>
      </c>
      <c r="AA19" s="55" t="str">
        <f t="shared" si="10"/>
        <v/>
      </c>
      <c r="AB19" s="55" t="str">
        <f t="shared" si="10"/>
        <v/>
      </c>
      <c r="AC19" s="55" t="str">
        <f t="shared" si="10"/>
        <v/>
      </c>
      <c r="AD19" s="55" t="str">
        <f t="shared" si="10"/>
        <v/>
      </c>
      <c r="AE19" s="55" t="str">
        <f t="shared" si="10"/>
        <v/>
      </c>
      <c r="AF19" s="55" t="str">
        <f t="shared" si="10"/>
        <v/>
      </c>
      <c r="AG19" s="55" t="str">
        <f t="shared" si="10"/>
        <v/>
      </c>
      <c r="AH19" s="55" t="str">
        <f t="shared" si="10"/>
        <v/>
      </c>
      <c r="AI19" s="55" t="str">
        <f t="shared" si="10"/>
        <v/>
      </c>
      <c r="AJ19" s="55" t="str">
        <f t="shared" si="10"/>
        <v/>
      </c>
      <c r="AK19" s="55" t="str">
        <f t="shared" si="10"/>
        <v/>
      </c>
      <c r="AL19" s="55" t="str">
        <f t="shared" si="10"/>
        <v/>
      </c>
      <c r="AM19" s="55" t="str">
        <f t="shared" si="10"/>
        <v/>
      </c>
      <c r="AN19" s="55" t="str">
        <f t="shared" si="10"/>
        <v/>
      </c>
      <c r="AO19" s="55" t="str">
        <f t="shared" si="10"/>
        <v/>
      </c>
      <c r="AP19" s="55" t="str">
        <f t="shared" si="10"/>
        <v/>
      </c>
      <c r="AQ19" s="55" t="str">
        <f t="shared" si="10"/>
        <v/>
      </c>
      <c r="AR19" s="55" t="str">
        <f t="shared" si="10"/>
        <v/>
      </c>
      <c r="AS19" s="55" t="str">
        <f t="shared" si="10"/>
        <v/>
      </c>
      <c r="AT19" s="55" t="str">
        <f t="shared" si="10"/>
        <v/>
      </c>
      <c r="AU19" s="55" t="str">
        <f t="shared" si="10"/>
        <v/>
      </c>
      <c r="AV19" s="55" t="str">
        <f t="shared" si="10"/>
        <v/>
      </c>
      <c r="AW19" s="55" t="str">
        <f t="shared" si="10"/>
        <v/>
      </c>
      <c r="AX19" s="55" t="str">
        <f t="shared" si="10"/>
        <v/>
      </c>
      <c r="AY19" s="55" t="str">
        <f t="shared" si="10"/>
        <v/>
      </c>
      <c r="AZ19" s="55" t="str">
        <f t="shared" si="10"/>
        <v/>
      </c>
      <c r="BA19" s="55" t="str">
        <f t="shared" si="10"/>
        <v/>
      </c>
      <c r="BB19" s="55" t="str">
        <f t="shared" si="10"/>
        <v/>
      </c>
      <c r="BC19" s="55" t="str">
        <f t="shared" si="10"/>
        <v/>
      </c>
      <c r="BD19" s="55" t="str">
        <f t="shared" si="10"/>
        <v/>
      </c>
      <c r="BE19" s="55" t="str">
        <f t="shared" si="10"/>
        <v/>
      </c>
      <c r="BF19" s="55" t="str">
        <f t="shared" si="10"/>
        <v/>
      </c>
      <c r="BG19" s="55" t="str">
        <f t="shared" si="10"/>
        <v/>
      </c>
      <c r="BH19" s="55" t="str">
        <f t="shared" si="10"/>
        <v/>
      </c>
      <c r="BI19" s="55" t="str">
        <f t="shared" si="10"/>
        <v/>
      </c>
      <c r="BJ19" s="55" t="str">
        <f t="shared" si="10"/>
        <v/>
      </c>
      <c r="BK19" s="55" t="str">
        <f t="shared" si="10"/>
        <v/>
      </c>
      <c r="BL19" s="55" t="str">
        <f t="shared" si="10"/>
        <v/>
      </c>
      <c r="BM19" s="55" t="str">
        <f t="shared" si="10"/>
        <v/>
      </c>
      <c r="BN19" s="55" t="str">
        <f t="shared" si="10"/>
        <v/>
      </c>
      <c r="BO19" s="55" t="str">
        <f t="shared" si="10"/>
        <v/>
      </c>
      <c r="BP19" s="55" t="str">
        <f t="shared" si="10"/>
        <v/>
      </c>
      <c r="BQ19" s="55" t="str">
        <f t="shared" si="10"/>
        <v/>
      </c>
      <c r="BR19" s="55" t="str">
        <f t="shared" si="10"/>
        <v/>
      </c>
      <c r="BS19" s="55" t="str">
        <f t="shared" si="10"/>
        <v/>
      </c>
      <c r="BT19" s="55" t="str">
        <f t="shared" si="10"/>
        <v/>
      </c>
      <c r="BU19" s="55" t="str">
        <f t="shared" si="10"/>
        <v/>
      </c>
      <c r="BV19" s="55" t="str">
        <f t="shared" si="10"/>
        <v/>
      </c>
      <c r="BW19" s="55" t="str">
        <f t="shared" si="10"/>
        <v/>
      </c>
      <c r="BX19" s="55" t="str">
        <f t="shared" si="10"/>
        <v/>
      </c>
      <c r="BY19" s="55" t="str">
        <f t="shared" si="10"/>
        <v/>
      </c>
      <c r="BZ19" s="55" t="str">
        <f t="shared" si="10"/>
        <v/>
      </c>
      <c r="CA19" s="55" t="str">
        <f t="shared" si="10"/>
        <v/>
      </c>
      <c r="CB19" s="55" t="str">
        <f t="shared" si="10"/>
        <v/>
      </c>
      <c r="CC19" s="55" t="str">
        <f t="shared" si="10"/>
        <v/>
      </c>
      <c r="CD19" s="55" t="str">
        <f t="shared" si="10"/>
        <v/>
      </c>
      <c r="CE19" s="55" t="str">
        <f t="shared" si="10"/>
        <v/>
      </c>
      <c r="CF19" s="55" t="str">
        <f t="shared" si="10"/>
        <v/>
      </c>
      <c r="CG19" s="55" t="str">
        <f t="shared" si="10"/>
        <v/>
      </c>
      <c r="CH19" s="55" t="str">
        <f t="shared" si="10"/>
        <v/>
      </c>
      <c r="CI19" s="55" t="str">
        <f t="shared" si="10"/>
        <v/>
      </c>
      <c r="CJ19" s="55" t="str">
        <f t="shared" si="10"/>
        <v/>
      </c>
      <c r="CK19" s="55" t="str">
        <f t="shared" si="4"/>
        <v/>
      </c>
      <c r="CL19" s="55" t="str">
        <f t="shared" si="4"/>
        <v/>
      </c>
      <c r="CM19" s="55" t="str">
        <f t="shared" si="4"/>
        <v/>
      </c>
      <c r="CN19" s="55" t="str">
        <f t="shared" si="4"/>
        <v/>
      </c>
      <c r="CO19" s="55" t="str">
        <f t="shared" si="4"/>
        <v/>
      </c>
      <c r="CP19" s="55" t="str">
        <f t="shared" si="4"/>
        <v/>
      </c>
      <c r="CQ19" s="55" t="str">
        <f t="shared" si="4"/>
        <v/>
      </c>
      <c r="CR19" s="55" t="str">
        <f t="shared" si="4"/>
        <v/>
      </c>
      <c r="CS19" s="55" t="str">
        <f t="shared" si="4"/>
        <v/>
      </c>
      <c r="CT19" s="55" t="str">
        <f t="shared" si="4"/>
        <v/>
      </c>
      <c r="CU19" s="55" t="str">
        <f t="shared" si="4"/>
        <v/>
      </c>
      <c r="CV19" s="55" t="str">
        <f t="shared" si="4"/>
        <v/>
      </c>
      <c r="CW19" s="55" t="str">
        <f t="shared" si="4"/>
        <v/>
      </c>
      <c r="CX19" s="55" t="str">
        <f t="shared" si="4"/>
        <v/>
      </c>
      <c r="CY19" s="55" t="str">
        <f t="shared" si="4"/>
        <v/>
      </c>
      <c r="CZ19" s="55" t="str">
        <f t="shared" si="4"/>
        <v/>
      </c>
      <c r="DA19" s="55" t="str">
        <f t="shared" si="4"/>
        <v/>
      </c>
      <c r="DB19" s="55" t="str">
        <f t="shared" si="4"/>
        <v/>
      </c>
      <c r="DC19" s="55" t="str">
        <f t="shared" si="4"/>
        <v/>
      </c>
      <c r="DD19" s="55" t="str">
        <f t="shared" si="4"/>
        <v/>
      </c>
      <c r="DE19" s="55" t="str">
        <f t="shared" si="4"/>
        <v/>
      </c>
      <c r="DF19" s="55" t="str">
        <f t="shared" si="4"/>
        <v/>
      </c>
      <c r="DG19" s="55" t="str">
        <f t="shared" si="4"/>
        <v/>
      </c>
      <c r="DH19" s="55" t="str">
        <f t="shared" si="4"/>
        <v/>
      </c>
      <c r="DI19" s="55" t="str">
        <f t="shared" si="4"/>
        <v/>
      </c>
      <c r="DJ19" s="55" t="str">
        <f t="shared" si="4"/>
        <v/>
      </c>
      <c r="DK19" s="55" t="str">
        <f t="shared" si="4"/>
        <v/>
      </c>
      <c r="DL19" s="55" t="str">
        <f t="shared" si="4"/>
        <v/>
      </c>
      <c r="DM19" s="55" t="str">
        <f t="shared" si="4"/>
        <v/>
      </c>
      <c r="DN19" s="55" t="str">
        <f t="shared" si="4"/>
        <v/>
      </c>
      <c r="DO19" s="55" t="str">
        <f t="shared" si="4"/>
        <v/>
      </c>
      <c r="DP19" s="55" t="str">
        <f t="shared" si="4"/>
        <v/>
      </c>
      <c r="DQ19" s="55" t="str">
        <f t="shared" si="4"/>
        <v/>
      </c>
      <c r="DR19" s="55" t="str">
        <f t="shared" si="4"/>
        <v/>
      </c>
      <c r="DS19" s="55" t="str">
        <f t="shared" si="4"/>
        <v/>
      </c>
      <c r="DT19" s="106" t="str">
        <f t="shared" si="4"/>
        <v/>
      </c>
      <c r="DU19" s="54"/>
      <c r="DV19" s="25"/>
      <c r="DW19" s="61">
        <f t="shared" si="11"/>
        <v>1098.0554</v>
      </c>
      <c r="DX19" s="50" t="str">
        <f t="shared" si="11"/>
        <v/>
      </c>
      <c r="DY19" s="50" t="str">
        <f t="shared" si="11"/>
        <v/>
      </c>
      <c r="DZ19" s="50" t="str">
        <f t="shared" si="11"/>
        <v/>
      </c>
      <c r="EA19" s="50" t="str">
        <f t="shared" si="11"/>
        <v/>
      </c>
      <c r="EB19" s="50" t="str">
        <f t="shared" si="11"/>
        <v/>
      </c>
      <c r="EC19" s="50" t="str">
        <f t="shared" si="11"/>
        <v/>
      </c>
      <c r="ED19" s="50" t="str">
        <f t="shared" si="11"/>
        <v/>
      </c>
      <c r="EE19" s="50" t="str">
        <f t="shared" si="11"/>
        <v/>
      </c>
      <c r="EF19" s="50" t="str">
        <f t="shared" si="11"/>
        <v/>
      </c>
      <c r="EG19" s="50" t="str">
        <f t="shared" si="11"/>
        <v/>
      </c>
      <c r="EH19" s="50" t="str">
        <f t="shared" si="11"/>
        <v/>
      </c>
      <c r="EI19" s="50" t="str">
        <f t="shared" si="11"/>
        <v/>
      </c>
      <c r="EJ19" s="50" t="str">
        <f t="shared" si="11"/>
        <v/>
      </c>
      <c r="EK19" s="50" t="str">
        <f t="shared" si="11"/>
        <v/>
      </c>
      <c r="EL19" s="50" t="str">
        <f t="shared" si="11"/>
        <v/>
      </c>
      <c r="EM19" s="50" t="str">
        <f t="shared" si="11"/>
        <v/>
      </c>
      <c r="EN19" s="50" t="str">
        <f t="shared" si="11"/>
        <v/>
      </c>
      <c r="EO19" s="50" t="str">
        <f t="shared" si="11"/>
        <v/>
      </c>
      <c r="EP19" s="50" t="str">
        <f t="shared" si="11"/>
        <v/>
      </c>
      <c r="EQ19" s="50" t="str">
        <f t="shared" si="11"/>
        <v/>
      </c>
      <c r="ER19" s="50" t="str">
        <f t="shared" si="11"/>
        <v/>
      </c>
      <c r="ES19" s="50" t="str">
        <f t="shared" si="11"/>
        <v/>
      </c>
      <c r="ET19" s="50" t="str">
        <f t="shared" si="11"/>
        <v/>
      </c>
      <c r="EU19" s="50" t="str">
        <f t="shared" si="11"/>
        <v/>
      </c>
      <c r="EV19" s="50" t="str">
        <f t="shared" si="11"/>
        <v/>
      </c>
      <c r="EW19" s="50" t="str">
        <f t="shared" si="11"/>
        <v/>
      </c>
      <c r="EX19" s="50" t="str">
        <f t="shared" si="11"/>
        <v/>
      </c>
      <c r="EY19" s="50" t="str">
        <f t="shared" si="11"/>
        <v/>
      </c>
      <c r="EZ19" s="50" t="str">
        <f t="shared" si="11"/>
        <v/>
      </c>
      <c r="FA19" s="50" t="str">
        <f t="shared" si="11"/>
        <v/>
      </c>
      <c r="FB19" s="50" t="str">
        <f t="shared" si="11"/>
        <v/>
      </c>
      <c r="FC19" s="50" t="str">
        <f t="shared" si="11"/>
        <v/>
      </c>
      <c r="FD19" s="50" t="str">
        <f t="shared" si="11"/>
        <v/>
      </c>
      <c r="FE19" s="50" t="str">
        <f t="shared" si="11"/>
        <v/>
      </c>
      <c r="FF19" s="50" t="str">
        <f t="shared" si="11"/>
        <v/>
      </c>
      <c r="FG19" s="50" t="str">
        <f t="shared" si="11"/>
        <v/>
      </c>
      <c r="FH19" s="50" t="str">
        <f t="shared" si="11"/>
        <v/>
      </c>
      <c r="FI19" s="50" t="str">
        <f t="shared" si="11"/>
        <v/>
      </c>
      <c r="FJ19" s="50" t="str">
        <f t="shared" si="11"/>
        <v/>
      </c>
      <c r="FK19" s="50" t="str">
        <f t="shared" si="11"/>
        <v/>
      </c>
      <c r="FL19" s="50" t="str">
        <f t="shared" si="11"/>
        <v/>
      </c>
      <c r="FM19" s="50" t="str">
        <f t="shared" si="11"/>
        <v/>
      </c>
      <c r="FN19" s="50" t="str">
        <f t="shared" si="11"/>
        <v/>
      </c>
      <c r="FO19" s="50" t="str">
        <f t="shared" si="11"/>
        <v/>
      </c>
      <c r="FP19" s="50" t="str">
        <f t="shared" si="11"/>
        <v/>
      </c>
      <c r="FQ19" s="50" t="str">
        <f t="shared" si="11"/>
        <v/>
      </c>
      <c r="FR19" s="50" t="str">
        <f t="shared" si="11"/>
        <v/>
      </c>
      <c r="FS19" s="50" t="str">
        <f t="shared" si="11"/>
        <v/>
      </c>
      <c r="FT19" s="50" t="str">
        <f t="shared" si="11"/>
        <v/>
      </c>
      <c r="FU19" s="50" t="str">
        <f t="shared" si="11"/>
        <v/>
      </c>
      <c r="FV19" s="50" t="str">
        <f t="shared" si="11"/>
        <v/>
      </c>
      <c r="FW19" s="50" t="str">
        <f t="shared" si="11"/>
        <v/>
      </c>
      <c r="FX19" s="50" t="str">
        <f t="shared" si="11"/>
        <v/>
      </c>
      <c r="FY19" s="50" t="str">
        <f t="shared" si="11"/>
        <v/>
      </c>
      <c r="FZ19" s="50" t="str">
        <f t="shared" si="11"/>
        <v/>
      </c>
      <c r="GA19" s="50" t="str">
        <f t="shared" si="11"/>
        <v/>
      </c>
      <c r="GB19" s="50" t="str">
        <f t="shared" si="11"/>
        <v/>
      </c>
      <c r="GC19" s="50" t="str">
        <f t="shared" si="11"/>
        <v/>
      </c>
      <c r="GD19" s="50" t="str">
        <f t="shared" si="11"/>
        <v/>
      </c>
      <c r="GE19" s="50" t="str">
        <f t="shared" si="11"/>
        <v/>
      </c>
      <c r="GF19" s="50" t="str">
        <f t="shared" si="11"/>
        <v/>
      </c>
      <c r="GG19" s="50" t="str">
        <f t="shared" si="11"/>
        <v/>
      </c>
      <c r="GH19" s="50" t="str">
        <f t="shared" si="11"/>
        <v/>
      </c>
      <c r="GI19" s="50" t="str">
        <f t="shared" si="6"/>
        <v/>
      </c>
      <c r="GJ19" s="50" t="str">
        <f t="shared" si="6"/>
        <v/>
      </c>
      <c r="GK19" s="50" t="str">
        <f t="shared" si="6"/>
        <v/>
      </c>
      <c r="GL19" s="50" t="str">
        <f t="shared" si="6"/>
        <v/>
      </c>
      <c r="GM19" s="50" t="str">
        <f t="shared" si="6"/>
        <v/>
      </c>
      <c r="GN19" s="50" t="str">
        <f t="shared" si="6"/>
        <v/>
      </c>
      <c r="GO19" s="50" t="str">
        <f t="shared" si="6"/>
        <v/>
      </c>
      <c r="GP19" s="50" t="str">
        <f t="shared" si="6"/>
        <v/>
      </c>
      <c r="GQ19" s="50" t="str">
        <f t="shared" si="6"/>
        <v/>
      </c>
      <c r="GR19" s="50" t="str">
        <f t="shared" si="6"/>
        <v/>
      </c>
      <c r="GS19" s="50" t="str">
        <f t="shared" si="6"/>
        <v/>
      </c>
      <c r="GT19" s="50" t="str">
        <f t="shared" si="6"/>
        <v/>
      </c>
      <c r="GU19" s="50" t="str">
        <f t="shared" si="6"/>
        <v/>
      </c>
      <c r="GV19" s="50" t="str">
        <f t="shared" si="6"/>
        <v/>
      </c>
      <c r="GW19" s="50" t="str">
        <f t="shared" si="6"/>
        <v/>
      </c>
      <c r="GX19" s="50" t="str">
        <f t="shared" si="6"/>
        <v/>
      </c>
      <c r="GY19" s="50" t="str">
        <f t="shared" si="6"/>
        <v/>
      </c>
      <c r="GZ19" s="50" t="str">
        <f t="shared" si="6"/>
        <v/>
      </c>
      <c r="HA19" s="50" t="str">
        <f t="shared" si="6"/>
        <v/>
      </c>
      <c r="HB19" s="50" t="str">
        <f t="shared" si="6"/>
        <v/>
      </c>
      <c r="HC19" s="50" t="str">
        <f t="shared" si="6"/>
        <v/>
      </c>
      <c r="HD19" s="50" t="str">
        <f t="shared" si="6"/>
        <v/>
      </c>
      <c r="HE19" s="50" t="str">
        <f t="shared" si="6"/>
        <v/>
      </c>
      <c r="HF19" s="50" t="str">
        <f t="shared" si="6"/>
        <v/>
      </c>
      <c r="HG19" s="50" t="str">
        <f t="shared" si="6"/>
        <v/>
      </c>
      <c r="HH19" s="50" t="str">
        <f t="shared" si="6"/>
        <v/>
      </c>
      <c r="HI19" s="50" t="str">
        <f t="shared" si="6"/>
        <v/>
      </c>
      <c r="HJ19" s="50" t="str">
        <f t="shared" si="6"/>
        <v/>
      </c>
      <c r="HK19" s="50" t="str">
        <f t="shared" si="6"/>
        <v/>
      </c>
      <c r="HL19" s="50" t="str">
        <f t="shared" si="6"/>
        <v/>
      </c>
      <c r="HM19" s="50" t="str">
        <f t="shared" si="6"/>
        <v/>
      </c>
      <c r="HN19" s="50" t="str">
        <f t="shared" si="6"/>
        <v/>
      </c>
      <c r="HO19" s="50" t="str">
        <f t="shared" si="6"/>
        <v/>
      </c>
      <c r="HP19" s="50" t="str">
        <f t="shared" si="6"/>
        <v/>
      </c>
      <c r="HQ19" s="50" t="str">
        <f t="shared" si="6"/>
        <v/>
      </c>
      <c r="HR19" s="112" t="str">
        <f t="shared" si="6"/>
        <v/>
      </c>
    </row>
    <row r="20" spans="1:226" ht="11.1" customHeight="1" x14ac:dyDescent="0.25">
      <c r="A20" s="26"/>
      <c r="B20" s="145"/>
      <c r="C20" s="28" t="str">
        <f>IF(A20=0,"",VLOOKUP(A20,[2]CO!$A$3:$F$5327,2,0))</f>
        <v/>
      </c>
      <c r="D20" s="178" t="s">
        <v>33</v>
      </c>
      <c r="E20" s="29"/>
      <c r="F20" s="29"/>
      <c r="G20" s="30" t="str">
        <f>IF(A20=0,"",VLOOKUP(A20,[2]CO!$A$3:$F$5327,3,0))</f>
        <v/>
      </c>
      <c r="H20" s="142"/>
      <c r="I20" s="143"/>
      <c r="J20" s="143"/>
      <c r="K20" s="143"/>
      <c r="L20" s="143"/>
      <c r="M20" s="32" t="str">
        <f t="shared" si="0"/>
        <v/>
      </c>
      <c r="N20" s="32" t="str">
        <f>IF(B20=0,"",IF(H20="M",HLOOKUP(B20,$Y$12:$DT$13,2),IF(A20=0,"",VLOOKUP(A20,[2]CO!$A$3:$F$5327,4,0))))</f>
        <v/>
      </c>
      <c r="O20" s="32" t="str">
        <f t="shared" si="7"/>
        <v/>
      </c>
      <c r="P20" s="33"/>
      <c r="Q20" s="34" t="str">
        <f t="shared" si="1"/>
        <v/>
      </c>
      <c r="R20" s="3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RESIDENTE"),VLOOKUP(B20,P$14:Q$64,2),"")*S20)</f>
        <v/>
      </c>
      <c r="T20" s="53" t="str">
        <f>IF(A20=0,"",VLOOKUP(A20,[2]CO!$A$3:$F$5318,5,0))</f>
        <v/>
      </c>
      <c r="U20" s="54">
        <f t="shared" si="2"/>
        <v>0</v>
      </c>
      <c r="V20" s="24"/>
      <c r="W20" s="25"/>
      <c r="X20" s="25"/>
      <c r="Y20" s="64" t="str">
        <f t="shared" si="10"/>
        <v/>
      </c>
      <c r="Z20" s="55" t="str">
        <f t="shared" si="10"/>
        <v/>
      </c>
      <c r="AA20" s="55" t="str">
        <f t="shared" si="10"/>
        <v/>
      </c>
      <c r="AB20" s="55" t="str">
        <f t="shared" si="10"/>
        <v/>
      </c>
      <c r="AC20" s="55" t="str">
        <f t="shared" si="10"/>
        <v/>
      </c>
      <c r="AD20" s="55" t="str">
        <f t="shared" si="10"/>
        <v/>
      </c>
      <c r="AE20" s="55" t="str">
        <f t="shared" si="10"/>
        <v/>
      </c>
      <c r="AF20" s="55" t="str">
        <f t="shared" si="10"/>
        <v/>
      </c>
      <c r="AG20" s="55" t="str">
        <f t="shared" si="10"/>
        <v/>
      </c>
      <c r="AH20" s="55" t="str">
        <f t="shared" si="10"/>
        <v/>
      </c>
      <c r="AI20" s="55" t="str">
        <f t="shared" si="10"/>
        <v/>
      </c>
      <c r="AJ20" s="55" t="str">
        <f t="shared" si="10"/>
        <v/>
      </c>
      <c r="AK20" s="55" t="str">
        <f t="shared" si="10"/>
        <v/>
      </c>
      <c r="AL20" s="55" t="str">
        <f t="shared" si="10"/>
        <v/>
      </c>
      <c r="AM20" s="55" t="str">
        <f t="shared" si="10"/>
        <v/>
      </c>
      <c r="AN20" s="55" t="str">
        <f t="shared" si="10"/>
        <v/>
      </c>
      <c r="AO20" s="55" t="str">
        <f t="shared" si="10"/>
        <v/>
      </c>
      <c r="AP20" s="55" t="str">
        <f t="shared" si="10"/>
        <v/>
      </c>
      <c r="AQ20" s="55" t="str">
        <f t="shared" si="10"/>
        <v/>
      </c>
      <c r="AR20" s="55" t="str">
        <f t="shared" si="10"/>
        <v/>
      </c>
      <c r="AS20" s="55" t="str">
        <f t="shared" si="10"/>
        <v/>
      </c>
      <c r="AT20" s="55" t="str">
        <f t="shared" si="10"/>
        <v/>
      </c>
      <c r="AU20" s="55" t="str">
        <f t="shared" si="10"/>
        <v/>
      </c>
      <c r="AV20" s="55" t="str">
        <f t="shared" si="10"/>
        <v/>
      </c>
      <c r="AW20" s="55" t="str">
        <f t="shared" si="10"/>
        <v/>
      </c>
      <c r="AX20" s="55" t="str">
        <f t="shared" si="10"/>
        <v/>
      </c>
      <c r="AY20" s="55" t="str">
        <f t="shared" si="10"/>
        <v/>
      </c>
      <c r="AZ20" s="55" t="str">
        <f t="shared" si="10"/>
        <v/>
      </c>
      <c r="BA20" s="55" t="str">
        <f t="shared" si="10"/>
        <v/>
      </c>
      <c r="BB20" s="55" t="str">
        <f t="shared" si="10"/>
        <v/>
      </c>
      <c r="BC20" s="55" t="str">
        <f t="shared" si="10"/>
        <v/>
      </c>
      <c r="BD20" s="55" t="str">
        <f t="shared" si="10"/>
        <v/>
      </c>
      <c r="BE20" s="55" t="str">
        <f t="shared" si="10"/>
        <v/>
      </c>
      <c r="BF20" s="55" t="str">
        <f t="shared" si="10"/>
        <v/>
      </c>
      <c r="BG20" s="55" t="str">
        <f t="shared" si="10"/>
        <v/>
      </c>
      <c r="BH20" s="55" t="str">
        <f t="shared" si="10"/>
        <v/>
      </c>
      <c r="BI20" s="55" t="str">
        <f t="shared" si="10"/>
        <v/>
      </c>
      <c r="BJ20" s="55" t="str">
        <f t="shared" si="10"/>
        <v/>
      </c>
      <c r="BK20" s="55" t="str">
        <f t="shared" si="10"/>
        <v/>
      </c>
      <c r="BL20" s="55" t="str">
        <f t="shared" si="10"/>
        <v/>
      </c>
      <c r="BM20" s="55" t="str">
        <f t="shared" si="10"/>
        <v/>
      </c>
      <c r="BN20" s="55" t="str">
        <f t="shared" si="10"/>
        <v/>
      </c>
      <c r="BO20" s="55" t="str">
        <f t="shared" si="10"/>
        <v/>
      </c>
      <c r="BP20" s="55" t="str">
        <f t="shared" si="10"/>
        <v/>
      </c>
      <c r="BQ20" s="55" t="str">
        <f t="shared" si="10"/>
        <v/>
      </c>
      <c r="BR20" s="55" t="str">
        <f t="shared" si="10"/>
        <v/>
      </c>
      <c r="BS20" s="55" t="str">
        <f t="shared" si="10"/>
        <v/>
      </c>
      <c r="BT20" s="55" t="str">
        <f t="shared" si="10"/>
        <v/>
      </c>
      <c r="BU20" s="55" t="str">
        <f t="shared" si="10"/>
        <v/>
      </c>
      <c r="BV20" s="55" t="str">
        <f t="shared" si="10"/>
        <v/>
      </c>
      <c r="BW20" s="55" t="str">
        <f t="shared" si="10"/>
        <v/>
      </c>
      <c r="BX20" s="55" t="str">
        <f t="shared" si="10"/>
        <v/>
      </c>
      <c r="BY20" s="55" t="str">
        <f t="shared" si="10"/>
        <v/>
      </c>
      <c r="BZ20" s="55" t="str">
        <f t="shared" si="10"/>
        <v/>
      </c>
      <c r="CA20" s="55" t="str">
        <f t="shared" si="10"/>
        <v/>
      </c>
      <c r="CB20" s="55" t="str">
        <f t="shared" si="10"/>
        <v/>
      </c>
      <c r="CC20" s="55" t="str">
        <f t="shared" si="10"/>
        <v/>
      </c>
      <c r="CD20" s="55" t="str">
        <f t="shared" si="10"/>
        <v/>
      </c>
      <c r="CE20" s="55" t="str">
        <f t="shared" si="10"/>
        <v/>
      </c>
      <c r="CF20" s="55" t="str">
        <f t="shared" si="10"/>
        <v/>
      </c>
      <c r="CG20" s="55" t="str">
        <f t="shared" si="10"/>
        <v/>
      </c>
      <c r="CH20" s="55" t="str">
        <f t="shared" si="10"/>
        <v/>
      </c>
      <c r="CI20" s="55" t="str">
        <f t="shared" si="10"/>
        <v/>
      </c>
      <c r="CJ20" s="55" t="str">
        <f t="shared" si="10"/>
        <v/>
      </c>
      <c r="CK20" s="55" t="str">
        <f t="shared" si="4"/>
        <v/>
      </c>
      <c r="CL20" s="55" t="str">
        <f t="shared" si="4"/>
        <v/>
      </c>
      <c r="CM20" s="55" t="str">
        <f t="shared" si="4"/>
        <v/>
      </c>
      <c r="CN20" s="55" t="str">
        <f t="shared" si="4"/>
        <v/>
      </c>
      <c r="CO20" s="55" t="str">
        <f t="shared" si="4"/>
        <v/>
      </c>
      <c r="CP20" s="55" t="str">
        <f t="shared" si="4"/>
        <v/>
      </c>
      <c r="CQ20" s="55" t="str">
        <f t="shared" si="4"/>
        <v/>
      </c>
      <c r="CR20" s="55" t="str">
        <f t="shared" si="4"/>
        <v/>
      </c>
      <c r="CS20" s="55" t="str">
        <f t="shared" si="4"/>
        <v/>
      </c>
      <c r="CT20" s="55" t="str">
        <f t="shared" si="4"/>
        <v/>
      </c>
      <c r="CU20" s="55" t="str">
        <f t="shared" si="4"/>
        <v/>
      </c>
      <c r="CV20" s="55" t="str">
        <f t="shared" si="4"/>
        <v/>
      </c>
      <c r="CW20" s="55" t="str">
        <f t="shared" si="4"/>
        <v/>
      </c>
      <c r="CX20" s="55" t="str">
        <f t="shared" si="4"/>
        <v/>
      </c>
      <c r="CY20" s="55" t="str">
        <f t="shared" si="4"/>
        <v/>
      </c>
      <c r="CZ20" s="55" t="str">
        <f t="shared" si="4"/>
        <v/>
      </c>
      <c r="DA20" s="55" t="str">
        <f t="shared" si="4"/>
        <v/>
      </c>
      <c r="DB20" s="55" t="str">
        <f t="shared" si="4"/>
        <v/>
      </c>
      <c r="DC20" s="55" t="str">
        <f t="shared" si="4"/>
        <v/>
      </c>
      <c r="DD20" s="55" t="str">
        <f t="shared" si="4"/>
        <v/>
      </c>
      <c r="DE20" s="55" t="str">
        <f t="shared" si="4"/>
        <v/>
      </c>
      <c r="DF20" s="55" t="str">
        <f t="shared" si="4"/>
        <v/>
      </c>
      <c r="DG20" s="55" t="str">
        <f t="shared" si="4"/>
        <v/>
      </c>
      <c r="DH20" s="55" t="str">
        <f t="shared" si="4"/>
        <v/>
      </c>
      <c r="DI20" s="55" t="str">
        <f t="shared" si="4"/>
        <v/>
      </c>
      <c r="DJ20" s="55" t="str">
        <f t="shared" si="4"/>
        <v/>
      </c>
      <c r="DK20" s="55" t="str">
        <f t="shared" si="4"/>
        <v/>
      </c>
      <c r="DL20" s="55" t="str">
        <f t="shared" si="4"/>
        <v/>
      </c>
      <c r="DM20" s="55" t="str">
        <f t="shared" si="4"/>
        <v/>
      </c>
      <c r="DN20" s="55" t="str">
        <f t="shared" si="4"/>
        <v/>
      </c>
      <c r="DO20" s="55" t="str">
        <f t="shared" si="4"/>
        <v/>
      </c>
      <c r="DP20" s="55" t="str">
        <f t="shared" si="4"/>
        <v/>
      </c>
      <c r="DQ20" s="55" t="str">
        <f t="shared" si="4"/>
        <v/>
      </c>
      <c r="DR20" s="55" t="str">
        <f t="shared" si="4"/>
        <v/>
      </c>
      <c r="DS20" s="55" t="str">
        <f t="shared" si="4"/>
        <v/>
      </c>
      <c r="DT20" s="106" t="str">
        <f t="shared" si="4"/>
        <v/>
      </c>
      <c r="DU20" s="54"/>
      <c r="DV20" s="25"/>
      <c r="DW20" s="61" t="str">
        <f t="shared" si="11"/>
        <v/>
      </c>
      <c r="DX20" s="50" t="str">
        <f t="shared" si="11"/>
        <v/>
      </c>
      <c r="DY20" s="50" t="str">
        <f t="shared" si="11"/>
        <v/>
      </c>
      <c r="DZ20" s="50" t="str">
        <f t="shared" si="11"/>
        <v/>
      </c>
      <c r="EA20" s="50" t="str">
        <f t="shared" si="11"/>
        <v/>
      </c>
      <c r="EB20" s="50" t="str">
        <f t="shared" si="11"/>
        <v/>
      </c>
      <c r="EC20" s="50" t="str">
        <f t="shared" si="11"/>
        <v/>
      </c>
      <c r="ED20" s="50" t="str">
        <f t="shared" si="11"/>
        <v/>
      </c>
      <c r="EE20" s="50" t="str">
        <f t="shared" si="11"/>
        <v/>
      </c>
      <c r="EF20" s="50" t="str">
        <f t="shared" si="11"/>
        <v/>
      </c>
      <c r="EG20" s="50" t="str">
        <f t="shared" si="11"/>
        <v/>
      </c>
      <c r="EH20" s="50" t="str">
        <f t="shared" si="11"/>
        <v/>
      </c>
      <c r="EI20" s="50" t="str">
        <f t="shared" si="11"/>
        <v/>
      </c>
      <c r="EJ20" s="50" t="str">
        <f t="shared" si="11"/>
        <v/>
      </c>
      <c r="EK20" s="50" t="str">
        <f t="shared" si="11"/>
        <v/>
      </c>
      <c r="EL20" s="50" t="str">
        <f t="shared" si="11"/>
        <v/>
      </c>
      <c r="EM20" s="50" t="str">
        <f t="shared" si="11"/>
        <v/>
      </c>
      <c r="EN20" s="50" t="str">
        <f t="shared" si="11"/>
        <v/>
      </c>
      <c r="EO20" s="50" t="str">
        <f t="shared" si="11"/>
        <v/>
      </c>
      <c r="EP20" s="50" t="str">
        <f t="shared" si="11"/>
        <v/>
      </c>
      <c r="EQ20" s="50" t="str">
        <f t="shared" si="11"/>
        <v/>
      </c>
      <c r="ER20" s="50" t="str">
        <f t="shared" si="11"/>
        <v/>
      </c>
      <c r="ES20" s="50" t="str">
        <f t="shared" si="11"/>
        <v/>
      </c>
      <c r="ET20" s="50" t="str">
        <f t="shared" si="11"/>
        <v/>
      </c>
      <c r="EU20" s="50" t="str">
        <f t="shared" si="11"/>
        <v/>
      </c>
      <c r="EV20" s="50" t="str">
        <f t="shared" si="11"/>
        <v/>
      </c>
      <c r="EW20" s="50" t="str">
        <f t="shared" si="11"/>
        <v/>
      </c>
      <c r="EX20" s="50" t="str">
        <f t="shared" si="11"/>
        <v/>
      </c>
      <c r="EY20" s="50" t="str">
        <f t="shared" si="11"/>
        <v/>
      </c>
      <c r="EZ20" s="50" t="str">
        <f t="shared" si="11"/>
        <v/>
      </c>
      <c r="FA20" s="50" t="str">
        <f t="shared" si="11"/>
        <v/>
      </c>
      <c r="FB20" s="50" t="str">
        <f t="shared" si="11"/>
        <v/>
      </c>
      <c r="FC20" s="50" t="str">
        <f t="shared" si="11"/>
        <v/>
      </c>
      <c r="FD20" s="50" t="str">
        <f t="shared" si="11"/>
        <v/>
      </c>
      <c r="FE20" s="50" t="str">
        <f t="shared" si="11"/>
        <v/>
      </c>
      <c r="FF20" s="50" t="str">
        <f t="shared" si="11"/>
        <v/>
      </c>
      <c r="FG20" s="50" t="str">
        <f t="shared" si="11"/>
        <v/>
      </c>
      <c r="FH20" s="50" t="str">
        <f t="shared" si="11"/>
        <v/>
      </c>
      <c r="FI20" s="50" t="str">
        <f t="shared" si="11"/>
        <v/>
      </c>
      <c r="FJ20" s="50" t="str">
        <f t="shared" si="11"/>
        <v/>
      </c>
      <c r="FK20" s="50" t="str">
        <f t="shared" si="11"/>
        <v/>
      </c>
      <c r="FL20" s="50" t="str">
        <f t="shared" si="11"/>
        <v/>
      </c>
      <c r="FM20" s="50" t="str">
        <f t="shared" si="11"/>
        <v/>
      </c>
      <c r="FN20" s="50" t="str">
        <f t="shared" si="11"/>
        <v/>
      </c>
      <c r="FO20" s="50" t="str">
        <f t="shared" si="11"/>
        <v/>
      </c>
      <c r="FP20" s="50" t="str">
        <f t="shared" si="11"/>
        <v/>
      </c>
      <c r="FQ20" s="50" t="str">
        <f t="shared" si="11"/>
        <v/>
      </c>
      <c r="FR20" s="50" t="str">
        <f t="shared" si="11"/>
        <v/>
      </c>
      <c r="FS20" s="50" t="str">
        <f t="shared" si="11"/>
        <v/>
      </c>
      <c r="FT20" s="50" t="str">
        <f t="shared" si="11"/>
        <v/>
      </c>
      <c r="FU20" s="50" t="str">
        <f t="shared" si="11"/>
        <v/>
      </c>
      <c r="FV20" s="50" t="str">
        <f t="shared" si="11"/>
        <v/>
      </c>
      <c r="FW20" s="50" t="str">
        <f t="shared" si="11"/>
        <v/>
      </c>
      <c r="FX20" s="50" t="str">
        <f t="shared" si="11"/>
        <v/>
      </c>
      <c r="FY20" s="50" t="str">
        <f t="shared" si="11"/>
        <v/>
      </c>
      <c r="FZ20" s="50" t="str">
        <f t="shared" si="11"/>
        <v/>
      </c>
      <c r="GA20" s="50" t="str">
        <f t="shared" si="11"/>
        <v/>
      </c>
      <c r="GB20" s="50" t="str">
        <f t="shared" si="11"/>
        <v/>
      </c>
      <c r="GC20" s="50" t="str">
        <f t="shared" si="11"/>
        <v/>
      </c>
      <c r="GD20" s="50" t="str">
        <f t="shared" si="11"/>
        <v/>
      </c>
      <c r="GE20" s="50" t="str">
        <f t="shared" si="11"/>
        <v/>
      </c>
      <c r="GF20" s="50" t="str">
        <f t="shared" si="11"/>
        <v/>
      </c>
      <c r="GG20" s="50" t="str">
        <f t="shared" si="11"/>
        <v/>
      </c>
      <c r="GH20" s="50" t="str">
        <f t="shared" si="11"/>
        <v/>
      </c>
      <c r="GI20" s="50" t="str">
        <f t="shared" si="6"/>
        <v/>
      </c>
      <c r="GJ20" s="50" t="str">
        <f t="shared" si="6"/>
        <v/>
      </c>
      <c r="GK20" s="50" t="str">
        <f t="shared" si="6"/>
        <v/>
      </c>
      <c r="GL20" s="50" t="str">
        <f t="shared" si="6"/>
        <v/>
      </c>
      <c r="GM20" s="50" t="str">
        <f t="shared" si="6"/>
        <v/>
      </c>
      <c r="GN20" s="50" t="str">
        <f t="shared" si="6"/>
        <v/>
      </c>
      <c r="GO20" s="50" t="str">
        <f t="shared" si="6"/>
        <v/>
      </c>
      <c r="GP20" s="50" t="str">
        <f t="shared" si="6"/>
        <v/>
      </c>
      <c r="GQ20" s="50" t="str">
        <f t="shared" si="6"/>
        <v/>
      </c>
      <c r="GR20" s="50" t="str">
        <f t="shared" si="6"/>
        <v/>
      </c>
      <c r="GS20" s="50" t="str">
        <f t="shared" si="6"/>
        <v/>
      </c>
      <c r="GT20" s="50" t="str">
        <f t="shared" si="6"/>
        <v/>
      </c>
      <c r="GU20" s="50" t="str">
        <f t="shared" si="6"/>
        <v/>
      </c>
      <c r="GV20" s="50" t="str">
        <f t="shared" si="6"/>
        <v/>
      </c>
      <c r="GW20" s="50" t="str">
        <f t="shared" si="6"/>
        <v/>
      </c>
      <c r="GX20" s="50" t="str">
        <f t="shared" si="6"/>
        <v/>
      </c>
      <c r="GY20" s="50" t="str">
        <f t="shared" si="6"/>
        <v/>
      </c>
      <c r="GZ20" s="50" t="str">
        <f t="shared" si="6"/>
        <v/>
      </c>
      <c r="HA20" s="50" t="str">
        <f t="shared" si="6"/>
        <v/>
      </c>
      <c r="HB20" s="50" t="str">
        <f t="shared" si="6"/>
        <v/>
      </c>
      <c r="HC20" s="50" t="str">
        <f t="shared" si="6"/>
        <v/>
      </c>
      <c r="HD20" s="50" t="str">
        <f t="shared" si="6"/>
        <v/>
      </c>
      <c r="HE20" s="50" t="str">
        <f t="shared" si="6"/>
        <v/>
      </c>
      <c r="HF20" s="50" t="str">
        <f t="shared" si="6"/>
        <v/>
      </c>
      <c r="HG20" s="50" t="str">
        <f t="shared" si="6"/>
        <v/>
      </c>
      <c r="HH20" s="50" t="str">
        <f t="shared" si="6"/>
        <v/>
      </c>
      <c r="HI20" s="50" t="str">
        <f t="shared" si="6"/>
        <v/>
      </c>
      <c r="HJ20" s="50" t="str">
        <f t="shared" si="6"/>
        <v/>
      </c>
      <c r="HK20" s="50" t="str">
        <f t="shared" si="6"/>
        <v/>
      </c>
      <c r="HL20" s="50" t="str">
        <f t="shared" si="6"/>
        <v/>
      </c>
      <c r="HM20" s="50" t="str">
        <f t="shared" si="6"/>
        <v/>
      </c>
      <c r="HN20" s="50" t="str">
        <f t="shared" si="6"/>
        <v/>
      </c>
      <c r="HO20" s="50" t="str">
        <f t="shared" si="6"/>
        <v/>
      </c>
      <c r="HP20" s="50" t="str">
        <f t="shared" si="6"/>
        <v/>
      </c>
      <c r="HQ20" s="50" t="str">
        <f t="shared" si="6"/>
        <v/>
      </c>
      <c r="HR20" s="112" t="str">
        <f t="shared" si="6"/>
        <v/>
      </c>
    </row>
    <row r="21" spans="1:226" ht="11.1" customHeight="1" x14ac:dyDescent="0.25">
      <c r="A21" s="26" t="s">
        <v>34</v>
      </c>
      <c r="B21" s="145">
        <v>1</v>
      </c>
      <c r="C21" s="28" t="str">
        <f>IF(A21=0,"",VLOOKUP(A21,[2]CO!$A$3:$F$5327,2,0))</f>
        <v>Lote</v>
      </c>
      <c r="D21" s="149" t="s">
        <v>35</v>
      </c>
      <c r="E21" s="29"/>
      <c r="F21" s="29"/>
      <c r="G21" s="30" t="str">
        <f>IF(A21=0,"",VLOOKUP(A21,[2]CO!$A$3:$F$5327,3,0))</f>
        <v>LOTE</v>
      </c>
      <c r="H21" s="142"/>
      <c r="I21" s="143"/>
      <c r="J21" s="143"/>
      <c r="K21" s="143"/>
      <c r="L21" s="143">
        <v>2.35</v>
      </c>
      <c r="M21" s="32">
        <f t="shared" si="0"/>
        <v>2.35</v>
      </c>
      <c r="N21" s="32">
        <f>IF(B21=0,"",IF(H21="M",HLOOKUP(B21,$Y$12:$DT$13,2),IF(A21=0,"",VLOOKUP(A21,[2]CO!$A$3:$F$5327,4,0))))</f>
        <v>1000</v>
      </c>
      <c r="O21" s="32">
        <f t="shared" si="7"/>
        <v>2350</v>
      </c>
      <c r="P21" s="33">
        <v>1</v>
      </c>
      <c r="Q21" s="34">
        <f t="shared" si="1"/>
        <v>8087.7261042253522</v>
      </c>
      <c r="R21" s="35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RESIDENTE"),VLOOKUP(B21,P$14:Q$64,2),"")*S21)</f>
        <v/>
      </c>
      <c r="T21" s="53">
        <f>IF(A21=0,"",VLOOKUP(A21,[2]CO!$A$3:$F$5318,5,0))</f>
        <v>0</v>
      </c>
      <c r="U21" s="54">
        <f t="shared" si="2"/>
        <v>0</v>
      </c>
      <c r="V21" s="24"/>
      <c r="W21" s="25"/>
      <c r="X21" s="25"/>
      <c r="Y21" s="64">
        <f t="shared" si="10"/>
        <v>0</v>
      </c>
      <c r="Z21" s="55" t="str">
        <f t="shared" si="10"/>
        <v/>
      </c>
      <c r="AA21" s="55" t="str">
        <f t="shared" si="10"/>
        <v/>
      </c>
      <c r="AB21" s="55" t="str">
        <f t="shared" si="10"/>
        <v/>
      </c>
      <c r="AC21" s="55" t="str">
        <f t="shared" si="10"/>
        <v/>
      </c>
      <c r="AD21" s="55" t="str">
        <f t="shared" si="10"/>
        <v/>
      </c>
      <c r="AE21" s="55" t="str">
        <f t="shared" si="10"/>
        <v/>
      </c>
      <c r="AF21" s="55" t="str">
        <f t="shared" si="10"/>
        <v/>
      </c>
      <c r="AG21" s="55" t="str">
        <f t="shared" si="10"/>
        <v/>
      </c>
      <c r="AH21" s="55" t="str">
        <f t="shared" si="10"/>
        <v/>
      </c>
      <c r="AI21" s="55" t="str">
        <f t="shared" si="10"/>
        <v/>
      </c>
      <c r="AJ21" s="55" t="str">
        <f t="shared" si="10"/>
        <v/>
      </c>
      <c r="AK21" s="55" t="str">
        <f t="shared" si="10"/>
        <v/>
      </c>
      <c r="AL21" s="55" t="str">
        <f t="shared" si="10"/>
        <v/>
      </c>
      <c r="AM21" s="55" t="str">
        <f t="shared" si="10"/>
        <v/>
      </c>
      <c r="AN21" s="55" t="str">
        <f t="shared" si="10"/>
        <v/>
      </c>
      <c r="AO21" s="55" t="str">
        <f t="shared" si="10"/>
        <v/>
      </c>
      <c r="AP21" s="55" t="str">
        <f t="shared" si="10"/>
        <v/>
      </c>
      <c r="AQ21" s="55" t="str">
        <f t="shared" si="10"/>
        <v/>
      </c>
      <c r="AR21" s="55" t="str">
        <f t="shared" si="10"/>
        <v/>
      </c>
      <c r="AS21" s="55" t="str">
        <f t="shared" si="10"/>
        <v/>
      </c>
      <c r="AT21" s="55" t="str">
        <f t="shared" si="10"/>
        <v/>
      </c>
      <c r="AU21" s="55" t="str">
        <f t="shared" si="10"/>
        <v/>
      </c>
      <c r="AV21" s="55" t="str">
        <f t="shared" si="10"/>
        <v/>
      </c>
      <c r="AW21" s="55" t="str">
        <f t="shared" si="10"/>
        <v/>
      </c>
      <c r="AX21" s="55" t="str">
        <f t="shared" si="10"/>
        <v/>
      </c>
      <c r="AY21" s="55" t="str">
        <f t="shared" si="10"/>
        <v/>
      </c>
      <c r="AZ21" s="55" t="str">
        <f t="shared" si="10"/>
        <v/>
      </c>
      <c r="BA21" s="55" t="str">
        <f t="shared" si="10"/>
        <v/>
      </c>
      <c r="BB21" s="55" t="str">
        <f t="shared" si="10"/>
        <v/>
      </c>
      <c r="BC21" s="55" t="str">
        <f t="shared" si="10"/>
        <v/>
      </c>
      <c r="BD21" s="55" t="str">
        <f t="shared" si="10"/>
        <v/>
      </c>
      <c r="BE21" s="55" t="str">
        <f t="shared" si="10"/>
        <v/>
      </c>
      <c r="BF21" s="55" t="str">
        <f t="shared" si="10"/>
        <v/>
      </c>
      <c r="BG21" s="55" t="str">
        <f t="shared" si="10"/>
        <v/>
      </c>
      <c r="BH21" s="55" t="str">
        <f t="shared" si="10"/>
        <v/>
      </c>
      <c r="BI21" s="55" t="str">
        <f t="shared" si="10"/>
        <v/>
      </c>
      <c r="BJ21" s="55" t="str">
        <f t="shared" si="10"/>
        <v/>
      </c>
      <c r="BK21" s="55" t="str">
        <f t="shared" si="10"/>
        <v/>
      </c>
      <c r="BL21" s="55" t="str">
        <f t="shared" si="10"/>
        <v/>
      </c>
      <c r="BM21" s="55" t="str">
        <f t="shared" si="10"/>
        <v/>
      </c>
      <c r="BN21" s="55" t="str">
        <f t="shared" si="10"/>
        <v/>
      </c>
      <c r="BO21" s="55" t="str">
        <f t="shared" si="10"/>
        <v/>
      </c>
      <c r="BP21" s="55" t="str">
        <f t="shared" si="10"/>
        <v/>
      </c>
      <c r="BQ21" s="55" t="str">
        <f t="shared" si="10"/>
        <v/>
      </c>
      <c r="BR21" s="55" t="str">
        <f t="shared" si="10"/>
        <v/>
      </c>
      <c r="BS21" s="55" t="str">
        <f t="shared" si="10"/>
        <v/>
      </c>
      <c r="BT21" s="55" t="str">
        <f t="shared" si="10"/>
        <v/>
      </c>
      <c r="BU21" s="55" t="str">
        <f t="shared" si="10"/>
        <v/>
      </c>
      <c r="BV21" s="55" t="str">
        <f t="shared" si="10"/>
        <v/>
      </c>
      <c r="BW21" s="55" t="str">
        <f t="shared" si="10"/>
        <v/>
      </c>
      <c r="BX21" s="55" t="str">
        <f t="shared" si="10"/>
        <v/>
      </c>
      <c r="BY21" s="55" t="str">
        <f t="shared" si="10"/>
        <v/>
      </c>
      <c r="BZ21" s="55" t="str">
        <f t="shared" si="10"/>
        <v/>
      </c>
      <c r="CA21" s="55" t="str">
        <f t="shared" si="10"/>
        <v/>
      </c>
      <c r="CB21" s="55" t="str">
        <f t="shared" si="10"/>
        <v/>
      </c>
      <c r="CC21" s="55" t="str">
        <f t="shared" si="10"/>
        <v/>
      </c>
      <c r="CD21" s="55" t="str">
        <f t="shared" si="10"/>
        <v/>
      </c>
      <c r="CE21" s="55" t="str">
        <f t="shared" si="10"/>
        <v/>
      </c>
      <c r="CF21" s="55" t="str">
        <f t="shared" si="10"/>
        <v/>
      </c>
      <c r="CG21" s="55" t="str">
        <f t="shared" si="10"/>
        <v/>
      </c>
      <c r="CH21" s="55" t="str">
        <f t="shared" si="10"/>
        <v/>
      </c>
      <c r="CI21" s="55" t="str">
        <f t="shared" si="10"/>
        <v/>
      </c>
      <c r="CJ21" s="55" t="str">
        <f t="shared" ref="CJ21:DR29" si="12">IF($B21=CJ$12,$U21,"")</f>
        <v/>
      </c>
      <c r="CK21" s="55" t="str">
        <f t="shared" si="4"/>
        <v/>
      </c>
      <c r="CL21" s="55" t="str">
        <f t="shared" si="4"/>
        <v/>
      </c>
      <c r="CM21" s="55" t="str">
        <f t="shared" si="4"/>
        <v/>
      </c>
      <c r="CN21" s="55" t="str">
        <f t="shared" ref="CN21:DT29" si="13">IF($B21=CN$12,$U21,"")</f>
        <v/>
      </c>
      <c r="CO21" s="55" t="str">
        <f t="shared" si="13"/>
        <v/>
      </c>
      <c r="CP21" s="55" t="str">
        <f t="shared" si="13"/>
        <v/>
      </c>
      <c r="CQ21" s="55" t="str">
        <f t="shared" si="13"/>
        <v/>
      </c>
      <c r="CR21" s="55" t="str">
        <f t="shared" si="13"/>
        <v/>
      </c>
      <c r="CS21" s="55" t="str">
        <f t="shared" si="13"/>
        <v/>
      </c>
      <c r="CT21" s="55" t="str">
        <f t="shared" si="13"/>
        <v/>
      </c>
      <c r="CU21" s="55" t="str">
        <f t="shared" si="13"/>
        <v/>
      </c>
      <c r="CV21" s="55" t="str">
        <f t="shared" si="13"/>
        <v/>
      </c>
      <c r="CW21" s="55" t="str">
        <f t="shared" si="13"/>
        <v/>
      </c>
      <c r="CX21" s="55" t="str">
        <f t="shared" si="13"/>
        <v/>
      </c>
      <c r="CY21" s="55" t="str">
        <f t="shared" si="13"/>
        <v/>
      </c>
      <c r="CZ21" s="55" t="str">
        <f t="shared" si="13"/>
        <v/>
      </c>
      <c r="DA21" s="55" t="str">
        <f t="shared" si="13"/>
        <v/>
      </c>
      <c r="DB21" s="55" t="str">
        <f t="shared" si="13"/>
        <v/>
      </c>
      <c r="DC21" s="55" t="str">
        <f t="shared" si="13"/>
        <v/>
      </c>
      <c r="DD21" s="55" t="str">
        <f t="shared" si="13"/>
        <v/>
      </c>
      <c r="DE21" s="55" t="str">
        <f t="shared" si="13"/>
        <v/>
      </c>
      <c r="DF21" s="55" t="str">
        <f t="shared" si="13"/>
        <v/>
      </c>
      <c r="DG21" s="55" t="str">
        <f t="shared" si="13"/>
        <v/>
      </c>
      <c r="DH21" s="55" t="str">
        <f t="shared" si="13"/>
        <v/>
      </c>
      <c r="DI21" s="55" t="str">
        <f t="shared" si="13"/>
        <v/>
      </c>
      <c r="DJ21" s="55" t="str">
        <f t="shared" si="13"/>
        <v/>
      </c>
      <c r="DK21" s="55" t="str">
        <f t="shared" si="13"/>
        <v/>
      </c>
      <c r="DL21" s="55" t="str">
        <f t="shared" si="13"/>
        <v/>
      </c>
      <c r="DM21" s="55" t="str">
        <f t="shared" si="13"/>
        <v/>
      </c>
      <c r="DN21" s="55" t="str">
        <f t="shared" si="13"/>
        <v/>
      </c>
      <c r="DO21" s="55" t="str">
        <f t="shared" si="13"/>
        <v/>
      </c>
      <c r="DP21" s="55" t="str">
        <f t="shared" si="13"/>
        <v/>
      </c>
      <c r="DQ21" s="55" t="str">
        <f t="shared" si="13"/>
        <v/>
      </c>
      <c r="DR21" s="55" t="str">
        <f t="shared" si="13"/>
        <v/>
      </c>
      <c r="DS21" s="55" t="str">
        <f t="shared" si="13"/>
        <v/>
      </c>
      <c r="DT21" s="106" t="str">
        <f t="shared" si="13"/>
        <v/>
      </c>
      <c r="DU21" s="54"/>
      <c r="DV21" s="25"/>
      <c r="DW21" s="61">
        <f t="shared" si="11"/>
        <v>2350</v>
      </c>
      <c r="DX21" s="50" t="str">
        <f t="shared" si="11"/>
        <v/>
      </c>
      <c r="DY21" s="50" t="str">
        <f t="shared" si="11"/>
        <v/>
      </c>
      <c r="DZ21" s="50" t="str">
        <f t="shared" si="11"/>
        <v/>
      </c>
      <c r="EA21" s="50" t="str">
        <f t="shared" si="11"/>
        <v/>
      </c>
      <c r="EB21" s="50" t="str">
        <f t="shared" si="11"/>
        <v/>
      </c>
      <c r="EC21" s="50" t="str">
        <f t="shared" si="11"/>
        <v/>
      </c>
      <c r="ED21" s="50" t="str">
        <f t="shared" si="11"/>
        <v/>
      </c>
      <c r="EE21" s="50" t="str">
        <f t="shared" si="11"/>
        <v/>
      </c>
      <c r="EF21" s="50" t="str">
        <f t="shared" si="11"/>
        <v/>
      </c>
      <c r="EG21" s="50" t="str">
        <f t="shared" si="11"/>
        <v/>
      </c>
      <c r="EH21" s="50" t="str">
        <f t="shared" si="11"/>
        <v/>
      </c>
      <c r="EI21" s="50" t="str">
        <f t="shared" si="11"/>
        <v/>
      </c>
      <c r="EJ21" s="50" t="str">
        <f t="shared" si="11"/>
        <v/>
      </c>
      <c r="EK21" s="50" t="str">
        <f t="shared" si="11"/>
        <v/>
      </c>
      <c r="EL21" s="50" t="str">
        <f t="shared" si="11"/>
        <v/>
      </c>
      <c r="EM21" s="50" t="str">
        <f t="shared" si="11"/>
        <v/>
      </c>
      <c r="EN21" s="50" t="str">
        <f t="shared" si="11"/>
        <v/>
      </c>
      <c r="EO21" s="50" t="str">
        <f t="shared" si="11"/>
        <v/>
      </c>
      <c r="EP21" s="50" t="str">
        <f t="shared" si="11"/>
        <v/>
      </c>
      <c r="EQ21" s="50" t="str">
        <f t="shared" si="11"/>
        <v/>
      </c>
      <c r="ER21" s="50" t="str">
        <f t="shared" si="11"/>
        <v/>
      </c>
      <c r="ES21" s="50" t="str">
        <f t="shared" si="11"/>
        <v/>
      </c>
      <c r="ET21" s="50" t="str">
        <f t="shared" si="11"/>
        <v/>
      </c>
      <c r="EU21" s="50" t="str">
        <f t="shared" si="11"/>
        <v/>
      </c>
      <c r="EV21" s="50" t="str">
        <f t="shared" si="11"/>
        <v/>
      </c>
      <c r="EW21" s="50" t="str">
        <f t="shared" si="11"/>
        <v/>
      </c>
      <c r="EX21" s="50" t="str">
        <f t="shared" si="11"/>
        <v/>
      </c>
      <c r="EY21" s="50" t="str">
        <f t="shared" si="11"/>
        <v/>
      </c>
      <c r="EZ21" s="50" t="str">
        <f t="shared" si="11"/>
        <v/>
      </c>
      <c r="FA21" s="50" t="str">
        <f t="shared" si="11"/>
        <v/>
      </c>
      <c r="FB21" s="50" t="str">
        <f t="shared" si="11"/>
        <v/>
      </c>
      <c r="FC21" s="50" t="str">
        <f t="shared" si="11"/>
        <v/>
      </c>
      <c r="FD21" s="50" t="str">
        <f t="shared" si="11"/>
        <v/>
      </c>
      <c r="FE21" s="50" t="str">
        <f t="shared" si="11"/>
        <v/>
      </c>
      <c r="FF21" s="50" t="str">
        <f t="shared" si="11"/>
        <v/>
      </c>
      <c r="FG21" s="50" t="str">
        <f t="shared" si="11"/>
        <v/>
      </c>
      <c r="FH21" s="50" t="str">
        <f t="shared" si="11"/>
        <v/>
      </c>
      <c r="FI21" s="50" t="str">
        <f t="shared" si="11"/>
        <v/>
      </c>
      <c r="FJ21" s="50" t="str">
        <f t="shared" si="11"/>
        <v/>
      </c>
      <c r="FK21" s="50" t="str">
        <f t="shared" si="11"/>
        <v/>
      </c>
      <c r="FL21" s="50" t="str">
        <f t="shared" si="11"/>
        <v/>
      </c>
      <c r="FM21" s="50" t="str">
        <f t="shared" si="11"/>
        <v/>
      </c>
      <c r="FN21" s="50" t="str">
        <f t="shared" si="11"/>
        <v/>
      </c>
      <c r="FO21" s="50" t="str">
        <f t="shared" si="11"/>
        <v/>
      </c>
      <c r="FP21" s="50" t="str">
        <f t="shared" si="11"/>
        <v/>
      </c>
      <c r="FQ21" s="50" t="str">
        <f t="shared" si="11"/>
        <v/>
      </c>
      <c r="FR21" s="50" t="str">
        <f t="shared" si="11"/>
        <v/>
      </c>
      <c r="FS21" s="50" t="str">
        <f t="shared" si="11"/>
        <v/>
      </c>
      <c r="FT21" s="50" t="str">
        <f t="shared" si="11"/>
        <v/>
      </c>
      <c r="FU21" s="50" t="str">
        <f t="shared" si="11"/>
        <v/>
      </c>
      <c r="FV21" s="50" t="str">
        <f t="shared" si="11"/>
        <v/>
      </c>
      <c r="FW21" s="50" t="str">
        <f t="shared" si="11"/>
        <v/>
      </c>
      <c r="FX21" s="50" t="str">
        <f t="shared" si="11"/>
        <v/>
      </c>
      <c r="FY21" s="50" t="str">
        <f t="shared" si="11"/>
        <v/>
      </c>
      <c r="FZ21" s="50" t="str">
        <f t="shared" si="11"/>
        <v/>
      </c>
      <c r="GA21" s="50" t="str">
        <f t="shared" si="11"/>
        <v/>
      </c>
      <c r="GB21" s="50" t="str">
        <f t="shared" si="11"/>
        <v/>
      </c>
      <c r="GC21" s="50" t="str">
        <f t="shared" si="11"/>
        <v/>
      </c>
      <c r="GD21" s="50" t="str">
        <f t="shared" si="11"/>
        <v/>
      </c>
      <c r="GE21" s="50" t="str">
        <f t="shared" si="11"/>
        <v/>
      </c>
      <c r="GF21" s="50" t="str">
        <f t="shared" si="11"/>
        <v/>
      </c>
      <c r="GG21" s="50" t="str">
        <f t="shared" si="11"/>
        <v/>
      </c>
      <c r="GH21" s="50" t="str">
        <f t="shared" ref="GH21:HP29" si="14">IF($B21=GH$12,$O21,"")</f>
        <v/>
      </c>
      <c r="GI21" s="50" t="str">
        <f t="shared" si="6"/>
        <v/>
      </c>
      <c r="GJ21" s="50" t="str">
        <f t="shared" si="6"/>
        <v/>
      </c>
      <c r="GK21" s="50" t="str">
        <f t="shared" si="6"/>
        <v/>
      </c>
      <c r="GL21" s="50" t="str">
        <f t="shared" ref="GL21:HR29" si="15">IF($B21=GL$12,$O21,"")</f>
        <v/>
      </c>
      <c r="GM21" s="50" t="str">
        <f t="shared" si="15"/>
        <v/>
      </c>
      <c r="GN21" s="50" t="str">
        <f t="shared" si="15"/>
        <v/>
      </c>
      <c r="GO21" s="50" t="str">
        <f t="shared" si="15"/>
        <v/>
      </c>
      <c r="GP21" s="50" t="str">
        <f t="shared" si="15"/>
        <v/>
      </c>
      <c r="GQ21" s="50" t="str">
        <f t="shared" si="15"/>
        <v/>
      </c>
      <c r="GR21" s="50" t="str">
        <f t="shared" si="15"/>
        <v/>
      </c>
      <c r="GS21" s="50" t="str">
        <f t="shared" si="15"/>
        <v/>
      </c>
      <c r="GT21" s="50" t="str">
        <f t="shared" si="15"/>
        <v/>
      </c>
      <c r="GU21" s="50" t="str">
        <f t="shared" si="15"/>
        <v/>
      </c>
      <c r="GV21" s="50" t="str">
        <f t="shared" si="15"/>
        <v/>
      </c>
      <c r="GW21" s="50" t="str">
        <f t="shared" si="15"/>
        <v/>
      </c>
      <c r="GX21" s="50" t="str">
        <f t="shared" si="15"/>
        <v/>
      </c>
      <c r="GY21" s="50" t="str">
        <f t="shared" si="15"/>
        <v/>
      </c>
      <c r="GZ21" s="50" t="str">
        <f t="shared" si="15"/>
        <v/>
      </c>
      <c r="HA21" s="50" t="str">
        <f t="shared" si="15"/>
        <v/>
      </c>
      <c r="HB21" s="50" t="str">
        <f t="shared" si="15"/>
        <v/>
      </c>
      <c r="HC21" s="50" t="str">
        <f t="shared" si="15"/>
        <v/>
      </c>
      <c r="HD21" s="50" t="str">
        <f t="shared" si="15"/>
        <v/>
      </c>
      <c r="HE21" s="50" t="str">
        <f t="shared" si="15"/>
        <v/>
      </c>
      <c r="HF21" s="50" t="str">
        <f t="shared" si="15"/>
        <v/>
      </c>
      <c r="HG21" s="50" t="str">
        <f t="shared" si="15"/>
        <v/>
      </c>
      <c r="HH21" s="50" t="str">
        <f t="shared" si="15"/>
        <v/>
      </c>
      <c r="HI21" s="50" t="str">
        <f t="shared" si="15"/>
        <v/>
      </c>
      <c r="HJ21" s="50" t="str">
        <f t="shared" si="15"/>
        <v/>
      </c>
      <c r="HK21" s="50" t="str">
        <f t="shared" si="15"/>
        <v/>
      </c>
      <c r="HL21" s="50" t="str">
        <f t="shared" si="15"/>
        <v/>
      </c>
      <c r="HM21" s="50" t="str">
        <f t="shared" si="15"/>
        <v/>
      </c>
      <c r="HN21" s="50" t="str">
        <f t="shared" si="15"/>
        <v/>
      </c>
      <c r="HO21" s="50" t="str">
        <f t="shared" si="15"/>
        <v/>
      </c>
      <c r="HP21" s="50" t="str">
        <f t="shared" si="15"/>
        <v/>
      </c>
      <c r="HQ21" s="50" t="str">
        <f t="shared" si="15"/>
        <v/>
      </c>
      <c r="HR21" s="112" t="str">
        <f t="shared" si="15"/>
        <v/>
      </c>
    </row>
    <row r="22" spans="1:226" ht="11.1" customHeight="1" x14ac:dyDescent="0.25">
      <c r="A22" s="26"/>
      <c r="B22" s="145"/>
      <c r="C22" s="28" t="str">
        <f>IF(A22=0,"",VLOOKUP(A22,[2]CO!$A$3:$F$5327,2,0))</f>
        <v/>
      </c>
      <c r="D22" s="149" t="s">
        <v>36</v>
      </c>
      <c r="F22" s="29"/>
      <c r="G22" s="30" t="str">
        <f>IF(A22=0,"",VLOOKUP(A22,[2]CO!$A$3:$F$5327,3,0))</f>
        <v/>
      </c>
      <c r="H22" s="142"/>
      <c r="I22" s="143"/>
      <c r="J22" s="143"/>
      <c r="K22" s="143"/>
      <c r="L22" s="143"/>
      <c r="M22" s="32" t="str">
        <f t="shared" si="0"/>
        <v/>
      </c>
      <c r="N22" s="32" t="str">
        <f>IF(B22=0,"",IF(H22="M",HLOOKUP(B22,$Y$12:$DT$13,2),IF(A22=0,"",VLOOKUP(A22,[2]CO!$A$3:$F$5327,4,0))))</f>
        <v/>
      </c>
      <c r="O22" s="32" t="str">
        <f t="shared" si="7"/>
        <v/>
      </c>
      <c r="P22" s="33"/>
      <c r="Q22" s="34" t="str">
        <f t="shared" si="1"/>
        <v/>
      </c>
      <c r="R22" s="35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RESIDENTE"),VLOOKUP(B22,P$14:Q$64,2),"")*S22)</f>
        <v/>
      </c>
      <c r="T22" s="53" t="str">
        <f>IF(A22=0,"",VLOOKUP(A22,[2]CO!$A$3:$F$5318,5,0))</f>
        <v/>
      </c>
      <c r="U22" s="54">
        <f t="shared" si="2"/>
        <v>0</v>
      </c>
      <c r="V22" s="24"/>
      <c r="W22" s="25"/>
      <c r="X22" s="25"/>
      <c r="Y22" s="64" t="str">
        <f t="shared" ref="Y22:CI26" si="16">IF($B22=Y$12,$U22,"")</f>
        <v/>
      </c>
      <c r="Z22" s="55" t="str">
        <f t="shared" si="16"/>
        <v/>
      </c>
      <c r="AA22" s="55" t="str">
        <f t="shared" si="16"/>
        <v/>
      </c>
      <c r="AB22" s="55" t="str">
        <f t="shared" si="16"/>
        <v/>
      </c>
      <c r="AC22" s="55" t="str">
        <f t="shared" si="16"/>
        <v/>
      </c>
      <c r="AD22" s="55" t="str">
        <f t="shared" si="16"/>
        <v/>
      </c>
      <c r="AE22" s="55" t="str">
        <f t="shared" si="16"/>
        <v/>
      </c>
      <c r="AF22" s="55" t="str">
        <f t="shared" si="16"/>
        <v/>
      </c>
      <c r="AG22" s="55" t="str">
        <f t="shared" si="16"/>
        <v/>
      </c>
      <c r="AH22" s="55" t="str">
        <f t="shared" si="16"/>
        <v/>
      </c>
      <c r="AI22" s="55" t="str">
        <f t="shared" si="16"/>
        <v/>
      </c>
      <c r="AJ22" s="55" t="str">
        <f t="shared" si="16"/>
        <v/>
      </c>
      <c r="AK22" s="55" t="str">
        <f t="shared" si="16"/>
        <v/>
      </c>
      <c r="AL22" s="55" t="str">
        <f t="shared" si="16"/>
        <v/>
      </c>
      <c r="AM22" s="55" t="str">
        <f t="shared" si="16"/>
        <v/>
      </c>
      <c r="AN22" s="55" t="str">
        <f t="shared" si="16"/>
        <v/>
      </c>
      <c r="AO22" s="55" t="str">
        <f t="shared" si="16"/>
        <v/>
      </c>
      <c r="AP22" s="55" t="str">
        <f t="shared" si="16"/>
        <v/>
      </c>
      <c r="AQ22" s="55" t="str">
        <f t="shared" si="16"/>
        <v/>
      </c>
      <c r="AR22" s="55" t="str">
        <f t="shared" si="16"/>
        <v/>
      </c>
      <c r="AS22" s="55" t="str">
        <f t="shared" si="16"/>
        <v/>
      </c>
      <c r="AT22" s="55" t="str">
        <f t="shared" si="16"/>
        <v/>
      </c>
      <c r="AU22" s="55" t="str">
        <f t="shared" si="16"/>
        <v/>
      </c>
      <c r="AV22" s="55" t="str">
        <f t="shared" si="16"/>
        <v/>
      </c>
      <c r="AW22" s="55" t="str">
        <f t="shared" si="16"/>
        <v/>
      </c>
      <c r="AX22" s="55" t="str">
        <f t="shared" si="16"/>
        <v/>
      </c>
      <c r="AY22" s="55" t="str">
        <f t="shared" si="16"/>
        <v/>
      </c>
      <c r="AZ22" s="55" t="str">
        <f t="shared" si="16"/>
        <v/>
      </c>
      <c r="BA22" s="55" t="str">
        <f t="shared" si="16"/>
        <v/>
      </c>
      <c r="BB22" s="55" t="str">
        <f t="shared" si="16"/>
        <v/>
      </c>
      <c r="BC22" s="55" t="str">
        <f t="shared" si="16"/>
        <v/>
      </c>
      <c r="BD22" s="55" t="str">
        <f t="shared" si="16"/>
        <v/>
      </c>
      <c r="BE22" s="55" t="str">
        <f t="shared" si="16"/>
        <v/>
      </c>
      <c r="BF22" s="55" t="str">
        <f t="shared" si="16"/>
        <v/>
      </c>
      <c r="BG22" s="55" t="str">
        <f t="shared" si="16"/>
        <v/>
      </c>
      <c r="BH22" s="55" t="str">
        <f t="shared" si="16"/>
        <v/>
      </c>
      <c r="BI22" s="55" t="str">
        <f t="shared" si="16"/>
        <v/>
      </c>
      <c r="BJ22" s="55" t="str">
        <f t="shared" si="16"/>
        <v/>
      </c>
      <c r="BK22" s="55" t="str">
        <f t="shared" si="16"/>
        <v/>
      </c>
      <c r="BL22" s="55" t="str">
        <f t="shared" si="16"/>
        <v/>
      </c>
      <c r="BM22" s="55" t="str">
        <f t="shared" si="16"/>
        <v/>
      </c>
      <c r="BN22" s="55" t="str">
        <f t="shared" si="16"/>
        <v/>
      </c>
      <c r="BO22" s="55" t="str">
        <f t="shared" si="16"/>
        <v/>
      </c>
      <c r="BP22" s="55" t="str">
        <f t="shared" si="16"/>
        <v/>
      </c>
      <c r="BQ22" s="55" t="str">
        <f t="shared" si="16"/>
        <v/>
      </c>
      <c r="BR22" s="55" t="str">
        <f t="shared" si="16"/>
        <v/>
      </c>
      <c r="BS22" s="55" t="str">
        <f t="shared" si="16"/>
        <v/>
      </c>
      <c r="BT22" s="55" t="str">
        <f t="shared" si="16"/>
        <v/>
      </c>
      <c r="BU22" s="55" t="str">
        <f t="shared" si="16"/>
        <v/>
      </c>
      <c r="BV22" s="55" t="str">
        <f t="shared" si="16"/>
        <v/>
      </c>
      <c r="BW22" s="55" t="str">
        <f t="shared" si="16"/>
        <v/>
      </c>
      <c r="BX22" s="55" t="str">
        <f t="shared" si="16"/>
        <v/>
      </c>
      <c r="BY22" s="55" t="str">
        <f t="shared" si="16"/>
        <v/>
      </c>
      <c r="BZ22" s="55" t="str">
        <f t="shared" si="16"/>
        <v/>
      </c>
      <c r="CA22" s="55" t="str">
        <f t="shared" si="16"/>
        <v/>
      </c>
      <c r="CB22" s="55" t="str">
        <f t="shared" si="16"/>
        <v/>
      </c>
      <c r="CC22" s="55" t="str">
        <f t="shared" si="16"/>
        <v/>
      </c>
      <c r="CD22" s="55" t="str">
        <f t="shared" si="16"/>
        <v/>
      </c>
      <c r="CE22" s="55" t="str">
        <f t="shared" si="16"/>
        <v/>
      </c>
      <c r="CF22" s="55" t="str">
        <f t="shared" si="16"/>
        <v/>
      </c>
      <c r="CG22" s="55" t="str">
        <f t="shared" si="16"/>
        <v/>
      </c>
      <c r="CH22" s="55" t="str">
        <f t="shared" si="16"/>
        <v/>
      </c>
      <c r="CI22" s="55" t="str">
        <f t="shared" si="16"/>
        <v/>
      </c>
      <c r="CJ22" s="55" t="str">
        <f t="shared" si="12"/>
        <v/>
      </c>
      <c r="CK22" s="55" t="str">
        <f t="shared" si="12"/>
        <v/>
      </c>
      <c r="CL22" s="55" t="str">
        <f t="shared" si="12"/>
        <v/>
      </c>
      <c r="CM22" s="55" t="str">
        <f t="shared" si="12"/>
        <v/>
      </c>
      <c r="CN22" s="55" t="str">
        <f t="shared" si="13"/>
        <v/>
      </c>
      <c r="CO22" s="55" t="str">
        <f t="shared" si="13"/>
        <v/>
      </c>
      <c r="CP22" s="55" t="str">
        <f t="shared" si="13"/>
        <v/>
      </c>
      <c r="CQ22" s="55" t="str">
        <f t="shared" si="13"/>
        <v/>
      </c>
      <c r="CR22" s="55" t="str">
        <f t="shared" si="13"/>
        <v/>
      </c>
      <c r="CS22" s="55" t="str">
        <f t="shared" si="13"/>
        <v/>
      </c>
      <c r="CT22" s="55" t="str">
        <f t="shared" si="13"/>
        <v/>
      </c>
      <c r="CU22" s="55" t="str">
        <f t="shared" si="13"/>
        <v/>
      </c>
      <c r="CV22" s="55" t="str">
        <f t="shared" si="13"/>
        <v/>
      </c>
      <c r="CW22" s="55" t="str">
        <f t="shared" si="13"/>
        <v/>
      </c>
      <c r="CX22" s="55" t="str">
        <f t="shared" si="13"/>
        <v/>
      </c>
      <c r="CY22" s="55" t="str">
        <f t="shared" si="13"/>
        <v/>
      </c>
      <c r="CZ22" s="55" t="str">
        <f t="shared" si="13"/>
        <v/>
      </c>
      <c r="DA22" s="55" t="str">
        <f t="shared" si="13"/>
        <v/>
      </c>
      <c r="DB22" s="55" t="str">
        <f t="shared" si="13"/>
        <v/>
      </c>
      <c r="DC22" s="55" t="str">
        <f t="shared" si="13"/>
        <v/>
      </c>
      <c r="DD22" s="55" t="str">
        <f t="shared" si="13"/>
        <v/>
      </c>
      <c r="DE22" s="55" t="str">
        <f t="shared" si="13"/>
        <v/>
      </c>
      <c r="DF22" s="55" t="str">
        <f t="shared" si="13"/>
        <v/>
      </c>
      <c r="DG22" s="55" t="str">
        <f t="shared" si="13"/>
        <v/>
      </c>
      <c r="DH22" s="55" t="str">
        <f t="shared" si="13"/>
        <v/>
      </c>
      <c r="DI22" s="55" t="str">
        <f t="shared" si="13"/>
        <v/>
      </c>
      <c r="DJ22" s="55" t="str">
        <f t="shared" si="13"/>
        <v/>
      </c>
      <c r="DK22" s="55" t="str">
        <f t="shared" si="13"/>
        <v/>
      </c>
      <c r="DL22" s="55" t="str">
        <f t="shared" si="13"/>
        <v/>
      </c>
      <c r="DM22" s="55" t="str">
        <f t="shared" si="13"/>
        <v/>
      </c>
      <c r="DN22" s="55" t="str">
        <f t="shared" si="13"/>
        <v/>
      </c>
      <c r="DO22" s="55" t="str">
        <f t="shared" si="13"/>
        <v/>
      </c>
      <c r="DP22" s="55" t="str">
        <f t="shared" si="13"/>
        <v/>
      </c>
      <c r="DQ22" s="55" t="str">
        <f t="shared" si="13"/>
        <v/>
      </c>
      <c r="DR22" s="55" t="str">
        <f t="shared" si="13"/>
        <v/>
      </c>
      <c r="DS22" s="55" t="str">
        <f t="shared" si="13"/>
        <v/>
      </c>
      <c r="DT22" s="106" t="str">
        <f t="shared" si="13"/>
        <v/>
      </c>
      <c r="DU22" s="54"/>
      <c r="DV22" s="25"/>
      <c r="DW22" s="61" t="str">
        <f t="shared" ref="DW22:GG26" si="17">IF($B22=DW$12,$O22,"")</f>
        <v/>
      </c>
      <c r="DX22" s="50" t="str">
        <f t="shared" si="17"/>
        <v/>
      </c>
      <c r="DY22" s="50" t="str">
        <f t="shared" si="17"/>
        <v/>
      </c>
      <c r="DZ22" s="50" t="str">
        <f t="shared" si="17"/>
        <v/>
      </c>
      <c r="EA22" s="50" t="str">
        <f t="shared" si="17"/>
        <v/>
      </c>
      <c r="EB22" s="50" t="str">
        <f t="shared" si="17"/>
        <v/>
      </c>
      <c r="EC22" s="50" t="str">
        <f t="shared" si="17"/>
        <v/>
      </c>
      <c r="ED22" s="50" t="str">
        <f t="shared" si="17"/>
        <v/>
      </c>
      <c r="EE22" s="50" t="str">
        <f t="shared" si="17"/>
        <v/>
      </c>
      <c r="EF22" s="50" t="str">
        <f t="shared" si="17"/>
        <v/>
      </c>
      <c r="EG22" s="50" t="str">
        <f t="shared" si="17"/>
        <v/>
      </c>
      <c r="EH22" s="50" t="str">
        <f t="shared" si="17"/>
        <v/>
      </c>
      <c r="EI22" s="50" t="str">
        <f t="shared" si="17"/>
        <v/>
      </c>
      <c r="EJ22" s="50" t="str">
        <f t="shared" si="17"/>
        <v/>
      </c>
      <c r="EK22" s="50" t="str">
        <f t="shared" si="17"/>
        <v/>
      </c>
      <c r="EL22" s="50" t="str">
        <f t="shared" si="17"/>
        <v/>
      </c>
      <c r="EM22" s="50" t="str">
        <f t="shared" si="17"/>
        <v/>
      </c>
      <c r="EN22" s="50" t="str">
        <f t="shared" si="17"/>
        <v/>
      </c>
      <c r="EO22" s="50" t="str">
        <f t="shared" si="17"/>
        <v/>
      </c>
      <c r="EP22" s="50" t="str">
        <f t="shared" si="17"/>
        <v/>
      </c>
      <c r="EQ22" s="50" t="str">
        <f t="shared" si="17"/>
        <v/>
      </c>
      <c r="ER22" s="50" t="str">
        <f t="shared" si="17"/>
        <v/>
      </c>
      <c r="ES22" s="50" t="str">
        <f t="shared" si="17"/>
        <v/>
      </c>
      <c r="ET22" s="50" t="str">
        <f t="shared" si="17"/>
        <v/>
      </c>
      <c r="EU22" s="50" t="str">
        <f t="shared" si="17"/>
        <v/>
      </c>
      <c r="EV22" s="50" t="str">
        <f t="shared" si="17"/>
        <v/>
      </c>
      <c r="EW22" s="50" t="str">
        <f t="shared" si="17"/>
        <v/>
      </c>
      <c r="EX22" s="50" t="str">
        <f t="shared" si="17"/>
        <v/>
      </c>
      <c r="EY22" s="50" t="str">
        <f t="shared" si="17"/>
        <v/>
      </c>
      <c r="EZ22" s="50" t="str">
        <f t="shared" si="17"/>
        <v/>
      </c>
      <c r="FA22" s="50" t="str">
        <f t="shared" si="17"/>
        <v/>
      </c>
      <c r="FB22" s="50" t="str">
        <f t="shared" si="17"/>
        <v/>
      </c>
      <c r="FC22" s="50" t="str">
        <f t="shared" si="17"/>
        <v/>
      </c>
      <c r="FD22" s="50" t="str">
        <f t="shared" si="17"/>
        <v/>
      </c>
      <c r="FE22" s="50" t="str">
        <f t="shared" si="17"/>
        <v/>
      </c>
      <c r="FF22" s="50" t="str">
        <f t="shared" si="17"/>
        <v/>
      </c>
      <c r="FG22" s="50" t="str">
        <f t="shared" si="17"/>
        <v/>
      </c>
      <c r="FH22" s="50" t="str">
        <f t="shared" si="17"/>
        <v/>
      </c>
      <c r="FI22" s="50" t="str">
        <f t="shared" si="17"/>
        <v/>
      </c>
      <c r="FJ22" s="50" t="str">
        <f t="shared" si="17"/>
        <v/>
      </c>
      <c r="FK22" s="50" t="str">
        <f t="shared" si="17"/>
        <v/>
      </c>
      <c r="FL22" s="50" t="str">
        <f t="shared" si="17"/>
        <v/>
      </c>
      <c r="FM22" s="50" t="str">
        <f t="shared" si="17"/>
        <v/>
      </c>
      <c r="FN22" s="50" t="str">
        <f t="shared" si="17"/>
        <v/>
      </c>
      <c r="FO22" s="50" t="str">
        <f t="shared" si="17"/>
        <v/>
      </c>
      <c r="FP22" s="50" t="str">
        <f t="shared" si="17"/>
        <v/>
      </c>
      <c r="FQ22" s="50" t="str">
        <f t="shared" si="17"/>
        <v/>
      </c>
      <c r="FR22" s="50" t="str">
        <f t="shared" si="17"/>
        <v/>
      </c>
      <c r="FS22" s="50" t="str">
        <f t="shared" si="17"/>
        <v/>
      </c>
      <c r="FT22" s="50" t="str">
        <f t="shared" si="17"/>
        <v/>
      </c>
      <c r="FU22" s="50" t="str">
        <f t="shared" si="17"/>
        <v/>
      </c>
      <c r="FV22" s="50" t="str">
        <f t="shared" si="17"/>
        <v/>
      </c>
      <c r="FW22" s="50" t="str">
        <f t="shared" si="17"/>
        <v/>
      </c>
      <c r="FX22" s="50" t="str">
        <f t="shared" si="17"/>
        <v/>
      </c>
      <c r="FY22" s="50" t="str">
        <f t="shared" si="17"/>
        <v/>
      </c>
      <c r="FZ22" s="50" t="str">
        <f t="shared" si="17"/>
        <v/>
      </c>
      <c r="GA22" s="50" t="str">
        <f t="shared" si="17"/>
        <v/>
      </c>
      <c r="GB22" s="50" t="str">
        <f t="shared" si="17"/>
        <v/>
      </c>
      <c r="GC22" s="50" t="str">
        <f t="shared" si="17"/>
        <v/>
      </c>
      <c r="GD22" s="50" t="str">
        <f t="shared" si="17"/>
        <v/>
      </c>
      <c r="GE22" s="50" t="str">
        <f t="shared" si="17"/>
        <v/>
      </c>
      <c r="GF22" s="50" t="str">
        <f t="shared" si="17"/>
        <v/>
      </c>
      <c r="GG22" s="50" t="str">
        <f t="shared" si="17"/>
        <v/>
      </c>
      <c r="GH22" s="50" t="str">
        <f t="shared" si="14"/>
        <v/>
      </c>
      <c r="GI22" s="50" t="str">
        <f t="shared" si="14"/>
        <v/>
      </c>
      <c r="GJ22" s="50" t="str">
        <f t="shared" si="14"/>
        <v/>
      </c>
      <c r="GK22" s="50" t="str">
        <f t="shared" si="14"/>
        <v/>
      </c>
      <c r="GL22" s="50" t="str">
        <f t="shared" si="15"/>
        <v/>
      </c>
      <c r="GM22" s="50" t="str">
        <f t="shared" si="15"/>
        <v/>
      </c>
      <c r="GN22" s="50" t="str">
        <f t="shared" si="15"/>
        <v/>
      </c>
      <c r="GO22" s="50" t="str">
        <f t="shared" si="15"/>
        <v/>
      </c>
      <c r="GP22" s="50" t="str">
        <f t="shared" si="15"/>
        <v/>
      </c>
      <c r="GQ22" s="50" t="str">
        <f t="shared" si="15"/>
        <v/>
      </c>
      <c r="GR22" s="50" t="str">
        <f t="shared" si="15"/>
        <v/>
      </c>
      <c r="GS22" s="50" t="str">
        <f t="shared" si="15"/>
        <v/>
      </c>
      <c r="GT22" s="50" t="str">
        <f t="shared" si="15"/>
        <v/>
      </c>
      <c r="GU22" s="50" t="str">
        <f t="shared" si="15"/>
        <v/>
      </c>
      <c r="GV22" s="50" t="str">
        <f t="shared" si="15"/>
        <v/>
      </c>
      <c r="GW22" s="50" t="str">
        <f t="shared" si="15"/>
        <v/>
      </c>
      <c r="GX22" s="50" t="str">
        <f t="shared" si="15"/>
        <v/>
      </c>
      <c r="GY22" s="50" t="str">
        <f t="shared" si="15"/>
        <v/>
      </c>
      <c r="GZ22" s="50" t="str">
        <f t="shared" si="15"/>
        <v/>
      </c>
      <c r="HA22" s="50" t="str">
        <f t="shared" si="15"/>
        <v/>
      </c>
      <c r="HB22" s="50" t="str">
        <f t="shared" si="15"/>
        <v/>
      </c>
      <c r="HC22" s="50" t="str">
        <f t="shared" si="15"/>
        <v/>
      </c>
      <c r="HD22" s="50" t="str">
        <f t="shared" si="15"/>
        <v/>
      </c>
      <c r="HE22" s="50" t="str">
        <f t="shared" si="15"/>
        <v/>
      </c>
      <c r="HF22" s="50" t="str">
        <f t="shared" si="15"/>
        <v/>
      </c>
      <c r="HG22" s="50" t="str">
        <f t="shared" si="15"/>
        <v/>
      </c>
      <c r="HH22" s="50" t="str">
        <f t="shared" si="15"/>
        <v/>
      </c>
      <c r="HI22" s="50" t="str">
        <f t="shared" si="15"/>
        <v/>
      </c>
      <c r="HJ22" s="50" t="str">
        <f t="shared" si="15"/>
        <v/>
      </c>
      <c r="HK22" s="50" t="str">
        <f t="shared" si="15"/>
        <v/>
      </c>
      <c r="HL22" s="50" t="str">
        <f t="shared" si="15"/>
        <v/>
      </c>
      <c r="HM22" s="50" t="str">
        <f t="shared" si="15"/>
        <v/>
      </c>
      <c r="HN22" s="50" t="str">
        <f t="shared" si="15"/>
        <v/>
      </c>
      <c r="HO22" s="50" t="str">
        <f t="shared" si="15"/>
        <v/>
      </c>
      <c r="HP22" s="50" t="str">
        <f t="shared" si="15"/>
        <v/>
      </c>
      <c r="HQ22" s="50" t="str">
        <f t="shared" si="15"/>
        <v/>
      </c>
      <c r="HR22" s="112" t="str">
        <f t="shared" si="15"/>
        <v/>
      </c>
    </row>
    <row r="23" spans="1:226" ht="11.1" customHeight="1" x14ac:dyDescent="0.25">
      <c r="A23" s="26"/>
      <c r="B23" s="145"/>
      <c r="C23" s="28" t="str">
        <f>IF(A23=0,"",VLOOKUP(A23,[2]CO!$A$3:$F$5327,2,0))</f>
        <v/>
      </c>
      <c r="D23" s="149"/>
      <c r="E23" s="29"/>
      <c r="F23" s="29"/>
      <c r="G23" s="30" t="str">
        <f>IF(A23=0,"",VLOOKUP(A23,[2]CO!$A$3:$F$5327,3,0))</f>
        <v/>
      </c>
      <c r="H23" s="142"/>
      <c r="I23" s="143"/>
      <c r="J23" s="143"/>
      <c r="K23" s="143"/>
      <c r="L23" s="143"/>
      <c r="M23" s="32" t="str">
        <f t="shared" si="0"/>
        <v/>
      </c>
      <c r="N23" s="32" t="str">
        <f>IF(B23=0,"",IF(H23="M",HLOOKUP(B23,$Y$12:$DT$13,2),IF(A23=0,"",VLOOKUP(A23,[2]CO!$A$3:$F$5327,4,0))))</f>
        <v/>
      </c>
      <c r="O23" s="32" t="str">
        <f t="shared" si="7"/>
        <v/>
      </c>
      <c r="P23" s="33"/>
      <c r="Q23" s="34" t="str">
        <f t="shared" si="1"/>
        <v/>
      </c>
      <c r="R23" s="35" t="str">
        <f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RESIDENTE"),VLOOKUP(B23,P$14:Q$64,2),"")*S23)</f>
        <v/>
      </c>
      <c r="T23" s="53" t="str">
        <f>IF(A23=0,"",VLOOKUP(A23,[2]CO!$A$3:$F$5318,5,0))</f>
        <v/>
      </c>
      <c r="U23" s="54">
        <f t="shared" si="2"/>
        <v>0</v>
      </c>
      <c r="V23" s="24"/>
      <c r="W23" s="25"/>
      <c r="X23" s="25"/>
      <c r="Y23" s="64" t="str">
        <f t="shared" si="16"/>
        <v/>
      </c>
      <c r="Z23" s="55" t="str">
        <f t="shared" si="16"/>
        <v/>
      </c>
      <c r="AA23" s="55" t="str">
        <f t="shared" si="16"/>
        <v/>
      </c>
      <c r="AB23" s="55" t="str">
        <f t="shared" si="16"/>
        <v/>
      </c>
      <c r="AC23" s="55" t="str">
        <f t="shared" si="16"/>
        <v/>
      </c>
      <c r="AD23" s="55" t="str">
        <f t="shared" si="16"/>
        <v/>
      </c>
      <c r="AE23" s="55" t="str">
        <f t="shared" si="16"/>
        <v/>
      </c>
      <c r="AF23" s="55" t="str">
        <f t="shared" si="16"/>
        <v/>
      </c>
      <c r="AG23" s="55" t="str">
        <f t="shared" si="16"/>
        <v/>
      </c>
      <c r="AH23" s="55" t="str">
        <f t="shared" si="16"/>
        <v/>
      </c>
      <c r="AI23" s="55" t="str">
        <f t="shared" si="16"/>
        <v/>
      </c>
      <c r="AJ23" s="55" t="str">
        <f t="shared" si="16"/>
        <v/>
      </c>
      <c r="AK23" s="55" t="str">
        <f t="shared" si="16"/>
        <v/>
      </c>
      <c r="AL23" s="55" t="str">
        <f t="shared" si="16"/>
        <v/>
      </c>
      <c r="AM23" s="55" t="str">
        <f t="shared" si="16"/>
        <v/>
      </c>
      <c r="AN23" s="55" t="str">
        <f t="shared" si="16"/>
        <v/>
      </c>
      <c r="AO23" s="55" t="str">
        <f t="shared" si="16"/>
        <v/>
      </c>
      <c r="AP23" s="55" t="str">
        <f t="shared" si="16"/>
        <v/>
      </c>
      <c r="AQ23" s="55" t="str">
        <f t="shared" si="16"/>
        <v/>
      </c>
      <c r="AR23" s="55" t="str">
        <f t="shared" si="16"/>
        <v/>
      </c>
      <c r="AS23" s="55" t="str">
        <f t="shared" si="16"/>
        <v/>
      </c>
      <c r="AT23" s="55" t="str">
        <f t="shared" si="16"/>
        <v/>
      </c>
      <c r="AU23" s="55" t="str">
        <f t="shared" si="16"/>
        <v/>
      </c>
      <c r="AV23" s="55" t="str">
        <f t="shared" si="16"/>
        <v/>
      </c>
      <c r="AW23" s="55" t="str">
        <f t="shared" si="16"/>
        <v/>
      </c>
      <c r="AX23" s="55" t="str">
        <f t="shared" si="16"/>
        <v/>
      </c>
      <c r="AY23" s="55" t="str">
        <f t="shared" si="16"/>
        <v/>
      </c>
      <c r="AZ23" s="55" t="str">
        <f t="shared" si="16"/>
        <v/>
      </c>
      <c r="BA23" s="55" t="str">
        <f t="shared" si="16"/>
        <v/>
      </c>
      <c r="BB23" s="55" t="str">
        <f t="shared" si="16"/>
        <v/>
      </c>
      <c r="BC23" s="55" t="str">
        <f t="shared" si="16"/>
        <v/>
      </c>
      <c r="BD23" s="55" t="str">
        <f t="shared" si="16"/>
        <v/>
      </c>
      <c r="BE23" s="55" t="str">
        <f t="shared" si="16"/>
        <v/>
      </c>
      <c r="BF23" s="55" t="str">
        <f t="shared" si="16"/>
        <v/>
      </c>
      <c r="BG23" s="55" t="str">
        <f t="shared" si="16"/>
        <v/>
      </c>
      <c r="BH23" s="55" t="str">
        <f t="shared" si="16"/>
        <v/>
      </c>
      <c r="BI23" s="55" t="str">
        <f t="shared" si="16"/>
        <v/>
      </c>
      <c r="BJ23" s="55" t="str">
        <f t="shared" si="16"/>
        <v/>
      </c>
      <c r="BK23" s="55" t="str">
        <f t="shared" si="16"/>
        <v/>
      </c>
      <c r="BL23" s="55" t="str">
        <f t="shared" si="16"/>
        <v/>
      </c>
      <c r="BM23" s="55" t="str">
        <f t="shared" si="16"/>
        <v/>
      </c>
      <c r="BN23" s="55" t="str">
        <f t="shared" si="16"/>
        <v/>
      </c>
      <c r="BO23" s="55" t="str">
        <f t="shared" si="16"/>
        <v/>
      </c>
      <c r="BP23" s="55" t="str">
        <f t="shared" si="16"/>
        <v/>
      </c>
      <c r="BQ23" s="55" t="str">
        <f t="shared" si="16"/>
        <v/>
      </c>
      <c r="BR23" s="55" t="str">
        <f t="shared" si="16"/>
        <v/>
      </c>
      <c r="BS23" s="55" t="str">
        <f t="shared" si="16"/>
        <v/>
      </c>
      <c r="BT23" s="55" t="str">
        <f t="shared" si="16"/>
        <v/>
      </c>
      <c r="BU23" s="55" t="str">
        <f t="shared" si="16"/>
        <v/>
      </c>
      <c r="BV23" s="55" t="str">
        <f t="shared" si="16"/>
        <v/>
      </c>
      <c r="BW23" s="55" t="str">
        <f t="shared" si="16"/>
        <v/>
      </c>
      <c r="BX23" s="55" t="str">
        <f t="shared" si="16"/>
        <v/>
      </c>
      <c r="BY23" s="55" t="str">
        <f t="shared" si="16"/>
        <v/>
      </c>
      <c r="BZ23" s="55" t="str">
        <f t="shared" si="16"/>
        <v/>
      </c>
      <c r="CA23" s="55" t="str">
        <f t="shared" si="16"/>
        <v/>
      </c>
      <c r="CB23" s="55" t="str">
        <f t="shared" si="16"/>
        <v/>
      </c>
      <c r="CC23" s="55" t="str">
        <f t="shared" si="16"/>
        <v/>
      </c>
      <c r="CD23" s="55" t="str">
        <f t="shared" si="16"/>
        <v/>
      </c>
      <c r="CE23" s="55" t="str">
        <f t="shared" si="16"/>
        <v/>
      </c>
      <c r="CF23" s="55" t="str">
        <f t="shared" si="16"/>
        <v/>
      </c>
      <c r="CG23" s="55" t="str">
        <f t="shared" si="16"/>
        <v/>
      </c>
      <c r="CH23" s="55" t="str">
        <f t="shared" si="16"/>
        <v/>
      </c>
      <c r="CI23" s="55" t="str">
        <f t="shared" si="16"/>
        <v/>
      </c>
      <c r="CJ23" s="55" t="str">
        <f t="shared" si="12"/>
        <v/>
      </c>
      <c r="CK23" s="55" t="str">
        <f t="shared" si="12"/>
        <v/>
      </c>
      <c r="CL23" s="55" t="str">
        <f t="shared" si="12"/>
        <v/>
      </c>
      <c r="CM23" s="55" t="str">
        <f t="shared" si="12"/>
        <v/>
      </c>
      <c r="CN23" s="55" t="str">
        <f t="shared" si="13"/>
        <v/>
      </c>
      <c r="CO23" s="55" t="str">
        <f t="shared" si="13"/>
        <v/>
      </c>
      <c r="CP23" s="55" t="str">
        <f t="shared" si="13"/>
        <v/>
      </c>
      <c r="CQ23" s="55" t="str">
        <f t="shared" si="13"/>
        <v/>
      </c>
      <c r="CR23" s="55" t="str">
        <f t="shared" si="13"/>
        <v/>
      </c>
      <c r="CS23" s="55" t="str">
        <f t="shared" si="13"/>
        <v/>
      </c>
      <c r="CT23" s="55" t="str">
        <f t="shared" si="13"/>
        <v/>
      </c>
      <c r="CU23" s="55" t="str">
        <f t="shared" si="13"/>
        <v/>
      </c>
      <c r="CV23" s="55" t="str">
        <f t="shared" si="13"/>
        <v/>
      </c>
      <c r="CW23" s="55" t="str">
        <f t="shared" si="13"/>
        <v/>
      </c>
      <c r="CX23" s="55" t="str">
        <f t="shared" si="13"/>
        <v/>
      </c>
      <c r="CY23" s="55" t="str">
        <f t="shared" si="13"/>
        <v/>
      </c>
      <c r="CZ23" s="55" t="str">
        <f t="shared" si="13"/>
        <v/>
      </c>
      <c r="DA23" s="55" t="str">
        <f t="shared" si="13"/>
        <v/>
      </c>
      <c r="DB23" s="55" t="str">
        <f t="shared" si="13"/>
        <v/>
      </c>
      <c r="DC23" s="55" t="str">
        <f t="shared" si="13"/>
        <v/>
      </c>
      <c r="DD23" s="55" t="str">
        <f t="shared" si="13"/>
        <v/>
      </c>
      <c r="DE23" s="55" t="str">
        <f t="shared" si="13"/>
        <v/>
      </c>
      <c r="DF23" s="55" t="str">
        <f t="shared" si="13"/>
        <v/>
      </c>
      <c r="DG23" s="55" t="str">
        <f t="shared" si="13"/>
        <v/>
      </c>
      <c r="DH23" s="55" t="str">
        <f t="shared" si="13"/>
        <v/>
      </c>
      <c r="DI23" s="55" t="str">
        <f t="shared" si="13"/>
        <v/>
      </c>
      <c r="DJ23" s="55" t="str">
        <f t="shared" si="13"/>
        <v/>
      </c>
      <c r="DK23" s="55" t="str">
        <f t="shared" si="13"/>
        <v/>
      </c>
      <c r="DL23" s="55" t="str">
        <f t="shared" si="13"/>
        <v/>
      </c>
      <c r="DM23" s="55" t="str">
        <f t="shared" si="13"/>
        <v/>
      </c>
      <c r="DN23" s="55" t="str">
        <f t="shared" si="13"/>
        <v/>
      </c>
      <c r="DO23" s="55" t="str">
        <f t="shared" si="13"/>
        <v/>
      </c>
      <c r="DP23" s="55" t="str">
        <f t="shared" si="13"/>
        <v/>
      </c>
      <c r="DQ23" s="55" t="str">
        <f t="shared" si="13"/>
        <v/>
      </c>
      <c r="DR23" s="55" t="str">
        <f t="shared" si="13"/>
        <v/>
      </c>
      <c r="DS23" s="55" t="str">
        <f t="shared" si="13"/>
        <v/>
      </c>
      <c r="DT23" s="106" t="str">
        <f t="shared" si="13"/>
        <v/>
      </c>
      <c r="DU23" s="54"/>
      <c r="DV23" s="25"/>
      <c r="DW23" s="61" t="str">
        <f t="shared" si="17"/>
        <v/>
      </c>
      <c r="DX23" s="50" t="str">
        <f t="shared" si="17"/>
        <v/>
      </c>
      <c r="DY23" s="50" t="str">
        <f t="shared" si="17"/>
        <v/>
      </c>
      <c r="DZ23" s="50" t="str">
        <f t="shared" si="17"/>
        <v/>
      </c>
      <c r="EA23" s="50" t="str">
        <f t="shared" si="17"/>
        <v/>
      </c>
      <c r="EB23" s="50" t="str">
        <f t="shared" si="17"/>
        <v/>
      </c>
      <c r="EC23" s="50" t="str">
        <f t="shared" si="17"/>
        <v/>
      </c>
      <c r="ED23" s="50" t="str">
        <f t="shared" si="17"/>
        <v/>
      </c>
      <c r="EE23" s="50" t="str">
        <f t="shared" si="17"/>
        <v/>
      </c>
      <c r="EF23" s="50" t="str">
        <f t="shared" si="17"/>
        <v/>
      </c>
      <c r="EG23" s="50" t="str">
        <f t="shared" si="17"/>
        <v/>
      </c>
      <c r="EH23" s="50" t="str">
        <f t="shared" si="17"/>
        <v/>
      </c>
      <c r="EI23" s="50" t="str">
        <f t="shared" si="17"/>
        <v/>
      </c>
      <c r="EJ23" s="50" t="str">
        <f t="shared" si="17"/>
        <v/>
      </c>
      <c r="EK23" s="50" t="str">
        <f t="shared" si="17"/>
        <v/>
      </c>
      <c r="EL23" s="50" t="str">
        <f t="shared" si="17"/>
        <v/>
      </c>
      <c r="EM23" s="50" t="str">
        <f t="shared" si="17"/>
        <v/>
      </c>
      <c r="EN23" s="50" t="str">
        <f t="shared" si="17"/>
        <v/>
      </c>
      <c r="EO23" s="50" t="str">
        <f t="shared" si="17"/>
        <v/>
      </c>
      <c r="EP23" s="50" t="str">
        <f t="shared" si="17"/>
        <v/>
      </c>
      <c r="EQ23" s="50" t="str">
        <f t="shared" si="17"/>
        <v/>
      </c>
      <c r="ER23" s="50" t="str">
        <f t="shared" si="17"/>
        <v/>
      </c>
      <c r="ES23" s="50" t="str">
        <f t="shared" si="17"/>
        <v/>
      </c>
      <c r="ET23" s="50" t="str">
        <f t="shared" si="17"/>
        <v/>
      </c>
      <c r="EU23" s="50" t="str">
        <f t="shared" si="17"/>
        <v/>
      </c>
      <c r="EV23" s="50" t="str">
        <f t="shared" si="17"/>
        <v/>
      </c>
      <c r="EW23" s="50" t="str">
        <f t="shared" si="17"/>
        <v/>
      </c>
      <c r="EX23" s="50" t="str">
        <f t="shared" si="17"/>
        <v/>
      </c>
      <c r="EY23" s="50" t="str">
        <f t="shared" si="17"/>
        <v/>
      </c>
      <c r="EZ23" s="50" t="str">
        <f t="shared" si="17"/>
        <v/>
      </c>
      <c r="FA23" s="50" t="str">
        <f t="shared" si="17"/>
        <v/>
      </c>
      <c r="FB23" s="50" t="str">
        <f t="shared" si="17"/>
        <v/>
      </c>
      <c r="FC23" s="50" t="str">
        <f t="shared" si="17"/>
        <v/>
      </c>
      <c r="FD23" s="50" t="str">
        <f t="shared" si="17"/>
        <v/>
      </c>
      <c r="FE23" s="50" t="str">
        <f t="shared" si="17"/>
        <v/>
      </c>
      <c r="FF23" s="50" t="str">
        <f t="shared" si="17"/>
        <v/>
      </c>
      <c r="FG23" s="50" t="str">
        <f t="shared" si="17"/>
        <v/>
      </c>
      <c r="FH23" s="50" t="str">
        <f t="shared" si="17"/>
        <v/>
      </c>
      <c r="FI23" s="50" t="str">
        <f t="shared" si="17"/>
        <v/>
      </c>
      <c r="FJ23" s="50" t="str">
        <f t="shared" si="17"/>
        <v/>
      </c>
      <c r="FK23" s="50" t="str">
        <f t="shared" si="17"/>
        <v/>
      </c>
      <c r="FL23" s="50" t="str">
        <f t="shared" si="17"/>
        <v/>
      </c>
      <c r="FM23" s="50" t="str">
        <f t="shared" si="17"/>
        <v/>
      </c>
      <c r="FN23" s="50" t="str">
        <f t="shared" si="17"/>
        <v/>
      </c>
      <c r="FO23" s="50" t="str">
        <f t="shared" si="17"/>
        <v/>
      </c>
      <c r="FP23" s="50" t="str">
        <f t="shared" si="17"/>
        <v/>
      </c>
      <c r="FQ23" s="50" t="str">
        <f t="shared" si="17"/>
        <v/>
      </c>
      <c r="FR23" s="50" t="str">
        <f t="shared" si="17"/>
        <v/>
      </c>
      <c r="FS23" s="50" t="str">
        <f t="shared" si="17"/>
        <v/>
      </c>
      <c r="FT23" s="50" t="str">
        <f t="shared" si="17"/>
        <v/>
      </c>
      <c r="FU23" s="50" t="str">
        <f t="shared" si="17"/>
        <v/>
      </c>
      <c r="FV23" s="50" t="str">
        <f t="shared" si="17"/>
        <v/>
      </c>
      <c r="FW23" s="50" t="str">
        <f t="shared" si="17"/>
        <v/>
      </c>
      <c r="FX23" s="50" t="str">
        <f t="shared" si="17"/>
        <v/>
      </c>
      <c r="FY23" s="50" t="str">
        <f t="shared" si="17"/>
        <v/>
      </c>
      <c r="FZ23" s="50" t="str">
        <f t="shared" si="17"/>
        <v/>
      </c>
      <c r="GA23" s="50" t="str">
        <f t="shared" si="17"/>
        <v/>
      </c>
      <c r="GB23" s="50" t="str">
        <f t="shared" si="17"/>
        <v/>
      </c>
      <c r="GC23" s="50" t="str">
        <f t="shared" si="17"/>
        <v/>
      </c>
      <c r="GD23" s="50" t="str">
        <f t="shared" si="17"/>
        <v/>
      </c>
      <c r="GE23" s="50" t="str">
        <f t="shared" si="17"/>
        <v/>
      </c>
      <c r="GF23" s="50" t="str">
        <f t="shared" si="17"/>
        <v/>
      </c>
      <c r="GG23" s="50" t="str">
        <f t="shared" si="17"/>
        <v/>
      </c>
      <c r="GH23" s="50" t="str">
        <f t="shared" si="14"/>
        <v/>
      </c>
      <c r="GI23" s="50" t="str">
        <f t="shared" si="14"/>
        <v/>
      </c>
      <c r="GJ23" s="50" t="str">
        <f t="shared" si="14"/>
        <v/>
      </c>
      <c r="GK23" s="50" t="str">
        <f t="shared" si="14"/>
        <v/>
      </c>
      <c r="GL23" s="50" t="str">
        <f t="shared" si="15"/>
        <v/>
      </c>
      <c r="GM23" s="50" t="str">
        <f t="shared" si="15"/>
        <v/>
      </c>
      <c r="GN23" s="50" t="str">
        <f t="shared" si="15"/>
        <v/>
      </c>
      <c r="GO23" s="50" t="str">
        <f t="shared" si="15"/>
        <v/>
      </c>
      <c r="GP23" s="50" t="str">
        <f t="shared" si="15"/>
        <v/>
      </c>
      <c r="GQ23" s="50" t="str">
        <f t="shared" si="15"/>
        <v/>
      </c>
      <c r="GR23" s="50" t="str">
        <f t="shared" si="15"/>
        <v/>
      </c>
      <c r="GS23" s="50" t="str">
        <f t="shared" si="15"/>
        <v/>
      </c>
      <c r="GT23" s="50" t="str">
        <f t="shared" si="15"/>
        <v/>
      </c>
      <c r="GU23" s="50" t="str">
        <f t="shared" si="15"/>
        <v/>
      </c>
      <c r="GV23" s="50" t="str">
        <f t="shared" si="15"/>
        <v/>
      </c>
      <c r="GW23" s="50" t="str">
        <f t="shared" si="15"/>
        <v/>
      </c>
      <c r="GX23" s="50" t="str">
        <f t="shared" si="15"/>
        <v/>
      </c>
      <c r="GY23" s="50" t="str">
        <f t="shared" si="15"/>
        <v/>
      </c>
      <c r="GZ23" s="50" t="str">
        <f t="shared" si="15"/>
        <v/>
      </c>
      <c r="HA23" s="50" t="str">
        <f t="shared" si="15"/>
        <v/>
      </c>
      <c r="HB23" s="50" t="str">
        <f t="shared" si="15"/>
        <v/>
      </c>
      <c r="HC23" s="50" t="str">
        <f t="shared" si="15"/>
        <v/>
      </c>
      <c r="HD23" s="50" t="str">
        <f t="shared" si="15"/>
        <v/>
      </c>
      <c r="HE23" s="50" t="str">
        <f t="shared" si="15"/>
        <v/>
      </c>
      <c r="HF23" s="50" t="str">
        <f t="shared" si="15"/>
        <v/>
      </c>
      <c r="HG23" s="50" t="str">
        <f t="shared" si="15"/>
        <v/>
      </c>
      <c r="HH23" s="50" t="str">
        <f t="shared" si="15"/>
        <v/>
      </c>
      <c r="HI23" s="50" t="str">
        <f t="shared" si="15"/>
        <v/>
      </c>
      <c r="HJ23" s="50" t="str">
        <f t="shared" si="15"/>
        <v/>
      </c>
      <c r="HK23" s="50" t="str">
        <f t="shared" si="15"/>
        <v/>
      </c>
      <c r="HL23" s="50" t="str">
        <f t="shared" si="15"/>
        <v/>
      </c>
      <c r="HM23" s="50" t="str">
        <f t="shared" si="15"/>
        <v/>
      </c>
      <c r="HN23" s="50" t="str">
        <f t="shared" si="15"/>
        <v/>
      </c>
      <c r="HO23" s="50" t="str">
        <f t="shared" si="15"/>
        <v/>
      </c>
      <c r="HP23" s="50" t="str">
        <f t="shared" si="15"/>
        <v/>
      </c>
      <c r="HQ23" s="50" t="str">
        <f t="shared" si="15"/>
        <v/>
      </c>
      <c r="HR23" s="112" t="str">
        <f t="shared" si="15"/>
        <v/>
      </c>
    </row>
    <row r="24" spans="1:226" ht="11.1" customHeight="1" x14ac:dyDescent="0.25">
      <c r="A24" s="26">
        <v>3608</v>
      </c>
      <c r="B24" s="145">
        <v>2</v>
      </c>
      <c r="C24" s="28" t="str">
        <f>IF(A24=0,"",VLOOKUP(A24,[2]CO!$A$3:$F$5327,2,0))</f>
        <v>LOZANO URISTA BRUNO</v>
      </c>
      <c r="D24" s="149"/>
      <c r="E24" s="29"/>
      <c r="F24" s="29"/>
      <c r="G24" s="30" t="str">
        <f>IF(A24=0,"",VLOOKUP(A24,[2]CO!$A$3:$F$5327,3,0))</f>
        <v>PEON</v>
      </c>
      <c r="H24" s="142"/>
      <c r="I24" s="143"/>
      <c r="J24" s="143"/>
      <c r="K24" s="143"/>
      <c r="L24" s="143">
        <v>7</v>
      </c>
      <c r="M24" s="32">
        <f t="shared" si="0"/>
        <v>7</v>
      </c>
      <c r="N24" s="32">
        <f>IF(B24=0,"",IF(H24="M",HLOOKUP(B24,$Y$12:$DT$13,2),IF(A24=0,"",VLOOKUP(A24,[2]CO!$A$3:$F$5327,4,0))))</f>
        <v>509.05</v>
      </c>
      <c r="O24" s="32">
        <f t="shared" si="7"/>
        <v>3563.35</v>
      </c>
      <c r="P24" s="33"/>
      <c r="Q24" s="34" t="str">
        <f t="shared" si="1"/>
        <v/>
      </c>
      <c r="R24" s="35">
        <f>IF(S24=0,"",IF(OR(G24="PEON",G24="OF",G24="JARD",G24="CARP",G24="MAESTRO",G24="SOLD",G24="BGRO",G24="CHOFER",G24="AYTE",G24="S.INTTE.",G24="ASEO",G24="P.PISOS",G24="VELADOR",G24="RESID",G24="PINTOR",G24="ELECT",G24="AZULE",G24="AUX CONT.",G24="SECRETARIA",G24="AUXILIAR ADMTVO.",G24="ARQUITECTO",G24="DIBUJANTE",G24="AUX. DE RESIDENTE"),VLOOKUP(B24,P$14:Q$64,2),"")*S24)</f>
        <v>4072.4</v>
      </c>
      <c r="S24" s="118">
        <v>1</v>
      </c>
      <c r="T24" s="53">
        <f>IF(A24=0,"",VLOOKUP(A24,[2]CO!$A$3:$F$5318,5,0))</f>
        <v>0</v>
      </c>
      <c r="U24" s="54">
        <f t="shared" si="2"/>
        <v>0</v>
      </c>
      <c r="V24" s="24"/>
      <c r="W24" s="25"/>
      <c r="X24" s="25"/>
      <c r="Y24" s="64" t="str">
        <f t="shared" si="16"/>
        <v/>
      </c>
      <c r="Z24" s="55">
        <f t="shared" si="16"/>
        <v>0</v>
      </c>
      <c r="AA24" s="55" t="str">
        <f t="shared" si="16"/>
        <v/>
      </c>
      <c r="AB24" s="55" t="str">
        <f t="shared" si="16"/>
        <v/>
      </c>
      <c r="AC24" s="55" t="str">
        <f t="shared" si="16"/>
        <v/>
      </c>
      <c r="AD24" s="55" t="str">
        <f t="shared" si="16"/>
        <v/>
      </c>
      <c r="AE24" s="55" t="str">
        <f t="shared" si="16"/>
        <v/>
      </c>
      <c r="AF24" s="55" t="str">
        <f t="shared" si="16"/>
        <v/>
      </c>
      <c r="AG24" s="55" t="str">
        <f t="shared" si="16"/>
        <v/>
      </c>
      <c r="AH24" s="55" t="str">
        <f t="shared" si="16"/>
        <v/>
      </c>
      <c r="AI24" s="55" t="str">
        <f t="shared" si="16"/>
        <v/>
      </c>
      <c r="AJ24" s="55" t="str">
        <f t="shared" si="16"/>
        <v/>
      </c>
      <c r="AK24" s="55" t="str">
        <f t="shared" si="16"/>
        <v/>
      </c>
      <c r="AL24" s="55" t="str">
        <f t="shared" si="16"/>
        <v/>
      </c>
      <c r="AM24" s="55" t="str">
        <f t="shared" si="16"/>
        <v/>
      </c>
      <c r="AN24" s="55" t="str">
        <f t="shared" si="16"/>
        <v/>
      </c>
      <c r="AO24" s="55" t="str">
        <f t="shared" si="16"/>
        <v/>
      </c>
      <c r="AP24" s="55" t="str">
        <f t="shared" si="16"/>
        <v/>
      </c>
      <c r="AQ24" s="55" t="str">
        <f t="shared" si="16"/>
        <v/>
      </c>
      <c r="AR24" s="55" t="str">
        <f t="shared" si="16"/>
        <v/>
      </c>
      <c r="AS24" s="55" t="str">
        <f t="shared" si="16"/>
        <v/>
      </c>
      <c r="AT24" s="55" t="str">
        <f t="shared" si="16"/>
        <v/>
      </c>
      <c r="AU24" s="55" t="str">
        <f t="shared" si="16"/>
        <v/>
      </c>
      <c r="AV24" s="55" t="str">
        <f t="shared" si="16"/>
        <v/>
      </c>
      <c r="AW24" s="55" t="str">
        <f t="shared" si="16"/>
        <v/>
      </c>
      <c r="AX24" s="55" t="str">
        <f t="shared" si="16"/>
        <v/>
      </c>
      <c r="AY24" s="55" t="str">
        <f t="shared" si="16"/>
        <v/>
      </c>
      <c r="AZ24" s="55" t="str">
        <f t="shared" si="16"/>
        <v/>
      </c>
      <c r="BA24" s="55" t="str">
        <f t="shared" si="16"/>
        <v/>
      </c>
      <c r="BB24" s="55" t="str">
        <f t="shared" si="16"/>
        <v/>
      </c>
      <c r="BC24" s="55" t="str">
        <f t="shared" si="16"/>
        <v/>
      </c>
      <c r="BD24" s="55" t="str">
        <f t="shared" si="16"/>
        <v/>
      </c>
      <c r="BE24" s="55" t="str">
        <f t="shared" si="16"/>
        <v/>
      </c>
      <c r="BF24" s="55" t="str">
        <f t="shared" si="16"/>
        <v/>
      </c>
      <c r="BG24" s="55" t="str">
        <f t="shared" si="16"/>
        <v/>
      </c>
      <c r="BH24" s="55" t="str">
        <f t="shared" si="16"/>
        <v/>
      </c>
      <c r="BI24" s="55" t="str">
        <f t="shared" si="16"/>
        <v/>
      </c>
      <c r="BJ24" s="55" t="str">
        <f t="shared" si="16"/>
        <v/>
      </c>
      <c r="BK24" s="55" t="str">
        <f t="shared" si="16"/>
        <v/>
      </c>
      <c r="BL24" s="55" t="str">
        <f t="shared" si="16"/>
        <v/>
      </c>
      <c r="BM24" s="55" t="str">
        <f t="shared" si="16"/>
        <v/>
      </c>
      <c r="BN24" s="55" t="str">
        <f t="shared" si="16"/>
        <v/>
      </c>
      <c r="BO24" s="55" t="str">
        <f t="shared" si="16"/>
        <v/>
      </c>
      <c r="BP24" s="55" t="str">
        <f t="shared" si="16"/>
        <v/>
      </c>
      <c r="BQ24" s="55" t="str">
        <f t="shared" si="16"/>
        <v/>
      </c>
      <c r="BR24" s="55" t="str">
        <f t="shared" si="16"/>
        <v/>
      </c>
      <c r="BS24" s="55" t="str">
        <f t="shared" si="16"/>
        <v/>
      </c>
      <c r="BT24" s="55" t="str">
        <f t="shared" si="16"/>
        <v/>
      </c>
      <c r="BU24" s="55" t="str">
        <f t="shared" si="16"/>
        <v/>
      </c>
      <c r="BV24" s="55" t="str">
        <f t="shared" si="16"/>
        <v/>
      </c>
      <c r="BW24" s="55" t="str">
        <f t="shared" si="16"/>
        <v/>
      </c>
      <c r="BX24" s="55" t="str">
        <f t="shared" si="16"/>
        <v/>
      </c>
      <c r="BY24" s="55" t="str">
        <f t="shared" si="16"/>
        <v/>
      </c>
      <c r="BZ24" s="55" t="str">
        <f t="shared" si="16"/>
        <v/>
      </c>
      <c r="CA24" s="55" t="str">
        <f t="shared" si="16"/>
        <v/>
      </c>
      <c r="CB24" s="55" t="str">
        <f t="shared" si="16"/>
        <v/>
      </c>
      <c r="CC24" s="55" t="str">
        <f t="shared" si="16"/>
        <v/>
      </c>
      <c r="CD24" s="55" t="str">
        <f t="shared" si="16"/>
        <v/>
      </c>
      <c r="CE24" s="55" t="str">
        <f t="shared" si="16"/>
        <v/>
      </c>
      <c r="CF24" s="55" t="str">
        <f t="shared" si="16"/>
        <v/>
      </c>
      <c r="CG24" s="55" t="str">
        <f t="shared" si="16"/>
        <v/>
      </c>
      <c r="CH24" s="55" t="str">
        <f t="shared" si="16"/>
        <v/>
      </c>
      <c r="CI24" s="55" t="str">
        <f t="shared" si="16"/>
        <v/>
      </c>
      <c r="CJ24" s="55" t="str">
        <f t="shared" si="12"/>
        <v/>
      </c>
      <c r="CK24" s="55" t="str">
        <f t="shared" si="12"/>
        <v/>
      </c>
      <c r="CL24" s="55" t="str">
        <f t="shared" si="12"/>
        <v/>
      </c>
      <c r="CM24" s="55" t="str">
        <f t="shared" si="12"/>
        <v/>
      </c>
      <c r="CN24" s="55" t="str">
        <f t="shared" si="12"/>
        <v/>
      </c>
      <c r="CO24" s="55" t="str">
        <f t="shared" si="12"/>
        <v/>
      </c>
      <c r="CP24" s="55" t="str">
        <f t="shared" si="12"/>
        <v/>
      </c>
      <c r="CQ24" s="55" t="str">
        <f t="shared" si="12"/>
        <v/>
      </c>
      <c r="CR24" s="55" t="str">
        <f t="shared" si="12"/>
        <v/>
      </c>
      <c r="CS24" s="55" t="str">
        <f t="shared" si="12"/>
        <v/>
      </c>
      <c r="CT24" s="55" t="str">
        <f t="shared" si="12"/>
        <v/>
      </c>
      <c r="CU24" s="55" t="str">
        <f t="shared" si="12"/>
        <v/>
      </c>
      <c r="CV24" s="55" t="str">
        <f t="shared" si="12"/>
        <v/>
      </c>
      <c r="CW24" s="55" t="str">
        <f t="shared" si="12"/>
        <v/>
      </c>
      <c r="CX24" s="55" t="str">
        <f t="shared" si="12"/>
        <v/>
      </c>
      <c r="CY24" s="55" t="str">
        <f t="shared" si="12"/>
        <v/>
      </c>
      <c r="CZ24" s="55" t="str">
        <f t="shared" si="13"/>
        <v/>
      </c>
      <c r="DA24" s="55" t="str">
        <f t="shared" si="13"/>
        <v/>
      </c>
      <c r="DB24" s="55" t="str">
        <f t="shared" si="13"/>
        <v/>
      </c>
      <c r="DC24" s="55" t="str">
        <f t="shared" si="13"/>
        <v/>
      </c>
      <c r="DD24" s="55" t="str">
        <f t="shared" si="13"/>
        <v/>
      </c>
      <c r="DE24" s="55" t="str">
        <f t="shared" si="13"/>
        <v/>
      </c>
      <c r="DF24" s="55" t="str">
        <f t="shared" si="13"/>
        <v/>
      </c>
      <c r="DG24" s="55" t="str">
        <f t="shared" si="13"/>
        <v/>
      </c>
      <c r="DH24" s="55" t="str">
        <f t="shared" si="13"/>
        <v/>
      </c>
      <c r="DI24" s="55" t="str">
        <f t="shared" si="13"/>
        <v/>
      </c>
      <c r="DJ24" s="55" t="str">
        <f t="shared" si="13"/>
        <v/>
      </c>
      <c r="DK24" s="55" t="str">
        <f t="shared" si="13"/>
        <v/>
      </c>
      <c r="DL24" s="55" t="str">
        <f t="shared" si="13"/>
        <v/>
      </c>
      <c r="DM24" s="55" t="str">
        <f t="shared" si="13"/>
        <v/>
      </c>
      <c r="DN24" s="55" t="str">
        <f t="shared" si="13"/>
        <v/>
      </c>
      <c r="DO24" s="55" t="str">
        <f t="shared" si="13"/>
        <v/>
      </c>
      <c r="DP24" s="55" t="str">
        <f t="shared" si="13"/>
        <v/>
      </c>
      <c r="DQ24" s="55" t="str">
        <f t="shared" si="13"/>
        <v/>
      </c>
      <c r="DR24" s="55" t="str">
        <f t="shared" si="13"/>
        <v/>
      </c>
      <c r="DS24" s="55" t="str">
        <f t="shared" si="13"/>
        <v/>
      </c>
      <c r="DT24" s="106" t="str">
        <f t="shared" si="13"/>
        <v/>
      </c>
      <c r="DU24" s="54"/>
      <c r="DV24" s="25"/>
      <c r="DW24" s="61" t="str">
        <f t="shared" si="17"/>
        <v/>
      </c>
      <c r="DX24" s="50">
        <f t="shared" si="17"/>
        <v>3563.35</v>
      </c>
      <c r="DY24" s="50" t="str">
        <f t="shared" si="17"/>
        <v/>
      </c>
      <c r="DZ24" s="50" t="str">
        <f t="shared" si="17"/>
        <v/>
      </c>
      <c r="EA24" s="50" t="str">
        <f t="shared" si="17"/>
        <v/>
      </c>
      <c r="EB24" s="50" t="str">
        <f t="shared" si="17"/>
        <v/>
      </c>
      <c r="EC24" s="50" t="str">
        <f t="shared" si="17"/>
        <v/>
      </c>
      <c r="ED24" s="50" t="str">
        <f t="shared" si="17"/>
        <v/>
      </c>
      <c r="EE24" s="50" t="str">
        <f t="shared" si="17"/>
        <v/>
      </c>
      <c r="EF24" s="50" t="str">
        <f t="shared" si="17"/>
        <v/>
      </c>
      <c r="EG24" s="50" t="str">
        <f t="shared" si="17"/>
        <v/>
      </c>
      <c r="EH24" s="50" t="str">
        <f t="shared" si="17"/>
        <v/>
      </c>
      <c r="EI24" s="50" t="str">
        <f t="shared" si="17"/>
        <v/>
      </c>
      <c r="EJ24" s="50" t="str">
        <f t="shared" si="17"/>
        <v/>
      </c>
      <c r="EK24" s="50" t="str">
        <f t="shared" si="17"/>
        <v/>
      </c>
      <c r="EL24" s="50" t="str">
        <f t="shared" si="17"/>
        <v/>
      </c>
      <c r="EM24" s="50" t="str">
        <f t="shared" si="17"/>
        <v/>
      </c>
      <c r="EN24" s="50" t="str">
        <f t="shared" si="17"/>
        <v/>
      </c>
      <c r="EO24" s="50" t="str">
        <f t="shared" si="17"/>
        <v/>
      </c>
      <c r="EP24" s="50" t="str">
        <f t="shared" si="17"/>
        <v/>
      </c>
      <c r="EQ24" s="50" t="str">
        <f t="shared" si="17"/>
        <v/>
      </c>
      <c r="ER24" s="50" t="str">
        <f t="shared" si="17"/>
        <v/>
      </c>
      <c r="ES24" s="50" t="str">
        <f t="shared" si="17"/>
        <v/>
      </c>
      <c r="ET24" s="50" t="str">
        <f t="shared" si="17"/>
        <v/>
      </c>
      <c r="EU24" s="50" t="str">
        <f t="shared" si="17"/>
        <v/>
      </c>
      <c r="EV24" s="50" t="str">
        <f t="shared" si="17"/>
        <v/>
      </c>
      <c r="EW24" s="50" t="str">
        <f t="shared" si="17"/>
        <v/>
      </c>
      <c r="EX24" s="50" t="str">
        <f t="shared" si="17"/>
        <v/>
      </c>
      <c r="EY24" s="50" t="str">
        <f t="shared" si="17"/>
        <v/>
      </c>
      <c r="EZ24" s="50" t="str">
        <f t="shared" si="17"/>
        <v/>
      </c>
      <c r="FA24" s="50" t="str">
        <f t="shared" si="17"/>
        <v/>
      </c>
      <c r="FB24" s="50" t="str">
        <f t="shared" si="17"/>
        <v/>
      </c>
      <c r="FC24" s="50" t="str">
        <f t="shared" si="17"/>
        <v/>
      </c>
      <c r="FD24" s="50" t="str">
        <f t="shared" si="17"/>
        <v/>
      </c>
      <c r="FE24" s="50" t="str">
        <f t="shared" si="17"/>
        <v/>
      </c>
      <c r="FF24" s="50" t="str">
        <f t="shared" si="17"/>
        <v/>
      </c>
      <c r="FG24" s="50" t="str">
        <f t="shared" si="17"/>
        <v/>
      </c>
      <c r="FH24" s="50" t="str">
        <f t="shared" si="17"/>
        <v/>
      </c>
      <c r="FI24" s="50" t="str">
        <f t="shared" si="17"/>
        <v/>
      </c>
      <c r="FJ24" s="50" t="str">
        <f t="shared" si="17"/>
        <v/>
      </c>
      <c r="FK24" s="50" t="str">
        <f t="shared" si="17"/>
        <v/>
      </c>
      <c r="FL24" s="50" t="str">
        <f t="shared" si="17"/>
        <v/>
      </c>
      <c r="FM24" s="50" t="str">
        <f t="shared" si="17"/>
        <v/>
      </c>
      <c r="FN24" s="50" t="str">
        <f t="shared" si="17"/>
        <v/>
      </c>
      <c r="FO24" s="50" t="str">
        <f t="shared" si="17"/>
        <v/>
      </c>
      <c r="FP24" s="50" t="str">
        <f t="shared" si="17"/>
        <v/>
      </c>
      <c r="FQ24" s="50" t="str">
        <f t="shared" si="17"/>
        <v/>
      </c>
      <c r="FR24" s="50" t="str">
        <f t="shared" si="17"/>
        <v/>
      </c>
      <c r="FS24" s="50" t="str">
        <f t="shared" si="17"/>
        <v/>
      </c>
      <c r="FT24" s="50" t="str">
        <f t="shared" si="17"/>
        <v/>
      </c>
      <c r="FU24" s="50" t="str">
        <f t="shared" si="17"/>
        <v/>
      </c>
      <c r="FV24" s="50" t="str">
        <f t="shared" si="17"/>
        <v/>
      </c>
      <c r="FW24" s="50" t="str">
        <f t="shared" si="17"/>
        <v/>
      </c>
      <c r="FX24" s="50" t="str">
        <f t="shared" si="17"/>
        <v/>
      </c>
      <c r="FY24" s="50" t="str">
        <f t="shared" si="17"/>
        <v/>
      </c>
      <c r="FZ24" s="50" t="str">
        <f t="shared" si="17"/>
        <v/>
      </c>
      <c r="GA24" s="50" t="str">
        <f t="shared" si="17"/>
        <v/>
      </c>
      <c r="GB24" s="50" t="str">
        <f t="shared" si="17"/>
        <v/>
      </c>
      <c r="GC24" s="50" t="str">
        <f t="shared" si="17"/>
        <v/>
      </c>
      <c r="GD24" s="50" t="str">
        <f t="shared" si="17"/>
        <v/>
      </c>
      <c r="GE24" s="50" t="str">
        <f t="shared" si="17"/>
        <v/>
      </c>
      <c r="GF24" s="50" t="str">
        <f t="shared" si="17"/>
        <v/>
      </c>
      <c r="GG24" s="50" t="str">
        <f t="shared" si="17"/>
        <v/>
      </c>
      <c r="GH24" s="50" t="str">
        <f t="shared" si="14"/>
        <v/>
      </c>
      <c r="GI24" s="50" t="str">
        <f t="shared" si="14"/>
        <v/>
      </c>
      <c r="GJ24" s="50" t="str">
        <f t="shared" si="14"/>
        <v/>
      </c>
      <c r="GK24" s="50" t="str">
        <f t="shared" si="14"/>
        <v/>
      </c>
      <c r="GL24" s="50" t="str">
        <f t="shared" si="14"/>
        <v/>
      </c>
      <c r="GM24" s="50" t="str">
        <f t="shared" si="14"/>
        <v/>
      </c>
      <c r="GN24" s="50" t="str">
        <f t="shared" si="14"/>
        <v/>
      </c>
      <c r="GO24" s="50" t="str">
        <f t="shared" si="14"/>
        <v/>
      </c>
      <c r="GP24" s="50" t="str">
        <f t="shared" si="14"/>
        <v/>
      </c>
      <c r="GQ24" s="50" t="str">
        <f t="shared" si="14"/>
        <v/>
      </c>
      <c r="GR24" s="50" t="str">
        <f t="shared" si="14"/>
        <v/>
      </c>
      <c r="GS24" s="50" t="str">
        <f t="shared" si="14"/>
        <v/>
      </c>
      <c r="GT24" s="50" t="str">
        <f t="shared" si="14"/>
        <v/>
      </c>
      <c r="GU24" s="50" t="str">
        <f t="shared" si="14"/>
        <v/>
      </c>
      <c r="GV24" s="50" t="str">
        <f t="shared" si="14"/>
        <v/>
      </c>
      <c r="GW24" s="50" t="str">
        <f t="shared" si="14"/>
        <v/>
      </c>
      <c r="GX24" s="50" t="str">
        <f t="shared" si="15"/>
        <v/>
      </c>
      <c r="GY24" s="50" t="str">
        <f t="shared" si="15"/>
        <v/>
      </c>
      <c r="GZ24" s="50" t="str">
        <f t="shared" si="15"/>
        <v/>
      </c>
      <c r="HA24" s="50" t="str">
        <f t="shared" si="15"/>
        <v/>
      </c>
      <c r="HB24" s="50" t="str">
        <f t="shared" si="15"/>
        <v/>
      </c>
      <c r="HC24" s="50" t="str">
        <f t="shared" si="15"/>
        <v/>
      </c>
      <c r="HD24" s="50" t="str">
        <f t="shared" si="15"/>
        <v/>
      </c>
      <c r="HE24" s="50" t="str">
        <f t="shared" si="15"/>
        <v/>
      </c>
      <c r="HF24" s="50" t="str">
        <f t="shared" si="15"/>
        <v/>
      </c>
      <c r="HG24" s="50" t="str">
        <f t="shared" si="15"/>
        <v/>
      </c>
      <c r="HH24" s="50" t="str">
        <f t="shared" si="15"/>
        <v/>
      </c>
      <c r="HI24" s="50" t="str">
        <f t="shared" si="15"/>
        <v/>
      </c>
      <c r="HJ24" s="50" t="str">
        <f t="shared" si="15"/>
        <v/>
      </c>
      <c r="HK24" s="50" t="str">
        <f t="shared" si="15"/>
        <v/>
      </c>
      <c r="HL24" s="50" t="str">
        <f t="shared" si="15"/>
        <v/>
      </c>
      <c r="HM24" s="50" t="str">
        <f t="shared" si="15"/>
        <v/>
      </c>
      <c r="HN24" s="50" t="str">
        <f t="shared" si="15"/>
        <v/>
      </c>
      <c r="HO24" s="50" t="str">
        <f t="shared" si="15"/>
        <v/>
      </c>
      <c r="HP24" s="50" t="str">
        <f t="shared" si="15"/>
        <v/>
      </c>
      <c r="HQ24" s="50" t="str">
        <f t="shared" si="15"/>
        <v/>
      </c>
      <c r="HR24" s="112" t="str">
        <f t="shared" si="15"/>
        <v/>
      </c>
    </row>
    <row r="25" spans="1:226" ht="11.1" customHeight="1" x14ac:dyDescent="0.25">
      <c r="A25" s="26" t="s">
        <v>37</v>
      </c>
      <c r="B25" s="145">
        <v>2</v>
      </c>
      <c r="C25" s="28" t="str">
        <f>IF(A25=0,"",VLOOKUP(A25,[2]CO!$A$3:$F$5327,2,0))</f>
        <v>Lote</v>
      </c>
      <c r="D25" s="149" t="s">
        <v>38</v>
      </c>
      <c r="E25" s="29"/>
      <c r="F25" s="29"/>
      <c r="G25" s="30" t="str">
        <f>IF(A25=0,"",VLOOKUP(A25,[2]CO!$A$3:$F$5327,3,0))</f>
        <v>LOTE</v>
      </c>
      <c r="H25" s="142"/>
      <c r="I25" s="143">
        <v>1.2726250000000001</v>
      </c>
      <c r="J25" s="143"/>
      <c r="K25" s="143"/>
      <c r="L25" s="143">
        <v>4</v>
      </c>
      <c r="M25" s="32">
        <f t="shared" si="0"/>
        <v>5.0905000000000005</v>
      </c>
      <c r="N25" s="32">
        <f>IF(B25=0,"",IF(H25="M",HLOOKUP(B25,$Y$12:$DT$13,2),IF(A25=0,"",VLOOKUP(A25,[2]CO!$A$3:$F$5327,4,0))))</f>
        <v>100</v>
      </c>
      <c r="O25" s="32">
        <f t="shared" si="7"/>
        <v>509.05000000000007</v>
      </c>
      <c r="P25" s="33">
        <v>2</v>
      </c>
      <c r="Q25" s="34">
        <f t="shared" si="1"/>
        <v>4072.4</v>
      </c>
      <c r="R25" s="35" t="str">
        <f>IF(S25=0,"",IF(OR(G25="PEON",G25="OF",G25="JARD",G25="CARP",G25="MAESTRO",G25="SOLD",G25="BGRO",G25="CHOFER",G25="AYTE",G25="S.INTTE.",G25="ASEO",G25="P.PISOS",G25="VELADOR",G25="RESID",G25="PINTOR",G25="ELECT",G25="AZULE",G25="AUX CONT.",G25="SECRETARIA",G25="AUXILIAR ADMTVO.",G25="ARQUITECTO",G25="DIBUJANTE",G25="AUX. DE RESIDENTE"),VLOOKUP(B25,P$14:Q$64,2),"")*S25)</f>
        <v/>
      </c>
      <c r="T25" s="53">
        <f>IF(A25=0,"",VLOOKUP(A25,[2]CO!$A$3:$F$5318,5,0))</f>
        <v>0</v>
      </c>
      <c r="U25" s="54">
        <f t="shared" si="2"/>
        <v>0</v>
      </c>
      <c r="V25" s="24"/>
      <c r="W25" s="25"/>
      <c r="X25" s="25"/>
      <c r="Y25" s="64" t="str">
        <f t="shared" si="16"/>
        <v/>
      </c>
      <c r="Z25" s="55">
        <f t="shared" si="16"/>
        <v>0</v>
      </c>
      <c r="AA25" s="55" t="str">
        <f t="shared" si="16"/>
        <v/>
      </c>
      <c r="AB25" s="55" t="str">
        <f t="shared" si="16"/>
        <v/>
      </c>
      <c r="AC25" s="55" t="str">
        <f t="shared" si="16"/>
        <v/>
      </c>
      <c r="AD25" s="55" t="str">
        <f t="shared" si="16"/>
        <v/>
      </c>
      <c r="AE25" s="55" t="str">
        <f t="shared" si="16"/>
        <v/>
      </c>
      <c r="AF25" s="55" t="str">
        <f t="shared" si="16"/>
        <v/>
      </c>
      <c r="AG25" s="55" t="str">
        <f t="shared" si="16"/>
        <v/>
      </c>
      <c r="AH25" s="55" t="str">
        <f t="shared" si="16"/>
        <v/>
      </c>
      <c r="AI25" s="55" t="str">
        <f t="shared" si="16"/>
        <v/>
      </c>
      <c r="AJ25" s="55" t="str">
        <f t="shared" si="16"/>
        <v/>
      </c>
      <c r="AK25" s="55" t="str">
        <f t="shared" si="16"/>
        <v/>
      </c>
      <c r="AL25" s="55" t="str">
        <f t="shared" si="16"/>
        <v/>
      </c>
      <c r="AM25" s="55" t="str">
        <f t="shared" si="16"/>
        <v/>
      </c>
      <c r="AN25" s="55" t="str">
        <f t="shared" si="16"/>
        <v/>
      </c>
      <c r="AO25" s="55" t="str">
        <f t="shared" si="16"/>
        <v/>
      </c>
      <c r="AP25" s="55" t="str">
        <f t="shared" si="16"/>
        <v/>
      </c>
      <c r="AQ25" s="55" t="str">
        <f t="shared" si="16"/>
        <v/>
      </c>
      <c r="AR25" s="55" t="str">
        <f t="shared" si="16"/>
        <v/>
      </c>
      <c r="AS25" s="55" t="str">
        <f t="shared" si="16"/>
        <v/>
      </c>
      <c r="AT25" s="55" t="str">
        <f t="shared" si="16"/>
        <v/>
      </c>
      <c r="AU25" s="55" t="str">
        <f t="shared" si="16"/>
        <v/>
      </c>
      <c r="AV25" s="55" t="str">
        <f t="shared" si="16"/>
        <v/>
      </c>
      <c r="AW25" s="55" t="str">
        <f t="shared" si="16"/>
        <v/>
      </c>
      <c r="AX25" s="55" t="str">
        <f t="shared" si="16"/>
        <v/>
      </c>
      <c r="AY25" s="55" t="str">
        <f t="shared" si="16"/>
        <v/>
      </c>
      <c r="AZ25" s="55" t="str">
        <f t="shared" si="16"/>
        <v/>
      </c>
      <c r="BA25" s="55" t="str">
        <f t="shared" si="16"/>
        <v/>
      </c>
      <c r="BB25" s="55" t="str">
        <f t="shared" si="16"/>
        <v/>
      </c>
      <c r="BC25" s="55" t="str">
        <f t="shared" si="16"/>
        <v/>
      </c>
      <c r="BD25" s="55" t="str">
        <f t="shared" si="16"/>
        <v/>
      </c>
      <c r="BE25" s="55" t="str">
        <f t="shared" si="16"/>
        <v/>
      </c>
      <c r="BF25" s="55" t="str">
        <f t="shared" si="16"/>
        <v/>
      </c>
      <c r="BG25" s="55" t="str">
        <f t="shared" si="16"/>
        <v/>
      </c>
      <c r="BH25" s="55" t="str">
        <f t="shared" si="16"/>
        <v/>
      </c>
      <c r="BI25" s="55" t="str">
        <f t="shared" si="16"/>
        <v/>
      </c>
      <c r="BJ25" s="55" t="str">
        <f t="shared" si="16"/>
        <v/>
      </c>
      <c r="BK25" s="55" t="str">
        <f t="shared" si="16"/>
        <v/>
      </c>
      <c r="BL25" s="55" t="str">
        <f t="shared" si="16"/>
        <v/>
      </c>
      <c r="BM25" s="55" t="str">
        <f t="shared" si="16"/>
        <v/>
      </c>
      <c r="BN25" s="55" t="str">
        <f t="shared" si="16"/>
        <v/>
      </c>
      <c r="BO25" s="55" t="str">
        <f t="shared" si="16"/>
        <v/>
      </c>
      <c r="BP25" s="55" t="str">
        <f t="shared" si="16"/>
        <v/>
      </c>
      <c r="BQ25" s="55" t="str">
        <f t="shared" si="16"/>
        <v/>
      </c>
      <c r="BR25" s="55" t="str">
        <f t="shared" si="16"/>
        <v/>
      </c>
      <c r="BS25" s="55" t="str">
        <f t="shared" si="16"/>
        <v/>
      </c>
      <c r="BT25" s="55" t="str">
        <f t="shared" si="16"/>
        <v/>
      </c>
      <c r="BU25" s="55" t="str">
        <f t="shared" si="16"/>
        <v/>
      </c>
      <c r="BV25" s="55" t="str">
        <f t="shared" si="16"/>
        <v/>
      </c>
      <c r="BW25" s="55" t="str">
        <f t="shared" si="16"/>
        <v/>
      </c>
      <c r="BX25" s="55" t="str">
        <f t="shared" si="16"/>
        <v/>
      </c>
      <c r="BY25" s="55" t="str">
        <f t="shared" si="16"/>
        <v/>
      </c>
      <c r="BZ25" s="55" t="str">
        <f t="shared" si="16"/>
        <v/>
      </c>
      <c r="CA25" s="55" t="str">
        <f t="shared" si="16"/>
        <v/>
      </c>
      <c r="CB25" s="55" t="str">
        <f t="shared" si="16"/>
        <v/>
      </c>
      <c r="CC25" s="55" t="str">
        <f t="shared" si="16"/>
        <v/>
      </c>
      <c r="CD25" s="55" t="str">
        <f t="shared" si="16"/>
        <v/>
      </c>
      <c r="CE25" s="55" t="str">
        <f t="shared" si="16"/>
        <v/>
      </c>
      <c r="CF25" s="55" t="str">
        <f t="shared" si="16"/>
        <v/>
      </c>
      <c r="CG25" s="55" t="str">
        <f t="shared" si="16"/>
        <v/>
      </c>
      <c r="CH25" s="55" t="str">
        <f t="shared" si="16"/>
        <v/>
      </c>
      <c r="CI25" s="55" t="str">
        <f t="shared" si="16"/>
        <v/>
      </c>
      <c r="CJ25" s="55" t="str">
        <f t="shared" si="12"/>
        <v/>
      </c>
      <c r="CK25" s="55" t="str">
        <f t="shared" si="12"/>
        <v/>
      </c>
      <c r="CL25" s="55" t="str">
        <f t="shared" si="12"/>
        <v/>
      </c>
      <c r="CM25" s="55" t="str">
        <f t="shared" si="12"/>
        <v/>
      </c>
      <c r="CN25" s="55" t="str">
        <f t="shared" si="12"/>
        <v/>
      </c>
      <c r="CO25" s="55" t="str">
        <f t="shared" si="12"/>
        <v/>
      </c>
      <c r="CP25" s="55" t="str">
        <f t="shared" si="12"/>
        <v/>
      </c>
      <c r="CQ25" s="55" t="str">
        <f t="shared" si="12"/>
        <v/>
      </c>
      <c r="CR25" s="55" t="str">
        <f t="shared" si="12"/>
        <v/>
      </c>
      <c r="CS25" s="55" t="str">
        <f t="shared" si="12"/>
        <v/>
      </c>
      <c r="CT25" s="55" t="str">
        <f t="shared" si="12"/>
        <v/>
      </c>
      <c r="CU25" s="55" t="str">
        <f t="shared" si="12"/>
        <v/>
      </c>
      <c r="CV25" s="55" t="str">
        <f t="shared" si="12"/>
        <v/>
      </c>
      <c r="CW25" s="55" t="str">
        <f t="shared" si="12"/>
        <v/>
      </c>
      <c r="CX25" s="55" t="str">
        <f t="shared" si="12"/>
        <v/>
      </c>
      <c r="CY25" s="55" t="str">
        <f t="shared" si="12"/>
        <v/>
      </c>
      <c r="CZ25" s="55" t="str">
        <f t="shared" si="13"/>
        <v/>
      </c>
      <c r="DA25" s="55" t="str">
        <f t="shared" si="13"/>
        <v/>
      </c>
      <c r="DB25" s="55" t="str">
        <f t="shared" si="13"/>
        <v/>
      </c>
      <c r="DC25" s="55" t="str">
        <f t="shared" si="13"/>
        <v/>
      </c>
      <c r="DD25" s="55" t="str">
        <f t="shared" si="13"/>
        <v/>
      </c>
      <c r="DE25" s="55" t="str">
        <f t="shared" si="13"/>
        <v/>
      </c>
      <c r="DF25" s="55" t="str">
        <f t="shared" si="13"/>
        <v/>
      </c>
      <c r="DG25" s="55" t="str">
        <f t="shared" si="13"/>
        <v/>
      </c>
      <c r="DH25" s="55" t="str">
        <f t="shared" si="13"/>
        <v/>
      </c>
      <c r="DI25" s="55" t="str">
        <f t="shared" si="13"/>
        <v/>
      </c>
      <c r="DJ25" s="55" t="str">
        <f t="shared" si="13"/>
        <v/>
      </c>
      <c r="DK25" s="55" t="str">
        <f t="shared" si="13"/>
        <v/>
      </c>
      <c r="DL25" s="55" t="str">
        <f t="shared" si="13"/>
        <v/>
      </c>
      <c r="DM25" s="55" t="str">
        <f t="shared" si="13"/>
        <v/>
      </c>
      <c r="DN25" s="55" t="str">
        <f t="shared" si="13"/>
        <v/>
      </c>
      <c r="DO25" s="55" t="str">
        <f t="shared" si="13"/>
        <v/>
      </c>
      <c r="DP25" s="55" t="str">
        <f t="shared" si="13"/>
        <v/>
      </c>
      <c r="DQ25" s="55" t="str">
        <f t="shared" si="13"/>
        <v/>
      </c>
      <c r="DR25" s="55" t="str">
        <f t="shared" si="13"/>
        <v/>
      </c>
      <c r="DS25" s="55" t="str">
        <f t="shared" si="13"/>
        <v/>
      </c>
      <c r="DT25" s="106" t="str">
        <f t="shared" si="13"/>
        <v/>
      </c>
      <c r="DU25" s="54"/>
      <c r="DV25" s="25"/>
      <c r="DW25" s="61" t="str">
        <f t="shared" si="17"/>
        <v/>
      </c>
      <c r="DX25" s="50">
        <f t="shared" si="17"/>
        <v>509.05000000000007</v>
      </c>
      <c r="DY25" s="50" t="str">
        <f t="shared" si="17"/>
        <v/>
      </c>
      <c r="DZ25" s="50" t="str">
        <f t="shared" si="17"/>
        <v/>
      </c>
      <c r="EA25" s="50" t="str">
        <f t="shared" si="17"/>
        <v/>
      </c>
      <c r="EB25" s="50" t="str">
        <f t="shared" si="17"/>
        <v/>
      </c>
      <c r="EC25" s="50" t="str">
        <f t="shared" si="17"/>
        <v/>
      </c>
      <c r="ED25" s="50" t="str">
        <f t="shared" si="17"/>
        <v/>
      </c>
      <c r="EE25" s="50" t="str">
        <f t="shared" si="17"/>
        <v/>
      </c>
      <c r="EF25" s="50" t="str">
        <f t="shared" si="17"/>
        <v/>
      </c>
      <c r="EG25" s="50" t="str">
        <f t="shared" si="17"/>
        <v/>
      </c>
      <c r="EH25" s="50" t="str">
        <f t="shared" si="17"/>
        <v/>
      </c>
      <c r="EI25" s="50" t="str">
        <f t="shared" si="17"/>
        <v/>
      </c>
      <c r="EJ25" s="50" t="str">
        <f t="shared" si="17"/>
        <v/>
      </c>
      <c r="EK25" s="50" t="str">
        <f t="shared" si="17"/>
        <v/>
      </c>
      <c r="EL25" s="50" t="str">
        <f t="shared" si="17"/>
        <v/>
      </c>
      <c r="EM25" s="50" t="str">
        <f t="shared" si="17"/>
        <v/>
      </c>
      <c r="EN25" s="50" t="str">
        <f t="shared" si="17"/>
        <v/>
      </c>
      <c r="EO25" s="50" t="str">
        <f t="shared" si="17"/>
        <v/>
      </c>
      <c r="EP25" s="50" t="str">
        <f t="shared" si="17"/>
        <v/>
      </c>
      <c r="EQ25" s="50" t="str">
        <f t="shared" si="17"/>
        <v/>
      </c>
      <c r="ER25" s="50" t="str">
        <f t="shared" si="17"/>
        <v/>
      </c>
      <c r="ES25" s="50" t="str">
        <f t="shared" si="17"/>
        <v/>
      </c>
      <c r="ET25" s="50" t="str">
        <f t="shared" si="17"/>
        <v/>
      </c>
      <c r="EU25" s="50" t="str">
        <f t="shared" si="17"/>
        <v/>
      </c>
      <c r="EV25" s="50" t="str">
        <f t="shared" si="17"/>
        <v/>
      </c>
      <c r="EW25" s="50" t="str">
        <f t="shared" si="17"/>
        <v/>
      </c>
      <c r="EX25" s="50" t="str">
        <f t="shared" si="17"/>
        <v/>
      </c>
      <c r="EY25" s="50" t="str">
        <f t="shared" si="17"/>
        <v/>
      </c>
      <c r="EZ25" s="50" t="str">
        <f t="shared" si="17"/>
        <v/>
      </c>
      <c r="FA25" s="50" t="str">
        <f t="shared" si="17"/>
        <v/>
      </c>
      <c r="FB25" s="50" t="str">
        <f t="shared" si="17"/>
        <v/>
      </c>
      <c r="FC25" s="50" t="str">
        <f t="shared" si="17"/>
        <v/>
      </c>
      <c r="FD25" s="50" t="str">
        <f t="shared" si="17"/>
        <v/>
      </c>
      <c r="FE25" s="50" t="str">
        <f t="shared" si="17"/>
        <v/>
      </c>
      <c r="FF25" s="50" t="str">
        <f t="shared" si="17"/>
        <v/>
      </c>
      <c r="FG25" s="50" t="str">
        <f t="shared" si="17"/>
        <v/>
      </c>
      <c r="FH25" s="50" t="str">
        <f t="shared" si="17"/>
        <v/>
      </c>
      <c r="FI25" s="50" t="str">
        <f t="shared" si="17"/>
        <v/>
      </c>
      <c r="FJ25" s="50" t="str">
        <f t="shared" si="17"/>
        <v/>
      </c>
      <c r="FK25" s="50" t="str">
        <f t="shared" si="17"/>
        <v/>
      </c>
      <c r="FL25" s="50" t="str">
        <f t="shared" si="17"/>
        <v/>
      </c>
      <c r="FM25" s="50" t="str">
        <f t="shared" si="17"/>
        <v/>
      </c>
      <c r="FN25" s="50" t="str">
        <f t="shared" si="17"/>
        <v/>
      </c>
      <c r="FO25" s="50" t="str">
        <f t="shared" si="17"/>
        <v/>
      </c>
      <c r="FP25" s="50" t="str">
        <f t="shared" si="17"/>
        <v/>
      </c>
      <c r="FQ25" s="50" t="str">
        <f t="shared" si="17"/>
        <v/>
      </c>
      <c r="FR25" s="50" t="str">
        <f t="shared" si="17"/>
        <v/>
      </c>
      <c r="FS25" s="50" t="str">
        <f t="shared" si="17"/>
        <v/>
      </c>
      <c r="FT25" s="50" t="str">
        <f t="shared" si="17"/>
        <v/>
      </c>
      <c r="FU25" s="50" t="str">
        <f t="shared" si="17"/>
        <v/>
      </c>
      <c r="FV25" s="50" t="str">
        <f t="shared" si="17"/>
        <v/>
      </c>
      <c r="FW25" s="50" t="str">
        <f t="shared" si="17"/>
        <v/>
      </c>
      <c r="FX25" s="50" t="str">
        <f t="shared" si="17"/>
        <v/>
      </c>
      <c r="FY25" s="50" t="str">
        <f t="shared" si="17"/>
        <v/>
      </c>
      <c r="FZ25" s="50" t="str">
        <f t="shared" si="17"/>
        <v/>
      </c>
      <c r="GA25" s="50" t="str">
        <f t="shared" si="17"/>
        <v/>
      </c>
      <c r="GB25" s="50" t="str">
        <f t="shared" si="17"/>
        <v/>
      </c>
      <c r="GC25" s="50" t="str">
        <f t="shared" si="17"/>
        <v/>
      </c>
      <c r="GD25" s="50" t="str">
        <f t="shared" si="17"/>
        <v/>
      </c>
      <c r="GE25" s="50" t="str">
        <f t="shared" si="17"/>
        <v/>
      </c>
      <c r="GF25" s="50" t="str">
        <f t="shared" si="17"/>
        <v/>
      </c>
      <c r="GG25" s="50" t="str">
        <f t="shared" si="17"/>
        <v/>
      </c>
      <c r="GH25" s="50" t="str">
        <f t="shared" si="14"/>
        <v/>
      </c>
      <c r="GI25" s="50" t="str">
        <f t="shared" si="14"/>
        <v/>
      </c>
      <c r="GJ25" s="50" t="str">
        <f t="shared" si="14"/>
        <v/>
      </c>
      <c r="GK25" s="50" t="str">
        <f t="shared" si="14"/>
        <v/>
      </c>
      <c r="GL25" s="50" t="str">
        <f t="shared" si="14"/>
        <v/>
      </c>
      <c r="GM25" s="50" t="str">
        <f t="shared" si="14"/>
        <v/>
      </c>
      <c r="GN25" s="50" t="str">
        <f t="shared" si="14"/>
        <v/>
      </c>
      <c r="GO25" s="50" t="str">
        <f t="shared" si="14"/>
        <v/>
      </c>
      <c r="GP25" s="50" t="str">
        <f t="shared" si="14"/>
        <v/>
      </c>
      <c r="GQ25" s="50" t="str">
        <f t="shared" si="14"/>
        <v/>
      </c>
      <c r="GR25" s="50" t="str">
        <f t="shared" si="14"/>
        <v/>
      </c>
      <c r="GS25" s="50" t="str">
        <f t="shared" si="14"/>
        <v/>
      </c>
      <c r="GT25" s="50" t="str">
        <f t="shared" si="14"/>
        <v/>
      </c>
      <c r="GU25" s="50" t="str">
        <f t="shared" si="14"/>
        <v/>
      </c>
      <c r="GV25" s="50" t="str">
        <f t="shared" si="14"/>
        <v/>
      </c>
      <c r="GW25" s="50" t="str">
        <f t="shared" si="14"/>
        <v/>
      </c>
      <c r="GX25" s="50" t="str">
        <f t="shared" si="15"/>
        <v/>
      </c>
      <c r="GY25" s="50" t="str">
        <f t="shared" si="15"/>
        <v/>
      </c>
      <c r="GZ25" s="50" t="str">
        <f t="shared" si="15"/>
        <v/>
      </c>
      <c r="HA25" s="50" t="str">
        <f t="shared" si="15"/>
        <v/>
      </c>
      <c r="HB25" s="50" t="str">
        <f t="shared" si="15"/>
        <v/>
      </c>
      <c r="HC25" s="50" t="str">
        <f t="shared" si="15"/>
        <v/>
      </c>
      <c r="HD25" s="50" t="str">
        <f t="shared" si="15"/>
        <v/>
      </c>
      <c r="HE25" s="50" t="str">
        <f t="shared" si="15"/>
        <v/>
      </c>
      <c r="HF25" s="50" t="str">
        <f t="shared" si="15"/>
        <v/>
      </c>
      <c r="HG25" s="50" t="str">
        <f t="shared" si="15"/>
        <v/>
      </c>
      <c r="HH25" s="50" t="str">
        <f t="shared" si="15"/>
        <v/>
      </c>
      <c r="HI25" s="50" t="str">
        <f t="shared" si="15"/>
        <v/>
      </c>
      <c r="HJ25" s="50" t="str">
        <f t="shared" si="15"/>
        <v/>
      </c>
      <c r="HK25" s="50" t="str">
        <f t="shared" si="15"/>
        <v/>
      </c>
      <c r="HL25" s="50" t="str">
        <f t="shared" si="15"/>
        <v/>
      </c>
      <c r="HM25" s="50" t="str">
        <f t="shared" si="15"/>
        <v/>
      </c>
      <c r="HN25" s="50" t="str">
        <f t="shared" si="15"/>
        <v/>
      </c>
      <c r="HO25" s="50" t="str">
        <f t="shared" si="15"/>
        <v/>
      </c>
      <c r="HP25" s="50" t="str">
        <f t="shared" si="15"/>
        <v/>
      </c>
      <c r="HQ25" s="50" t="str">
        <f t="shared" si="15"/>
        <v/>
      </c>
      <c r="HR25" s="112" t="str">
        <f t="shared" si="15"/>
        <v/>
      </c>
    </row>
    <row r="26" spans="1:226" ht="11.1" customHeight="1" x14ac:dyDescent="0.25">
      <c r="A26" s="26"/>
      <c r="B26" s="145"/>
      <c r="C26" s="28" t="str">
        <f>IF(A26=0,"",VLOOKUP(A26,[2]CO!$A$3:$F$5327,2,0))</f>
        <v/>
      </c>
      <c r="D26" s="178" t="s">
        <v>39</v>
      </c>
      <c r="E26" s="29"/>
      <c r="F26" s="29"/>
      <c r="G26" s="30" t="str">
        <f>IF(A26=0,"",VLOOKUP(A26,[2]CO!$A$3:$F$5327,3,0))</f>
        <v/>
      </c>
      <c r="H26" s="142"/>
      <c r="I26" s="143"/>
      <c r="J26" s="143"/>
      <c r="K26" s="143"/>
      <c r="L26" s="143"/>
      <c r="M26" s="32" t="str">
        <f t="shared" si="0"/>
        <v/>
      </c>
      <c r="N26" s="32" t="str">
        <f>IF(B26=0,"",IF(H26="M",HLOOKUP(B26,$Y$12:$DT$13,2),IF(A26=0,"",VLOOKUP(A26,[2]CO!$A$3:$F$5327,4,0))))</f>
        <v/>
      </c>
      <c r="O26" s="32" t="str">
        <f t="shared" si="7"/>
        <v/>
      </c>
      <c r="P26" s="33"/>
      <c r="Q26" s="34" t="str">
        <f t="shared" si="1"/>
        <v/>
      </c>
      <c r="R26" s="35" t="str">
        <f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RESIDENTE"),VLOOKUP(B26,P$14:Q$64,2),"")*S26)</f>
        <v/>
      </c>
      <c r="T26" s="53" t="str">
        <f>IF(A26=0,"",VLOOKUP(A26,[2]CO!$A$3:$F$5318,5,0))</f>
        <v/>
      </c>
      <c r="U26" s="54">
        <f t="shared" si="2"/>
        <v>0</v>
      </c>
      <c r="V26" s="24"/>
      <c r="W26" s="25"/>
      <c r="X26" s="25"/>
      <c r="Y26" s="64" t="str">
        <f t="shared" si="16"/>
        <v/>
      </c>
      <c r="Z26" s="55" t="str">
        <f t="shared" si="16"/>
        <v/>
      </c>
      <c r="AA26" s="55" t="str">
        <f t="shared" si="16"/>
        <v/>
      </c>
      <c r="AB26" s="55" t="str">
        <f t="shared" ref="AB26:CI28" si="18">IF($B26=AB$12,$U26,"")</f>
        <v/>
      </c>
      <c r="AC26" s="55" t="str">
        <f t="shared" si="18"/>
        <v/>
      </c>
      <c r="AD26" s="55" t="str">
        <f t="shared" si="18"/>
        <v/>
      </c>
      <c r="AE26" s="55" t="str">
        <f t="shared" si="18"/>
        <v/>
      </c>
      <c r="AF26" s="55" t="str">
        <f t="shared" si="18"/>
        <v/>
      </c>
      <c r="AG26" s="55" t="str">
        <f t="shared" si="18"/>
        <v/>
      </c>
      <c r="AH26" s="55" t="str">
        <f t="shared" si="18"/>
        <v/>
      </c>
      <c r="AI26" s="55" t="str">
        <f t="shared" si="18"/>
        <v/>
      </c>
      <c r="AJ26" s="55" t="str">
        <f t="shared" si="18"/>
        <v/>
      </c>
      <c r="AK26" s="55" t="str">
        <f t="shared" si="18"/>
        <v/>
      </c>
      <c r="AL26" s="55" t="str">
        <f t="shared" si="18"/>
        <v/>
      </c>
      <c r="AM26" s="55" t="str">
        <f t="shared" si="18"/>
        <v/>
      </c>
      <c r="AN26" s="55" t="str">
        <f t="shared" si="18"/>
        <v/>
      </c>
      <c r="AO26" s="55" t="str">
        <f t="shared" si="18"/>
        <v/>
      </c>
      <c r="AP26" s="55" t="str">
        <f t="shared" si="18"/>
        <v/>
      </c>
      <c r="AQ26" s="55" t="str">
        <f t="shared" si="18"/>
        <v/>
      </c>
      <c r="AR26" s="55" t="str">
        <f t="shared" si="18"/>
        <v/>
      </c>
      <c r="AS26" s="55" t="str">
        <f t="shared" si="18"/>
        <v/>
      </c>
      <c r="AT26" s="55" t="str">
        <f t="shared" si="18"/>
        <v/>
      </c>
      <c r="AU26" s="55" t="str">
        <f t="shared" si="18"/>
        <v/>
      </c>
      <c r="AV26" s="55" t="str">
        <f t="shared" si="18"/>
        <v/>
      </c>
      <c r="AW26" s="55" t="str">
        <f t="shared" si="18"/>
        <v/>
      </c>
      <c r="AX26" s="55" t="str">
        <f t="shared" si="18"/>
        <v/>
      </c>
      <c r="AY26" s="55" t="str">
        <f t="shared" si="18"/>
        <v/>
      </c>
      <c r="AZ26" s="55" t="str">
        <f t="shared" si="18"/>
        <v/>
      </c>
      <c r="BA26" s="55" t="str">
        <f t="shared" si="18"/>
        <v/>
      </c>
      <c r="BB26" s="55" t="str">
        <f t="shared" si="18"/>
        <v/>
      </c>
      <c r="BC26" s="55" t="str">
        <f t="shared" si="18"/>
        <v/>
      </c>
      <c r="BD26" s="55" t="str">
        <f t="shared" si="18"/>
        <v/>
      </c>
      <c r="BE26" s="55" t="str">
        <f t="shared" si="18"/>
        <v/>
      </c>
      <c r="BF26" s="55" t="str">
        <f t="shared" si="18"/>
        <v/>
      </c>
      <c r="BG26" s="55" t="str">
        <f t="shared" si="18"/>
        <v/>
      </c>
      <c r="BH26" s="55" t="str">
        <f t="shared" si="18"/>
        <v/>
      </c>
      <c r="BI26" s="55" t="str">
        <f t="shared" si="18"/>
        <v/>
      </c>
      <c r="BJ26" s="55" t="str">
        <f t="shared" si="18"/>
        <v/>
      </c>
      <c r="BK26" s="55" t="str">
        <f t="shared" si="18"/>
        <v/>
      </c>
      <c r="BL26" s="55" t="str">
        <f t="shared" si="18"/>
        <v/>
      </c>
      <c r="BM26" s="55" t="str">
        <f t="shared" si="18"/>
        <v/>
      </c>
      <c r="BN26" s="55" t="str">
        <f t="shared" si="18"/>
        <v/>
      </c>
      <c r="BO26" s="55" t="str">
        <f t="shared" si="18"/>
        <v/>
      </c>
      <c r="BP26" s="55" t="str">
        <f t="shared" si="18"/>
        <v/>
      </c>
      <c r="BQ26" s="55" t="str">
        <f t="shared" si="18"/>
        <v/>
      </c>
      <c r="BR26" s="55" t="str">
        <f t="shared" si="18"/>
        <v/>
      </c>
      <c r="BS26" s="55" t="str">
        <f t="shared" si="18"/>
        <v/>
      </c>
      <c r="BT26" s="55" t="str">
        <f t="shared" si="18"/>
        <v/>
      </c>
      <c r="BU26" s="55" t="str">
        <f t="shared" si="18"/>
        <v/>
      </c>
      <c r="BV26" s="55" t="str">
        <f t="shared" si="18"/>
        <v/>
      </c>
      <c r="BW26" s="55" t="str">
        <f t="shared" si="18"/>
        <v/>
      </c>
      <c r="BX26" s="55" t="str">
        <f t="shared" si="18"/>
        <v/>
      </c>
      <c r="BY26" s="55" t="str">
        <f t="shared" si="18"/>
        <v/>
      </c>
      <c r="BZ26" s="55" t="str">
        <f t="shared" si="18"/>
        <v/>
      </c>
      <c r="CA26" s="55" t="str">
        <f t="shared" si="18"/>
        <v/>
      </c>
      <c r="CB26" s="55" t="str">
        <f t="shared" si="18"/>
        <v/>
      </c>
      <c r="CC26" s="55" t="str">
        <f t="shared" si="18"/>
        <v/>
      </c>
      <c r="CD26" s="55" t="str">
        <f t="shared" si="18"/>
        <v/>
      </c>
      <c r="CE26" s="55" t="str">
        <f t="shared" si="18"/>
        <v/>
      </c>
      <c r="CF26" s="55" t="str">
        <f t="shared" si="18"/>
        <v/>
      </c>
      <c r="CG26" s="55" t="str">
        <f t="shared" si="18"/>
        <v/>
      </c>
      <c r="CH26" s="55" t="str">
        <f t="shared" si="18"/>
        <v/>
      </c>
      <c r="CI26" s="55" t="str">
        <f t="shared" si="18"/>
        <v/>
      </c>
      <c r="CJ26" s="55" t="str">
        <f t="shared" si="12"/>
        <v/>
      </c>
      <c r="CK26" s="55" t="str">
        <f t="shared" si="12"/>
        <v/>
      </c>
      <c r="CL26" s="55" t="str">
        <f t="shared" si="12"/>
        <v/>
      </c>
      <c r="CM26" s="55" t="str">
        <f t="shared" si="12"/>
        <v/>
      </c>
      <c r="CN26" s="55" t="str">
        <f t="shared" si="12"/>
        <v/>
      </c>
      <c r="CO26" s="55" t="str">
        <f t="shared" si="12"/>
        <v/>
      </c>
      <c r="CP26" s="55" t="str">
        <f t="shared" si="12"/>
        <v/>
      </c>
      <c r="CQ26" s="55" t="str">
        <f t="shared" si="12"/>
        <v/>
      </c>
      <c r="CR26" s="55" t="str">
        <f t="shared" si="12"/>
        <v/>
      </c>
      <c r="CS26" s="55" t="str">
        <f t="shared" si="12"/>
        <v/>
      </c>
      <c r="CT26" s="55" t="str">
        <f t="shared" si="12"/>
        <v/>
      </c>
      <c r="CU26" s="55" t="str">
        <f t="shared" si="12"/>
        <v/>
      </c>
      <c r="CV26" s="55" t="str">
        <f t="shared" si="12"/>
        <v/>
      </c>
      <c r="CW26" s="55" t="str">
        <f t="shared" si="12"/>
        <v/>
      </c>
      <c r="CX26" s="55" t="str">
        <f t="shared" si="12"/>
        <v/>
      </c>
      <c r="CY26" s="55" t="str">
        <f t="shared" si="12"/>
        <v/>
      </c>
      <c r="CZ26" s="55" t="str">
        <f t="shared" si="12"/>
        <v/>
      </c>
      <c r="DA26" s="55" t="str">
        <f t="shared" si="12"/>
        <v/>
      </c>
      <c r="DB26" s="55" t="str">
        <f t="shared" si="12"/>
        <v/>
      </c>
      <c r="DC26" s="55" t="str">
        <f t="shared" si="12"/>
        <v/>
      </c>
      <c r="DD26" s="55" t="str">
        <f t="shared" si="12"/>
        <v/>
      </c>
      <c r="DE26" s="55" t="str">
        <f t="shared" si="12"/>
        <v/>
      </c>
      <c r="DF26" s="55" t="str">
        <f t="shared" si="12"/>
        <v/>
      </c>
      <c r="DG26" s="55" t="str">
        <f t="shared" si="12"/>
        <v/>
      </c>
      <c r="DH26" s="55" t="str">
        <f t="shared" si="12"/>
        <v/>
      </c>
      <c r="DI26" s="55" t="str">
        <f t="shared" si="12"/>
        <v/>
      </c>
      <c r="DJ26" s="55" t="str">
        <f t="shared" si="12"/>
        <v/>
      </c>
      <c r="DK26" s="55" t="str">
        <f t="shared" si="12"/>
        <v/>
      </c>
      <c r="DL26" s="55" t="str">
        <f t="shared" si="12"/>
        <v/>
      </c>
      <c r="DM26" s="55" t="str">
        <f t="shared" si="12"/>
        <v/>
      </c>
      <c r="DN26" s="55" t="str">
        <f t="shared" si="12"/>
        <v/>
      </c>
      <c r="DO26" s="55" t="str">
        <f t="shared" si="12"/>
        <v/>
      </c>
      <c r="DP26" s="55" t="str">
        <f t="shared" si="12"/>
        <v/>
      </c>
      <c r="DQ26" s="55" t="str">
        <f t="shared" si="12"/>
        <v/>
      </c>
      <c r="DR26" s="55" t="str">
        <f t="shared" si="12"/>
        <v/>
      </c>
      <c r="DS26" s="55" t="str">
        <f t="shared" si="13"/>
        <v/>
      </c>
      <c r="DT26" s="106" t="str">
        <f t="shared" si="13"/>
        <v/>
      </c>
      <c r="DU26" s="54"/>
      <c r="DV26" s="25"/>
      <c r="DW26" s="61" t="str">
        <f t="shared" si="17"/>
        <v/>
      </c>
      <c r="DX26" s="50" t="str">
        <f t="shared" si="17"/>
        <v/>
      </c>
      <c r="DY26" s="50" t="str">
        <f t="shared" si="17"/>
        <v/>
      </c>
      <c r="DZ26" s="50" t="str">
        <f t="shared" ref="DZ26:GG28" si="19">IF($B26=DZ$12,$O26,"")</f>
        <v/>
      </c>
      <c r="EA26" s="50" t="str">
        <f t="shared" si="19"/>
        <v/>
      </c>
      <c r="EB26" s="50" t="str">
        <f t="shared" si="19"/>
        <v/>
      </c>
      <c r="EC26" s="50" t="str">
        <f t="shared" si="19"/>
        <v/>
      </c>
      <c r="ED26" s="50" t="str">
        <f t="shared" si="19"/>
        <v/>
      </c>
      <c r="EE26" s="50" t="str">
        <f t="shared" si="19"/>
        <v/>
      </c>
      <c r="EF26" s="50" t="str">
        <f t="shared" si="19"/>
        <v/>
      </c>
      <c r="EG26" s="50" t="str">
        <f t="shared" si="19"/>
        <v/>
      </c>
      <c r="EH26" s="50" t="str">
        <f t="shared" si="19"/>
        <v/>
      </c>
      <c r="EI26" s="50" t="str">
        <f t="shared" si="19"/>
        <v/>
      </c>
      <c r="EJ26" s="50" t="str">
        <f t="shared" si="19"/>
        <v/>
      </c>
      <c r="EK26" s="50" t="str">
        <f t="shared" si="19"/>
        <v/>
      </c>
      <c r="EL26" s="50" t="str">
        <f t="shared" si="19"/>
        <v/>
      </c>
      <c r="EM26" s="50" t="str">
        <f t="shared" si="19"/>
        <v/>
      </c>
      <c r="EN26" s="50" t="str">
        <f t="shared" si="19"/>
        <v/>
      </c>
      <c r="EO26" s="50" t="str">
        <f t="shared" si="19"/>
        <v/>
      </c>
      <c r="EP26" s="50" t="str">
        <f t="shared" si="19"/>
        <v/>
      </c>
      <c r="EQ26" s="50" t="str">
        <f t="shared" si="19"/>
        <v/>
      </c>
      <c r="ER26" s="50" t="str">
        <f t="shared" si="19"/>
        <v/>
      </c>
      <c r="ES26" s="50" t="str">
        <f t="shared" si="19"/>
        <v/>
      </c>
      <c r="ET26" s="50" t="str">
        <f t="shared" si="19"/>
        <v/>
      </c>
      <c r="EU26" s="50" t="str">
        <f t="shared" si="19"/>
        <v/>
      </c>
      <c r="EV26" s="50" t="str">
        <f t="shared" si="19"/>
        <v/>
      </c>
      <c r="EW26" s="50" t="str">
        <f t="shared" si="19"/>
        <v/>
      </c>
      <c r="EX26" s="50" t="str">
        <f t="shared" si="19"/>
        <v/>
      </c>
      <c r="EY26" s="50" t="str">
        <f t="shared" si="19"/>
        <v/>
      </c>
      <c r="EZ26" s="50" t="str">
        <f t="shared" si="19"/>
        <v/>
      </c>
      <c r="FA26" s="50" t="str">
        <f t="shared" si="19"/>
        <v/>
      </c>
      <c r="FB26" s="50" t="str">
        <f t="shared" si="19"/>
        <v/>
      </c>
      <c r="FC26" s="50" t="str">
        <f t="shared" si="19"/>
        <v/>
      </c>
      <c r="FD26" s="50" t="str">
        <f t="shared" si="19"/>
        <v/>
      </c>
      <c r="FE26" s="50" t="str">
        <f t="shared" si="19"/>
        <v/>
      </c>
      <c r="FF26" s="50" t="str">
        <f t="shared" si="19"/>
        <v/>
      </c>
      <c r="FG26" s="50" t="str">
        <f t="shared" si="19"/>
        <v/>
      </c>
      <c r="FH26" s="50" t="str">
        <f t="shared" si="19"/>
        <v/>
      </c>
      <c r="FI26" s="50" t="str">
        <f t="shared" si="19"/>
        <v/>
      </c>
      <c r="FJ26" s="50" t="str">
        <f t="shared" si="19"/>
        <v/>
      </c>
      <c r="FK26" s="50" t="str">
        <f t="shared" si="19"/>
        <v/>
      </c>
      <c r="FL26" s="50" t="str">
        <f t="shared" si="19"/>
        <v/>
      </c>
      <c r="FM26" s="50" t="str">
        <f t="shared" si="19"/>
        <v/>
      </c>
      <c r="FN26" s="50" t="str">
        <f t="shared" si="19"/>
        <v/>
      </c>
      <c r="FO26" s="50" t="str">
        <f t="shared" si="19"/>
        <v/>
      </c>
      <c r="FP26" s="50" t="str">
        <f t="shared" si="19"/>
        <v/>
      </c>
      <c r="FQ26" s="50" t="str">
        <f t="shared" si="19"/>
        <v/>
      </c>
      <c r="FR26" s="50" t="str">
        <f t="shared" si="19"/>
        <v/>
      </c>
      <c r="FS26" s="50" t="str">
        <f t="shared" si="19"/>
        <v/>
      </c>
      <c r="FT26" s="50" t="str">
        <f t="shared" si="19"/>
        <v/>
      </c>
      <c r="FU26" s="50" t="str">
        <f t="shared" si="19"/>
        <v/>
      </c>
      <c r="FV26" s="50" t="str">
        <f t="shared" si="19"/>
        <v/>
      </c>
      <c r="FW26" s="50" t="str">
        <f t="shared" si="19"/>
        <v/>
      </c>
      <c r="FX26" s="50" t="str">
        <f t="shared" si="19"/>
        <v/>
      </c>
      <c r="FY26" s="50" t="str">
        <f t="shared" si="19"/>
        <v/>
      </c>
      <c r="FZ26" s="50" t="str">
        <f t="shared" si="19"/>
        <v/>
      </c>
      <c r="GA26" s="50" t="str">
        <f t="shared" si="19"/>
        <v/>
      </c>
      <c r="GB26" s="50" t="str">
        <f t="shared" si="19"/>
        <v/>
      </c>
      <c r="GC26" s="50" t="str">
        <f t="shared" si="19"/>
        <v/>
      </c>
      <c r="GD26" s="50" t="str">
        <f t="shared" si="19"/>
        <v/>
      </c>
      <c r="GE26" s="50" t="str">
        <f t="shared" si="19"/>
        <v/>
      </c>
      <c r="GF26" s="50" t="str">
        <f t="shared" si="19"/>
        <v/>
      </c>
      <c r="GG26" s="50" t="str">
        <f t="shared" si="19"/>
        <v/>
      </c>
      <c r="GH26" s="50" t="str">
        <f t="shared" si="14"/>
        <v/>
      </c>
      <c r="GI26" s="50" t="str">
        <f t="shared" si="14"/>
        <v/>
      </c>
      <c r="GJ26" s="50" t="str">
        <f t="shared" si="14"/>
        <v/>
      </c>
      <c r="GK26" s="50" t="str">
        <f t="shared" si="14"/>
        <v/>
      </c>
      <c r="GL26" s="50" t="str">
        <f t="shared" si="14"/>
        <v/>
      </c>
      <c r="GM26" s="50" t="str">
        <f t="shared" si="14"/>
        <v/>
      </c>
      <c r="GN26" s="50" t="str">
        <f t="shared" si="14"/>
        <v/>
      </c>
      <c r="GO26" s="50" t="str">
        <f t="shared" si="14"/>
        <v/>
      </c>
      <c r="GP26" s="50" t="str">
        <f t="shared" si="14"/>
        <v/>
      </c>
      <c r="GQ26" s="50" t="str">
        <f t="shared" si="14"/>
        <v/>
      </c>
      <c r="GR26" s="50" t="str">
        <f t="shared" si="14"/>
        <v/>
      </c>
      <c r="GS26" s="50" t="str">
        <f t="shared" si="14"/>
        <v/>
      </c>
      <c r="GT26" s="50" t="str">
        <f t="shared" si="14"/>
        <v/>
      </c>
      <c r="GU26" s="50" t="str">
        <f t="shared" si="14"/>
        <v/>
      </c>
      <c r="GV26" s="50" t="str">
        <f t="shared" si="14"/>
        <v/>
      </c>
      <c r="GW26" s="50" t="str">
        <f t="shared" si="14"/>
        <v/>
      </c>
      <c r="GX26" s="50" t="str">
        <f t="shared" si="14"/>
        <v/>
      </c>
      <c r="GY26" s="50" t="str">
        <f t="shared" si="14"/>
        <v/>
      </c>
      <c r="GZ26" s="50" t="str">
        <f t="shared" si="14"/>
        <v/>
      </c>
      <c r="HA26" s="50" t="str">
        <f t="shared" si="14"/>
        <v/>
      </c>
      <c r="HB26" s="50" t="str">
        <f t="shared" si="14"/>
        <v/>
      </c>
      <c r="HC26" s="50" t="str">
        <f t="shared" si="14"/>
        <v/>
      </c>
      <c r="HD26" s="50" t="str">
        <f t="shared" si="14"/>
        <v/>
      </c>
      <c r="HE26" s="50" t="str">
        <f t="shared" si="14"/>
        <v/>
      </c>
      <c r="HF26" s="50" t="str">
        <f t="shared" si="14"/>
        <v/>
      </c>
      <c r="HG26" s="50" t="str">
        <f t="shared" si="14"/>
        <v/>
      </c>
      <c r="HH26" s="50" t="str">
        <f t="shared" si="14"/>
        <v/>
      </c>
      <c r="HI26" s="50" t="str">
        <f t="shared" si="14"/>
        <v/>
      </c>
      <c r="HJ26" s="50" t="str">
        <f t="shared" si="14"/>
        <v/>
      </c>
      <c r="HK26" s="50" t="str">
        <f t="shared" si="14"/>
        <v/>
      </c>
      <c r="HL26" s="50" t="str">
        <f t="shared" si="14"/>
        <v/>
      </c>
      <c r="HM26" s="50" t="str">
        <f t="shared" si="14"/>
        <v/>
      </c>
      <c r="HN26" s="50" t="str">
        <f t="shared" si="14"/>
        <v/>
      </c>
      <c r="HO26" s="50" t="str">
        <f t="shared" si="14"/>
        <v/>
      </c>
      <c r="HP26" s="50" t="str">
        <f t="shared" si="14"/>
        <v/>
      </c>
      <c r="HQ26" s="50" t="str">
        <f t="shared" si="15"/>
        <v/>
      </c>
      <c r="HR26" s="112" t="str">
        <f t="shared" si="15"/>
        <v/>
      </c>
    </row>
    <row r="27" spans="1:226" ht="11.1" customHeight="1" x14ac:dyDescent="0.25">
      <c r="A27" s="26"/>
      <c r="B27" s="145"/>
      <c r="C27" s="28" t="str">
        <f>IF(A27=0,"",VLOOKUP(A27,[2]CO!$A$3:$F$5327,2,0))</f>
        <v/>
      </c>
      <c r="D27" s="149" t="s">
        <v>40</v>
      </c>
      <c r="E27" s="144"/>
      <c r="F27" s="144"/>
      <c r="G27" s="30" t="str">
        <f>IF(A27=0,"",VLOOKUP(A27,[2]CO!$A$3:$F$5327,3,0))</f>
        <v/>
      </c>
      <c r="H27" s="142"/>
      <c r="I27" s="143"/>
      <c r="J27" s="143"/>
      <c r="K27" s="143"/>
      <c r="L27" s="143"/>
      <c r="M27" s="32" t="str">
        <f t="shared" si="0"/>
        <v/>
      </c>
      <c r="N27" s="32" t="str">
        <f>IF(B27=0,"",IF(H27="M",HLOOKUP(B27,$Y$12:$DT$13,2),IF(A27=0,"",VLOOKUP(A27,[2]CO!$A$3:$F$5327,4,0))))</f>
        <v/>
      </c>
      <c r="O27" s="32" t="str">
        <f t="shared" si="7"/>
        <v/>
      </c>
      <c r="P27" s="33"/>
      <c r="Q27" s="34" t="str">
        <f t="shared" si="1"/>
        <v/>
      </c>
      <c r="R27" s="35" t="str">
        <f>IF(S27=0,"",IF(OR(G27="PEON",G27="OF",G27="JARD",G27="CARP",G27="MAESTRO",G27="SOLD",G27="BGRO",G27="CHOFER",G27="AYTE",G27="S.INTTE.",G27="ASEO",G27="P.PISOS",G27="VELADOR",G27="RESID",G27="PINTOR",G27="ELECT",G27="AZULE",G27="AUX CONT.",G27="SECRETARIA",G27="AUXILIAR ADMTVO.",G27="ARQUITECTO",G27="DIBUJANTE",G27="AUX. DE RESIDENTE"),VLOOKUP(B27,P$14:Q$64,2),"")*S27)</f>
        <v/>
      </c>
      <c r="T27" s="53" t="str">
        <f>IF(A27=0,"",VLOOKUP(A27,[2]CO!$A$3:$F$5318,5,0))</f>
        <v/>
      </c>
      <c r="U27" s="54">
        <f t="shared" si="2"/>
        <v>0</v>
      </c>
      <c r="V27" s="24"/>
      <c r="W27" s="25"/>
      <c r="X27" s="25"/>
      <c r="Y27" s="64" t="str">
        <f t="shared" ref="Y27:CI29" si="20">IF($B27=Y$12,$U27,"")</f>
        <v/>
      </c>
      <c r="Z27" s="55" t="str">
        <f t="shared" si="20"/>
        <v/>
      </c>
      <c r="AA27" s="55" t="str">
        <f t="shared" si="20"/>
        <v/>
      </c>
      <c r="AB27" s="55" t="str">
        <f t="shared" si="18"/>
        <v/>
      </c>
      <c r="AC27" s="55" t="str">
        <f t="shared" si="18"/>
        <v/>
      </c>
      <c r="AD27" s="55" t="str">
        <f t="shared" si="18"/>
        <v/>
      </c>
      <c r="AE27" s="55" t="str">
        <f t="shared" si="18"/>
        <v/>
      </c>
      <c r="AF27" s="55" t="str">
        <f t="shared" si="18"/>
        <v/>
      </c>
      <c r="AG27" s="55" t="str">
        <f t="shared" si="18"/>
        <v/>
      </c>
      <c r="AH27" s="55" t="str">
        <f t="shared" si="18"/>
        <v/>
      </c>
      <c r="AI27" s="55" t="str">
        <f t="shared" si="18"/>
        <v/>
      </c>
      <c r="AJ27" s="55" t="str">
        <f t="shared" si="18"/>
        <v/>
      </c>
      <c r="AK27" s="55" t="str">
        <f t="shared" si="18"/>
        <v/>
      </c>
      <c r="AL27" s="55" t="str">
        <f t="shared" si="18"/>
        <v/>
      </c>
      <c r="AM27" s="55" t="str">
        <f t="shared" si="18"/>
        <v/>
      </c>
      <c r="AN27" s="55" t="str">
        <f t="shared" si="18"/>
        <v/>
      </c>
      <c r="AO27" s="55" t="str">
        <f t="shared" si="18"/>
        <v/>
      </c>
      <c r="AP27" s="55" t="str">
        <f t="shared" si="18"/>
        <v/>
      </c>
      <c r="AQ27" s="55" t="str">
        <f t="shared" si="18"/>
        <v/>
      </c>
      <c r="AR27" s="55" t="str">
        <f t="shared" si="18"/>
        <v/>
      </c>
      <c r="AS27" s="55" t="str">
        <f t="shared" si="18"/>
        <v/>
      </c>
      <c r="AT27" s="55" t="str">
        <f t="shared" si="18"/>
        <v/>
      </c>
      <c r="AU27" s="55" t="str">
        <f t="shared" si="18"/>
        <v/>
      </c>
      <c r="AV27" s="55" t="str">
        <f t="shared" si="18"/>
        <v/>
      </c>
      <c r="AW27" s="55" t="str">
        <f t="shared" si="18"/>
        <v/>
      </c>
      <c r="AX27" s="55" t="str">
        <f t="shared" si="18"/>
        <v/>
      </c>
      <c r="AY27" s="55" t="str">
        <f t="shared" si="18"/>
        <v/>
      </c>
      <c r="AZ27" s="55" t="str">
        <f t="shared" si="18"/>
        <v/>
      </c>
      <c r="BA27" s="55" t="str">
        <f t="shared" si="18"/>
        <v/>
      </c>
      <c r="BB27" s="55" t="str">
        <f t="shared" si="18"/>
        <v/>
      </c>
      <c r="BC27" s="55" t="str">
        <f t="shared" si="18"/>
        <v/>
      </c>
      <c r="BD27" s="55" t="str">
        <f t="shared" si="18"/>
        <v/>
      </c>
      <c r="BE27" s="55" t="str">
        <f t="shared" si="18"/>
        <v/>
      </c>
      <c r="BF27" s="55" t="str">
        <f t="shared" si="18"/>
        <v/>
      </c>
      <c r="BG27" s="55" t="str">
        <f t="shared" si="18"/>
        <v/>
      </c>
      <c r="BH27" s="55" t="str">
        <f t="shared" si="18"/>
        <v/>
      </c>
      <c r="BI27" s="55" t="str">
        <f t="shared" si="18"/>
        <v/>
      </c>
      <c r="BJ27" s="55" t="str">
        <f t="shared" si="18"/>
        <v/>
      </c>
      <c r="BK27" s="55" t="str">
        <f t="shared" si="18"/>
        <v/>
      </c>
      <c r="BL27" s="55" t="str">
        <f t="shared" si="18"/>
        <v/>
      </c>
      <c r="BM27" s="55" t="str">
        <f t="shared" si="18"/>
        <v/>
      </c>
      <c r="BN27" s="55" t="str">
        <f t="shared" si="18"/>
        <v/>
      </c>
      <c r="BO27" s="55" t="str">
        <f t="shared" si="18"/>
        <v/>
      </c>
      <c r="BP27" s="55" t="str">
        <f t="shared" si="18"/>
        <v/>
      </c>
      <c r="BQ27" s="55" t="str">
        <f t="shared" si="18"/>
        <v/>
      </c>
      <c r="BR27" s="55" t="str">
        <f t="shared" si="18"/>
        <v/>
      </c>
      <c r="BS27" s="55" t="str">
        <f t="shared" si="18"/>
        <v/>
      </c>
      <c r="BT27" s="55" t="str">
        <f t="shared" si="18"/>
        <v/>
      </c>
      <c r="BU27" s="55" t="str">
        <f t="shared" si="18"/>
        <v/>
      </c>
      <c r="BV27" s="55" t="str">
        <f t="shared" si="18"/>
        <v/>
      </c>
      <c r="BW27" s="55" t="str">
        <f t="shared" si="18"/>
        <v/>
      </c>
      <c r="BX27" s="55" t="str">
        <f t="shared" si="18"/>
        <v/>
      </c>
      <c r="BY27" s="55" t="str">
        <f t="shared" si="18"/>
        <v/>
      </c>
      <c r="BZ27" s="55" t="str">
        <f t="shared" si="18"/>
        <v/>
      </c>
      <c r="CA27" s="55" t="str">
        <f t="shared" si="18"/>
        <v/>
      </c>
      <c r="CB27" s="55" t="str">
        <f t="shared" si="18"/>
        <v/>
      </c>
      <c r="CC27" s="55" t="str">
        <f t="shared" si="18"/>
        <v/>
      </c>
      <c r="CD27" s="55" t="str">
        <f t="shared" si="18"/>
        <v/>
      </c>
      <c r="CE27" s="55" t="str">
        <f t="shared" si="18"/>
        <v/>
      </c>
      <c r="CF27" s="55" t="str">
        <f t="shared" si="18"/>
        <v/>
      </c>
      <c r="CG27" s="55" t="str">
        <f t="shared" si="18"/>
        <v/>
      </c>
      <c r="CH27" s="55" t="str">
        <f t="shared" si="18"/>
        <v/>
      </c>
      <c r="CI27" s="55" t="str">
        <f t="shared" si="18"/>
        <v/>
      </c>
      <c r="CJ27" s="55" t="str">
        <f t="shared" si="12"/>
        <v/>
      </c>
      <c r="CK27" s="55" t="str">
        <f t="shared" si="12"/>
        <v/>
      </c>
      <c r="CL27" s="55" t="str">
        <f t="shared" si="12"/>
        <v/>
      </c>
      <c r="CM27" s="55" t="str">
        <f t="shared" si="12"/>
        <v/>
      </c>
      <c r="CN27" s="55" t="str">
        <f t="shared" si="12"/>
        <v/>
      </c>
      <c r="CO27" s="55" t="str">
        <f t="shared" si="12"/>
        <v/>
      </c>
      <c r="CP27" s="55" t="str">
        <f t="shared" si="12"/>
        <v/>
      </c>
      <c r="CQ27" s="55" t="str">
        <f t="shared" si="12"/>
        <v/>
      </c>
      <c r="CR27" s="55" t="str">
        <f t="shared" si="12"/>
        <v/>
      </c>
      <c r="CS27" s="55" t="str">
        <f t="shared" si="12"/>
        <v/>
      </c>
      <c r="CT27" s="55" t="str">
        <f t="shared" si="12"/>
        <v/>
      </c>
      <c r="CU27" s="55" t="str">
        <f t="shared" si="12"/>
        <v/>
      </c>
      <c r="CV27" s="55" t="str">
        <f t="shared" si="12"/>
        <v/>
      </c>
      <c r="CW27" s="55" t="str">
        <f t="shared" si="12"/>
        <v/>
      </c>
      <c r="CX27" s="55" t="str">
        <f t="shared" si="12"/>
        <v/>
      </c>
      <c r="CY27" s="55" t="str">
        <f t="shared" si="12"/>
        <v/>
      </c>
      <c r="CZ27" s="55" t="str">
        <f t="shared" si="13"/>
        <v/>
      </c>
      <c r="DA27" s="55" t="str">
        <f t="shared" si="13"/>
        <v/>
      </c>
      <c r="DB27" s="55" t="str">
        <f t="shared" si="13"/>
        <v/>
      </c>
      <c r="DC27" s="55" t="str">
        <f t="shared" si="13"/>
        <v/>
      </c>
      <c r="DD27" s="55" t="str">
        <f t="shared" si="13"/>
        <v/>
      </c>
      <c r="DE27" s="55" t="str">
        <f t="shared" si="13"/>
        <v/>
      </c>
      <c r="DF27" s="55" t="str">
        <f t="shared" si="13"/>
        <v/>
      </c>
      <c r="DG27" s="55" t="str">
        <f t="shared" si="13"/>
        <v/>
      </c>
      <c r="DH27" s="55" t="str">
        <f t="shared" si="13"/>
        <v/>
      </c>
      <c r="DI27" s="55" t="str">
        <f t="shared" si="13"/>
        <v/>
      </c>
      <c r="DJ27" s="55" t="str">
        <f t="shared" si="13"/>
        <v/>
      </c>
      <c r="DK27" s="55" t="str">
        <f t="shared" si="13"/>
        <v/>
      </c>
      <c r="DL27" s="55" t="str">
        <f t="shared" si="13"/>
        <v/>
      </c>
      <c r="DM27" s="55" t="str">
        <f t="shared" si="13"/>
        <v/>
      </c>
      <c r="DN27" s="55" t="str">
        <f t="shared" si="13"/>
        <v/>
      </c>
      <c r="DO27" s="55" t="str">
        <f t="shared" si="13"/>
        <v/>
      </c>
      <c r="DP27" s="55" t="str">
        <f t="shared" si="13"/>
        <v/>
      </c>
      <c r="DQ27" s="55" t="str">
        <f t="shared" si="13"/>
        <v/>
      </c>
      <c r="DR27" s="55" t="str">
        <f t="shared" si="13"/>
        <v/>
      </c>
      <c r="DS27" s="55" t="str">
        <f t="shared" si="13"/>
        <v/>
      </c>
      <c r="DT27" s="106" t="str">
        <f t="shared" si="13"/>
        <v/>
      </c>
      <c r="DU27" s="54"/>
      <c r="DV27" s="25"/>
      <c r="DW27" s="61" t="str">
        <f t="shared" ref="DW27:GG29" si="21">IF($B27=DW$12,$O27,"")</f>
        <v/>
      </c>
      <c r="DX27" s="50" t="str">
        <f t="shared" si="21"/>
        <v/>
      </c>
      <c r="DY27" s="50" t="str">
        <f t="shared" si="21"/>
        <v/>
      </c>
      <c r="DZ27" s="50" t="str">
        <f t="shared" si="19"/>
        <v/>
      </c>
      <c r="EA27" s="50" t="str">
        <f t="shared" si="19"/>
        <v/>
      </c>
      <c r="EB27" s="50" t="str">
        <f t="shared" si="19"/>
        <v/>
      </c>
      <c r="EC27" s="50" t="str">
        <f t="shared" si="19"/>
        <v/>
      </c>
      <c r="ED27" s="50" t="str">
        <f t="shared" si="19"/>
        <v/>
      </c>
      <c r="EE27" s="50" t="str">
        <f t="shared" si="19"/>
        <v/>
      </c>
      <c r="EF27" s="50" t="str">
        <f t="shared" si="19"/>
        <v/>
      </c>
      <c r="EG27" s="50" t="str">
        <f t="shared" si="19"/>
        <v/>
      </c>
      <c r="EH27" s="50" t="str">
        <f t="shared" si="19"/>
        <v/>
      </c>
      <c r="EI27" s="50" t="str">
        <f t="shared" si="19"/>
        <v/>
      </c>
      <c r="EJ27" s="50" t="str">
        <f t="shared" si="19"/>
        <v/>
      </c>
      <c r="EK27" s="50" t="str">
        <f t="shared" si="19"/>
        <v/>
      </c>
      <c r="EL27" s="50" t="str">
        <f t="shared" si="19"/>
        <v/>
      </c>
      <c r="EM27" s="50" t="str">
        <f t="shared" si="19"/>
        <v/>
      </c>
      <c r="EN27" s="50" t="str">
        <f t="shared" si="19"/>
        <v/>
      </c>
      <c r="EO27" s="50" t="str">
        <f t="shared" si="19"/>
        <v/>
      </c>
      <c r="EP27" s="50" t="str">
        <f t="shared" si="19"/>
        <v/>
      </c>
      <c r="EQ27" s="50" t="str">
        <f t="shared" si="19"/>
        <v/>
      </c>
      <c r="ER27" s="50" t="str">
        <f t="shared" si="19"/>
        <v/>
      </c>
      <c r="ES27" s="50" t="str">
        <f t="shared" si="19"/>
        <v/>
      </c>
      <c r="ET27" s="50" t="str">
        <f t="shared" si="19"/>
        <v/>
      </c>
      <c r="EU27" s="50" t="str">
        <f t="shared" si="19"/>
        <v/>
      </c>
      <c r="EV27" s="50" t="str">
        <f t="shared" si="19"/>
        <v/>
      </c>
      <c r="EW27" s="50" t="str">
        <f t="shared" si="19"/>
        <v/>
      </c>
      <c r="EX27" s="50" t="str">
        <f t="shared" si="19"/>
        <v/>
      </c>
      <c r="EY27" s="50" t="str">
        <f t="shared" si="19"/>
        <v/>
      </c>
      <c r="EZ27" s="50" t="str">
        <f t="shared" si="19"/>
        <v/>
      </c>
      <c r="FA27" s="50" t="str">
        <f t="shared" si="19"/>
        <v/>
      </c>
      <c r="FB27" s="50" t="str">
        <f t="shared" si="19"/>
        <v/>
      </c>
      <c r="FC27" s="50" t="str">
        <f t="shared" si="19"/>
        <v/>
      </c>
      <c r="FD27" s="50" t="str">
        <f t="shared" si="19"/>
        <v/>
      </c>
      <c r="FE27" s="50" t="str">
        <f t="shared" si="19"/>
        <v/>
      </c>
      <c r="FF27" s="50" t="str">
        <f t="shared" si="19"/>
        <v/>
      </c>
      <c r="FG27" s="50" t="str">
        <f t="shared" si="19"/>
        <v/>
      </c>
      <c r="FH27" s="50" t="str">
        <f t="shared" si="19"/>
        <v/>
      </c>
      <c r="FI27" s="50" t="str">
        <f t="shared" si="19"/>
        <v/>
      </c>
      <c r="FJ27" s="50" t="str">
        <f t="shared" si="19"/>
        <v/>
      </c>
      <c r="FK27" s="50" t="str">
        <f t="shared" si="19"/>
        <v/>
      </c>
      <c r="FL27" s="50" t="str">
        <f t="shared" si="19"/>
        <v/>
      </c>
      <c r="FM27" s="50" t="str">
        <f t="shared" si="19"/>
        <v/>
      </c>
      <c r="FN27" s="50" t="str">
        <f t="shared" si="19"/>
        <v/>
      </c>
      <c r="FO27" s="50" t="str">
        <f t="shared" si="19"/>
        <v/>
      </c>
      <c r="FP27" s="50" t="str">
        <f t="shared" si="19"/>
        <v/>
      </c>
      <c r="FQ27" s="50" t="str">
        <f t="shared" si="19"/>
        <v/>
      </c>
      <c r="FR27" s="50" t="str">
        <f t="shared" si="19"/>
        <v/>
      </c>
      <c r="FS27" s="50" t="str">
        <f t="shared" si="19"/>
        <v/>
      </c>
      <c r="FT27" s="50" t="str">
        <f t="shared" si="19"/>
        <v/>
      </c>
      <c r="FU27" s="50" t="str">
        <f t="shared" si="19"/>
        <v/>
      </c>
      <c r="FV27" s="50" t="str">
        <f t="shared" si="19"/>
        <v/>
      </c>
      <c r="FW27" s="50" t="str">
        <f t="shared" si="19"/>
        <v/>
      </c>
      <c r="FX27" s="50" t="str">
        <f t="shared" si="19"/>
        <v/>
      </c>
      <c r="FY27" s="50" t="str">
        <f t="shared" si="19"/>
        <v/>
      </c>
      <c r="FZ27" s="50" t="str">
        <f t="shared" si="19"/>
        <v/>
      </c>
      <c r="GA27" s="50" t="str">
        <f t="shared" si="19"/>
        <v/>
      </c>
      <c r="GB27" s="50" t="str">
        <f t="shared" si="19"/>
        <v/>
      </c>
      <c r="GC27" s="50" t="str">
        <f t="shared" si="19"/>
        <v/>
      </c>
      <c r="GD27" s="50" t="str">
        <f t="shared" si="19"/>
        <v/>
      </c>
      <c r="GE27" s="50" t="str">
        <f t="shared" si="19"/>
        <v/>
      </c>
      <c r="GF27" s="50" t="str">
        <f t="shared" si="19"/>
        <v/>
      </c>
      <c r="GG27" s="50" t="str">
        <f t="shared" si="19"/>
        <v/>
      </c>
      <c r="GH27" s="50" t="str">
        <f t="shared" si="14"/>
        <v/>
      </c>
      <c r="GI27" s="50" t="str">
        <f t="shared" si="14"/>
        <v/>
      </c>
      <c r="GJ27" s="50" t="str">
        <f t="shared" si="14"/>
        <v/>
      </c>
      <c r="GK27" s="50" t="str">
        <f t="shared" si="14"/>
        <v/>
      </c>
      <c r="GL27" s="50" t="str">
        <f t="shared" si="14"/>
        <v/>
      </c>
      <c r="GM27" s="50" t="str">
        <f t="shared" si="14"/>
        <v/>
      </c>
      <c r="GN27" s="50" t="str">
        <f t="shared" si="14"/>
        <v/>
      </c>
      <c r="GO27" s="50" t="str">
        <f t="shared" si="14"/>
        <v/>
      </c>
      <c r="GP27" s="50" t="str">
        <f t="shared" si="14"/>
        <v/>
      </c>
      <c r="GQ27" s="50" t="str">
        <f t="shared" si="14"/>
        <v/>
      </c>
      <c r="GR27" s="50" t="str">
        <f t="shared" si="14"/>
        <v/>
      </c>
      <c r="GS27" s="50" t="str">
        <f t="shared" si="14"/>
        <v/>
      </c>
      <c r="GT27" s="50" t="str">
        <f t="shared" si="14"/>
        <v/>
      </c>
      <c r="GU27" s="50" t="str">
        <f t="shared" si="14"/>
        <v/>
      </c>
      <c r="GV27" s="50" t="str">
        <f t="shared" si="14"/>
        <v/>
      </c>
      <c r="GW27" s="50" t="str">
        <f t="shared" si="14"/>
        <v/>
      </c>
      <c r="GX27" s="50" t="str">
        <f t="shared" si="15"/>
        <v/>
      </c>
      <c r="GY27" s="50" t="str">
        <f t="shared" si="15"/>
        <v/>
      </c>
      <c r="GZ27" s="50" t="str">
        <f t="shared" si="15"/>
        <v/>
      </c>
      <c r="HA27" s="50" t="str">
        <f t="shared" si="15"/>
        <v/>
      </c>
      <c r="HB27" s="50" t="str">
        <f t="shared" si="15"/>
        <v/>
      </c>
      <c r="HC27" s="50" t="str">
        <f t="shared" si="15"/>
        <v/>
      </c>
      <c r="HD27" s="50" t="str">
        <f t="shared" si="15"/>
        <v/>
      </c>
      <c r="HE27" s="50" t="str">
        <f t="shared" si="15"/>
        <v/>
      </c>
      <c r="HF27" s="50" t="str">
        <f t="shared" si="15"/>
        <v/>
      </c>
      <c r="HG27" s="50" t="str">
        <f t="shared" si="15"/>
        <v/>
      </c>
      <c r="HH27" s="50" t="str">
        <f t="shared" si="15"/>
        <v/>
      </c>
      <c r="HI27" s="50" t="str">
        <f t="shared" si="15"/>
        <v/>
      </c>
      <c r="HJ27" s="50" t="str">
        <f t="shared" si="15"/>
        <v/>
      </c>
      <c r="HK27" s="50" t="str">
        <f t="shared" si="15"/>
        <v/>
      </c>
      <c r="HL27" s="50" t="str">
        <f t="shared" si="15"/>
        <v/>
      </c>
      <c r="HM27" s="50" t="str">
        <f t="shared" si="15"/>
        <v/>
      </c>
      <c r="HN27" s="50" t="str">
        <f t="shared" si="15"/>
        <v/>
      </c>
      <c r="HO27" s="50" t="str">
        <f t="shared" si="15"/>
        <v/>
      </c>
      <c r="HP27" s="50" t="str">
        <f t="shared" si="15"/>
        <v/>
      </c>
      <c r="HQ27" s="50" t="str">
        <f t="shared" si="15"/>
        <v/>
      </c>
      <c r="HR27" s="112" t="str">
        <f t="shared" si="15"/>
        <v/>
      </c>
    </row>
    <row r="28" spans="1:226" ht="11.1" customHeight="1" x14ac:dyDescent="0.25">
      <c r="A28" s="26"/>
      <c r="B28" s="145"/>
      <c r="C28" s="28" t="str">
        <f>IF(A28=0,"",VLOOKUP(A28,[2]CO!$A$3:$F$5327,2,0))</f>
        <v/>
      </c>
      <c r="D28" s="149" t="s">
        <v>41</v>
      </c>
      <c r="E28" s="29"/>
      <c r="F28" s="29"/>
      <c r="G28" s="30" t="str">
        <f>IF(A28=0,"",VLOOKUP(A28,[2]CO!$A$3:$F$5327,3,0))</f>
        <v/>
      </c>
      <c r="H28" s="142"/>
      <c r="I28" s="143"/>
      <c r="J28" s="143"/>
      <c r="K28" s="143"/>
      <c r="L28" s="143"/>
      <c r="M28" s="32" t="str">
        <f t="shared" si="0"/>
        <v/>
      </c>
      <c r="N28" s="32" t="str">
        <f>IF(B28=0,"",IF(H28="M",HLOOKUP(B28,$Y$12:$DT$13,2),IF(A28=0,"",VLOOKUP(A28,[2]CO!$A$3:$F$5327,4,0))))</f>
        <v/>
      </c>
      <c r="O28" s="32" t="str">
        <f t="shared" si="7"/>
        <v/>
      </c>
      <c r="P28" s="33"/>
      <c r="Q28" s="34" t="str">
        <f t="shared" si="1"/>
        <v/>
      </c>
      <c r="R28" s="35" t="str">
        <f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RESIDENTE"),VLOOKUP(B28,P$14:Q$64,2),"")*S28)</f>
        <v/>
      </c>
      <c r="T28" s="53" t="str">
        <f>IF(A28=0,"",VLOOKUP(A28,[2]CO!$A$3:$F$5318,5,0))</f>
        <v/>
      </c>
      <c r="U28" s="54">
        <f t="shared" si="2"/>
        <v>0</v>
      </c>
      <c r="V28" s="24"/>
      <c r="W28" s="25"/>
      <c r="X28" s="25"/>
      <c r="Y28" s="64" t="str">
        <f t="shared" si="20"/>
        <v/>
      </c>
      <c r="Z28" s="55" t="str">
        <f t="shared" si="20"/>
        <v/>
      </c>
      <c r="AA28" s="55" t="str">
        <f t="shared" si="20"/>
        <v/>
      </c>
      <c r="AB28" s="55" t="str">
        <f t="shared" si="18"/>
        <v/>
      </c>
      <c r="AC28" s="55" t="str">
        <f t="shared" si="18"/>
        <v/>
      </c>
      <c r="AD28" s="55" t="str">
        <f t="shared" si="18"/>
        <v/>
      </c>
      <c r="AE28" s="55" t="str">
        <f t="shared" si="18"/>
        <v/>
      </c>
      <c r="AF28" s="55" t="str">
        <f t="shared" si="18"/>
        <v/>
      </c>
      <c r="AG28" s="55" t="str">
        <f t="shared" si="18"/>
        <v/>
      </c>
      <c r="AH28" s="55" t="str">
        <f t="shared" si="18"/>
        <v/>
      </c>
      <c r="AI28" s="55" t="str">
        <f t="shared" si="18"/>
        <v/>
      </c>
      <c r="AJ28" s="55" t="str">
        <f t="shared" si="18"/>
        <v/>
      </c>
      <c r="AK28" s="55" t="str">
        <f t="shared" si="18"/>
        <v/>
      </c>
      <c r="AL28" s="55" t="str">
        <f t="shared" si="18"/>
        <v/>
      </c>
      <c r="AM28" s="55" t="str">
        <f t="shared" si="18"/>
        <v/>
      </c>
      <c r="AN28" s="55" t="str">
        <f t="shared" si="18"/>
        <v/>
      </c>
      <c r="AO28" s="55" t="str">
        <f t="shared" si="18"/>
        <v/>
      </c>
      <c r="AP28" s="55" t="str">
        <f t="shared" si="18"/>
        <v/>
      </c>
      <c r="AQ28" s="55" t="str">
        <f t="shared" si="18"/>
        <v/>
      </c>
      <c r="AR28" s="55" t="str">
        <f t="shared" si="18"/>
        <v/>
      </c>
      <c r="AS28" s="55" t="str">
        <f t="shared" si="18"/>
        <v/>
      </c>
      <c r="AT28" s="55" t="str">
        <f t="shared" si="18"/>
        <v/>
      </c>
      <c r="AU28" s="55" t="str">
        <f t="shared" si="18"/>
        <v/>
      </c>
      <c r="AV28" s="55" t="str">
        <f t="shared" si="18"/>
        <v/>
      </c>
      <c r="AW28" s="55" t="str">
        <f t="shared" si="18"/>
        <v/>
      </c>
      <c r="AX28" s="55" t="str">
        <f t="shared" si="18"/>
        <v/>
      </c>
      <c r="AY28" s="55" t="str">
        <f t="shared" si="18"/>
        <v/>
      </c>
      <c r="AZ28" s="55" t="str">
        <f t="shared" si="18"/>
        <v/>
      </c>
      <c r="BA28" s="55" t="str">
        <f t="shared" si="18"/>
        <v/>
      </c>
      <c r="BB28" s="55" t="str">
        <f t="shared" si="18"/>
        <v/>
      </c>
      <c r="BC28" s="55" t="str">
        <f t="shared" si="18"/>
        <v/>
      </c>
      <c r="BD28" s="55" t="str">
        <f t="shared" si="18"/>
        <v/>
      </c>
      <c r="BE28" s="55" t="str">
        <f t="shared" si="18"/>
        <v/>
      </c>
      <c r="BF28" s="55" t="str">
        <f t="shared" si="18"/>
        <v/>
      </c>
      <c r="BG28" s="55" t="str">
        <f t="shared" si="18"/>
        <v/>
      </c>
      <c r="BH28" s="55" t="str">
        <f t="shared" si="18"/>
        <v/>
      </c>
      <c r="BI28" s="55" t="str">
        <f t="shared" si="18"/>
        <v/>
      </c>
      <c r="BJ28" s="55" t="str">
        <f t="shared" si="18"/>
        <v/>
      </c>
      <c r="BK28" s="55" t="str">
        <f t="shared" si="18"/>
        <v/>
      </c>
      <c r="BL28" s="55" t="str">
        <f t="shared" si="18"/>
        <v/>
      </c>
      <c r="BM28" s="55" t="str">
        <f t="shared" si="18"/>
        <v/>
      </c>
      <c r="BN28" s="55" t="str">
        <f t="shared" si="18"/>
        <v/>
      </c>
      <c r="BO28" s="55" t="str">
        <f t="shared" si="18"/>
        <v/>
      </c>
      <c r="BP28" s="55" t="str">
        <f t="shared" si="18"/>
        <v/>
      </c>
      <c r="BQ28" s="55" t="str">
        <f t="shared" si="18"/>
        <v/>
      </c>
      <c r="BR28" s="55" t="str">
        <f t="shared" si="18"/>
        <v/>
      </c>
      <c r="BS28" s="55" t="str">
        <f t="shared" si="18"/>
        <v/>
      </c>
      <c r="BT28" s="55" t="str">
        <f t="shared" si="18"/>
        <v/>
      </c>
      <c r="BU28" s="55" t="str">
        <f t="shared" si="18"/>
        <v/>
      </c>
      <c r="BV28" s="55" t="str">
        <f t="shared" si="18"/>
        <v/>
      </c>
      <c r="BW28" s="55" t="str">
        <f t="shared" si="18"/>
        <v/>
      </c>
      <c r="BX28" s="55" t="str">
        <f t="shared" si="18"/>
        <v/>
      </c>
      <c r="BY28" s="55" t="str">
        <f t="shared" si="18"/>
        <v/>
      </c>
      <c r="BZ28" s="55" t="str">
        <f t="shared" si="18"/>
        <v/>
      </c>
      <c r="CA28" s="55" t="str">
        <f t="shared" si="18"/>
        <v/>
      </c>
      <c r="CB28" s="55" t="str">
        <f t="shared" si="18"/>
        <v/>
      </c>
      <c r="CC28" s="55" t="str">
        <f t="shared" si="18"/>
        <v/>
      </c>
      <c r="CD28" s="55" t="str">
        <f t="shared" si="18"/>
        <v/>
      </c>
      <c r="CE28" s="55" t="str">
        <f t="shared" si="18"/>
        <v/>
      </c>
      <c r="CF28" s="55" t="str">
        <f t="shared" si="18"/>
        <v/>
      </c>
      <c r="CG28" s="55" t="str">
        <f t="shared" si="18"/>
        <v/>
      </c>
      <c r="CH28" s="55" t="str">
        <f t="shared" si="18"/>
        <v/>
      </c>
      <c r="CI28" s="55" t="str">
        <f t="shared" si="18"/>
        <v/>
      </c>
      <c r="CJ28" s="55" t="str">
        <f t="shared" si="12"/>
        <v/>
      </c>
      <c r="CK28" s="55" t="str">
        <f t="shared" si="12"/>
        <v/>
      </c>
      <c r="CL28" s="55" t="str">
        <f t="shared" si="12"/>
        <v/>
      </c>
      <c r="CM28" s="55" t="str">
        <f t="shared" si="12"/>
        <v/>
      </c>
      <c r="CN28" s="55" t="str">
        <f t="shared" si="12"/>
        <v/>
      </c>
      <c r="CO28" s="55" t="str">
        <f t="shared" si="12"/>
        <v/>
      </c>
      <c r="CP28" s="55" t="str">
        <f t="shared" si="12"/>
        <v/>
      </c>
      <c r="CQ28" s="55" t="str">
        <f t="shared" si="12"/>
        <v/>
      </c>
      <c r="CR28" s="55" t="str">
        <f t="shared" si="12"/>
        <v/>
      </c>
      <c r="CS28" s="55" t="str">
        <f t="shared" si="12"/>
        <v/>
      </c>
      <c r="CT28" s="55" t="str">
        <f t="shared" si="12"/>
        <v/>
      </c>
      <c r="CU28" s="55" t="str">
        <f t="shared" si="12"/>
        <v/>
      </c>
      <c r="CV28" s="55" t="str">
        <f t="shared" si="12"/>
        <v/>
      </c>
      <c r="CW28" s="55" t="str">
        <f t="shared" si="12"/>
        <v/>
      </c>
      <c r="CX28" s="55" t="str">
        <f t="shared" si="12"/>
        <v/>
      </c>
      <c r="CY28" s="55" t="str">
        <f t="shared" si="12"/>
        <v/>
      </c>
      <c r="CZ28" s="55" t="str">
        <f t="shared" si="13"/>
        <v/>
      </c>
      <c r="DA28" s="55" t="str">
        <f t="shared" si="13"/>
        <v/>
      </c>
      <c r="DB28" s="55" t="str">
        <f t="shared" si="13"/>
        <v/>
      </c>
      <c r="DC28" s="55" t="str">
        <f t="shared" si="13"/>
        <v/>
      </c>
      <c r="DD28" s="55" t="str">
        <f t="shared" si="13"/>
        <v/>
      </c>
      <c r="DE28" s="55" t="str">
        <f t="shared" si="13"/>
        <v/>
      </c>
      <c r="DF28" s="55" t="str">
        <f t="shared" si="13"/>
        <v/>
      </c>
      <c r="DG28" s="55" t="str">
        <f t="shared" si="13"/>
        <v/>
      </c>
      <c r="DH28" s="55" t="str">
        <f t="shared" si="13"/>
        <v/>
      </c>
      <c r="DI28" s="55" t="str">
        <f t="shared" si="13"/>
        <v/>
      </c>
      <c r="DJ28" s="55" t="str">
        <f t="shared" si="13"/>
        <v/>
      </c>
      <c r="DK28" s="55" t="str">
        <f t="shared" si="13"/>
        <v/>
      </c>
      <c r="DL28" s="55" t="str">
        <f t="shared" si="13"/>
        <v/>
      </c>
      <c r="DM28" s="55" t="str">
        <f t="shared" si="13"/>
        <v/>
      </c>
      <c r="DN28" s="55" t="str">
        <f t="shared" si="13"/>
        <v/>
      </c>
      <c r="DO28" s="55" t="str">
        <f t="shared" si="13"/>
        <v/>
      </c>
      <c r="DP28" s="55" t="str">
        <f t="shared" si="13"/>
        <v/>
      </c>
      <c r="DQ28" s="55" t="str">
        <f t="shared" si="13"/>
        <v/>
      </c>
      <c r="DR28" s="55" t="str">
        <f t="shared" si="13"/>
        <v/>
      </c>
      <c r="DS28" s="55" t="str">
        <f t="shared" si="13"/>
        <v/>
      </c>
      <c r="DT28" s="106" t="str">
        <f t="shared" si="13"/>
        <v/>
      </c>
      <c r="DU28" s="54"/>
      <c r="DV28" s="25"/>
      <c r="DW28" s="61" t="str">
        <f t="shared" si="21"/>
        <v/>
      </c>
      <c r="DX28" s="50" t="str">
        <f t="shared" si="21"/>
        <v/>
      </c>
      <c r="DY28" s="50" t="str">
        <f t="shared" si="21"/>
        <v/>
      </c>
      <c r="DZ28" s="50" t="str">
        <f t="shared" si="19"/>
        <v/>
      </c>
      <c r="EA28" s="50" t="str">
        <f t="shared" si="19"/>
        <v/>
      </c>
      <c r="EB28" s="50" t="str">
        <f t="shared" si="19"/>
        <v/>
      </c>
      <c r="EC28" s="50" t="str">
        <f t="shared" si="19"/>
        <v/>
      </c>
      <c r="ED28" s="50" t="str">
        <f t="shared" si="19"/>
        <v/>
      </c>
      <c r="EE28" s="50" t="str">
        <f t="shared" si="19"/>
        <v/>
      </c>
      <c r="EF28" s="50" t="str">
        <f t="shared" si="19"/>
        <v/>
      </c>
      <c r="EG28" s="50" t="str">
        <f t="shared" si="19"/>
        <v/>
      </c>
      <c r="EH28" s="50" t="str">
        <f t="shared" si="19"/>
        <v/>
      </c>
      <c r="EI28" s="50" t="str">
        <f t="shared" si="19"/>
        <v/>
      </c>
      <c r="EJ28" s="50" t="str">
        <f t="shared" si="19"/>
        <v/>
      </c>
      <c r="EK28" s="50" t="str">
        <f t="shared" si="19"/>
        <v/>
      </c>
      <c r="EL28" s="50" t="str">
        <f t="shared" si="19"/>
        <v/>
      </c>
      <c r="EM28" s="50" t="str">
        <f t="shared" si="19"/>
        <v/>
      </c>
      <c r="EN28" s="50" t="str">
        <f t="shared" si="19"/>
        <v/>
      </c>
      <c r="EO28" s="50" t="str">
        <f t="shared" si="19"/>
        <v/>
      </c>
      <c r="EP28" s="50" t="str">
        <f t="shared" si="19"/>
        <v/>
      </c>
      <c r="EQ28" s="50" t="str">
        <f t="shared" si="19"/>
        <v/>
      </c>
      <c r="ER28" s="50" t="str">
        <f t="shared" si="19"/>
        <v/>
      </c>
      <c r="ES28" s="50" t="str">
        <f t="shared" si="19"/>
        <v/>
      </c>
      <c r="ET28" s="50" t="str">
        <f t="shared" si="19"/>
        <v/>
      </c>
      <c r="EU28" s="50" t="str">
        <f t="shared" si="19"/>
        <v/>
      </c>
      <c r="EV28" s="50" t="str">
        <f t="shared" si="19"/>
        <v/>
      </c>
      <c r="EW28" s="50" t="str">
        <f t="shared" si="19"/>
        <v/>
      </c>
      <c r="EX28" s="50" t="str">
        <f t="shared" si="19"/>
        <v/>
      </c>
      <c r="EY28" s="50" t="str">
        <f t="shared" si="19"/>
        <v/>
      </c>
      <c r="EZ28" s="50" t="str">
        <f t="shared" si="19"/>
        <v/>
      </c>
      <c r="FA28" s="50" t="str">
        <f t="shared" si="19"/>
        <v/>
      </c>
      <c r="FB28" s="50" t="str">
        <f t="shared" si="19"/>
        <v/>
      </c>
      <c r="FC28" s="50" t="str">
        <f t="shared" si="19"/>
        <v/>
      </c>
      <c r="FD28" s="50" t="str">
        <f t="shared" si="19"/>
        <v/>
      </c>
      <c r="FE28" s="50" t="str">
        <f t="shared" si="19"/>
        <v/>
      </c>
      <c r="FF28" s="50" t="str">
        <f t="shared" si="19"/>
        <v/>
      </c>
      <c r="FG28" s="50" t="str">
        <f t="shared" si="19"/>
        <v/>
      </c>
      <c r="FH28" s="50" t="str">
        <f t="shared" si="19"/>
        <v/>
      </c>
      <c r="FI28" s="50" t="str">
        <f t="shared" si="19"/>
        <v/>
      </c>
      <c r="FJ28" s="50" t="str">
        <f t="shared" si="19"/>
        <v/>
      </c>
      <c r="FK28" s="50" t="str">
        <f t="shared" si="19"/>
        <v/>
      </c>
      <c r="FL28" s="50" t="str">
        <f t="shared" si="19"/>
        <v/>
      </c>
      <c r="FM28" s="50" t="str">
        <f t="shared" si="19"/>
        <v/>
      </c>
      <c r="FN28" s="50" t="str">
        <f t="shared" si="19"/>
        <v/>
      </c>
      <c r="FO28" s="50" t="str">
        <f t="shared" si="19"/>
        <v/>
      </c>
      <c r="FP28" s="50" t="str">
        <f t="shared" si="19"/>
        <v/>
      </c>
      <c r="FQ28" s="50" t="str">
        <f t="shared" si="19"/>
        <v/>
      </c>
      <c r="FR28" s="50" t="str">
        <f t="shared" si="19"/>
        <v/>
      </c>
      <c r="FS28" s="50" t="str">
        <f t="shared" si="19"/>
        <v/>
      </c>
      <c r="FT28" s="50" t="str">
        <f t="shared" si="19"/>
        <v/>
      </c>
      <c r="FU28" s="50" t="str">
        <f t="shared" si="19"/>
        <v/>
      </c>
      <c r="FV28" s="50" t="str">
        <f t="shared" si="19"/>
        <v/>
      </c>
      <c r="FW28" s="50" t="str">
        <f t="shared" si="19"/>
        <v/>
      </c>
      <c r="FX28" s="50" t="str">
        <f t="shared" si="19"/>
        <v/>
      </c>
      <c r="FY28" s="50" t="str">
        <f t="shared" si="19"/>
        <v/>
      </c>
      <c r="FZ28" s="50" t="str">
        <f t="shared" si="19"/>
        <v/>
      </c>
      <c r="GA28" s="50" t="str">
        <f t="shared" si="19"/>
        <v/>
      </c>
      <c r="GB28" s="50" t="str">
        <f t="shared" si="19"/>
        <v/>
      </c>
      <c r="GC28" s="50" t="str">
        <f t="shared" si="19"/>
        <v/>
      </c>
      <c r="GD28" s="50" t="str">
        <f t="shared" si="19"/>
        <v/>
      </c>
      <c r="GE28" s="50" t="str">
        <f t="shared" si="19"/>
        <v/>
      </c>
      <c r="GF28" s="50" t="str">
        <f t="shared" si="19"/>
        <v/>
      </c>
      <c r="GG28" s="50" t="str">
        <f t="shared" si="19"/>
        <v/>
      </c>
      <c r="GH28" s="50" t="str">
        <f t="shared" si="14"/>
        <v/>
      </c>
      <c r="GI28" s="50" t="str">
        <f t="shared" si="14"/>
        <v/>
      </c>
      <c r="GJ28" s="50" t="str">
        <f t="shared" si="14"/>
        <v/>
      </c>
      <c r="GK28" s="50" t="str">
        <f t="shared" si="14"/>
        <v/>
      </c>
      <c r="GL28" s="50" t="str">
        <f t="shared" si="14"/>
        <v/>
      </c>
      <c r="GM28" s="50" t="str">
        <f t="shared" si="14"/>
        <v/>
      </c>
      <c r="GN28" s="50" t="str">
        <f t="shared" si="14"/>
        <v/>
      </c>
      <c r="GO28" s="50" t="str">
        <f t="shared" si="14"/>
        <v/>
      </c>
      <c r="GP28" s="50" t="str">
        <f t="shared" si="14"/>
        <v/>
      </c>
      <c r="GQ28" s="50" t="str">
        <f t="shared" si="14"/>
        <v/>
      </c>
      <c r="GR28" s="50" t="str">
        <f t="shared" si="14"/>
        <v/>
      </c>
      <c r="GS28" s="50" t="str">
        <f t="shared" si="14"/>
        <v/>
      </c>
      <c r="GT28" s="50" t="str">
        <f t="shared" si="14"/>
        <v/>
      </c>
      <c r="GU28" s="50" t="str">
        <f t="shared" si="14"/>
        <v/>
      </c>
      <c r="GV28" s="50" t="str">
        <f t="shared" si="14"/>
        <v/>
      </c>
      <c r="GW28" s="50" t="str">
        <f t="shared" si="14"/>
        <v/>
      </c>
      <c r="GX28" s="50" t="str">
        <f t="shared" si="15"/>
        <v/>
      </c>
      <c r="GY28" s="50" t="str">
        <f t="shared" si="15"/>
        <v/>
      </c>
      <c r="GZ28" s="50" t="str">
        <f t="shared" si="15"/>
        <v/>
      </c>
      <c r="HA28" s="50" t="str">
        <f t="shared" si="15"/>
        <v/>
      </c>
      <c r="HB28" s="50" t="str">
        <f t="shared" si="15"/>
        <v/>
      </c>
      <c r="HC28" s="50" t="str">
        <f t="shared" si="15"/>
        <v/>
      </c>
      <c r="HD28" s="50" t="str">
        <f t="shared" si="15"/>
        <v/>
      </c>
      <c r="HE28" s="50" t="str">
        <f t="shared" si="15"/>
        <v/>
      </c>
      <c r="HF28" s="50" t="str">
        <f t="shared" si="15"/>
        <v/>
      </c>
      <c r="HG28" s="50" t="str">
        <f t="shared" si="15"/>
        <v/>
      </c>
      <c r="HH28" s="50" t="str">
        <f t="shared" si="15"/>
        <v/>
      </c>
      <c r="HI28" s="50" t="str">
        <f t="shared" si="15"/>
        <v/>
      </c>
      <c r="HJ28" s="50" t="str">
        <f t="shared" si="15"/>
        <v/>
      </c>
      <c r="HK28" s="50" t="str">
        <f t="shared" si="15"/>
        <v/>
      </c>
      <c r="HL28" s="50" t="str">
        <f t="shared" si="15"/>
        <v/>
      </c>
      <c r="HM28" s="50" t="str">
        <f t="shared" si="15"/>
        <v/>
      </c>
      <c r="HN28" s="50" t="str">
        <f t="shared" si="15"/>
        <v/>
      </c>
      <c r="HO28" s="50" t="str">
        <f t="shared" si="15"/>
        <v/>
      </c>
      <c r="HP28" s="50" t="str">
        <f t="shared" si="15"/>
        <v/>
      </c>
      <c r="HQ28" s="50" t="str">
        <f t="shared" si="15"/>
        <v/>
      </c>
      <c r="HR28" s="112" t="str">
        <f t="shared" si="15"/>
        <v/>
      </c>
    </row>
    <row r="29" spans="1:226" ht="11.1" customHeight="1" x14ac:dyDescent="0.25">
      <c r="A29" s="26"/>
      <c r="B29" s="145"/>
      <c r="C29" s="28" t="str">
        <f>IF(A29=0,"",VLOOKUP(A29,[2]CO!$A$3:$F$5327,2,0))</f>
        <v/>
      </c>
      <c r="D29" s="149" t="s">
        <v>42</v>
      </c>
      <c r="E29" s="29"/>
      <c r="F29" s="29"/>
      <c r="G29" s="30" t="str">
        <f>IF(A29=0,"",VLOOKUP(A29,[2]CO!$A$3:$F$5327,3,0))</f>
        <v/>
      </c>
      <c r="H29" s="142"/>
      <c r="I29" s="143"/>
      <c r="J29" s="143"/>
      <c r="K29" s="143"/>
      <c r="L29" s="143"/>
      <c r="M29" s="32" t="str">
        <f t="shared" si="0"/>
        <v/>
      </c>
      <c r="N29" s="32" t="str">
        <f>IF(B29=0,"",IF(H29="M",HLOOKUP(B29,$Y$12:$DT$13,2),IF(A29=0,"",VLOOKUP(A29,[2]CO!$A$3:$F$5327,4,0))))</f>
        <v/>
      </c>
      <c r="O29" s="32" t="str">
        <f t="shared" si="7"/>
        <v/>
      </c>
      <c r="P29" s="33"/>
      <c r="Q29" s="34" t="str">
        <f t="shared" si="1"/>
        <v/>
      </c>
      <c r="R29" s="35" t="str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RESIDENTE"),VLOOKUP(B29,P$14:Q$64,2),"")*S29)</f>
        <v/>
      </c>
      <c r="T29" s="53" t="str">
        <f>IF(A29=0,"",VLOOKUP(A29,[2]CO!$A$3:$F$5318,5,0))</f>
        <v/>
      </c>
      <c r="U29" s="54">
        <f t="shared" si="2"/>
        <v>0</v>
      </c>
      <c r="V29" s="24"/>
      <c r="W29" s="25"/>
      <c r="X29" s="25"/>
      <c r="Y29" s="64" t="str">
        <f t="shared" si="20"/>
        <v/>
      </c>
      <c r="Z29" s="55" t="str">
        <f t="shared" si="20"/>
        <v/>
      </c>
      <c r="AA29" s="55" t="str">
        <f t="shared" si="20"/>
        <v/>
      </c>
      <c r="AB29" s="55" t="str">
        <f t="shared" si="20"/>
        <v/>
      </c>
      <c r="AC29" s="55" t="str">
        <f t="shared" si="20"/>
        <v/>
      </c>
      <c r="AD29" s="55" t="str">
        <f t="shared" si="20"/>
        <v/>
      </c>
      <c r="AE29" s="55" t="str">
        <f t="shared" si="20"/>
        <v/>
      </c>
      <c r="AF29" s="55" t="str">
        <f t="shared" si="20"/>
        <v/>
      </c>
      <c r="AG29" s="55" t="str">
        <f t="shared" si="20"/>
        <v/>
      </c>
      <c r="AH29" s="55" t="str">
        <f t="shared" si="20"/>
        <v/>
      </c>
      <c r="AI29" s="55" t="str">
        <f t="shared" si="20"/>
        <v/>
      </c>
      <c r="AJ29" s="55" t="str">
        <f t="shared" si="20"/>
        <v/>
      </c>
      <c r="AK29" s="55" t="str">
        <f t="shared" si="20"/>
        <v/>
      </c>
      <c r="AL29" s="55" t="str">
        <f t="shared" si="20"/>
        <v/>
      </c>
      <c r="AM29" s="55" t="str">
        <f t="shared" si="20"/>
        <v/>
      </c>
      <c r="AN29" s="55" t="str">
        <f t="shared" si="20"/>
        <v/>
      </c>
      <c r="AO29" s="55" t="str">
        <f t="shared" si="20"/>
        <v/>
      </c>
      <c r="AP29" s="55" t="str">
        <f t="shared" si="20"/>
        <v/>
      </c>
      <c r="AQ29" s="55" t="str">
        <f t="shared" si="20"/>
        <v/>
      </c>
      <c r="AR29" s="55" t="str">
        <f t="shared" si="20"/>
        <v/>
      </c>
      <c r="AS29" s="55" t="str">
        <f t="shared" si="20"/>
        <v/>
      </c>
      <c r="AT29" s="55" t="str">
        <f t="shared" si="20"/>
        <v/>
      </c>
      <c r="AU29" s="55" t="str">
        <f t="shared" si="20"/>
        <v/>
      </c>
      <c r="AV29" s="55" t="str">
        <f t="shared" si="20"/>
        <v/>
      </c>
      <c r="AW29" s="55" t="str">
        <f t="shared" si="20"/>
        <v/>
      </c>
      <c r="AX29" s="55" t="str">
        <f t="shared" si="20"/>
        <v/>
      </c>
      <c r="AY29" s="55" t="str">
        <f t="shared" si="20"/>
        <v/>
      </c>
      <c r="AZ29" s="55" t="str">
        <f t="shared" si="20"/>
        <v/>
      </c>
      <c r="BA29" s="55" t="str">
        <f t="shared" si="20"/>
        <v/>
      </c>
      <c r="BB29" s="55" t="str">
        <f t="shared" si="20"/>
        <v/>
      </c>
      <c r="BC29" s="55" t="str">
        <f t="shared" si="20"/>
        <v/>
      </c>
      <c r="BD29" s="55" t="str">
        <f t="shared" si="20"/>
        <v/>
      </c>
      <c r="BE29" s="55" t="str">
        <f t="shared" si="20"/>
        <v/>
      </c>
      <c r="BF29" s="55" t="str">
        <f t="shared" si="20"/>
        <v/>
      </c>
      <c r="BG29" s="55" t="str">
        <f t="shared" si="20"/>
        <v/>
      </c>
      <c r="BH29" s="55" t="str">
        <f t="shared" si="20"/>
        <v/>
      </c>
      <c r="BI29" s="55" t="str">
        <f t="shared" si="20"/>
        <v/>
      </c>
      <c r="BJ29" s="55" t="str">
        <f t="shared" si="20"/>
        <v/>
      </c>
      <c r="BK29" s="55" t="str">
        <f t="shared" si="20"/>
        <v/>
      </c>
      <c r="BL29" s="55" t="str">
        <f t="shared" si="20"/>
        <v/>
      </c>
      <c r="BM29" s="55" t="str">
        <f t="shared" si="20"/>
        <v/>
      </c>
      <c r="BN29" s="55" t="str">
        <f t="shared" si="20"/>
        <v/>
      </c>
      <c r="BO29" s="55" t="str">
        <f t="shared" si="20"/>
        <v/>
      </c>
      <c r="BP29" s="55" t="str">
        <f t="shared" si="20"/>
        <v/>
      </c>
      <c r="BQ29" s="55" t="str">
        <f t="shared" si="20"/>
        <v/>
      </c>
      <c r="BR29" s="55" t="str">
        <f t="shared" si="20"/>
        <v/>
      </c>
      <c r="BS29" s="55" t="str">
        <f t="shared" si="20"/>
        <v/>
      </c>
      <c r="BT29" s="55" t="str">
        <f t="shared" si="20"/>
        <v/>
      </c>
      <c r="BU29" s="55" t="str">
        <f t="shared" si="20"/>
        <v/>
      </c>
      <c r="BV29" s="55" t="str">
        <f t="shared" si="20"/>
        <v/>
      </c>
      <c r="BW29" s="55" t="str">
        <f t="shared" si="20"/>
        <v/>
      </c>
      <c r="BX29" s="55" t="str">
        <f t="shared" si="20"/>
        <v/>
      </c>
      <c r="BY29" s="55" t="str">
        <f t="shared" si="20"/>
        <v/>
      </c>
      <c r="BZ29" s="55" t="str">
        <f t="shared" si="20"/>
        <v/>
      </c>
      <c r="CA29" s="55" t="str">
        <f t="shared" si="20"/>
        <v/>
      </c>
      <c r="CB29" s="55" t="str">
        <f t="shared" si="20"/>
        <v/>
      </c>
      <c r="CC29" s="55" t="str">
        <f t="shared" si="20"/>
        <v/>
      </c>
      <c r="CD29" s="55" t="str">
        <f t="shared" si="20"/>
        <v/>
      </c>
      <c r="CE29" s="55" t="str">
        <f t="shared" si="20"/>
        <v/>
      </c>
      <c r="CF29" s="55" t="str">
        <f t="shared" si="20"/>
        <v/>
      </c>
      <c r="CG29" s="55" t="str">
        <f t="shared" si="20"/>
        <v/>
      </c>
      <c r="CH29" s="55" t="str">
        <f t="shared" si="20"/>
        <v/>
      </c>
      <c r="CI29" s="55" t="str">
        <f t="shared" si="20"/>
        <v/>
      </c>
      <c r="CJ29" s="55" t="str">
        <f t="shared" si="12"/>
        <v/>
      </c>
      <c r="CK29" s="55" t="str">
        <f t="shared" si="12"/>
        <v/>
      </c>
      <c r="CL29" s="55" t="str">
        <f t="shared" si="12"/>
        <v/>
      </c>
      <c r="CM29" s="55" t="str">
        <f t="shared" si="12"/>
        <v/>
      </c>
      <c r="CN29" s="55" t="str">
        <f t="shared" si="12"/>
        <v/>
      </c>
      <c r="CO29" s="55" t="str">
        <f t="shared" si="12"/>
        <v/>
      </c>
      <c r="CP29" s="55" t="str">
        <f t="shared" si="12"/>
        <v/>
      </c>
      <c r="CQ29" s="55" t="str">
        <f t="shared" si="12"/>
        <v/>
      </c>
      <c r="CR29" s="55" t="str">
        <f t="shared" si="12"/>
        <v/>
      </c>
      <c r="CS29" s="55" t="str">
        <f t="shared" si="12"/>
        <v/>
      </c>
      <c r="CT29" s="55" t="str">
        <f t="shared" si="12"/>
        <v/>
      </c>
      <c r="CU29" s="55" t="str">
        <f t="shared" si="12"/>
        <v/>
      </c>
      <c r="CV29" s="55" t="str">
        <f t="shared" si="12"/>
        <v/>
      </c>
      <c r="CW29" s="55" t="str">
        <f t="shared" si="12"/>
        <v/>
      </c>
      <c r="CX29" s="55" t="str">
        <f t="shared" si="12"/>
        <v/>
      </c>
      <c r="CY29" s="55" t="str">
        <f t="shared" si="12"/>
        <v/>
      </c>
      <c r="CZ29" s="55" t="str">
        <f t="shared" si="12"/>
        <v/>
      </c>
      <c r="DA29" s="55" t="str">
        <f t="shared" si="12"/>
        <v/>
      </c>
      <c r="DB29" s="55" t="str">
        <f t="shared" si="12"/>
        <v/>
      </c>
      <c r="DC29" s="55" t="str">
        <f t="shared" si="12"/>
        <v/>
      </c>
      <c r="DD29" s="55" t="str">
        <f t="shared" si="12"/>
        <v/>
      </c>
      <c r="DE29" s="55" t="str">
        <f t="shared" si="12"/>
        <v/>
      </c>
      <c r="DF29" s="55" t="str">
        <f t="shared" si="12"/>
        <v/>
      </c>
      <c r="DG29" s="55" t="str">
        <f t="shared" si="12"/>
        <v/>
      </c>
      <c r="DH29" s="55" t="str">
        <f t="shared" si="12"/>
        <v/>
      </c>
      <c r="DI29" s="55" t="str">
        <f t="shared" si="12"/>
        <v/>
      </c>
      <c r="DJ29" s="55" t="str">
        <f t="shared" si="12"/>
        <v/>
      </c>
      <c r="DK29" s="55" t="str">
        <f t="shared" si="12"/>
        <v/>
      </c>
      <c r="DL29" s="55" t="str">
        <f t="shared" si="12"/>
        <v/>
      </c>
      <c r="DM29" s="55" t="str">
        <f t="shared" si="12"/>
        <v/>
      </c>
      <c r="DN29" s="55" t="str">
        <f t="shared" si="12"/>
        <v/>
      </c>
      <c r="DO29" s="55" t="str">
        <f t="shared" si="12"/>
        <v/>
      </c>
      <c r="DP29" s="55" t="str">
        <f t="shared" si="12"/>
        <v/>
      </c>
      <c r="DQ29" s="55" t="str">
        <f t="shared" si="12"/>
        <v/>
      </c>
      <c r="DR29" s="55" t="str">
        <f t="shared" si="12"/>
        <v/>
      </c>
      <c r="DS29" s="55" t="str">
        <f t="shared" si="13"/>
        <v/>
      </c>
      <c r="DT29" s="106" t="str">
        <f t="shared" si="13"/>
        <v/>
      </c>
      <c r="DU29" s="54"/>
      <c r="DV29" s="25"/>
      <c r="DW29" s="61" t="str">
        <f t="shared" si="21"/>
        <v/>
      </c>
      <c r="DX29" s="50" t="str">
        <f t="shared" si="21"/>
        <v/>
      </c>
      <c r="DY29" s="50" t="str">
        <f t="shared" si="21"/>
        <v/>
      </c>
      <c r="DZ29" s="50" t="str">
        <f t="shared" si="21"/>
        <v/>
      </c>
      <c r="EA29" s="50" t="str">
        <f t="shared" si="21"/>
        <v/>
      </c>
      <c r="EB29" s="50" t="str">
        <f t="shared" si="21"/>
        <v/>
      </c>
      <c r="EC29" s="50" t="str">
        <f t="shared" si="21"/>
        <v/>
      </c>
      <c r="ED29" s="50" t="str">
        <f t="shared" si="21"/>
        <v/>
      </c>
      <c r="EE29" s="50" t="str">
        <f t="shared" si="21"/>
        <v/>
      </c>
      <c r="EF29" s="50" t="str">
        <f t="shared" si="21"/>
        <v/>
      </c>
      <c r="EG29" s="50" t="str">
        <f t="shared" si="21"/>
        <v/>
      </c>
      <c r="EH29" s="50" t="str">
        <f t="shared" si="21"/>
        <v/>
      </c>
      <c r="EI29" s="50" t="str">
        <f t="shared" si="21"/>
        <v/>
      </c>
      <c r="EJ29" s="50" t="str">
        <f t="shared" si="21"/>
        <v/>
      </c>
      <c r="EK29" s="50" t="str">
        <f t="shared" si="21"/>
        <v/>
      </c>
      <c r="EL29" s="50" t="str">
        <f t="shared" si="21"/>
        <v/>
      </c>
      <c r="EM29" s="50" t="str">
        <f t="shared" si="21"/>
        <v/>
      </c>
      <c r="EN29" s="50" t="str">
        <f t="shared" si="21"/>
        <v/>
      </c>
      <c r="EO29" s="50" t="str">
        <f t="shared" si="21"/>
        <v/>
      </c>
      <c r="EP29" s="50" t="str">
        <f t="shared" si="21"/>
        <v/>
      </c>
      <c r="EQ29" s="50" t="str">
        <f t="shared" si="21"/>
        <v/>
      </c>
      <c r="ER29" s="50" t="str">
        <f t="shared" si="21"/>
        <v/>
      </c>
      <c r="ES29" s="50" t="str">
        <f t="shared" si="21"/>
        <v/>
      </c>
      <c r="ET29" s="50" t="str">
        <f t="shared" si="21"/>
        <v/>
      </c>
      <c r="EU29" s="50" t="str">
        <f t="shared" si="21"/>
        <v/>
      </c>
      <c r="EV29" s="50" t="str">
        <f t="shared" si="21"/>
        <v/>
      </c>
      <c r="EW29" s="50" t="str">
        <f t="shared" si="21"/>
        <v/>
      </c>
      <c r="EX29" s="50" t="str">
        <f t="shared" si="21"/>
        <v/>
      </c>
      <c r="EY29" s="50" t="str">
        <f t="shared" si="21"/>
        <v/>
      </c>
      <c r="EZ29" s="50" t="str">
        <f t="shared" si="21"/>
        <v/>
      </c>
      <c r="FA29" s="50" t="str">
        <f t="shared" si="21"/>
        <v/>
      </c>
      <c r="FB29" s="50" t="str">
        <f t="shared" si="21"/>
        <v/>
      </c>
      <c r="FC29" s="50" t="str">
        <f t="shared" si="21"/>
        <v/>
      </c>
      <c r="FD29" s="50" t="str">
        <f t="shared" si="21"/>
        <v/>
      </c>
      <c r="FE29" s="50" t="str">
        <f t="shared" si="21"/>
        <v/>
      </c>
      <c r="FF29" s="50" t="str">
        <f t="shared" si="21"/>
        <v/>
      </c>
      <c r="FG29" s="50" t="str">
        <f t="shared" si="21"/>
        <v/>
      </c>
      <c r="FH29" s="50" t="str">
        <f t="shared" si="21"/>
        <v/>
      </c>
      <c r="FI29" s="50" t="str">
        <f t="shared" si="21"/>
        <v/>
      </c>
      <c r="FJ29" s="50" t="str">
        <f t="shared" si="21"/>
        <v/>
      </c>
      <c r="FK29" s="50" t="str">
        <f t="shared" si="21"/>
        <v/>
      </c>
      <c r="FL29" s="50" t="str">
        <f t="shared" si="21"/>
        <v/>
      </c>
      <c r="FM29" s="50" t="str">
        <f t="shared" si="21"/>
        <v/>
      </c>
      <c r="FN29" s="50" t="str">
        <f t="shared" si="21"/>
        <v/>
      </c>
      <c r="FO29" s="50" t="str">
        <f t="shared" si="21"/>
        <v/>
      </c>
      <c r="FP29" s="50" t="str">
        <f t="shared" si="21"/>
        <v/>
      </c>
      <c r="FQ29" s="50" t="str">
        <f t="shared" si="21"/>
        <v/>
      </c>
      <c r="FR29" s="50" t="str">
        <f t="shared" si="21"/>
        <v/>
      </c>
      <c r="FS29" s="50" t="str">
        <f t="shared" si="21"/>
        <v/>
      </c>
      <c r="FT29" s="50" t="str">
        <f t="shared" si="21"/>
        <v/>
      </c>
      <c r="FU29" s="50" t="str">
        <f t="shared" si="21"/>
        <v/>
      </c>
      <c r="FV29" s="50" t="str">
        <f t="shared" si="21"/>
        <v/>
      </c>
      <c r="FW29" s="50" t="str">
        <f t="shared" si="21"/>
        <v/>
      </c>
      <c r="FX29" s="50" t="str">
        <f t="shared" si="21"/>
        <v/>
      </c>
      <c r="FY29" s="50" t="str">
        <f t="shared" si="21"/>
        <v/>
      </c>
      <c r="FZ29" s="50" t="str">
        <f t="shared" si="21"/>
        <v/>
      </c>
      <c r="GA29" s="50" t="str">
        <f t="shared" si="21"/>
        <v/>
      </c>
      <c r="GB29" s="50" t="str">
        <f t="shared" si="21"/>
        <v/>
      </c>
      <c r="GC29" s="50" t="str">
        <f t="shared" si="21"/>
        <v/>
      </c>
      <c r="GD29" s="50" t="str">
        <f t="shared" si="21"/>
        <v/>
      </c>
      <c r="GE29" s="50" t="str">
        <f t="shared" si="21"/>
        <v/>
      </c>
      <c r="GF29" s="50" t="str">
        <f t="shared" si="21"/>
        <v/>
      </c>
      <c r="GG29" s="50" t="str">
        <f t="shared" si="21"/>
        <v/>
      </c>
      <c r="GH29" s="50" t="str">
        <f t="shared" si="14"/>
        <v/>
      </c>
      <c r="GI29" s="50" t="str">
        <f t="shared" si="14"/>
        <v/>
      </c>
      <c r="GJ29" s="50" t="str">
        <f t="shared" si="14"/>
        <v/>
      </c>
      <c r="GK29" s="50" t="str">
        <f t="shared" si="14"/>
        <v/>
      </c>
      <c r="GL29" s="50" t="str">
        <f t="shared" si="14"/>
        <v/>
      </c>
      <c r="GM29" s="50" t="str">
        <f t="shared" si="14"/>
        <v/>
      </c>
      <c r="GN29" s="50" t="str">
        <f t="shared" si="14"/>
        <v/>
      </c>
      <c r="GO29" s="50" t="str">
        <f t="shared" si="14"/>
        <v/>
      </c>
      <c r="GP29" s="50" t="str">
        <f t="shared" si="14"/>
        <v/>
      </c>
      <c r="GQ29" s="50" t="str">
        <f t="shared" si="14"/>
        <v/>
      </c>
      <c r="GR29" s="50" t="str">
        <f t="shared" si="14"/>
        <v/>
      </c>
      <c r="GS29" s="50" t="str">
        <f t="shared" si="14"/>
        <v/>
      </c>
      <c r="GT29" s="50" t="str">
        <f t="shared" si="14"/>
        <v/>
      </c>
      <c r="GU29" s="50" t="str">
        <f t="shared" si="14"/>
        <v/>
      </c>
      <c r="GV29" s="50" t="str">
        <f t="shared" si="14"/>
        <v/>
      </c>
      <c r="GW29" s="50" t="str">
        <f t="shared" si="14"/>
        <v/>
      </c>
      <c r="GX29" s="50" t="str">
        <f t="shared" si="14"/>
        <v/>
      </c>
      <c r="GY29" s="50" t="str">
        <f t="shared" si="14"/>
        <v/>
      </c>
      <c r="GZ29" s="50" t="str">
        <f t="shared" si="14"/>
        <v/>
      </c>
      <c r="HA29" s="50" t="str">
        <f t="shared" si="14"/>
        <v/>
      </c>
      <c r="HB29" s="50" t="str">
        <f t="shared" si="14"/>
        <v/>
      </c>
      <c r="HC29" s="50" t="str">
        <f t="shared" si="14"/>
        <v/>
      </c>
      <c r="HD29" s="50" t="str">
        <f t="shared" si="14"/>
        <v/>
      </c>
      <c r="HE29" s="50" t="str">
        <f t="shared" si="14"/>
        <v/>
      </c>
      <c r="HF29" s="50" t="str">
        <f t="shared" si="14"/>
        <v/>
      </c>
      <c r="HG29" s="50" t="str">
        <f t="shared" si="14"/>
        <v/>
      </c>
      <c r="HH29" s="50" t="str">
        <f t="shared" si="14"/>
        <v/>
      </c>
      <c r="HI29" s="50" t="str">
        <f t="shared" si="14"/>
        <v/>
      </c>
      <c r="HJ29" s="50" t="str">
        <f t="shared" si="14"/>
        <v/>
      </c>
      <c r="HK29" s="50" t="str">
        <f t="shared" si="14"/>
        <v/>
      </c>
      <c r="HL29" s="50" t="str">
        <f t="shared" si="14"/>
        <v/>
      </c>
      <c r="HM29" s="50" t="str">
        <f t="shared" si="14"/>
        <v/>
      </c>
      <c r="HN29" s="50" t="str">
        <f t="shared" si="14"/>
        <v/>
      </c>
      <c r="HO29" s="50" t="str">
        <f t="shared" si="14"/>
        <v/>
      </c>
      <c r="HP29" s="50" t="str">
        <f t="shared" si="14"/>
        <v/>
      </c>
      <c r="HQ29" s="50" t="str">
        <f t="shared" si="15"/>
        <v/>
      </c>
      <c r="HR29" s="112" t="str">
        <f t="shared" si="15"/>
        <v/>
      </c>
    </row>
    <row r="30" spans="1:226" ht="11.1" customHeight="1" x14ac:dyDescent="0.25">
      <c r="A30" s="26"/>
      <c r="B30" s="27"/>
      <c r="C30" s="28" t="str">
        <f>IF(A30=0,"",VLOOKUP(A30,[2]CO!$A$3:$F$5327,2,0))</f>
        <v/>
      </c>
      <c r="D30" s="29"/>
      <c r="E30" s="29"/>
      <c r="F30" s="29"/>
      <c r="G30" s="30" t="str">
        <f>IF(A30=0,"",VLOOKUP(A30,[2]CO!$A$3:$F$5327,3,0))</f>
        <v/>
      </c>
      <c r="H30" s="29"/>
      <c r="I30" s="31"/>
      <c r="J30" s="31"/>
      <c r="K30" s="31"/>
      <c r="L30" s="31"/>
      <c r="M30" s="32" t="str">
        <f t="shared" ref="M30:M32" si="22">IF(L30=0,"",PRODUCT(I30:L30))</f>
        <v/>
      </c>
      <c r="N30" s="32" t="str">
        <f>IF(B30=0,"",IF(H30="M",HLOOKUP(B30,$Y$12:$DT$13,2),IF(A30=0,"",VLOOKUP(A30,[2]CO!$A$3:$F$5327,4,0))))</f>
        <v/>
      </c>
      <c r="O30" s="32" t="str">
        <f t="shared" ref="O30:O32" si="23">IF(L30=0,"",PRODUCT(M30:N30))</f>
        <v/>
      </c>
      <c r="P30" s="33"/>
      <c r="Q30" s="34" t="str">
        <f t="shared" ref="Q30:Q32" si="24">IF(P30=0,"",(HLOOKUP(P30,$DW$12:$HR$13,2)))</f>
        <v/>
      </c>
      <c r="R30" s="35" t="str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RESIDENTE"),VLOOKUP(B30,P$14:Q$64,2),"")*S30)</f>
        <v/>
      </c>
      <c r="T30" s="53" t="str">
        <f>IF(A30=0,"",VLOOKUP(A30,[2]CO!$A$3:$F$5318,5,0))</f>
        <v/>
      </c>
      <c r="U30" s="54">
        <f t="shared" ref="U30:U32" si="25">IF(T30=1,O30*0.1,)</f>
        <v>0</v>
      </c>
      <c r="V30" s="24"/>
      <c r="W30" s="25"/>
      <c r="X30" s="25"/>
      <c r="Y30" s="64" t="str">
        <f t="shared" ref="Y30:AA30" si="26">IF($B30=Y$12,$U30,"")</f>
        <v/>
      </c>
      <c r="Z30" s="55" t="str">
        <f t="shared" si="26"/>
        <v/>
      </c>
      <c r="AA30" s="55" t="str">
        <f t="shared" si="26"/>
        <v/>
      </c>
      <c r="AB30" s="55" t="str">
        <f t="shared" ref="AB30:CI30" si="27">IF($B30=AB$12,$U30,"")</f>
        <v/>
      </c>
      <c r="AC30" s="55" t="str">
        <f t="shared" si="27"/>
        <v/>
      </c>
      <c r="AD30" s="55" t="str">
        <f t="shared" si="27"/>
        <v/>
      </c>
      <c r="AE30" s="55" t="str">
        <f t="shared" si="27"/>
        <v/>
      </c>
      <c r="AF30" s="55" t="str">
        <f t="shared" si="27"/>
        <v/>
      </c>
      <c r="AG30" s="55" t="str">
        <f t="shared" si="27"/>
        <v/>
      </c>
      <c r="AH30" s="55" t="str">
        <f t="shared" si="27"/>
        <v/>
      </c>
      <c r="AI30" s="55" t="str">
        <f t="shared" si="27"/>
        <v/>
      </c>
      <c r="AJ30" s="55" t="str">
        <f t="shared" si="27"/>
        <v/>
      </c>
      <c r="AK30" s="55" t="str">
        <f t="shared" si="27"/>
        <v/>
      </c>
      <c r="AL30" s="55" t="str">
        <f t="shared" si="27"/>
        <v/>
      </c>
      <c r="AM30" s="55" t="str">
        <f t="shared" si="27"/>
        <v/>
      </c>
      <c r="AN30" s="55" t="str">
        <f t="shared" si="27"/>
        <v/>
      </c>
      <c r="AO30" s="55" t="str">
        <f t="shared" si="27"/>
        <v/>
      </c>
      <c r="AP30" s="55" t="str">
        <f t="shared" si="27"/>
        <v/>
      </c>
      <c r="AQ30" s="55" t="str">
        <f t="shared" si="27"/>
        <v/>
      </c>
      <c r="AR30" s="55" t="str">
        <f t="shared" si="27"/>
        <v/>
      </c>
      <c r="AS30" s="55" t="str">
        <f t="shared" si="27"/>
        <v/>
      </c>
      <c r="AT30" s="55" t="str">
        <f t="shared" si="27"/>
        <v/>
      </c>
      <c r="AU30" s="55" t="str">
        <f t="shared" si="27"/>
        <v/>
      </c>
      <c r="AV30" s="55" t="str">
        <f t="shared" si="27"/>
        <v/>
      </c>
      <c r="AW30" s="55" t="str">
        <f t="shared" si="27"/>
        <v/>
      </c>
      <c r="AX30" s="55" t="str">
        <f t="shared" si="27"/>
        <v/>
      </c>
      <c r="AY30" s="55" t="str">
        <f t="shared" si="27"/>
        <v/>
      </c>
      <c r="AZ30" s="55" t="str">
        <f t="shared" si="27"/>
        <v/>
      </c>
      <c r="BA30" s="55" t="str">
        <f t="shared" si="27"/>
        <v/>
      </c>
      <c r="BB30" s="55" t="str">
        <f t="shared" si="27"/>
        <v/>
      </c>
      <c r="BC30" s="55" t="str">
        <f t="shared" si="27"/>
        <v/>
      </c>
      <c r="BD30" s="55" t="str">
        <f t="shared" si="27"/>
        <v/>
      </c>
      <c r="BE30" s="55" t="str">
        <f t="shared" si="27"/>
        <v/>
      </c>
      <c r="BF30" s="55" t="str">
        <f t="shared" si="27"/>
        <v/>
      </c>
      <c r="BG30" s="55" t="str">
        <f t="shared" si="27"/>
        <v/>
      </c>
      <c r="BH30" s="55" t="str">
        <f t="shared" si="27"/>
        <v/>
      </c>
      <c r="BI30" s="55" t="str">
        <f t="shared" si="27"/>
        <v/>
      </c>
      <c r="BJ30" s="55" t="str">
        <f t="shared" si="27"/>
        <v/>
      </c>
      <c r="BK30" s="55" t="str">
        <f t="shared" si="27"/>
        <v/>
      </c>
      <c r="BL30" s="55" t="str">
        <f t="shared" si="27"/>
        <v/>
      </c>
      <c r="BM30" s="55" t="str">
        <f t="shared" si="27"/>
        <v/>
      </c>
      <c r="BN30" s="55" t="str">
        <f t="shared" si="27"/>
        <v/>
      </c>
      <c r="BO30" s="55" t="str">
        <f t="shared" si="27"/>
        <v/>
      </c>
      <c r="BP30" s="55" t="str">
        <f t="shared" si="27"/>
        <v/>
      </c>
      <c r="BQ30" s="55" t="str">
        <f t="shared" si="27"/>
        <v/>
      </c>
      <c r="BR30" s="55" t="str">
        <f t="shared" si="27"/>
        <v/>
      </c>
      <c r="BS30" s="55" t="str">
        <f t="shared" si="27"/>
        <v/>
      </c>
      <c r="BT30" s="55" t="str">
        <f t="shared" si="27"/>
        <v/>
      </c>
      <c r="BU30" s="55" t="str">
        <f t="shared" si="27"/>
        <v/>
      </c>
      <c r="BV30" s="55" t="str">
        <f t="shared" si="27"/>
        <v/>
      </c>
      <c r="BW30" s="55" t="str">
        <f t="shared" si="27"/>
        <v/>
      </c>
      <c r="BX30" s="55" t="str">
        <f t="shared" si="27"/>
        <v/>
      </c>
      <c r="BY30" s="55" t="str">
        <f t="shared" si="27"/>
        <v/>
      </c>
      <c r="BZ30" s="55" t="str">
        <f t="shared" si="27"/>
        <v/>
      </c>
      <c r="CA30" s="55" t="str">
        <f t="shared" si="27"/>
        <v/>
      </c>
      <c r="CB30" s="55" t="str">
        <f t="shared" si="27"/>
        <v/>
      </c>
      <c r="CC30" s="55" t="str">
        <f t="shared" si="27"/>
        <v/>
      </c>
      <c r="CD30" s="55" t="str">
        <f t="shared" si="27"/>
        <v/>
      </c>
      <c r="CE30" s="55" t="str">
        <f t="shared" si="27"/>
        <v/>
      </c>
      <c r="CF30" s="55" t="str">
        <f t="shared" si="27"/>
        <v/>
      </c>
      <c r="CG30" s="55" t="str">
        <f t="shared" si="27"/>
        <v/>
      </c>
      <c r="CH30" s="55" t="str">
        <f t="shared" si="27"/>
        <v/>
      </c>
      <c r="CI30" s="55" t="str">
        <f t="shared" si="27"/>
        <v/>
      </c>
      <c r="CJ30" s="55" t="str">
        <f t="shared" ref="CJ30:CY32" si="28">IF($B30=CJ$12,$U30,"")</f>
        <v/>
      </c>
      <c r="CK30" s="55" t="str">
        <f t="shared" si="28"/>
        <v/>
      </c>
      <c r="CL30" s="55" t="str">
        <f t="shared" si="28"/>
        <v/>
      </c>
      <c r="CM30" s="55" t="str">
        <f t="shared" si="28"/>
        <v/>
      </c>
      <c r="CN30" s="55" t="str">
        <f t="shared" ref="CN30:CY31" si="29">IF($B30=CN$12,$U30,"")</f>
        <v/>
      </c>
      <c r="CO30" s="55" t="str">
        <f t="shared" si="29"/>
        <v/>
      </c>
      <c r="CP30" s="55" t="str">
        <f t="shared" si="29"/>
        <v/>
      </c>
      <c r="CQ30" s="55" t="str">
        <f t="shared" si="29"/>
        <v/>
      </c>
      <c r="CR30" s="55" t="str">
        <f t="shared" si="29"/>
        <v/>
      </c>
      <c r="CS30" s="55" t="str">
        <f t="shared" si="29"/>
        <v/>
      </c>
      <c r="CT30" s="55" t="str">
        <f t="shared" si="29"/>
        <v/>
      </c>
      <c r="CU30" s="55" t="str">
        <f t="shared" si="29"/>
        <v/>
      </c>
      <c r="CV30" s="55" t="str">
        <f t="shared" si="29"/>
        <v/>
      </c>
      <c r="CW30" s="55" t="str">
        <f t="shared" si="29"/>
        <v/>
      </c>
      <c r="CX30" s="55" t="str">
        <f t="shared" si="29"/>
        <v/>
      </c>
      <c r="CY30" s="55" t="str">
        <f t="shared" si="29"/>
        <v/>
      </c>
      <c r="CZ30" s="55" t="str">
        <f t="shared" ref="CZ30:DN32" si="30">IF($B30=CZ$12,$U30,"")</f>
        <v/>
      </c>
      <c r="DA30" s="55" t="str">
        <f t="shared" si="30"/>
        <v/>
      </c>
      <c r="DB30" s="55" t="str">
        <f t="shared" si="30"/>
        <v/>
      </c>
      <c r="DC30" s="55" t="str">
        <f t="shared" si="30"/>
        <v/>
      </c>
      <c r="DD30" s="55" t="str">
        <f t="shared" si="30"/>
        <v/>
      </c>
      <c r="DE30" s="55" t="str">
        <f t="shared" si="30"/>
        <v/>
      </c>
      <c r="DF30" s="55" t="str">
        <f t="shared" si="30"/>
        <v/>
      </c>
      <c r="DG30" s="55" t="str">
        <f t="shared" si="30"/>
        <v/>
      </c>
      <c r="DH30" s="55" t="str">
        <f t="shared" si="30"/>
        <v/>
      </c>
      <c r="DI30" s="55" t="str">
        <f t="shared" si="30"/>
        <v/>
      </c>
      <c r="DJ30" s="55" t="str">
        <f t="shared" si="30"/>
        <v/>
      </c>
      <c r="DK30" s="55" t="str">
        <f t="shared" si="30"/>
        <v/>
      </c>
      <c r="DL30" s="55" t="str">
        <f t="shared" si="30"/>
        <v/>
      </c>
      <c r="DM30" s="55" t="str">
        <f t="shared" si="30"/>
        <v/>
      </c>
      <c r="DN30" s="55" t="str">
        <f t="shared" si="30"/>
        <v/>
      </c>
      <c r="DO30" s="55" t="str">
        <f t="shared" ref="DO30:DT32" si="31">IF($B30=DO$12,$U30,"")</f>
        <v/>
      </c>
      <c r="DP30" s="55" t="str">
        <f t="shared" si="31"/>
        <v/>
      </c>
      <c r="DQ30" s="55" t="str">
        <f t="shared" si="31"/>
        <v/>
      </c>
      <c r="DR30" s="55" t="str">
        <f t="shared" si="31"/>
        <v/>
      </c>
      <c r="DS30" s="55" t="str">
        <f t="shared" si="31"/>
        <v/>
      </c>
      <c r="DT30" s="106" t="str">
        <f t="shared" si="31"/>
        <v/>
      </c>
      <c r="DU30" s="54"/>
      <c r="DV30" s="25"/>
      <c r="DW30" s="61" t="str">
        <f t="shared" ref="DW30:DY30" si="32">IF($B30=DW$12,$O30,"")</f>
        <v/>
      </c>
      <c r="DX30" s="50" t="str">
        <f t="shared" si="32"/>
        <v/>
      </c>
      <c r="DY30" s="50" t="str">
        <f t="shared" si="32"/>
        <v/>
      </c>
      <c r="DZ30" s="50" t="str">
        <f t="shared" ref="DZ30:GG30" si="33">IF($B30=DZ$12,$O30,"")</f>
        <v/>
      </c>
      <c r="EA30" s="50" t="str">
        <f t="shared" si="33"/>
        <v/>
      </c>
      <c r="EB30" s="50" t="str">
        <f t="shared" si="33"/>
        <v/>
      </c>
      <c r="EC30" s="50" t="str">
        <f t="shared" si="33"/>
        <v/>
      </c>
      <c r="ED30" s="50" t="str">
        <f t="shared" si="33"/>
        <v/>
      </c>
      <c r="EE30" s="50" t="str">
        <f t="shared" si="33"/>
        <v/>
      </c>
      <c r="EF30" s="50" t="str">
        <f t="shared" si="33"/>
        <v/>
      </c>
      <c r="EG30" s="50" t="str">
        <f t="shared" si="33"/>
        <v/>
      </c>
      <c r="EH30" s="50" t="str">
        <f t="shared" si="33"/>
        <v/>
      </c>
      <c r="EI30" s="50" t="str">
        <f t="shared" si="33"/>
        <v/>
      </c>
      <c r="EJ30" s="50" t="str">
        <f t="shared" si="33"/>
        <v/>
      </c>
      <c r="EK30" s="50" t="str">
        <f t="shared" si="33"/>
        <v/>
      </c>
      <c r="EL30" s="50" t="str">
        <f t="shared" si="33"/>
        <v/>
      </c>
      <c r="EM30" s="50" t="str">
        <f t="shared" si="33"/>
        <v/>
      </c>
      <c r="EN30" s="50" t="str">
        <f t="shared" si="33"/>
        <v/>
      </c>
      <c r="EO30" s="50" t="str">
        <f t="shared" si="33"/>
        <v/>
      </c>
      <c r="EP30" s="50" t="str">
        <f t="shared" si="33"/>
        <v/>
      </c>
      <c r="EQ30" s="50" t="str">
        <f t="shared" si="33"/>
        <v/>
      </c>
      <c r="ER30" s="50" t="str">
        <f t="shared" si="33"/>
        <v/>
      </c>
      <c r="ES30" s="50" t="str">
        <f t="shared" si="33"/>
        <v/>
      </c>
      <c r="ET30" s="50" t="str">
        <f t="shared" si="33"/>
        <v/>
      </c>
      <c r="EU30" s="50" t="str">
        <f t="shared" si="33"/>
        <v/>
      </c>
      <c r="EV30" s="50" t="str">
        <f t="shared" si="33"/>
        <v/>
      </c>
      <c r="EW30" s="50" t="str">
        <f t="shared" si="33"/>
        <v/>
      </c>
      <c r="EX30" s="50" t="str">
        <f t="shared" si="33"/>
        <v/>
      </c>
      <c r="EY30" s="50" t="str">
        <f t="shared" si="33"/>
        <v/>
      </c>
      <c r="EZ30" s="50" t="str">
        <f t="shared" si="33"/>
        <v/>
      </c>
      <c r="FA30" s="50" t="str">
        <f t="shared" si="33"/>
        <v/>
      </c>
      <c r="FB30" s="50" t="str">
        <f t="shared" si="33"/>
        <v/>
      </c>
      <c r="FC30" s="50" t="str">
        <f t="shared" si="33"/>
        <v/>
      </c>
      <c r="FD30" s="50" t="str">
        <f t="shared" si="33"/>
        <v/>
      </c>
      <c r="FE30" s="50" t="str">
        <f t="shared" si="33"/>
        <v/>
      </c>
      <c r="FF30" s="50" t="str">
        <f t="shared" si="33"/>
        <v/>
      </c>
      <c r="FG30" s="50" t="str">
        <f t="shared" si="33"/>
        <v/>
      </c>
      <c r="FH30" s="50" t="str">
        <f t="shared" si="33"/>
        <v/>
      </c>
      <c r="FI30" s="50" t="str">
        <f t="shared" si="33"/>
        <v/>
      </c>
      <c r="FJ30" s="50" t="str">
        <f t="shared" si="33"/>
        <v/>
      </c>
      <c r="FK30" s="50" t="str">
        <f t="shared" si="33"/>
        <v/>
      </c>
      <c r="FL30" s="50" t="str">
        <f t="shared" si="33"/>
        <v/>
      </c>
      <c r="FM30" s="50" t="str">
        <f t="shared" si="33"/>
        <v/>
      </c>
      <c r="FN30" s="50" t="str">
        <f t="shared" si="33"/>
        <v/>
      </c>
      <c r="FO30" s="50" t="str">
        <f t="shared" si="33"/>
        <v/>
      </c>
      <c r="FP30" s="50" t="str">
        <f t="shared" si="33"/>
        <v/>
      </c>
      <c r="FQ30" s="50" t="str">
        <f t="shared" si="33"/>
        <v/>
      </c>
      <c r="FR30" s="50" t="str">
        <f t="shared" si="33"/>
        <v/>
      </c>
      <c r="FS30" s="50" t="str">
        <f t="shared" si="33"/>
        <v/>
      </c>
      <c r="FT30" s="50" t="str">
        <f t="shared" si="33"/>
        <v/>
      </c>
      <c r="FU30" s="50" t="str">
        <f t="shared" si="33"/>
        <v/>
      </c>
      <c r="FV30" s="50" t="str">
        <f t="shared" si="33"/>
        <v/>
      </c>
      <c r="FW30" s="50" t="str">
        <f t="shared" si="33"/>
        <v/>
      </c>
      <c r="FX30" s="50" t="str">
        <f t="shared" si="33"/>
        <v/>
      </c>
      <c r="FY30" s="50" t="str">
        <f t="shared" si="33"/>
        <v/>
      </c>
      <c r="FZ30" s="50" t="str">
        <f t="shared" si="33"/>
        <v/>
      </c>
      <c r="GA30" s="50" t="str">
        <f t="shared" si="33"/>
        <v/>
      </c>
      <c r="GB30" s="50" t="str">
        <f t="shared" si="33"/>
        <v/>
      </c>
      <c r="GC30" s="50" t="str">
        <f t="shared" si="33"/>
        <v/>
      </c>
      <c r="GD30" s="50" t="str">
        <f t="shared" si="33"/>
        <v/>
      </c>
      <c r="GE30" s="50" t="str">
        <f t="shared" si="33"/>
        <v/>
      </c>
      <c r="GF30" s="50" t="str">
        <f t="shared" si="33"/>
        <v/>
      </c>
      <c r="GG30" s="50" t="str">
        <f t="shared" si="33"/>
        <v/>
      </c>
      <c r="GH30" s="50" t="str">
        <f t="shared" ref="GH30:GW32" si="34">IF($B30=GH$12,$O30,"")</f>
        <v/>
      </c>
      <c r="GI30" s="50" t="str">
        <f t="shared" si="34"/>
        <v/>
      </c>
      <c r="GJ30" s="50" t="str">
        <f t="shared" si="34"/>
        <v/>
      </c>
      <c r="GK30" s="50" t="str">
        <f t="shared" si="34"/>
        <v/>
      </c>
      <c r="GL30" s="50" t="str">
        <f t="shared" ref="GL30:GW31" si="35">IF($B30=GL$12,$O30,"")</f>
        <v/>
      </c>
      <c r="GM30" s="50" t="str">
        <f t="shared" si="35"/>
        <v/>
      </c>
      <c r="GN30" s="50" t="str">
        <f t="shared" si="35"/>
        <v/>
      </c>
      <c r="GO30" s="50" t="str">
        <f t="shared" si="35"/>
        <v/>
      </c>
      <c r="GP30" s="50" t="str">
        <f t="shared" si="35"/>
        <v/>
      </c>
      <c r="GQ30" s="50" t="str">
        <f t="shared" si="35"/>
        <v/>
      </c>
      <c r="GR30" s="50" t="str">
        <f t="shared" si="35"/>
        <v/>
      </c>
      <c r="GS30" s="50" t="str">
        <f t="shared" si="35"/>
        <v/>
      </c>
      <c r="GT30" s="50" t="str">
        <f t="shared" si="35"/>
        <v/>
      </c>
      <c r="GU30" s="50" t="str">
        <f t="shared" si="35"/>
        <v/>
      </c>
      <c r="GV30" s="50" t="str">
        <f t="shared" si="35"/>
        <v/>
      </c>
      <c r="GW30" s="50" t="str">
        <f t="shared" si="35"/>
        <v/>
      </c>
      <c r="GX30" s="50" t="str">
        <f t="shared" ref="GX30:HL32" si="36">IF($B30=GX$12,$O30,"")</f>
        <v/>
      </c>
      <c r="GY30" s="50" t="str">
        <f t="shared" si="36"/>
        <v/>
      </c>
      <c r="GZ30" s="50" t="str">
        <f t="shared" si="36"/>
        <v/>
      </c>
      <c r="HA30" s="50" t="str">
        <f t="shared" si="36"/>
        <v/>
      </c>
      <c r="HB30" s="50" t="str">
        <f t="shared" si="36"/>
        <v/>
      </c>
      <c r="HC30" s="50" t="str">
        <f t="shared" si="36"/>
        <v/>
      </c>
      <c r="HD30" s="50" t="str">
        <f t="shared" si="36"/>
        <v/>
      </c>
      <c r="HE30" s="50" t="str">
        <f t="shared" si="36"/>
        <v/>
      </c>
      <c r="HF30" s="50" t="str">
        <f t="shared" si="36"/>
        <v/>
      </c>
      <c r="HG30" s="50" t="str">
        <f t="shared" si="36"/>
        <v/>
      </c>
      <c r="HH30" s="50" t="str">
        <f t="shared" si="36"/>
        <v/>
      </c>
      <c r="HI30" s="50" t="str">
        <f t="shared" si="36"/>
        <v/>
      </c>
      <c r="HJ30" s="50" t="str">
        <f t="shared" si="36"/>
        <v/>
      </c>
      <c r="HK30" s="50" t="str">
        <f t="shared" si="36"/>
        <v/>
      </c>
      <c r="HL30" s="50" t="str">
        <f t="shared" si="36"/>
        <v/>
      </c>
      <c r="HM30" s="50" t="str">
        <f t="shared" ref="HM30:HR32" si="37">IF($B30=HM$12,$O30,"")</f>
        <v/>
      </c>
      <c r="HN30" s="50" t="str">
        <f t="shared" si="37"/>
        <v/>
      </c>
      <c r="HO30" s="50" t="str">
        <f t="shared" si="37"/>
        <v/>
      </c>
      <c r="HP30" s="50" t="str">
        <f t="shared" si="37"/>
        <v/>
      </c>
      <c r="HQ30" s="50" t="str">
        <f t="shared" si="37"/>
        <v/>
      </c>
      <c r="HR30" s="112" t="str">
        <f t="shared" si="37"/>
        <v/>
      </c>
    </row>
    <row r="31" spans="1:226" ht="11.1" customHeight="1" x14ac:dyDescent="0.25">
      <c r="A31" s="26"/>
      <c r="B31" s="27"/>
      <c r="C31" s="28" t="str">
        <f>IF(A31=0,"",VLOOKUP(A31,[2]CO!$A$3:$F$5327,2,0))</f>
        <v/>
      </c>
      <c r="D31" s="29"/>
      <c r="E31" s="29"/>
      <c r="F31" s="29"/>
      <c r="G31" s="30" t="str">
        <f>IF(A31=0,"",VLOOKUP(A31,[2]CO!$A$3:$F$5327,3,0))</f>
        <v/>
      </c>
      <c r="H31" s="29"/>
      <c r="I31" s="31"/>
      <c r="J31" s="31"/>
      <c r="K31" s="31"/>
      <c r="L31" s="31"/>
      <c r="M31" s="32" t="str">
        <f t="shared" si="22"/>
        <v/>
      </c>
      <c r="N31" s="32" t="str">
        <f>IF(B31=0,"",IF(H31="M",HLOOKUP(B31,$Y$12:$DT$13,2),IF(A31=0,"",VLOOKUP(A31,[2]CO!$A$3:$F$5327,4,0))))</f>
        <v/>
      </c>
      <c r="O31" s="32" t="str">
        <f t="shared" si="23"/>
        <v/>
      </c>
      <c r="P31" s="33"/>
      <c r="Q31" s="34" t="str">
        <f t="shared" si="24"/>
        <v/>
      </c>
      <c r="R31" s="35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RESIDENTE"),VLOOKUP(B31,P$14:Q$64,2),"")*S31)</f>
        <v/>
      </c>
      <c r="T31" s="53" t="str">
        <f>IF(A31=0,"",VLOOKUP(A31,[2]CO!$A$3:$F$5318,5,0))</f>
        <v/>
      </c>
      <c r="U31" s="54">
        <f t="shared" si="25"/>
        <v>0</v>
      </c>
      <c r="V31" s="24"/>
      <c r="W31" s="25"/>
      <c r="X31" s="25"/>
      <c r="Y31" s="64" t="str">
        <f t="shared" ref="Y31:CI32" si="38">IF($B31=Y$12,$U31,"")</f>
        <v/>
      </c>
      <c r="Z31" s="55" t="str">
        <f t="shared" si="38"/>
        <v/>
      </c>
      <c r="AA31" s="55" t="str">
        <f t="shared" si="38"/>
        <v/>
      </c>
      <c r="AB31" s="55" t="str">
        <f t="shared" si="38"/>
        <v/>
      </c>
      <c r="AC31" s="55" t="str">
        <f t="shared" si="38"/>
        <v/>
      </c>
      <c r="AD31" s="55" t="str">
        <f t="shared" si="38"/>
        <v/>
      </c>
      <c r="AE31" s="55" t="str">
        <f t="shared" si="38"/>
        <v/>
      </c>
      <c r="AF31" s="55" t="str">
        <f t="shared" si="38"/>
        <v/>
      </c>
      <c r="AG31" s="55" t="str">
        <f t="shared" si="38"/>
        <v/>
      </c>
      <c r="AH31" s="55" t="str">
        <f t="shared" si="38"/>
        <v/>
      </c>
      <c r="AI31" s="55" t="str">
        <f t="shared" si="38"/>
        <v/>
      </c>
      <c r="AJ31" s="55" t="str">
        <f t="shared" si="38"/>
        <v/>
      </c>
      <c r="AK31" s="55" t="str">
        <f t="shared" si="38"/>
        <v/>
      </c>
      <c r="AL31" s="55" t="str">
        <f t="shared" si="38"/>
        <v/>
      </c>
      <c r="AM31" s="55" t="str">
        <f t="shared" si="38"/>
        <v/>
      </c>
      <c r="AN31" s="55" t="str">
        <f t="shared" si="38"/>
        <v/>
      </c>
      <c r="AO31" s="55" t="str">
        <f t="shared" si="38"/>
        <v/>
      </c>
      <c r="AP31" s="55" t="str">
        <f t="shared" si="38"/>
        <v/>
      </c>
      <c r="AQ31" s="55" t="str">
        <f t="shared" si="38"/>
        <v/>
      </c>
      <c r="AR31" s="55" t="str">
        <f t="shared" si="38"/>
        <v/>
      </c>
      <c r="AS31" s="55" t="str">
        <f t="shared" si="38"/>
        <v/>
      </c>
      <c r="AT31" s="55" t="str">
        <f t="shared" si="38"/>
        <v/>
      </c>
      <c r="AU31" s="55" t="str">
        <f t="shared" si="38"/>
        <v/>
      </c>
      <c r="AV31" s="55" t="str">
        <f t="shared" si="38"/>
        <v/>
      </c>
      <c r="AW31" s="55" t="str">
        <f t="shared" si="38"/>
        <v/>
      </c>
      <c r="AX31" s="55" t="str">
        <f t="shared" si="38"/>
        <v/>
      </c>
      <c r="AY31" s="55" t="str">
        <f t="shared" si="38"/>
        <v/>
      </c>
      <c r="AZ31" s="55" t="str">
        <f t="shared" si="38"/>
        <v/>
      </c>
      <c r="BA31" s="55" t="str">
        <f t="shared" si="38"/>
        <v/>
      </c>
      <c r="BB31" s="55" t="str">
        <f t="shared" si="38"/>
        <v/>
      </c>
      <c r="BC31" s="55" t="str">
        <f t="shared" si="38"/>
        <v/>
      </c>
      <c r="BD31" s="55" t="str">
        <f t="shared" si="38"/>
        <v/>
      </c>
      <c r="BE31" s="55" t="str">
        <f t="shared" si="38"/>
        <v/>
      </c>
      <c r="BF31" s="55" t="str">
        <f t="shared" si="38"/>
        <v/>
      </c>
      <c r="BG31" s="55" t="str">
        <f t="shared" si="38"/>
        <v/>
      </c>
      <c r="BH31" s="55" t="str">
        <f t="shared" si="38"/>
        <v/>
      </c>
      <c r="BI31" s="55" t="str">
        <f t="shared" si="38"/>
        <v/>
      </c>
      <c r="BJ31" s="55" t="str">
        <f t="shared" si="38"/>
        <v/>
      </c>
      <c r="BK31" s="55" t="str">
        <f t="shared" si="38"/>
        <v/>
      </c>
      <c r="BL31" s="55" t="str">
        <f t="shared" si="38"/>
        <v/>
      </c>
      <c r="BM31" s="55" t="str">
        <f t="shared" si="38"/>
        <v/>
      </c>
      <c r="BN31" s="55" t="str">
        <f t="shared" si="38"/>
        <v/>
      </c>
      <c r="BO31" s="55" t="str">
        <f t="shared" si="38"/>
        <v/>
      </c>
      <c r="BP31" s="55" t="str">
        <f t="shared" si="38"/>
        <v/>
      </c>
      <c r="BQ31" s="55" t="str">
        <f t="shared" si="38"/>
        <v/>
      </c>
      <c r="BR31" s="55" t="str">
        <f t="shared" si="38"/>
        <v/>
      </c>
      <c r="BS31" s="55" t="str">
        <f t="shared" si="38"/>
        <v/>
      </c>
      <c r="BT31" s="55" t="str">
        <f t="shared" si="38"/>
        <v/>
      </c>
      <c r="BU31" s="55" t="str">
        <f t="shared" si="38"/>
        <v/>
      </c>
      <c r="BV31" s="55" t="str">
        <f t="shared" si="38"/>
        <v/>
      </c>
      <c r="BW31" s="55" t="str">
        <f t="shared" si="38"/>
        <v/>
      </c>
      <c r="BX31" s="55" t="str">
        <f t="shared" si="38"/>
        <v/>
      </c>
      <c r="BY31" s="55" t="str">
        <f t="shared" si="38"/>
        <v/>
      </c>
      <c r="BZ31" s="55" t="str">
        <f t="shared" si="38"/>
        <v/>
      </c>
      <c r="CA31" s="55" t="str">
        <f t="shared" si="38"/>
        <v/>
      </c>
      <c r="CB31" s="55" t="str">
        <f t="shared" si="38"/>
        <v/>
      </c>
      <c r="CC31" s="55" t="str">
        <f t="shared" si="38"/>
        <v/>
      </c>
      <c r="CD31" s="55" t="str">
        <f t="shared" si="38"/>
        <v/>
      </c>
      <c r="CE31" s="55" t="str">
        <f t="shared" si="38"/>
        <v/>
      </c>
      <c r="CF31" s="55" t="str">
        <f t="shared" si="38"/>
        <v/>
      </c>
      <c r="CG31" s="55" t="str">
        <f t="shared" si="38"/>
        <v/>
      </c>
      <c r="CH31" s="55" t="str">
        <f t="shared" si="38"/>
        <v/>
      </c>
      <c r="CI31" s="55" t="str">
        <f t="shared" si="38"/>
        <v/>
      </c>
      <c r="CJ31" s="55" t="str">
        <f t="shared" si="28"/>
        <v/>
      </c>
      <c r="CK31" s="55" t="str">
        <f t="shared" si="28"/>
        <v/>
      </c>
      <c r="CL31" s="55" t="str">
        <f t="shared" si="28"/>
        <v/>
      </c>
      <c r="CM31" s="55" t="str">
        <f t="shared" si="28"/>
        <v/>
      </c>
      <c r="CN31" s="55" t="str">
        <f t="shared" si="29"/>
        <v/>
      </c>
      <c r="CO31" s="55" t="str">
        <f t="shared" si="29"/>
        <v/>
      </c>
      <c r="CP31" s="55" t="str">
        <f t="shared" si="29"/>
        <v/>
      </c>
      <c r="CQ31" s="55" t="str">
        <f t="shared" si="29"/>
        <v/>
      </c>
      <c r="CR31" s="55" t="str">
        <f t="shared" si="29"/>
        <v/>
      </c>
      <c r="CS31" s="55" t="str">
        <f t="shared" si="29"/>
        <v/>
      </c>
      <c r="CT31" s="55" t="str">
        <f t="shared" si="29"/>
        <v/>
      </c>
      <c r="CU31" s="55" t="str">
        <f t="shared" si="29"/>
        <v/>
      </c>
      <c r="CV31" s="55" t="str">
        <f t="shared" si="29"/>
        <v/>
      </c>
      <c r="CW31" s="55" t="str">
        <f t="shared" si="29"/>
        <v/>
      </c>
      <c r="CX31" s="55" t="str">
        <f t="shared" si="29"/>
        <v/>
      </c>
      <c r="CY31" s="55" t="str">
        <f t="shared" si="29"/>
        <v/>
      </c>
      <c r="CZ31" s="55" t="str">
        <f t="shared" si="30"/>
        <v/>
      </c>
      <c r="DA31" s="55" t="str">
        <f t="shared" si="30"/>
        <v/>
      </c>
      <c r="DB31" s="55" t="str">
        <f t="shared" si="30"/>
        <v/>
      </c>
      <c r="DC31" s="55" t="str">
        <f t="shared" si="30"/>
        <v/>
      </c>
      <c r="DD31" s="55" t="str">
        <f t="shared" si="30"/>
        <v/>
      </c>
      <c r="DE31" s="55" t="str">
        <f t="shared" si="30"/>
        <v/>
      </c>
      <c r="DF31" s="55" t="str">
        <f t="shared" si="30"/>
        <v/>
      </c>
      <c r="DG31" s="55" t="str">
        <f t="shared" si="30"/>
        <v/>
      </c>
      <c r="DH31" s="55" t="str">
        <f t="shared" si="30"/>
        <v/>
      </c>
      <c r="DI31" s="55" t="str">
        <f t="shared" si="30"/>
        <v/>
      </c>
      <c r="DJ31" s="55" t="str">
        <f t="shared" si="30"/>
        <v/>
      </c>
      <c r="DK31" s="55" t="str">
        <f t="shared" si="30"/>
        <v/>
      </c>
      <c r="DL31" s="55" t="str">
        <f t="shared" si="30"/>
        <v/>
      </c>
      <c r="DM31" s="55" t="str">
        <f t="shared" si="30"/>
        <v/>
      </c>
      <c r="DN31" s="55" t="str">
        <f t="shared" si="30"/>
        <v/>
      </c>
      <c r="DO31" s="55" t="str">
        <f t="shared" si="31"/>
        <v/>
      </c>
      <c r="DP31" s="55" t="str">
        <f t="shared" si="31"/>
        <v/>
      </c>
      <c r="DQ31" s="55" t="str">
        <f t="shared" si="31"/>
        <v/>
      </c>
      <c r="DR31" s="55" t="str">
        <f t="shared" si="31"/>
        <v/>
      </c>
      <c r="DS31" s="55" t="str">
        <f t="shared" si="31"/>
        <v/>
      </c>
      <c r="DT31" s="106" t="str">
        <f t="shared" si="31"/>
        <v/>
      </c>
      <c r="DU31" s="54"/>
      <c r="DV31" s="25"/>
      <c r="DW31" s="61" t="str">
        <f t="shared" ref="DW31:GG32" si="39">IF($B31=DW$12,$O31,"")</f>
        <v/>
      </c>
      <c r="DX31" s="50" t="str">
        <f t="shared" si="39"/>
        <v/>
      </c>
      <c r="DY31" s="50" t="str">
        <f t="shared" si="39"/>
        <v/>
      </c>
      <c r="DZ31" s="50" t="str">
        <f t="shared" si="39"/>
        <v/>
      </c>
      <c r="EA31" s="50" t="str">
        <f t="shared" si="39"/>
        <v/>
      </c>
      <c r="EB31" s="50" t="str">
        <f t="shared" si="39"/>
        <v/>
      </c>
      <c r="EC31" s="50" t="str">
        <f t="shared" si="39"/>
        <v/>
      </c>
      <c r="ED31" s="50" t="str">
        <f t="shared" si="39"/>
        <v/>
      </c>
      <c r="EE31" s="50" t="str">
        <f t="shared" si="39"/>
        <v/>
      </c>
      <c r="EF31" s="50" t="str">
        <f t="shared" si="39"/>
        <v/>
      </c>
      <c r="EG31" s="50" t="str">
        <f t="shared" si="39"/>
        <v/>
      </c>
      <c r="EH31" s="50" t="str">
        <f t="shared" si="39"/>
        <v/>
      </c>
      <c r="EI31" s="50" t="str">
        <f t="shared" si="39"/>
        <v/>
      </c>
      <c r="EJ31" s="50" t="str">
        <f t="shared" si="39"/>
        <v/>
      </c>
      <c r="EK31" s="50" t="str">
        <f t="shared" si="39"/>
        <v/>
      </c>
      <c r="EL31" s="50" t="str">
        <f t="shared" si="39"/>
        <v/>
      </c>
      <c r="EM31" s="50" t="str">
        <f t="shared" si="39"/>
        <v/>
      </c>
      <c r="EN31" s="50" t="str">
        <f t="shared" si="39"/>
        <v/>
      </c>
      <c r="EO31" s="50" t="str">
        <f t="shared" si="39"/>
        <v/>
      </c>
      <c r="EP31" s="50" t="str">
        <f t="shared" si="39"/>
        <v/>
      </c>
      <c r="EQ31" s="50" t="str">
        <f t="shared" si="39"/>
        <v/>
      </c>
      <c r="ER31" s="50" t="str">
        <f t="shared" si="39"/>
        <v/>
      </c>
      <c r="ES31" s="50" t="str">
        <f t="shared" si="39"/>
        <v/>
      </c>
      <c r="ET31" s="50" t="str">
        <f t="shared" si="39"/>
        <v/>
      </c>
      <c r="EU31" s="50" t="str">
        <f t="shared" si="39"/>
        <v/>
      </c>
      <c r="EV31" s="50" t="str">
        <f t="shared" si="39"/>
        <v/>
      </c>
      <c r="EW31" s="50" t="str">
        <f t="shared" si="39"/>
        <v/>
      </c>
      <c r="EX31" s="50" t="str">
        <f t="shared" si="39"/>
        <v/>
      </c>
      <c r="EY31" s="50" t="str">
        <f t="shared" si="39"/>
        <v/>
      </c>
      <c r="EZ31" s="50" t="str">
        <f t="shared" si="39"/>
        <v/>
      </c>
      <c r="FA31" s="50" t="str">
        <f t="shared" si="39"/>
        <v/>
      </c>
      <c r="FB31" s="50" t="str">
        <f t="shared" si="39"/>
        <v/>
      </c>
      <c r="FC31" s="50" t="str">
        <f t="shared" si="39"/>
        <v/>
      </c>
      <c r="FD31" s="50" t="str">
        <f t="shared" si="39"/>
        <v/>
      </c>
      <c r="FE31" s="50" t="str">
        <f t="shared" si="39"/>
        <v/>
      </c>
      <c r="FF31" s="50" t="str">
        <f t="shared" si="39"/>
        <v/>
      </c>
      <c r="FG31" s="50" t="str">
        <f t="shared" si="39"/>
        <v/>
      </c>
      <c r="FH31" s="50" t="str">
        <f t="shared" si="39"/>
        <v/>
      </c>
      <c r="FI31" s="50" t="str">
        <f t="shared" si="39"/>
        <v/>
      </c>
      <c r="FJ31" s="50" t="str">
        <f t="shared" si="39"/>
        <v/>
      </c>
      <c r="FK31" s="50" t="str">
        <f t="shared" si="39"/>
        <v/>
      </c>
      <c r="FL31" s="50" t="str">
        <f t="shared" si="39"/>
        <v/>
      </c>
      <c r="FM31" s="50" t="str">
        <f t="shared" si="39"/>
        <v/>
      </c>
      <c r="FN31" s="50" t="str">
        <f t="shared" si="39"/>
        <v/>
      </c>
      <c r="FO31" s="50" t="str">
        <f t="shared" si="39"/>
        <v/>
      </c>
      <c r="FP31" s="50" t="str">
        <f t="shared" si="39"/>
        <v/>
      </c>
      <c r="FQ31" s="50" t="str">
        <f t="shared" si="39"/>
        <v/>
      </c>
      <c r="FR31" s="50" t="str">
        <f t="shared" si="39"/>
        <v/>
      </c>
      <c r="FS31" s="50" t="str">
        <f t="shared" si="39"/>
        <v/>
      </c>
      <c r="FT31" s="50" t="str">
        <f t="shared" si="39"/>
        <v/>
      </c>
      <c r="FU31" s="50" t="str">
        <f t="shared" si="39"/>
        <v/>
      </c>
      <c r="FV31" s="50" t="str">
        <f t="shared" si="39"/>
        <v/>
      </c>
      <c r="FW31" s="50" t="str">
        <f t="shared" si="39"/>
        <v/>
      </c>
      <c r="FX31" s="50" t="str">
        <f t="shared" si="39"/>
        <v/>
      </c>
      <c r="FY31" s="50" t="str">
        <f t="shared" si="39"/>
        <v/>
      </c>
      <c r="FZ31" s="50" t="str">
        <f t="shared" si="39"/>
        <v/>
      </c>
      <c r="GA31" s="50" t="str">
        <f t="shared" si="39"/>
        <v/>
      </c>
      <c r="GB31" s="50" t="str">
        <f t="shared" si="39"/>
        <v/>
      </c>
      <c r="GC31" s="50" t="str">
        <f t="shared" si="39"/>
        <v/>
      </c>
      <c r="GD31" s="50" t="str">
        <f t="shared" si="39"/>
        <v/>
      </c>
      <c r="GE31" s="50" t="str">
        <f t="shared" si="39"/>
        <v/>
      </c>
      <c r="GF31" s="50" t="str">
        <f t="shared" si="39"/>
        <v/>
      </c>
      <c r="GG31" s="50" t="str">
        <f t="shared" si="39"/>
        <v/>
      </c>
      <c r="GH31" s="50" t="str">
        <f t="shared" si="34"/>
        <v/>
      </c>
      <c r="GI31" s="50" t="str">
        <f t="shared" si="34"/>
        <v/>
      </c>
      <c r="GJ31" s="50" t="str">
        <f t="shared" si="34"/>
        <v/>
      </c>
      <c r="GK31" s="50" t="str">
        <f t="shared" si="34"/>
        <v/>
      </c>
      <c r="GL31" s="50" t="str">
        <f t="shared" si="35"/>
        <v/>
      </c>
      <c r="GM31" s="50" t="str">
        <f t="shared" si="35"/>
        <v/>
      </c>
      <c r="GN31" s="50" t="str">
        <f t="shared" si="35"/>
        <v/>
      </c>
      <c r="GO31" s="50" t="str">
        <f t="shared" si="35"/>
        <v/>
      </c>
      <c r="GP31" s="50" t="str">
        <f t="shared" si="35"/>
        <v/>
      </c>
      <c r="GQ31" s="50" t="str">
        <f t="shared" si="35"/>
        <v/>
      </c>
      <c r="GR31" s="50" t="str">
        <f t="shared" si="35"/>
        <v/>
      </c>
      <c r="GS31" s="50" t="str">
        <f t="shared" si="35"/>
        <v/>
      </c>
      <c r="GT31" s="50" t="str">
        <f t="shared" si="35"/>
        <v/>
      </c>
      <c r="GU31" s="50" t="str">
        <f t="shared" si="35"/>
        <v/>
      </c>
      <c r="GV31" s="50" t="str">
        <f t="shared" si="35"/>
        <v/>
      </c>
      <c r="GW31" s="50" t="str">
        <f t="shared" si="35"/>
        <v/>
      </c>
      <c r="GX31" s="50" t="str">
        <f t="shared" si="36"/>
        <v/>
      </c>
      <c r="GY31" s="50" t="str">
        <f t="shared" si="36"/>
        <v/>
      </c>
      <c r="GZ31" s="50" t="str">
        <f t="shared" si="36"/>
        <v/>
      </c>
      <c r="HA31" s="50" t="str">
        <f t="shared" si="36"/>
        <v/>
      </c>
      <c r="HB31" s="50" t="str">
        <f t="shared" si="36"/>
        <v/>
      </c>
      <c r="HC31" s="50" t="str">
        <f t="shared" si="36"/>
        <v/>
      </c>
      <c r="HD31" s="50" t="str">
        <f t="shared" si="36"/>
        <v/>
      </c>
      <c r="HE31" s="50" t="str">
        <f t="shared" si="36"/>
        <v/>
      </c>
      <c r="HF31" s="50" t="str">
        <f t="shared" si="36"/>
        <v/>
      </c>
      <c r="HG31" s="50" t="str">
        <f t="shared" si="36"/>
        <v/>
      </c>
      <c r="HH31" s="50" t="str">
        <f t="shared" si="36"/>
        <v/>
      </c>
      <c r="HI31" s="50" t="str">
        <f t="shared" si="36"/>
        <v/>
      </c>
      <c r="HJ31" s="50" t="str">
        <f t="shared" si="36"/>
        <v/>
      </c>
      <c r="HK31" s="50" t="str">
        <f t="shared" si="36"/>
        <v/>
      </c>
      <c r="HL31" s="50" t="str">
        <f t="shared" si="36"/>
        <v/>
      </c>
      <c r="HM31" s="50" t="str">
        <f t="shared" si="37"/>
        <v/>
      </c>
      <c r="HN31" s="50" t="str">
        <f t="shared" si="37"/>
        <v/>
      </c>
      <c r="HO31" s="50" t="str">
        <f t="shared" si="37"/>
        <v/>
      </c>
      <c r="HP31" s="50" t="str">
        <f t="shared" si="37"/>
        <v/>
      </c>
      <c r="HQ31" s="50" t="str">
        <f t="shared" si="37"/>
        <v/>
      </c>
      <c r="HR31" s="112" t="str">
        <f t="shared" si="37"/>
        <v/>
      </c>
    </row>
    <row r="32" spans="1:226" ht="11.1" customHeight="1" x14ac:dyDescent="0.25">
      <c r="A32" s="26"/>
      <c r="B32" s="27"/>
      <c r="C32" s="28" t="str">
        <f>IF(A32=0,"",VLOOKUP(A32,[2]CO!$A$3:$F$5327,2,0))</f>
        <v/>
      </c>
      <c r="D32" s="29"/>
      <c r="E32" s="29"/>
      <c r="F32" s="29"/>
      <c r="G32" s="30" t="str">
        <f>IF(A32=0,"",VLOOKUP(A32,[2]CO!$A$3:$F$5327,3,0))</f>
        <v/>
      </c>
      <c r="H32" s="29"/>
      <c r="I32" s="31"/>
      <c r="J32" s="31"/>
      <c r="K32" s="31"/>
      <c r="L32" s="31"/>
      <c r="M32" s="32" t="str">
        <f t="shared" si="22"/>
        <v/>
      </c>
      <c r="N32" s="32" t="str">
        <f>IF(B32=0,"",IF(H32="M",HLOOKUP(B32,$Y$12:$DT$13,2),IF(A32=0,"",VLOOKUP(A32,[2]CO!$A$3:$F$5327,4,0))))</f>
        <v/>
      </c>
      <c r="O32" s="32" t="str">
        <f t="shared" si="23"/>
        <v/>
      </c>
      <c r="P32" s="33"/>
      <c r="Q32" s="34" t="str">
        <f t="shared" si="24"/>
        <v/>
      </c>
      <c r="R32" s="35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RESIDENTE"),VLOOKUP(B32,P$14:Q$64,2),"")*S32)</f>
        <v/>
      </c>
      <c r="T32" s="53" t="str">
        <f>IF(A32=0,"",VLOOKUP(A32,[2]CO!$A$3:$F$5318,5,0))</f>
        <v/>
      </c>
      <c r="U32" s="54">
        <f t="shared" si="25"/>
        <v>0</v>
      </c>
      <c r="V32" s="24"/>
      <c r="W32" s="25"/>
      <c r="X32" s="25"/>
      <c r="Y32" s="64" t="str">
        <f t="shared" si="38"/>
        <v/>
      </c>
      <c r="Z32" s="55" t="str">
        <f t="shared" si="38"/>
        <v/>
      </c>
      <c r="AA32" s="55" t="str">
        <f t="shared" si="38"/>
        <v/>
      </c>
      <c r="AB32" s="55" t="str">
        <f t="shared" si="38"/>
        <v/>
      </c>
      <c r="AC32" s="55" t="str">
        <f t="shared" si="38"/>
        <v/>
      </c>
      <c r="AD32" s="55" t="str">
        <f t="shared" si="38"/>
        <v/>
      </c>
      <c r="AE32" s="55" t="str">
        <f t="shared" si="38"/>
        <v/>
      </c>
      <c r="AF32" s="55" t="str">
        <f t="shared" si="38"/>
        <v/>
      </c>
      <c r="AG32" s="55" t="str">
        <f t="shared" si="38"/>
        <v/>
      </c>
      <c r="AH32" s="55" t="str">
        <f t="shared" si="38"/>
        <v/>
      </c>
      <c r="AI32" s="55" t="str">
        <f t="shared" si="38"/>
        <v/>
      </c>
      <c r="AJ32" s="55" t="str">
        <f t="shared" si="38"/>
        <v/>
      </c>
      <c r="AK32" s="55" t="str">
        <f t="shared" si="38"/>
        <v/>
      </c>
      <c r="AL32" s="55" t="str">
        <f t="shared" si="38"/>
        <v/>
      </c>
      <c r="AM32" s="55" t="str">
        <f t="shared" si="38"/>
        <v/>
      </c>
      <c r="AN32" s="55" t="str">
        <f t="shared" si="38"/>
        <v/>
      </c>
      <c r="AO32" s="55" t="str">
        <f t="shared" si="38"/>
        <v/>
      </c>
      <c r="AP32" s="55" t="str">
        <f t="shared" si="38"/>
        <v/>
      </c>
      <c r="AQ32" s="55" t="str">
        <f t="shared" si="38"/>
        <v/>
      </c>
      <c r="AR32" s="55" t="str">
        <f t="shared" si="38"/>
        <v/>
      </c>
      <c r="AS32" s="55" t="str">
        <f t="shared" si="38"/>
        <v/>
      </c>
      <c r="AT32" s="55" t="str">
        <f t="shared" si="38"/>
        <v/>
      </c>
      <c r="AU32" s="55" t="str">
        <f t="shared" si="38"/>
        <v/>
      </c>
      <c r="AV32" s="55" t="str">
        <f t="shared" si="38"/>
        <v/>
      </c>
      <c r="AW32" s="55" t="str">
        <f t="shared" si="38"/>
        <v/>
      </c>
      <c r="AX32" s="55" t="str">
        <f t="shared" si="38"/>
        <v/>
      </c>
      <c r="AY32" s="55" t="str">
        <f t="shared" si="38"/>
        <v/>
      </c>
      <c r="AZ32" s="55" t="str">
        <f t="shared" si="38"/>
        <v/>
      </c>
      <c r="BA32" s="55" t="str">
        <f t="shared" si="38"/>
        <v/>
      </c>
      <c r="BB32" s="55" t="str">
        <f t="shared" si="38"/>
        <v/>
      </c>
      <c r="BC32" s="55" t="str">
        <f t="shared" si="38"/>
        <v/>
      </c>
      <c r="BD32" s="55" t="str">
        <f t="shared" si="38"/>
        <v/>
      </c>
      <c r="BE32" s="55" t="str">
        <f t="shared" si="38"/>
        <v/>
      </c>
      <c r="BF32" s="55" t="str">
        <f t="shared" si="38"/>
        <v/>
      </c>
      <c r="BG32" s="55" t="str">
        <f t="shared" si="38"/>
        <v/>
      </c>
      <c r="BH32" s="55" t="str">
        <f t="shared" si="38"/>
        <v/>
      </c>
      <c r="BI32" s="55" t="str">
        <f t="shared" si="38"/>
        <v/>
      </c>
      <c r="BJ32" s="55" t="str">
        <f t="shared" si="38"/>
        <v/>
      </c>
      <c r="BK32" s="55" t="str">
        <f t="shared" si="38"/>
        <v/>
      </c>
      <c r="BL32" s="55" t="str">
        <f t="shared" si="38"/>
        <v/>
      </c>
      <c r="BM32" s="55" t="str">
        <f t="shared" si="38"/>
        <v/>
      </c>
      <c r="BN32" s="55" t="str">
        <f t="shared" si="38"/>
        <v/>
      </c>
      <c r="BO32" s="55" t="str">
        <f t="shared" si="38"/>
        <v/>
      </c>
      <c r="BP32" s="55" t="str">
        <f t="shared" si="38"/>
        <v/>
      </c>
      <c r="BQ32" s="55" t="str">
        <f t="shared" si="38"/>
        <v/>
      </c>
      <c r="BR32" s="55" t="str">
        <f t="shared" si="38"/>
        <v/>
      </c>
      <c r="BS32" s="55" t="str">
        <f t="shared" si="38"/>
        <v/>
      </c>
      <c r="BT32" s="55" t="str">
        <f t="shared" si="38"/>
        <v/>
      </c>
      <c r="BU32" s="55" t="str">
        <f t="shared" si="38"/>
        <v/>
      </c>
      <c r="BV32" s="55" t="str">
        <f t="shared" si="38"/>
        <v/>
      </c>
      <c r="BW32" s="55" t="str">
        <f t="shared" si="38"/>
        <v/>
      </c>
      <c r="BX32" s="55" t="str">
        <f t="shared" si="38"/>
        <v/>
      </c>
      <c r="BY32" s="55" t="str">
        <f t="shared" si="38"/>
        <v/>
      </c>
      <c r="BZ32" s="55" t="str">
        <f t="shared" si="38"/>
        <v/>
      </c>
      <c r="CA32" s="55" t="str">
        <f t="shared" si="38"/>
        <v/>
      </c>
      <c r="CB32" s="55" t="str">
        <f t="shared" si="38"/>
        <v/>
      </c>
      <c r="CC32" s="55" t="str">
        <f t="shared" si="38"/>
        <v/>
      </c>
      <c r="CD32" s="55" t="str">
        <f t="shared" si="38"/>
        <v/>
      </c>
      <c r="CE32" s="55" t="str">
        <f t="shared" si="38"/>
        <v/>
      </c>
      <c r="CF32" s="55" t="str">
        <f t="shared" si="38"/>
        <v/>
      </c>
      <c r="CG32" s="55" t="str">
        <f t="shared" si="38"/>
        <v/>
      </c>
      <c r="CH32" s="55" t="str">
        <f t="shared" si="38"/>
        <v/>
      </c>
      <c r="CI32" s="55" t="str">
        <f t="shared" si="38"/>
        <v/>
      </c>
      <c r="CJ32" s="55" t="str">
        <f t="shared" si="28"/>
        <v/>
      </c>
      <c r="CK32" s="55" t="str">
        <f t="shared" si="28"/>
        <v/>
      </c>
      <c r="CL32" s="55" t="str">
        <f t="shared" si="28"/>
        <v/>
      </c>
      <c r="CM32" s="55" t="str">
        <f t="shared" si="28"/>
        <v/>
      </c>
      <c r="CN32" s="55" t="str">
        <f t="shared" si="28"/>
        <v/>
      </c>
      <c r="CO32" s="55" t="str">
        <f t="shared" si="28"/>
        <v/>
      </c>
      <c r="CP32" s="55" t="str">
        <f t="shared" si="28"/>
        <v/>
      </c>
      <c r="CQ32" s="55" t="str">
        <f t="shared" si="28"/>
        <v/>
      </c>
      <c r="CR32" s="55" t="str">
        <f t="shared" si="28"/>
        <v/>
      </c>
      <c r="CS32" s="55" t="str">
        <f t="shared" si="28"/>
        <v/>
      </c>
      <c r="CT32" s="55" t="str">
        <f t="shared" si="28"/>
        <v/>
      </c>
      <c r="CU32" s="55" t="str">
        <f t="shared" si="28"/>
        <v/>
      </c>
      <c r="CV32" s="55" t="str">
        <f t="shared" si="28"/>
        <v/>
      </c>
      <c r="CW32" s="55" t="str">
        <f t="shared" si="28"/>
        <v/>
      </c>
      <c r="CX32" s="55" t="str">
        <f t="shared" si="28"/>
        <v/>
      </c>
      <c r="CY32" s="55" t="str">
        <f t="shared" si="28"/>
        <v/>
      </c>
      <c r="CZ32" s="55" t="str">
        <f t="shared" si="30"/>
        <v/>
      </c>
      <c r="DA32" s="55" t="str">
        <f t="shared" si="30"/>
        <v/>
      </c>
      <c r="DB32" s="55" t="str">
        <f t="shared" si="30"/>
        <v/>
      </c>
      <c r="DC32" s="55" t="str">
        <f t="shared" si="30"/>
        <v/>
      </c>
      <c r="DD32" s="55" t="str">
        <f t="shared" si="30"/>
        <v/>
      </c>
      <c r="DE32" s="55" t="str">
        <f t="shared" si="30"/>
        <v/>
      </c>
      <c r="DF32" s="55" t="str">
        <f t="shared" si="30"/>
        <v/>
      </c>
      <c r="DG32" s="55" t="str">
        <f t="shared" si="30"/>
        <v/>
      </c>
      <c r="DH32" s="55" t="str">
        <f t="shared" si="30"/>
        <v/>
      </c>
      <c r="DI32" s="55" t="str">
        <f t="shared" si="30"/>
        <v/>
      </c>
      <c r="DJ32" s="55" t="str">
        <f t="shared" si="30"/>
        <v/>
      </c>
      <c r="DK32" s="55" t="str">
        <f t="shared" si="30"/>
        <v/>
      </c>
      <c r="DL32" s="55" t="str">
        <f t="shared" si="30"/>
        <v/>
      </c>
      <c r="DM32" s="55" t="str">
        <f t="shared" si="30"/>
        <v/>
      </c>
      <c r="DN32" s="55" t="str">
        <f t="shared" si="30"/>
        <v/>
      </c>
      <c r="DO32" s="55" t="str">
        <f t="shared" si="31"/>
        <v/>
      </c>
      <c r="DP32" s="55" t="str">
        <f t="shared" si="31"/>
        <v/>
      </c>
      <c r="DQ32" s="55" t="str">
        <f t="shared" si="31"/>
        <v/>
      </c>
      <c r="DR32" s="55" t="str">
        <f t="shared" si="31"/>
        <v/>
      </c>
      <c r="DS32" s="55" t="str">
        <f t="shared" si="31"/>
        <v/>
      </c>
      <c r="DT32" s="106" t="str">
        <f t="shared" si="31"/>
        <v/>
      </c>
      <c r="DU32" s="54"/>
      <c r="DV32" s="25"/>
      <c r="DW32" s="61" t="str">
        <f t="shared" si="39"/>
        <v/>
      </c>
      <c r="DX32" s="50" t="str">
        <f t="shared" si="39"/>
        <v/>
      </c>
      <c r="DY32" s="50" t="str">
        <f t="shared" si="39"/>
        <v/>
      </c>
      <c r="DZ32" s="50" t="str">
        <f t="shared" si="39"/>
        <v/>
      </c>
      <c r="EA32" s="50" t="str">
        <f t="shared" si="39"/>
        <v/>
      </c>
      <c r="EB32" s="50" t="str">
        <f t="shared" si="39"/>
        <v/>
      </c>
      <c r="EC32" s="50" t="str">
        <f t="shared" si="39"/>
        <v/>
      </c>
      <c r="ED32" s="50" t="str">
        <f t="shared" si="39"/>
        <v/>
      </c>
      <c r="EE32" s="50" t="str">
        <f t="shared" si="39"/>
        <v/>
      </c>
      <c r="EF32" s="50" t="str">
        <f t="shared" si="39"/>
        <v/>
      </c>
      <c r="EG32" s="50" t="str">
        <f t="shared" si="39"/>
        <v/>
      </c>
      <c r="EH32" s="50" t="str">
        <f t="shared" si="39"/>
        <v/>
      </c>
      <c r="EI32" s="50" t="str">
        <f t="shared" si="39"/>
        <v/>
      </c>
      <c r="EJ32" s="50" t="str">
        <f t="shared" si="39"/>
        <v/>
      </c>
      <c r="EK32" s="50" t="str">
        <f t="shared" si="39"/>
        <v/>
      </c>
      <c r="EL32" s="50" t="str">
        <f t="shared" si="39"/>
        <v/>
      </c>
      <c r="EM32" s="50" t="str">
        <f t="shared" si="39"/>
        <v/>
      </c>
      <c r="EN32" s="50" t="str">
        <f t="shared" si="39"/>
        <v/>
      </c>
      <c r="EO32" s="50" t="str">
        <f t="shared" si="39"/>
        <v/>
      </c>
      <c r="EP32" s="50" t="str">
        <f t="shared" si="39"/>
        <v/>
      </c>
      <c r="EQ32" s="50" t="str">
        <f t="shared" si="39"/>
        <v/>
      </c>
      <c r="ER32" s="50" t="str">
        <f t="shared" si="39"/>
        <v/>
      </c>
      <c r="ES32" s="50" t="str">
        <f t="shared" si="39"/>
        <v/>
      </c>
      <c r="ET32" s="50" t="str">
        <f t="shared" si="39"/>
        <v/>
      </c>
      <c r="EU32" s="50" t="str">
        <f t="shared" si="39"/>
        <v/>
      </c>
      <c r="EV32" s="50" t="str">
        <f t="shared" si="39"/>
        <v/>
      </c>
      <c r="EW32" s="50" t="str">
        <f t="shared" si="39"/>
        <v/>
      </c>
      <c r="EX32" s="50" t="str">
        <f t="shared" si="39"/>
        <v/>
      </c>
      <c r="EY32" s="50" t="str">
        <f t="shared" si="39"/>
        <v/>
      </c>
      <c r="EZ32" s="50" t="str">
        <f t="shared" si="39"/>
        <v/>
      </c>
      <c r="FA32" s="50" t="str">
        <f t="shared" si="39"/>
        <v/>
      </c>
      <c r="FB32" s="50" t="str">
        <f t="shared" si="39"/>
        <v/>
      </c>
      <c r="FC32" s="50" t="str">
        <f t="shared" si="39"/>
        <v/>
      </c>
      <c r="FD32" s="50" t="str">
        <f t="shared" si="39"/>
        <v/>
      </c>
      <c r="FE32" s="50" t="str">
        <f t="shared" si="39"/>
        <v/>
      </c>
      <c r="FF32" s="50" t="str">
        <f t="shared" si="39"/>
        <v/>
      </c>
      <c r="FG32" s="50" t="str">
        <f t="shared" si="39"/>
        <v/>
      </c>
      <c r="FH32" s="50" t="str">
        <f t="shared" si="39"/>
        <v/>
      </c>
      <c r="FI32" s="50" t="str">
        <f t="shared" si="39"/>
        <v/>
      </c>
      <c r="FJ32" s="50" t="str">
        <f t="shared" si="39"/>
        <v/>
      </c>
      <c r="FK32" s="50" t="str">
        <f t="shared" si="39"/>
        <v/>
      </c>
      <c r="FL32" s="50" t="str">
        <f t="shared" si="39"/>
        <v/>
      </c>
      <c r="FM32" s="50" t="str">
        <f t="shared" si="39"/>
        <v/>
      </c>
      <c r="FN32" s="50" t="str">
        <f t="shared" si="39"/>
        <v/>
      </c>
      <c r="FO32" s="50" t="str">
        <f t="shared" si="39"/>
        <v/>
      </c>
      <c r="FP32" s="50" t="str">
        <f t="shared" si="39"/>
        <v/>
      </c>
      <c r="FQ32" s="50" t="str">
        <f t="shared" si="39"/>
        <v/>
      </c>
      <c r="FR32" s="50" t="str">
        <f t="shared" si="39"/>
        <v/>
      </c>
      <c r="FS32" s="50" t="str">
        <f t="shared" si="39"/>
        <v/>
      </c>
      <c r="FT32" s="50" t="str">
        <f t="shared" si="39"/>
        <v/>
      </c>
      <c r="FU32" s="50" t="str">
        <f t="shared" si="39"/>
        <v/>
      </c>
      <c r="FV32" s="50" t="str">
        <f t="shared" si="39"/>
        <v/>
      </c>
      <c r="FW32" s="50" t="str">
        <f t="shared" si="39"/>
        <v/>
      </c>
      <c r="FX32" s="50" t="str">
        <f t="shared" si="39"/>
        <v/>
      </c>
      <c r="FY32" s="50" t="str">
        <f t="shared" si="39"/>
        <v/>
      </c>
      <c r="FZ32" s="50" t="str">
        <f t="shared" si="39"/>
        <v/>
      </c>
      <c r="GA32" s="50" t="str">
        <f t="shared" si="39"/>
        <v/>
      </c>
      <c r="GB32" s="50" t="str">
        <f t="shared" si="39"/>
        <v/>
      </c>
      <c r="GC32" s="50" t="str">
        <f t="shared" si="39"/>
        <v/>
      </c>
      <c r="GD32" s="50" t="str">
        <f t="shared" si="39"/>
        <v/>
      </c>
      <c r="GE32" s="50" t="str">
        <f t="shared" si="39"/>
        <v/>
      </c>
      <c r="GF32" s="50" t="str">
        <f t="shared" si="39"/>
        <v/>
      </c>
      <c r="GG32" s="50" t="str">
        <f t="shared" si="39"/>
        <v/>
      </c>
      <c r="GH32" s="50" t="str">
        <f t="shared" si="34"/>
        <v/>
      </c>
      <c r="GI32" s="50" t="str">
        <f t="shared" si="34"/>
        <v/>
      </c>
      <c r="GJ32" s="50" t="str">
        <f t="shared" si="34"/>
        <v/>
      </c>
      <c r="GK32" s="50" t="str">
        <f t="shared" si="34"/>
        <v/>
      </c>
      <c r="GL32" s="50" t="str">
        <f t="shared" si="34"/>
        <v/>
      </c>
      <c r="GM32" s="50" t="str">
        <f t="shared" si="34"/>
        <v/>
      </c>
      <c r="GN32" s="50" t="str">
        <f t="shared" si="34"/>
        <v/>
      </c>
      <c r="GO32" s="50" t="str">
        <f t="shared" si="34"/>
        <v/>
      </c>
      <c r="GP32" s="50" t="str">
        <f t="shared" si="34"/>
        <v/>
      </c>
      <c r="GQ32" s="50" t="str">
        <f t="shared" si="34"/>
        <v/>
      </c>
      <c r="GR32" s="50" t="str">
        <f t="shared" si="34"/>
        <v/>
      </c>
      <c r="GS32" s="50" t="str">
        <f t="shared" si="34"/>
        <v/>
      </c>
      <c r="GT32" s="50" t="str">
        <f t="shared" si="34"/>
        <v/>
      </c>
      <c r="GU32" s="50" t="str">
        <f t="shared" si="34"/>
        <v/>
      </c>
      <c r="GV32" s="50" t="str">
        <f t="shared" si="34"/>
        <v/>
      </c>
      <c r="GW32" s="50" t="str">
        <f t="shared" si="34"/>
        <v/>
      </c>
      <c r="GX32" s="50" t="str">
        <f t="shared" si="36"/>
        <v/>
      </c>
      <c r="GY32" s="50" t="str">
        <f t="shared" si="36"/>
        <v/>
      </c>
      <c r="GZ32" s="50" t="str">
        <f t="shared" si="36"/>
        <v/>
      </c>
      <c r="HA32" s="50" t="str">
        <f t="shared" si="36"/>
        <v/>
      </c>
      <c r="HB32" s="50" t="str">
        <f t="shared" si="36"/>
        <v/>
      </c>
      <c r="HC32" s="50" t="str">
        <f t="shared" si="36"/>
        <v/>
      </c>
      <c r="HD32" s="50" t="str">
        <f t="shared" si="36"/>
        <v/>
      </c>
      <c r="HE32" s="50" t="str">
        <f t="shared" si="36"/>
        <v/>
      </c>
      <c r="HF32" s="50" t="str">
        <f t="shared" si="36"/>
        <v/>
      </c>
      <c r="HG32" s="50" t="str">
        <f t="shared" si="36"/>
        <v/>
      </c>
      <c r="HH32" s="50" t="str">
        <f t="shared" si="36"/>
        <v/>
      </c>
      <c r="HI32" s="50" t="str">
        <f t="shared" si="36"/>
        <v/>
      </c>
      <c r="HJ32" s="50" t="str">
        <f t="shared" si="36"/>
        <v/>
      </c>
      <c r="HK32" s="50" t="str">
        <f t="shared" si="36"/>
        <v/>
      </c>
      <c r="HL32" s="50" t="str">
        <f t="shared" si="36"/>
        <v/>
      </c>
      <c r="HM32" s="50" t="str">
        <f t="shared" si="37"/>
        <v/>
      </c>
      <c r="HN32" s="50" t="str">
        <f t="shared" si="37"/>
        <v/>
      </c>
      <c r="HO32" s="50" t="str">
        <f t="shared" si="37"/>
        <v/>
      </c>
      <c r="HP32" s="50" t="str">
        <f t="shared" si="37"/>
        <v/>
      </c>
      <c r="HQ32" s="50" t="str">
        <f t="shared" si="37"/>
        <v/>
      </c>
      <c r="HR32" s="112" t="str">
        <f t="shared" si="37"/>
        <v/>
      </c>
    </row>
    <row r="33" spans="1:226" ht="11.1" customHeight="1" x14ac:dyDescent="0.25">
      <c r="A33" s="26"/>
      <c r="B33" s="27"/>
      <c r="C33" s="28" t="str">
        <f>IF(A33=0,"",VLOOKUP(A33,[2]CO!$A$3:$F$5327,2,0))</f>
        <v/>
      </c>
      <c r="D33" s="29"/>
      <c r="E33" s="29"/>
      <c r="F33" s="29"/>
      <c r="G33" s="30" t="str">
        <f>IF(A33=0,"",VLOOKUP(A33,[2]CO!$A$3:$F$5327,3,0))</f>
        <v/>
      </c>
      <c r="H33" s="29"/>
      <c r="I33" s="31"/>
      <c r="J33" s="31"/>
      <c r="K33" s="31"/>
      <c r="L33" s="31"/>
      <c r="M33" s="32" t="str">
        <f t="shared" si="0"/>
        <v/>
      </c>
      <c r="N33" s="32" t="str">
        <f>IF(B33=0,"",IF(H33="M",HLOOKUP(B33,$Y$12:$DT$13,2),IF(A33=0,"",VLOOKUP(A33,[2]CO!$A$3:$F$5327,4,0))))</f>
        <v/>
      </c>
      <c r="O33" s="32" t="str">
        <f t="shared" si="7"/>
        <v/>
      </c>
      <c r="P33" s="33"/>
      <c r="Q33" s="34" t="str">
        <f t="shared" si="1"/>
        <v/>
      </c>
      <c r="R33" s="35" t="str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RESIDENTE"),VLOOKUP(B33,P$14:Q$64,2),"")*S33)</f>
        <v/>
      </c>
      <c r="T33" s="53" t="str">
        <f>IF(A33=0,"",VLOOKUP(A33,[2]CO!$A$3:$F$5318,5,0))</f>
        <v/>
      </c>
      <c r="U33" s="54">
        <f t="shared" si="2"/>
        <v>0</v>
      </c>
      <c r="V33" s="24"/>
      <c r="W33" s="25"/>
      <c r="X33" s="25"/>
      <c r="Y33" s="64" t="str">
        <f t="shared" ref="Y33:CI34" si="40">IF($B33=Y$12,$U33,"")</f>
        <v/>
      </c>
      <c r="Z33" s="55" t="str">
        <f t="shared" si="40"/>
        <v/>
      </c>
      <c r="AA33" s="55" t="str">
        <f t="shared" si="40"/>
        <v/>
      </c>
      <c r="AB33" s="55" t="str">
        <f t="shared" si="40"/>
        <v/>
      </c>
      <c r="AC33" s="55" t="str">
        <f t="shared" si="40"/>
        <v/>
      </c>
      <c r="AD33" s="55" t="str">
        <f t="shared" si="40"/>
        <v/>
      </c>
      <c r="AE33" s="55" t="str">
        <f t="shared" si="40"/>
        <v/>
      </c>
      <c r="AF33" s="55" t="str">
        <f t="shared" si="40"/>
        <v/>
      </c>
      <c r="AG33" s="55" t="str">
        <f t="shared" si="40"/>
        <v/>
      </c>
      <c r="AH33" s="55" t="str">
        <f t="shared" si="40"/>
        <v/>
      </c>
      <c r="AI33" s="55" t="str">
        <f t="shared" si="40"/>
        <v/>
      </c>
      <c r="AJ33" s="55" t="str">
        <f t="shared" si="40"/>
        <v/>
      </c>
      <c r="AK33" s="55" t="str">
        <f t="shared" si="40"/>
        <v/>
      </c>
      <c r="AL33" s="55" t="str">
        <f t="shared" si="40"/>
        <v/>
      </c>
      <c r="AM33" s="55" t="str">
        <f t="shared" si="40"/>
        <v/>
      </c>
      <c r="AN33" s="55" t="str">
        <f t="shared" si="40"/>
        <v/>
      </c>
      <c r="AO33" s="55" t="str">
        <f t="shared" si="40"/>
        <v/>
      </c>
      <c r="AP33" s="55" t="str">
        <f t="shared" si="40"/>
        <v/>
      </c>
      <c r="AQ33" s="55" t="str">
        <f t="shared" si="40"/>
        <v/>
      </c>
      <c r="AR33" s="55" t="str">
        <f t="shared" si="40"/>
        <v/>
      </c>
      <c r="AS33" s="55" t="str">
        <f t="shared" si="40"/>
        <v/>
      </c>
      <c r="AT33" s="55" t="str">
        <f t="shared" si="40"/>
        <v/>
      </c>
      <c r="AU33" s="55" t="str">
        <f t="shared" si="40"/>
        <v/>
      </c>
      <c r="AV33" s="55" t="str">
        <f t="shared" si="40"/>
        <v/>
      </c>
      <c r="AW33" s="55" t="str">
        <f t="shared" si="40"/>
        <v/>
      </c>
      <c r="AX33" s="55" t="str">
        <f t="shared" si="40"/>
        <v/>
      </c>
      <c r="AY33" s="55" t="str">
        <f t="shared" si="40"/>
        <v/>
      </c>
      <c r="AZ33" s="55" t="str">
        <f t="shared" si="40"/>
        <v/>
      </c>
      <c r="BA33" s="55" t="str">
        <f t="shared" si="40"/>
        <v/>
      </c>
      <c r="BB33" s="55" t="str">
        <f t="shared" si="40"/>
        <v/>
      </c>
      <c r="BC33" s="55" t="str">
        <f t="shared" si="40"/>
        <v/>
      </c>
      <c r="BD33" s="55" t="str">
        <f t="shared" si="40"/>
        <v/>
      </c>
      <c r="BE33" s="55" t="str">
        <f t="shared" si="40"/>
        <v/>
      </c>
      <c r="BF33" s="55" t="str">
        <f t="shared" si="40"/>
        <v/>
      </c>
      <c r="BG33" s="55" t="str">
        <f t="shared" si="40"/>
        <v/>
      </c>
      <c r="BH33" s="55" t="str">
        <f t="shared" si="40"/>
        <v/>
      </c>
      <c r="BI33" s="55" t="str">
        <f t="shared" si="40"/>
        <v/>
      </c>
      <c r="BJ33" s="55" t="str">
        <f t="shared" si="40"/>
        <v/>
      </c>
      <c r="BK33" s="55" t="str">
        <f t="shared" si="40"/>
        <v/>
      </c>
      <c r="BL33" s="55" t="str">
        <f t="shared" si="40"/>
        <v/>
      </c>
      <c r="BM33" s="55" t="str">
        <f t="shared" si="40"/>
        <v/>
      </c>
      <c r="BN33" s="55" t="str">
        <f t="shared" si="40"/>
        <v/>
      </c>
      <c r="BO33" s="55" t="str">
        <f t="shared" si="40"/>
        <v/>
      </c>
      <c r="BP33" s="55" t="str">
        <f t="shared" si="40"/>
        <v/>
      </c>
      <c r="BQ33" s="55" t="str">
        <f t="shared" si="40"/>
        <v/>
      </c>
      <c r="BR33" s="55" t="str">
        <f t="shared" si="40"/>
        <v/>
      </c>
      <c r="BS33" s="55" t="str">
        <f t="shared" si="40"/>
        <v/>
      </c>
      <c r="BT33" s="55" t="str">
        <f t="shared" si="40"/>
        <v/>
      </c>
      <c r="BU33" s="55" t="str">
        <f t="shared" si="40"/>
        <v/>
      </c>
      <c r="BV33" s="55" t="str">
        <f t="shared" si="40"/>
        <v/>
      </c>
      <c r="BW33" s="55" t="str">
        <f t="shared" si="40"/>
        <v/>
      </c>
      <c r="BX33" s="55" t="str">
        <f t="shared" si="40"/>
        <v/>
      </c>
      <c r="BY33" s="55" t="str">
        <f t="shared" si="40"/>
        <v/>
      </c>
      <c r="BZ33" s="55" t="str">
        <f t="shared" si="40"/>
        <v/>
      </c>
      <c r="CA33" s="55" t="str">
        <f t="shared" si="40"/>
        <v/>
      </c>
      <c r="CB33" s="55" t="str">
        <f t="shared" si="40"/>
        <v/>
      </c>
      <c r="CC33" s="55" t="str">
        <f t="shared" si="40"/>
        <v/>
      </c>
      <c r="CD33" s="55" t="str">
        <f t="shared" si="40"/>
        <v/>
      </c>
      <c r="CE33" s="55" t="str">
        <f t="shared" si="40"/>
        <v/>
      </c>
      <c r="CF33" s="55" t="str">
        <f t="shared" si="40"/>
        <v/>
      </c>
      <c r="CG33" s="55" t="str">
        <f t="shared" si="40"/>
        <v/>
      </c>
      <c r="CH33" s="55" t="str">
        <f t="shared" si="40"/>
        <v/>
      </c>
      <c r="CI33" s="55" t="str">
        <f t="shared" si="40"/>
        <v/>
      </c>
      <c r="CJ33" s="55" t="str">
        <f t="shared" ref="CJ33:CY34" si="41">IF($B33=CJ$12,$U33,"")</f>
        <v/>
      </c>
      <c r="CK33" s="55" t="str">
        <f t="shared" si="41"/>
        <v/>
      </c>
      <c r="CL33" s="55" t="str">
        <f t="shared" si="41"/>
        <v/>
      </c>
      <c r="CM33" s="55" t="str">
        <f t="shared" si="41"/>
        <v/>
      </c>
      <c r="CN33" s="55" t="str">
        <f t="shared" si="41"/>
        <v/>
      </c>
      <c r="CO33" s="55" t="str">
        <f t="shared" si="41"/>
        <v/>
      </c>
      <c r="CP33" s="55" t="str">
        <f t="shared" si="41"/>
        <v/>
      </c>
      <c r="CQ33" s="55" t="str">
        <f t="shared" si="41"/>
        <v/>
      </c>
      <c r="CR33" s="55" t="str">
        <f t="shared" si="41"/>
        <v/>
      </c>
      <c r="CS33" s="55" t="str">
        <f t="shared" si="41"/>
        <v/>
      </c>
      <c r="CT33" s="55" t="str">
        <f t="shared" si="41"/>
        <v/>
      </c>
      <c r="CU33" s="55" t="str">
        <f t="shared" si="41"/>
        <v/>
      </c>
      <c r="CV33" s="55" t="str">
        <f t="shared" si="41"/>
        <v/>
      </c>
      <c r="CW33" s="55" t="str">
        <f t="shared" si="41"/>
        <v/>
      </c>
      <c r="CX33" s="55" t="str">
        <f t="shared" si="41"/>
        <v/>
      </c>
      <c r="CY33" s="55" t="str">
        <f t="shared" si="41"/>
        <v/>
      </c>
      <c r="CZ33" s="55" t="str">
        <f t="shared" ref="CZ33:DO34" si="42">IF($B33=CZ$12,$U33,"")</f>
        <v/>
      </c>
      <c r="DA33" s="55" t="str">
        <f t="shared" si="42"/>
        <v/>
      </c>
      <c r="DB33" s="55" t="str">
        <f t="shared" si="42"/>
        <v/>
      </c>
      <c r="DC33" s="55" t="str">
        <f t="shared" si="42"/>
        <v/>
      </c>
      <c r="DD33" s="55" t="str">
        <f t="shared" si="42"/>
        <v/>
      </c>
      <c r="DE33" s="55" t="str">
        <f t="shared" si="42"/>
        <v/>
      </c>
      <c r="DF33" s="55" t="str">
        <f t="shared" si="42"/>
        <v/>
      </c>
      <c r="DG33" s="55" t="str">
        <f t="shared" si="42"/>
        <v/>
      </c>
      <c r="DH33" s="55" t="str">
        <f t="shared" si="42"/>
        <v/>
      </c>
      <c r="DI33" s="55" t="str">
        <f t="shared" si="42"/>
        <v/>
      </c>
      <c r="DJ33" s="55" t="str">
        <f t="shared" si="42"/>
        <v/>
      </c>
      <c r="DK33" s="55" t="str">
        <f t="shared" si="42"/>
        <v/>
      </c>
      <c r="DL33" s="55" t="str">
        <f t="shared" si="42"/>
        <v/>
      </c>
      <c r="DM33" s="55" t="str">
        <f t="shared" si="42"/>
        <v/>
      </c>
      <c r="DN33" s="55" t="str">
        <f t="shared" si="42"/>
        <v/>
      </c>
      <c r="DO33" s="55" t="str">
        <f t="shared" ref="DO33:DT34" si="43">IF($B33=DO$12,$U33,"")</f>
        <v/>
      </c>
      <c r="DP33" s="55" t="str">
        <f t="shared" si="43"/>
        <v/>
      </c>
      <c r="DQ33" s="55" t="str">
        <f t="shared" si="43"/>
        <v/>
      </c>
      <c r="DR33" s="55" t="str">
        <f t="shared" si="43"/>
        <v/>
      </c>
      <c r="DS33" s="55" t="str">
        <f t="shared" si="43"/>
        <v/>
      </c>
      <c r="DT33" s="106" t="str">
        <f t="shared" si="43"/>
        <v/>
      </c>
      <c r="DU33" s="54"/>
      <c r="DV33" s="25"/>
      <c r="DW33" s="61" t="str">
        <f t="shared" ref="DW33:GG34" si="44">IF($B33=DW$12,$O33,"")</f>
        <v/>
      </c>
      <c r="DX33" s="50" t="str">
        <f t="shared" si="44"/>
        <v/>
      </c>
      <c r="DY33" s="50" t="str">
        <f t="shared" si="44"/>
        <v/>
      </c>
      <c r="DZ33" s="50" t="str">
        <f t="shared" si="44"/>
        <v/>
      </c>
      <c r="EA33" s="50" t="str">
        <f t="shared" si="44"/>
        <v/>
      </c>
      <c r="EB33" s="50" t="str">
        <f t="shared" si="44"/>
        <v/>
      </c>
      <c r="EC33" s="50" t="str">
        <f t="shared" si="44"/>
        <v/>
      </c>
      <c r="ED33" s="50" t="str">
        <f t="shared" si="44"/>
        <v/>
      </c>
      <c r="EE33" s="50" t="str">
        <f t="shared" si="44"/>
        <v/>
      </c>
      <c r="EF33" s="50" t="str">
        <f t="shared" si="44"/>
        <v/>
      </c>
      <c r="EG33" s="50" t="str">
        <f t="shared" si="44"/>
        <v/>
      </c>
      <c r="EH33" s="50" t="str">
        <f t="shared" si="44"/>
        <v/>
      </c>
      <c r="EI33" s="50" t="str">
        <f t="shared" si="44"/>
        <v/>
      </c>
      <c r="EJ33" s="50" t="str">
        <f t="shared" si="44"/>
        <v/>
      </c>
      <c r="EK33" s="50" t="str">
        <f t="shared" si="44"/>
        <v/>
      </c>
      <c r="EL33" s="50" t="str">
        <f t="shared" si="44"/>
        <v/>
      </c>
      <c r="EM33" s="50" t="str">
        <f t="shared" si="44"/>
        <v/>
      </c>
      <c r="EN33" s="50" t="str">
        <f t="shared" si="44"/>
        <v/>
      </c>
      <c r="EO33" s="50" t="str">
        <f t="shared" si="44"/>
        <v/>
      </c>
      <c r="EP33" s="50" t="str">
        <f t="shared" si="44"/>
        <v/>
      </c>
      <c r="EQ33" s="50" t="str">
        <f t="shared" si="44"/>
        <v/>
      </c>
      <c r="ER33" s="50" t="str">
        <f t="shared" si="44"/>
        <v/>
      </c>
      <c r="ES33" s="50" t="str">
        <f t="shared" si="44"/>
        <v/>
      </c>
      <c r="ET33" s="50" t="str">
        <f t="shared" si="44"/>
        <v/>
      </c>
      <c r="EU33" s="50" t="str">
        <f t="shared" si="44"/>
        <v/>
      </c>
      <c r="EV33" s="50" t="str">
        <f t="shared" si="44"/>
        <v/>
      </c>
      <c r="EW33" s="50" t="str">
        <f t="shared" si="44"/>
        <v/>
      </c>
      <c r="EX33" s="50" t="str">
        <f t="shared" si="44"/>
        <v/>
      </c>
      <c r="EY33" s="50" t="str">
        <f t="shared" si="44"/>
        <v/>
      </c>
      <c r="EZ33" s="50" t="str">
        <f t="shared" si="44"/>
        <v/>
      </c>
      <c r="FA33" s="50" t="str">
        <f t="shared" si="44"/>
        <v/>
      </c>
      <c r="FB33" s="50" t="str">
        <f t="shared" si="44"/>
        <v/>
      </c>
      <c r="FC33" s="50" t="str">
        <f t="shared" si="44"/>
        <v/>
      </c>
      <c r="FD33" s="50" t="str">
        <f t="shared" si="44"/>
        <v/>
      </c>
      <c r="FE33" s="50" t="str">
        <f t="shared" si="44"/>
        <v/>
      </c>
      <c r="FF33" s="50" t="str">
        <f t="shared" si="44"/>
        <v/>
      </c>
      <c r="FG33" s="50" t="str">
        <f t="shared" si="44"/>
        <v/>
      </c>
      <c r="FH33" s="50" t="str">
        <f t="shared" si="44"/>
        <v/>
      </c>
      <c r="FI33" s="50" t="str">
        <f t="shared" si="44"/>
        <v/>
      </c>
      <c r="FJ33" s="50" t="str">
        <f t="shared" si="44"/>
        <v/>
      </c>
      <c r="FK33" s="50" t="str">
        <f t="shared" si="44"/>
        <v/>
      </c>
      <c r="FL33" s="50" t="str">
        <f t="shared" si="44"/>
        <v/>
      </c>
      <c r="FM33" s="50" t="str">
        <f t="shared" si="44"/>
        <v/>
      </c>
      <c r="FN33" s="50" t="str">
        <f t="shared" si="44"/>
        <v/>
      </c>
      <c r="FO33" s="50" t="str">
        <f t="shared" si="44"/>
        <v/>
      </c>
      <c r="FP33" s="50" t="str">
        <f t="shared" si="44"/>
        <v/>
      </c>
      <c r="FQ33" s="50" t="str">
        <f t="shared" si="44"/>
        <v/>
      </c>
      <c r="FR33" s="50" t="str">
        <f t="shared" si="44"/>
        <v/>
      </c>
      <c r="FS33" s="50" t="str">
        <f t="shared" si="44"/>
        <v/>
      </c>
      <c r="FT33" s="50" t="str">
        <f t="shared" si="44"/>
        <v/>
      </c>
      <c r="FU33" s="50" t="str">
        <f t="shared" si="44"/>
        <v/>
      </c>
      <c r="FV33" s="50" t="str">
        <f t="shared" si="44"/>
        <v/>
      </c>
      <c r="FW33" s="50" t="str">
        <f t="shared" si="44"/>
        <v/>
      </c>
      <c r="FX33" s="50" t="str">
        <f t="shared" si="44"/>
        <v/>
      </c>
      <c r="FY33" s="50" t="str">
        <f t="shared" si="44"/>
        <v/>
      </c>
      <c r="FZ33" s="50" t="str">
        <f t="shared" si="44"/>
        <v/>
      </c>
      <c r="GA33" s="50" t="str">
        <f t="shared" si="44"/>
        <v/>
      </c>
      <c r="GB33" s="50" t="str">
        <f t="shared" si="44"/>
        <v/>
      </c>
      <c r="GC33" s="50" t="str">
        <f t="shared" si="44"/>
        <v/>
      </c>
      <c r="GD33" s="50" t="str">
        <f t="shared" si="44"/>
        <v/>
      </c>
      <c r="GE33" s="50" t="str">
        <f t="shared" si="44"/>
        <v/>
      </c>
      <c r="GF33" s="50" t="str">
        <f t="shared" si="44"/>
        <v/>
      </c>
      <c r="GG33" s="50" t="str">
        <f t="shared" si="44"/>
        <v/>
      </c>
      <c r="GH33" s="50" t="str">
        <f t="shared" ref="GH33:GW34" si="45">IF($B33=GH$12,$O33,"")</f>
        <v/>
      </c>
      <c r="GI33" s="50" t="str">
        <f t="shared" si="45"/>
        <v/>
      </c>
      <c r="GJ33" s="50" t="str">
        <f t="shared" si="45"/>
        <v/>
      </c>
      <c r="GK33" s="50" t="str">
        <f t="shared" si="45"/>
        <v/>
      </c>
      <c r="GL33" s="50" t="str">
        <f t="shared" si="45"/>
        <v/>
      </c>
      <c r="GM33" s="50" t="str">
        <f t="shared" si="45"/>
        <v/>
      </c>
      <c r="GN33" s="50" t="str">
        <f t="shared" si="45"/>
        <v/>
      </c>
      <c r="GO33" s="50" t="str">
        <f t="shared" si="45"/>
        <v/>
      </c>
      <c r="GP33" s="50" t="str">
        <f t="shared" si="45"/>
        <v/>
      </c>
      <c r="GQ33" s="50" t="str">
        <f t="shared" si="45"/>
        <v/>
      </c>
      <c r="GR33" s="50" t="str">
        <f t="shared" si="45"/>
        <v/>
      </c>
      <c r="GS33" s="50" t="str">
        <f t="shared" si="45"/>
        <v/>
      </c>
      <c r="GT33" s="50" t="str">
        <f t="shared" si="45"/>
        <v/>
      </c>
      <c r="GU33" s="50" t="str">
        <f t="shared" si="45"/>
        <v/>
      </c>
      <c r="GV33" s="50" t="str">
        <f t="shared" si="45"/>
        <v/>
      </c>
      <c r="GW33" s="50" t="str">
        <f t="shared" si="45"/>
        <v/>
      </c>
      <c r="GX33" s="50" t="str">
        <f t="shared" ref="GX33:HM34" si="46">IF($B33=GX$12,$O33,"")</f>
        <v/>
      </c>
      <c r="GY33" s="50" t="str">
        <f t="shared" si="46"/>
        <v/>
      </c>
      <c r="GZ33" s="50" t="str">
        <f t="shared" si="46"/>
        <v/>
      </c>
      <c r="HA33" s="50" t="str">
        <f t="shared" si="46"/>
        <v/>
      </c>
      <c r="HB33" s="50" t="str">
        <f t="shared" si="46"/>
        <v/>
      </c>
      <c r="HC33" s="50" t="str">
        <f t="shared" si="46"/>
        <v/>
      </c>
      <c r="HD33" s="50" t="str">
        <f t="shared" si="46"/>
        <v/>
      </c>
      <c r="HE33" s="50" t="str">
        <f t="shared" si="46"/>
        <v/>
      </c>
      <c r="HF33" s="50" t="str">
        <f t="shared" si="46"/>
        <v/>
      </c>
      <c r="HG33" s="50" t="str">
        <f t="shared" si="46"/>
        <v/>
      </c>
      <c r="HH33" s="50" t="str">
        <f t="shared" si="46"/>
        <v/>
      </c>
      <c r="HI33" s="50" t="str">
        <f t="shared" si="46"/>
        <v/>
      </c>
      <c r="HJ33" s="50" t="str">
        <f t="shared" si="46"/>
        <v/>
      </c>
      <c r="HK33" s="50" t="str">
        <f t="shared" si="46"/>
        <v/>
      </c>
      <c r="HL33" s="50" t="str">
        <f t="shared" si="46"/>
        <v/>
      </c>
      <c r="HM33" s="50" t="str">
        <f t="shared" ref="HM33:HR34" si="47">IF($B33=HM$12,$O33,"")</f>
        <v/>
      </c>
      <c r="HN33" s="50" t="str">
        <f t="shared" si="47"/>
        <v/>
      </c>
      <c r="HO33" s="50" t="str">
        <f t="shared" si="47"/>
        <v/>
      </c>
      <c r="HP33" s="50" t="str">
        <f t="shared" si="47"/>
        <v/>
      </c>
      <c r="HQ33" s="50" t="str">
        <f t="shared" si="47"/>
        <v/>
      </c>
      <c r="HR33" s="112" t="str">
        <f t="shared" si="47"/>
        <v/>
      </c>
    </row>
    <row r="34" spans="1:226" ht="11.1" customHeight="1" thickBot="1" x14ac:dyDescent="0.3">
      <c r="A34" s="66"/>
      <c r="B34" s="67"/>
      <c r="C34" s="68" t="str">
        <f>IF(A34=0,"",VLOOKUP(A34,[2]CO!$A$3:$F$5311,2,0))</f>
        <v/>
      </c>
      <c r="D34" s="69"/>
      <c r="E34" s="69"/>
      <c r="F34" s="69"/>
      <c r="G34" s="70" t="str">
        <f>IF(A34=0,"",VLOOKUP(A34,[2]CO!$A$3:$F$5327,3,0))</f>
        <v/>
      </c>
      <c r="H34" s="69"/>
      <c r="I34" s="71"/>
      <c r="J34" s="71"/>
      <c r="K34" s="71"/>
      <c r="L34" s="71"/>
      <c r="M34" s="72" t="str">
        <f t="shared" si="0"/>
        <v/>
      </c>
      <c r="N34" s="72" t="str">
        <f>IF(B34=0,"",IF(H34="M",HLOOKUP(B34,$Y$12:$DT$13,2),IF(A34=0,"",VLOOKUP(A34,[2]CO!$A$3:$F$5327,4,0))))</f>
        <v/>
      </c>
      <c r="O34" s="72" t="str">
        <f t="shared" si="7"/>
        <v/>
      </c>
      <c r="P34" s="73"/>
      <c r="Q34" s="74" t="str">
        <f t="shared" si="1"/>
        <v/>
      </c>
      <c r="R34" s="75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RESIDENTE"),VLOOKUP(B34,P$14:Q$64,2),"")*S34)</f>
        <v/>
      </c>
      <c r="T34" s="53" t="str">
        <f>IF(A34=0,"",VLOOKUP(A34,[2]CO!$A$3:$F$5318,5,0))</f>
        <v/>
      </c>
      <c r="U34" s="54">
        <f t="shared" si="2"/>
        <v>0</v>
      </c>
      <c r="V34" s="24"/>
      <c r="W34" s="25"/>
      <c r="X34" s="25"/>
      <c r="Y34" s="76" t="str">
        <f t="shared" si="40"/>
        <v/>
      </c>
      <c r="Z34" s="77" t="str">
        <f t="shared" si="40"/>
        <v/>
      </c>
      <c r="AA34" s="77" t="str">
        <f t="shared" si="40"/>
        <v/>
      </c>
      <c r="AB34" s="77" t="str">
        <f t="shared" ref="AB34:CI34" si="48">IF($B34=AB$12,$U34,"")</f>
        <v/>
      </c>
      <c r="AC34" s="77" t="str">
        <f t="shared" si="48"/>
        <v/>
      </c>
      <c r="AD34" s="77" t="str">
        <f t="shared" si="48"/>
        <v/>
      </c>
      <c r="AE34" s="77" t="str">
        <f t="shared" si="48"/>
        <v/>
      </c>
      <c r="AF34" s="77" t="str">
        <f t="shared" si="48"/>
        <v/>
      </c>
      <c r="AG34" s="77" t="str">
        <f t="shared" si="48"/>
        <v/>
      </c>
      <c r="AH34" s="77" t="str">
        <f t="shared" si="48"/>
        <v/>
      </c>
      <c r="AI34" s="77" t="str">
        <f t="shared" si="48"/>
        <v/>
      </c>
      <c r="AJ34" s="77" t="str">
        <f t="shared" si="48"/>
        <v/>
      </c>
      <c r="AK34" s="77" t="str">
        <f t="shared" si="48"/>
        <v/>
      </c>
      <c r="AL34" s="77" t="str">
        <f t="shared" si="48"/>
        <v/>
      </c>
      <c r="AM34" s="77" t="str">
        <f t="shared" si="48"/>
        <v/>
      </c>
      <c r="AN34" s="77" t="str">
        <f t="shared" si="48"/>
        <v/>
      </c>
      <c r="AO34" s="77" t="str">
        <f t="shared" si="48"/>
        <v/>
      </c>
      <c r="AP34" s="77" t="str">
        <f t="shared" si="48"/>
        <v/>
      </c>
      <c r="AQ34" s="77" t="str">
        <f t="shared" si="48"/>
        <v/>
      </c>
      <c r="AR34" s="77" t="str">
        <f t="shared" si="48"/>
        <v/>
      </c>
      <c r="AS34" s="77" t="str">
        <f t="shared" si="48"/>
        <v/>
      </c>
      <c r="AT34" s="77" t="str">
        <f t="shared" si="48"/>
        <v/>
      </c>
      <c r="AU34" s="77" t="str">
        <f t="shared" si="48"/>
        <v/>
      </c>
      <c r="AV34" s="77" t="str">
        <f t="shared" si="48"/>
        <v/>
      </c>
      <c r="AW34" s="77" t="str">
        <f t="shared" si="48"/>
        <v/>
      </c>
      <c r="AX34" s="77" t="str">
        <f t="shared" si="48"/>
        <v/>
      </c>
      <c r="AY34" s="77" t="str">
        <f t="shared" si="48"/>
        <v/>
      </c>
      <c r="AZ34" s="77" t="str">
        <f t="shared" si="48"/>
        <v/>
      </c>
      <c r="BA34" s="77" t="str">
        <f t="shared" si="48"/>
        <v/>
      </c>
      <c r="BB34" s="77" t="str">
        <f t="shared" si="48"/>
        <v/>
      </c>
      <c r="BC34" s="77" t="str">
        <f t="shared" si="48"/>
        <v/>
      </c>
      <c r="BD34" s="77" t="str">
        <f t="shared" si="48"/>
        <v/>
      </c>
      <c r="BE34" s="77" t="str">
        <f t="shared" si="48"/>
        <v/>
      </c>
      <c r="BF34" s="77" t="str">
        <f t="shared" si="48"/>
        <v/>
      </c>
      <c r="BG34" s="77" t="str">
        <f t="shared" si="48"/>
        <v/>
      </c>
      <c r="BH34" s="77" t="str">
        <f t="shared" si="48"/>
        <v/>
      </c>
      <c r="BI34" s="77" t="str">
        <f t="shared" si="48"/>
        <v/>
      </c>
      <c r="BJ34" s="77" t="str">
        <f t="shared" si="48"/>
        <v/>
      </c>
      <c r="BK34" s="77" t="str">
        <f t="shared" si="48"/>
        <v/>
      </c>
      <c r="BL34" s="77" t="str">
        <f t="shared" si="48"/>
        <v/>
      </c>
      <c r="BM34" s="77" t="str">
        <f t="shared" si="48"/>
        <v/>
      </c>
      <c r="BN34" s="77" t="str">
        <f t="shared" si="48"/>
        <v/>
      </c>
      <c r="BO34" s="77" t="str">
        <f t="shared" si="48"/>
        <v/>
      </c>
      <c r="BP34" s="77" t="str">
        <f t="shared" si="48"/>
        <v/>
      </c>
      <c r="BQ34" s="77" t="str">
        <f t="shared" si="48"/>
        <v/>
      </c>
      <c r="BR34" s="77" t="str">
        <f t="shared" si="48"/>
        <v/>
      </c>
      <c r="BS34" s="77" t="str">
        <f t="shared" si="48"/>
        <v/>
      </c>
      <c r="BT34" s="77" t="str">
        <f t="shared" si="48"/>
        <v/>
      </c>
      <c r="BU34" s="77" t="str">
        <f t="shared" si="48"/>
        <v/>
      </c>
      <c r="BV34" s="77" t="str">
        <f t="shared" si="48"/>
        <v/>
      </c>
      <c r="BW34" s="77" t="str">
        <f t="shared" si="48"/>
        <v/>
      </c>
      <c r="BX34" s="77" t="str">
        <f t="shared" si="48"/>
        <v/>
      </c>
      <c r="BY34" s="77" t="str">
        <f t="shared" si="48"/>
        <v/>
      </c>
      <c r="BZ34" s="77" t="str">
        <f t="shared" si="48"/>
        <v/>
      </c>
      <c r="CA34" s="77" t="str">
        <f t="shared" si="48"/>
        <v/>
      </c>
      <c r="CB34" s="77" t="str">
        <f t="shared" si="48"/>
        <v/>
      </c>
      <c r="CC34" s="77" t="str">
        <f t="shared" si="48"/>
        <v/>
      </c>
      <c r="CD34" s="77" t="str">
        <f t="shared" si="48"/>
        <v/>
      </c>
      <c r="CE34" s="77" t="str">
        <f t="shared" si="48"/>
        <v/>
      </c>
      <c r="CF34" s="77" t="str">
        <f t="shared" si="48"/>
        <v/>
      </c>
      <c r="CG34" s="77" t="str">
        <f t="shared" si="48"/>
        <v/>
      </c>
      <c r="CH34" s="77" t="str">
        <f t="shared" si="48"/>
        <v/>
      </c>
      <c r="CI34" s="77" t="str">
        <f t="shared" si="48"/>
        <v/>
      </c>
      <c r="CJ34" s="77" t="str">
        <f t="shared" si="41"/>
        <v/>
      </c>
      <c r="CK34" s="77" t="str">
        <f t="shared" si="41"/>
        <v/>
      </c>
      <c r="CL34" s="77" t="str">
        <f t="shared" si="41"/>
        <v/>
      </c>
      <c r="CM34" s="77" t="str">
        <f t="shared" si="41"/>
        <v/>
      </c>
      <c r="CN34" s="77" t="str">
        <f t="shared" si="41"/>
        <v/>
      </c>
      <c r="CO34" s="77" t="str">
        <f t="shared" si="41"/>
        <v/>
      </c>
      <c r="CP34" s="77" t="str">
        <f t="shared" si="41"/>
        <v/>
      </c>
      <c r="CQ34" s="77" t="str">
        <f t="shared" si="41"/>
        <v/>
      </c>
      <c r="CR34" s="77" t="str">
        <f t="shared" si="41"/>
        <v/>
      </c>
      <c r="CS34" s="77" t="str">
        <f t="shared" si="41"/>
        <v/>
      </c>
      <c r="CT34" s="77" t="str">
        <f t="shared" si="41"/>
        <v/>
      </c>
      <c r="CU34" s="77" t="str">
        <f t="shared" si="41"/>
        <v/>
      </c>
      <c r="CV34" s="77" t="str">
        <f t="shared" si="41"/>
        <v/>
      </c>
      <c r="CW34" s="77" t="str">
        <f t="shared" si="41"/>
        <v/>
      </c>
      <c r="CX34" s="77" t="str">
        <f t="shared" si="41"/>
        <v/>
      </c>
      <c r="CY34" s="77" t="str">
        <f t="shared" si="41"/>
        <v/>
      </c>
      <c r="CZ34" s="77" t="str">
        <f t="shared" si="42"/>
        <v/>
      </c>
      <c r="DA34" s="77" t="str">
        <f t="shared" si="42"/>
        <v/>
      </c>
      <c r="DB34" s="77" t="str">
        <f t="shared" si="42"/>
        <v/>
      </c>
      <c r="DC34" s="77" t="str">
        <f t="shared" si="42"/>
        <v/>
      </c>
      <c r="DD34" s="77" t="str">
        <f t="shared" si="42"/>
        <v/>
      </c>
      <c r="DE34" s="77" t="str">
        <f t="shared" si="42"/>
        <v/>
      </c>
      <c r="DF34" s="77" t="str">
        <f t="shared" si="42"/>
        <v/>
      </c>
      <c r="DG34" s="77" t="str">
        <f t="shared" si="42"/>
        <v/>
      </c>
      <c r="DH34" s="77" t="str">
        <f t="shared" si="42"/>
        <v/>
      </c>
      <c r="DI34" s="77" t="str">
        <f t="shared" si="42"/>
        <v/>
      </c>
      <c r="DJ34" s="77" t="str">
        <f t="shared" si="42"/>
        <v/>
      </c>
      <c r="DK34" s="77" t="str">
        <f t="shared" si="42"/>
        <v/>
      </c>
      <c r="DL34" s="77" t="str">
        <f t="shared" si="42"/>
        <v/>
      </c>
      <c r="DM34" s="77" t="str">
        <f t="shared" si="42"/>
        <v/>
      </c>
      <c r="DN34" s="77" t="str">
        <f t="shared" si="42"/>
        <v/>
      </c>
      <c r="DO34" s="77" t="str">
        <f t="shared" si="42"/>
        <v/>
      </c>
      <c r="DP34" s="77" t="str">
        <f t="shared" si="43"/>
        <v/>
      </c>
      <c r="DQ34" s="77" t="str">
        <f t="shared" si="43"/>
        <v/>
      </c>
      <c r="DR34" s="77" t="str">
        <f t="shared" si="43"/>
        <v/>
      </c>
      <c r="DS34" s="77" t="str">
        <f t="shared" si="43"/>
        <v/>
      </c>
      <c r="DT34" s="107" t="str">
        <f t="shared" si="43"/>
        <v/>
      </c>
      <c r="DU34" s="54"/>
      <c r="DV34" s="25"/>
      <c r="DW34" s="78" t="str">
        <f t="shared" si="44"/>
        <v/>
      </c>
      <c r="DX34" s="79" t="str">
        <f t="shared" si="44"/>
        <v/>
      </c>
      <c r="DY34" s="79" t="str">
        <f t="shared" si="44"/>
        <v/>
      </c>
      <c r="DZ34" s="79" t="str">
        <f t="shared" ref="DZ34:GG34" si="49">IF($B34=DZ$12,$O34,"")</f>
        <v/>
      </c>
      <c r="EA34" s="79" t="str">
        <f t="shared" si="49"/>
        <v/>
      </c>
      <c r="EB34" s="79" t="str">
        <f t="shared" si="49"/>
        <v/>
      </c>
      <c r="EC34" s="79" t="str">
        <f t="shared" si="49"/>
        <v/>
      </c>
      <c r="ED34" s="79" t="str">
        <f t="shared" si="49"/>
        <v/>
      </c>
      <c r="EE34" s="79" t="str">
        <f t="shared" si="49"/>
        <v/>
      </c>
      <c r="EF34" s="79" t="str">
        <f t="shared" si="49"/>
        <v/>
      </c>
      <c r="EG34" s="79" t="str">
        <f t="shared" si="49"/>
        <v/>
      </c>
      <c r="EH34" s="79" t="str">
        <f t="shared" si="49"/>
        <v/>
      </c>
      <c r="EI34" s="79" t="str">
        <f t="shared" si="49"/>
        <v/>
      </c>
      <c r="EJ34" s="79" t="str">
        <f t="shared" si="49"/>
        <v/>
      </c>
      <c r="EK34" s="79" t="str">
        <f t="shared" si="49"/>
        <v/>
      </c>
      <c r="EL34" s="79" t="str">
        <f t="shared" si="49"/>
        <v/>
      </c>
      <c r="EM34" s="79" t="str">
        <f t="shared" si="49"/>
        <v/>
      </c>
      <c r="EN34" s="79" t="str">
        <f t="shared" si="49"/>
        <v/>
      </c>
      <c r="EO34" s="79" t="str">
        <f t="shared" si="49"/>
        <v/>
      </c>
      <c r="EP34" s="79" t="str">
        <f t="shared" si="49"/>
        <v/>
      </c>
      <c r="EQ34" s="79" t="str">
        <f t="shared" si="49"/>
        <v/>
      </c>
      <c r="ER34" s="79" t="str">
        <f t="shared" si="49"/>
        <v/>
      </c>
      <c r="ES34" s="79" t="str">
        <f t="shared" si="49"/>
        <v/>
      </c>
      <c r="ET34" s="79" t="str">
        <f t="shared" si="49"/>
        <v/>
      </c>
      <c r="EU34" s="79" t="str">
        <f t="shared" si="49"/>
        <v/>
      </c>
      <c r="EV34" s="79" t="str">
        <f t="shared" si="49"/>
        <v/>
      </c>
      <c r="EW34" s="79" t="str">
        <f t="shared" si="49"/>
        <v/>
      </c>
      <c r="EX34" s="79" t="str">
        <f t="shared" si="49"/>
        <v/>
      </c>
      <c r="EY34" s="79" t="str">
        <f t="shared" si="49"/>
        <v/>
      </c>
      <c r="EZ34" s="79" t="str">
        <f t="shared" si="49"/>
        <v/>
      </c>
      <c r="FA34" s="79" t="str">
        <f t="shared" si="49"/>
        <v/>
      </c>
      <c r="FB34" s="79" t="str">
        <f t="shared" si="49"/>
        <v/>
      </c>
      <c r="FC34" s="79" t="str">
        <f t="shared" si="49"/>
        <v/>
      </c>
      <c r="FD34" s="79" t="str">
        <f t="shared" si="49"/>
        <v/>
      </c>
      <c r="FE34" s="79" t="str">
        <f t="shared" si="49"/>
        <v/>
      </c>
      <c r="FF34" s="79" t="str">
        <f t="shared" si="49"/>
        <v/>
      </c>
      <c r="FG34" s="79" t="str">
        <f t="shared" si="49"/>
        <v/>
      </c>
      <c r="FH34" s="79" t="str">
        <f t="shared" si="49"/>
        <v/>
      </c>
      <c r="FI34" s="79" t="str">
        <f t="shared" si="49"/>
        <v/>
      </c>
      <c r="FJ34" s="79" t="str">
        <f t="shared" si="49"/>
        <v/>
      </c>
      <c r="FK34" s="79" t="str">
        <f t="shared" si="49"/>
        <v/>
      </c>
      <c r="FL34" s="79" t="str">
        <f t="shared" si="49"/>
        <v/>
      </c>
      <c r="FM34" s="79" t="str">
        <f t="shared" si="49"/>
        <v/>
      </c>
      <c r="FN34" s="79" t="str">
        <f t="shared" si="49"/>
        <v/>
      </c>
      <c r="FO34" s="79" t="str">
        <f t="shared" si="49"/>
        <v/>
      </c>
      <c r="FP34" s="79" t="str">
        <f t="shared" si="49"/>
        <v/>
      </c>
      <c r="FQ34" s="79" t="str">
        <f t="shared" si="49"/>
        <v/>
      </c>
      <c r="FR34" s="79" t="str">
        <f t="shared" si="49"/>
        <v/>
      </c>
      <c r="FS34" s="79" t="str">
        <f t="shared" si="49"/>
        <v/>
      </c>
      <c r="FT34" s="79" t="str">
        <f t="shared" si="49"/>
        <v/>
      </c>
      <c r="FU34" s="79" t="str">
        <f t="shared" si="49"/>
        <v/>
      </c>
      <c r="FV34" s="79" t="str">
        <f t="shared" si="49"/>
        <v/>
      </c>
      <c r="FW34" s="79" t="str">
        <f t="shared" si="49"/>
        <v/>
      </c>
      <c r="FX34" s="79" t="str">
        <f t="shared" si="49"/>
        <v/>
      </c>
      <c r="FY34" s="79" t="str">
        <f t="shared" si="49"/>
        <v/>
      </c>
      <c r="FZ34" s="79" t="str">
        <f t="shared" si="49"/>
        <v/>
      </c>
      <c r="GA34" s="79" t="str">
        <f t="shared" si="49"/>
        <v/>
      </c>
      <c r="GB34" s="79" t="str">
        <f t="shared" si="49"/>
        <v/>
      </c>
      <c r="GC34" s="79" t="str">
        <f t="shared" si="49"/>
        <v/>
      </c>
      <c r="GD34" s="79" t="str">
        <f t="shared" si="49"/>
        <v/>
      </c>
      <c r="GE34" s="79" t="str">
        <f t="shared" si="49"/>
        <v/>
      </c>
      <c r="GF34" s="79" t="str">
        <f t="shared" si="49"/>
        <v/>
      </c>
      <c r="GG34" s="79" t="str">
        <f t="shared" si="49"/>
        <v/>
      </c>
      <c r="GH34" s="79" t="str">
        <f t="shared" si="45"/>
        <v/>
      </c>
      <c r="GI34" s="79" t="str">
        <f t="shared" si="45"/>
        <v/>
      </c>
      <c r="GJ34" s="79" t="str">
        <f t="shared" si="45"/>
        <v/>
      </c>
      <c r="GK34" s="79" t="str">
        <f t="shared" si="45"/>
        <v/>
      </c>
      <c r="GL34" s="79" t="str">
        <f t="shared" si="45"/>
        <v/>
      </c>
      <c r="GM34" s="79" t="str">
        <f t="shared" si="45"/>
        <v/>
      </c>
      <c r="GN34" s="79" t="str">
        <f t="shared" si="45"/>
        <v/>
      </c>
      <c r="GO34" s="79" t="str">
        <f t="shared" si="45"/>
        <v/>
      </c>
      <c r="GP34" s="79" t="str">
        <f t="shared" si="45"/>
        <v/>
      </c>
      <c r="GQ34" s="79" t="str">
        <f t="shared" si="45"/>
        <v/>
      </c>
      <c r="GR34" s="79" t="str">
        <f t="shared" si="45"/>
        <v/>
      </c>
      <c r="GS34" s="79" t="str">
        <f t="shared" si="45"/>
        <v/>
      </c>
      <c r="GT34" s="79" t="str">
        <f t="shared" si="45"/>
        <v/>
      </c>
      <c r="GU34" s="79" t="str">
        <f t="shared" si="45"/>
        <v/>
      </c>
      <c r="GV34" s="79" t="str">
        <f t="shared" si="45"/>
        <v/>
      </c>
      <c r="GW34" s="79" t="str">
        <f t="shared" si="45"/>
        <v/>
      </c>
      <c r="GX34" s="79" t="str">
        <f t="shared" si="46"/>
        <v/>
      </c>
      <c r="GY34" s="79" t="str">
        <f t="shared" si="46"/>
        <v/>
      </c>
      <c r="GZ34" s="79" t="str">
        <f t="shared" si="46"/>
        <v/>
      </c>
      <c r="HA34" s="79" t="str">
        <f t="shared" si="46"/>
        <v/>
      </c>
      <c r="HB34" s="79" t="str">
        <f t="shared" si="46"/>
        <v/>
      </c>
      <c r="HC34" s="79" t="str">
        <f t="shared" si="46"/>
        <v/>
      </c>
      <c r="HD34" s="79" t="str">
        <f t="shared" si="46"/>
        <v/>
      </c>
      <c r="HE34" s="79" t="str">
        <f t="shared" si="46"/>
        <v/>
      </c>
      <c r="HF34" s="79" t="str">
        <f t="shared" si="46"/>
        <v/>
      </c>
      <c r="HG34" s="79" t="str">
        <f t="shared" si="46"/>
        <v/>
      </c>
      <c r="HH34" s="79" t="str">
        <f t="shared" si="46"/>
        <v/>
      </c>
      <c r="HI34" s="79" t="str">
        <f t="shared" si="46"/>
        <v/>
      </c>
      <c r="HJ34" s="79" t="str">
        <f t="shared" si="46"/>
        <v/>
      </c>
      <c r="HK34" s="79" t="str">
        <f t="shared" si="46"/>
        <v/>
      </c>
      <c r="HL34" s="79" t="str">
        <f t="shared" si="46"/>
        <v/>
      </c>
      <c r="HM34" s="79" t="str">
        <f t="shared" si="46"/>
        <v/>
      </c>
      <c r="HN34" s="79" t="str">
        <f t="shared" si="47"/>
        <v/>
      </c>
      <c r="HO34" s="79" t="str">
        <f t="shared" si="47"/>
        <v/>
      </c>
      <c r="HP34" s="79" t="str">
        <f t="shared" si="47"/>
        <v/>
      </c>
      <c r="HQ34" s="79" t="str">
        <f t="shared" si="47"/>
        <v/>
      </c>
      <c r="HR34" s="113" t="str">
        <f t="shared" si="47"/>
        <v/>
      </c>
    </row>
    <row r="35" spans="1:226" ht="11.1" customHeight="1" thickTop="1" x14ac:dyDescent="0.25"/>
    <row r="36" spans="1:226" x14ac:dyDescent="0.25">
      <c r="O36" s="48" t="s">
        <v>17</v>
      </c>
      <c r="P36" s="49"/>
      <c r="Q36" s="104">
        <f>SUM(Q14:Q34)</f>
        <v>12160.126104225352</v>
      </c>
      <c r="R36" s="104">
        <f>SUM(R14:R34)</f>
        <v>12160.126104225352</v>
      </c>
    </row>
    <row r="37" spans="1:226" ht="11.1" customHeight="1" thickBot="1" x14ac:dyDescent="0.3"/>
    <row r="38" spans="1:226" ht="16.2" thickBot="1" x14ac:dyDescent="0.3">
      <c r="A38" s="147"/>
      <c r="B38" s="148"/>
      <c r="C38" s="99"/>
      <c r="D38" s="148"/>
      <c r="E38" s="99"/>
      <c r="F38" s="99"/>
      <c r="G38" s="99" t="s">
        <v>20</v>
      </c>
      <c r="H38" s="99"/>
      <c r="I38" s="99"/>
      <c r="J38" s="125"/>
      <c r="K38" s="99"/>
      <c r="L38" s="99"/>
      <c r="M38" s="99"/>
      <c r="N38" s="99"/>
      <c r="O38" s="99"/>
      <c r="P38" s="99"/>
      <c r="Q38" s="99"/>
      <c r="R38" s="100"/>
    </row>
    <row r="39" spans="1:226" ht="11.1" customHeight="1" thickBot="1" x14ac:dyDescent="0.3"/>
    <row r="40" spans="1:226" ht="11.1" customHeight="1" thickTop="1" x14ac:dyDescent="0.25">
      <c r="A40" s="80"/>
      <c r="B40" s="81"/>
      <c r="C40" s="82" t="str">
        <f>IF(A40=0,"",VLOOKUP(A40,[2]CO!$A$3:$F$5327,2,0))</f>
        <v/>
      </c>
      <c r="D40" s="83"/>
      <c r="E40" s="83"/>
      <c r="F40" s="83"/>
      <c r="G40" s="84" t="str">
        <f>IF(A40=0,"",VLOOKUP(A40,[2]CO!$A$3:$F$5327,3,0))</f>
        <v/>
      </c>
      <c r="H40" s="94"/>
      <c r="I40" s="85"/>
      <c r="J40" s="85"/>
      <c r="K40" s="85"/>
      <c r="L40" s="85"/>
      <c r="M40" s="86" t="str">
        <f t="shared" ref="M40:M52" si="50">IF(H40&gt;0,H40*Q$36/N40,IF(AND(L40&gt;0,I40&gt;0),L40*I40,IF(L40&gt;0,L40,"")))</f>
        <v/>
      </c>
      <c r="N40" s="86" t="str">
        <f>IF(B40=0,"",IF(H40="M",HLOOKUP(B40,$Y$12:$DT$13,2),IF(A40=0,"",VLOOKUP(A40,[2]CO!$A$3:$F$5327,4,0))))</f>
        <v/>
      </c>
      <c r="O40" s="86" t="str">
        <f t="shared" si="7"/>
        <v/>
      </c>
      <c r="P40" s="87"/>
      <c r="Q40" s="88" t="str">
        <f t="shared" ref="Q40:Q52" si="51">IF(P40=0,"",(HLOOKUP(P40,$DW$12:$HR$13,2)))</f>
        <v/>
      </c>
      <c r="R40" s="89" t="str">
        <f>IF(S40=0,"",IF(OR(G40="PEON",G40="OF",G40="JARD",G40="CARP",G40="MAESTRO",G40="SOLD",G40="BGRO",G40="CHOFER",G40="AYTE",G40="S.INTTE.",G40="ASEO",G40="P.PISOS",G40="VELADOR",G40="RESID",G40="PINTOR",G40="ELECT",G40="AZULE",G40="AUX CONT.",G40="SECRETARIA",G40="AUXILIAR ADMTVO.",G40="ARQUITECTO",G40="DIBUJANTE",G40="AUX. DE RESIDENTE",G40="TOPOGRAFIA"),VLOOKUP(B40,P$14:Q$71,2),"")*S40)</f>
        <v/>
      </c>
      <c r="T40" s="53" t="str">
        <f>IF(A40=0,"",VLOOKUP(A40,[2]CO!$A$3:$F$5318,5,0))</f>
        <v/>
      </c>
      <c r="U40" s="54">
        <f t="shared" ref="U40:U64" si="52">IF(T40=1,O40*0.1,)</f>
        <v>0</v>
      </c>
      <c r="V40" s="24"/>
      <c r="W40" s="25"/>
      <c r="X40" s="25"/>
      <c r="Y40" s="90" t="str">
        <f t="shared" ref="Y40:AN52" si="53">IF($B40=Y$12,$U40,"")</f>
        <v/>
      </c>
      <c r="Z40" s="91" t="str">
        <f t="shared" si="53"/>
        <v/>
      </c>
      <c r="AA40" s="91" t="str">
        <f t="shared" si="53"/>
        <v/>
      </c>
      <c r="AB40" s="91" t="str">
        <f t="shared" si="53"/>
        <v/>
      </c>
      <c r="AC40" s="91" t="str">
        <f t="shared" si="53"/>
        <v/>
      </c>
      <c r="AD40" s="91" t="str">
        <f t="shared" si="53"/>
        <v/>
      </c>
      <c r="AE40" s="91" t="str">
        <f t="shared" si="53"/>
        <v/>
      </c>
      <c r="AF40" s="91" t="str">
        <f t="shared" si="53"/>
        <v/>
      </c>
      <c r="AG40" s="91" t="str">
        <f t="shared" si="53"/>
        <v/>
      </c>
      <c r="AH40" s="91" t="str">
        <f t="shared" si="53"/>
        <v/>
      </c>
      <c r="AI40" s="91" t="str">
        <f t="shared" si="53"/>
        <v/>
      </c>
      <c r="AJ40" s="91" t="str">
        <f t="shared" si="53"/>
        <v/>
      </c>
      <c r="AK40" s="91" t="str">
        <f t="shared" si="53"/>
        <v/>
      </c>
      <c r="AL40" s="91" t="str">
        <f t="shared" si="53"/>
        <v/>
      </c>
      <c r="AM40" s="91" t="str">
        <f t="shared" si="53"/>
        <v/>
      </c>
      <c r="AN40" s="91" t="str">
        <f t="shared" si="53"/>
        <v/>
      </c>
      <c r="AO40" s="91" t="str">
        <f t="shared" ref="AO40:CZ43" si="54">IF($B40=AO$12,$U40,"")</f>
        <v/>
      </c>
      <c r="AP40" s="91" t="str">
        <f t="shared" si="54"/>
        <v/>
      </c>
      <c r="AQ40" s="91" t="str">
        <f t="shared" si="54"/>
        <v/>
      </c>
      <c r="AR40" s="91" t="str">
        <f t="shared" si="54"/>
        <v/>
      </c>
      <c r="AS40" s="91" t="str">
        <f t="shared" si="54"/>
        <v/>
      </c>
      <c r="AT40" s="91" t="str">
        <f t="shared" si="54"/>
        <v/>
      </c>
      <c r="AU40" s="91" t="str">
        <f t="shared" si="54"/>
        <v/>
      </c>
      <c r="AV40" s="91" t="str">
        <f t="shared" si="54"/>
        <v/>
      </c>
      <c r="AW40" s="91" t="str">
        <f t="shared" si="54"/>
        <v/>
      </c>
      <c r="AX40" s="91" t="str">
        <f t="shared" si="54"/>
        <v/>
      </c>
      <c r="AY40" s="91" t="str">
        <f t="shared" si="54"/>
        <v/>
      </c>
      <c r="AZ40" s="91" t="str">
        <f t="shared" si="54"/>
        <v/>
      </c>
      <c r="BA40" s="91" t="str">
        <f t="shared" si="54"/>
        <v/>
      </c>
      <c r="BB40" s="91" t="str">
        <f t="shared" si="54"/>
        <v/>
      </c>
      <c r="BC40" s="91" t="str">
        <f t="shared" si="54"/>
        <v/>
      </c>
      <c r="BD40" s="91" t="str">
        <f t="shared" si="54"/>
        <v/>
      </c>
      <c r="BE40" s="91" t="str">
        <f t="shared" si="54"/>
        <v/>
      </c>
      <c r="BF40" s="91" t="str">
        <f t="shared" si="54"/>
        <v/>
      </c>
      <c r="BG40" s="91" t="str">
        <f t="shared" si="54"/>
        <v/>
      </c>
      <c r="BH40" s="91" t="str">
        <f t="shared" si="54"/>
        <v/>
      </c>
      <c r="BI40" s="91" t="str">
        <f t="shared" si="54"/>
        <v/>
      </c>
      <c r="BJ40" s="91" t="str">
        <f t="shared" si="54"/>
        <v/>
      </c>
      <c r="BK40" s="91" t="str">
        <f t="shared" si="54"/>
        <v/>
      </c>
      <c r="BL40" s="91" t="str">
        <f t="shared" si="54"/>
        <v/>
      </c>
      <c r="BM40" s="91" t="str">
        <f t="shared" si="54"/>
        <v/>
      </c>
      <c r="BN40" s="91" t="str">
        <f t="shared" si="54"/>
        <v/>
      </c>
      <c r="BO40" s="91" t="str">
        <f t="shared" si="54"/>
        <v/>
      </c>
      <c r="BP40" s="91" t="str">
        <f t="shared" si="54"/>
        <v/>
      </c>
      <c r="BQ40" s="91" t="str">
        <f t="shared" si="54"/>
        <v/>
      </c>
      <c r="BR40" s="91" t="str">
        <f t="shared" si="54"/>
        <v/>
      </c>
      <c r="BS40" s="91" t="str">
        <f t="shared" si="54"/>
        <v/>
      </c>
      <c r="BT40" s="91" t="str">
        <f t="shared" si="54"/>
        <v/>
      </c>
      <c r="BU40" s="91" t="str">
        <f t="shared" si="54"/>
        <v/>
      </c>
      <c r="BV40" s="91" t="str">
        <f t="shared" si="54"/>
        <v/>
      </c>
      <c r="BW40" s="91" t="str">
        <f t="shared" si="54"/>
        <v/>
      </c>
      <c r="BX40" s="91" t="str">
        <f t="shared" si="54"/>
        <v/>
      </c>
      <c r="BY40" s="91" t="str">
        <f t="shared" si="54"/>
        <v/>
      </c>
      <c r="BZ40" s="91" t="str">
        <f t="shared" si="54"/>
        <v/>
      </c>
      <c r="CA40" s="91" t="str">
        <f t="shared" si="54"/>
        <v/>
      </c>
      <c r="CB40" s="91" t="str">
        <f t="shared" si="54"/>
        <v/>
      </c>
      <c r="CC40" s="91" t="str">
        <f t="shared" si="54"/>
        <v/>
      </c>
      <c r="CD40" s="91" t="str">
        <f t="shared" si="54"/>
        <v/>
      </c>
      <c r="CE40" s="91" t="str">
        <f t="shared" si="54"/>
        <v/>
      </c>
      <c r="CF40" s="91" t="str">
        <f t="shared" si="54"/>
        <v/>
      </c>
      <c r="CG40" s="91" t="str">
        <f t="shared" si="54"/>
        <v/>
      </c>
      <c r="CH40" s="91" t="str">
        <f t="shared" si="54"/>
        <v/>
      </c>
      <c r="CI40" s="91" t="str">
        <f t="shared" si="54"/>
        <v/>
      </c>
      <c r="CJ40" s="91" t="str">
        <f t="shared" si="54"/>
        <v/>
      </c>
      <c r="CK40" s="91" t="str">
        <f t="shared" si="54"/>
        <v/>
      </c>
      <c r="CL40" s="91" t="str">
        <f t="shared" si="54"/>
        <v/>
      </c>
      <c r="CM40" s="91" t="str">
        <f t="shared" si="54"/>
        <v/>
      </c>
      <c r="CN40" s="91" t="str">
        <f t="shared" si="54"/>
        <v/>
      </c>
      <c r="CO40" s="91" t="str">
        <f t="shared" si="54"/>
        <v/>
      </c>
      <c r="CP40" s="91" t="str">
        <f t="shared" si="54"/>
        <v/>
      </c>
      <c r="CQ40" s="91" t="str">
        <f t="shared" si="54"/>
        <v/>
      </c>
      <c r="CR40" s="91" t="str">
        <f t="shared" si="54"/>
        <v/>
      </c>
      <c r="CS40" s="91" t="str">
        <f t="shared" si="54"/>
        <v/>
      </c>
      <c r="CT40" s="91" t="str">
        <f t="shared" si="54"/>
        <v/>
      </c>
      <c r="CU40" s="91" t="str">
        <f t="shared" si="54"/>
        <v/>
      </c>
      <c r="CV40" s="91" t="str">
        <f t="shared" si="54"/>
        <v/>
      </c>
      <c r="CW40" s="91" t="str">
        <f t="shared" si="54"/>
        <v/>
      </c>
      <c r="CX40" s="91" t="str">
        <f t="shared" si="54"/>
        <v/>
      </c>
      <c r="CY40" s="91" t="str">
        <f t="shared" si="54"/>
        <v/>
      </c>
      <c r="CZ40" s="91" t="str">
        <f t="shared" si="54"/>
        <v/>
      </c>
      <c r="DA40" s="91" t="str">
        <f t="shared" ref="DA40:DP52" si="55">IF($B40=DA$12,$U40,"")</f>
        <v/>
      </c>
      <c r="DB40" s="91" t="str">
        <f t="shared" si="55"/>
        <v/>
      </c>
      <c r="DC40" s="91" t="str">
        <f t="shared" si="55"/>
        <v/>
      </c>
      <c r="DD40" s="91" t="str">
        <f t="shared" si="55"/>
        <v/>
      </c>
      <c r="DE40" s="91" t="str">
        <f t="shared" si="55"/>
        <v/>
      </c>
      <c r="DF40" s="91" t="str">
        <f t="shared" si="55"/>
        <v/>
      </c>
      <c r="DG40" s="91" t="str">
        <f t="shared" si="55"/>
        <v/>
      </c>
      <c r="DH40" s="91" t="str">
        <f t="shared" si="55"/>
        <v/>
      </c>
      <c r="DI40" s="91" t="str">
        <f t="shared" si="55"/>
        <v/>
      </c>
      <c r="DJ40" s="91" t="str">
        <f t="shared" si="55"/>
        <v/>
      </c>
      <c r="DK40" s="91" t="str">
        <f t="shared" si="55"/>
        <v/>
      </c>
      <c r="DL40" s="91" t="str">
        <f t="shared" si="55"/>
        <v/>
      </c>
      <c r="DM40" s="91" t="str">
        <f t="shared" si="55"/>
        <v/>
      </c>
      <c r="DN40" s="91" t="str">
        <f t="shared" si="55"/>
        <v/>
      </c>
      <c r="DO40" s="91" t="str">
        <f t="shared" si="55"/>
        <v/>
      </c>
      <c r="DP40" s="91" t="str">
        <f t="shared" si="55"/>
        <v/>
      </c>
      <c r="DQ40" s="91" t="str">
        <f t="shared" ref="DQ40:DT52" si="56">IF($B40=DQ$12,$U40,"")</f>
        <v/>
      </c>
      <c r="DR40" s="91" t="str">
        <f t="shared" si="56"/>
        <v/>
      </c>
      <c r="DS40" s="91" t="str">
        <f t="shared" si="56"/>
        <v/>
      </c>
      <c r="DT40" s="105" t="str">
        <f t="shared" si="56"/>
        <v/>
      </c>
      <c r="DU40" s="54"/>
      <c r="DV40" s="25"/>
      <c r="DW40" s="92" t="str">
        <f t="shared" ref="DW40:EL52" si="57">IF($B40=DW$12,$O40,"")</f>
        <v/>
      </c>
      <c r="DX40" s="93" t="str">
        <f t="shared" si="57"/>
        <v/>
      </c>
      <c r="DY40" s="93" t="str">
        <f t="shared" si="57"/>
        <v/>
      </c>
      <c r="DZ40" s="93" t="str">
        <f t="shared" si="57"/>
        <v/>
      </c>
      <c r="EA40" s="93" t="str">
        <f t="shared" si="57"/>
        <v/>
      </c>
      <c r="EB40" s="93" t="str">
        <f t="shared" si="57"/>
        <v/>
      </c>
      <c r="EC40" s="93" t="str">
        <f t="shared" si="57"/>
        <v/>
      </c>
      <c r="ED40" s="93" t="str">
        <f t="shared" si="57"/>
        <v/>
      </c>
      <c r="EE40" s="93" t="str">
        <f t="shared" si="57"/>
        <v/>
      </c>
      <c r="EF40" s="93" t="str">
        <f t="shared" si="57"/>
        <v/>
      </c>
      <c r="EG40" s="93" t="str">
        <f t="shared" si="57"/>
        <v/>
      </c>
      <c r="EH40" s="93" t="str">
        <f t="shared" si="57"/>
        <v/>
      </c>
      <c r="EI40" s="93" t="str">
        <f t="shared" si="57"/>
        <v/>
      </c>
      <c r="EJ40" s="93" t="str">
        <f t="shared" si="57"/>
        <v/>
      </c>
      <c r="EK40" s="93" t="str">
        <f t="shared" si="57"/>
        <v/>
      </c>
      <c r="EL40" s="93" t="str">
        <f t="shared" si="57"/>
        <v/>
      </c>
      <c r="EM40" s="93" t="str">
        <f t="shared" ref="EM40:GX43" si="58">IF($B40=EM$12,$O40,"")</f>
        <v/>
      </c>
      <c r="EN40" s="93" t="str">
        <f t="shared" si="58"/>
        <v/>
      </c>
      <c r="EO40" s="93" t="str">
        <f t="shared" si="58"/>
        <v/>
      </c>
      <c r="EP40" s="93" t="str">
        <f t="shared" si="58"/>
        <v/>
      </c>
      <c r="EQ40" s="93" t="str">
        <f t="shared" si="58"/>
        <v/>
      </c>
      <c r="ER40" s="93" t="str">
        <f t="shared" si="58"/>
        <v/>
      </c>
      <c r="ES40" s="93" t="str">
        <f t="shared" si="58"/>
        <v/>
      </c>
      <c r="ET40" s="93" t="str">
        <f t="shared" si="58"/>
        <v/>
      </c>
      <c r="EU40" s="93" t="str">
        <f t="shared" si="58"/>
        <v/>
      </c>
      <c r="EV40" s="93" t="str">
        <f t="shared" si="58"/>
        <v/>
      </c>
      <c r="EW40" s="93" t="str">
        <f t="shared" si="58"/>
        <v/>
      </c>
      <c r="EX40" s="93" t="str">
        <f t="shared" si="58"/>
        <v/>
      </c>
      <c r="EY40" s="93" t="str">
        <f t="shared" si="58"/>
        <v/>
      </c>
      <c r="EZ40" s="93" t="str">
        <f t="shared" si="58"/>
        <v/>
      </c>
      <c r="FA40" s="93" t="str">
        <f t="shared" si="58"/>
        <v/>
      </c>
      <c r="FB40" s="93" t="str">
        <f t="shared" si="58"/>
        <v/>
      </c>
      <c r="FC40" s="93" t="str">
        <f t="shared" si="58"/>
        <v/>
      </c>
      <c r="FD40" s="93" t="str">
        <f t="shared" si="58"/>
        <v/>
      </c>
      <c r="FE40" s="93" t="str">
        <f t="shared" si="58"/>
        <v/>
      </c>
      <c r="FF40" s="93" t="str">
        <f t="shared" si="58"/>
        <v/>
      </c>
      <c r="FG40" s="93" t="str">
        <f t="shared" si="58"/>
        <v/>
      </c>
      <c r="FH40" s="93" t="str">
        <f t="shared" si="58"/>
        <v/>
      </c>
      <c r="FI40" s="93" t="str">
        <f t="shared" si="58"/>
        <v/>
      </c>
      <c r="FJ40" s="93" t="str">
        <f t="shared" si="58"/>
        <v/>
      </c>
      <c r="FK40" s="93" t="str">
        <f t="shared" si="58"/>
        <v/>
      </c>
      <c r="FL40" s="93" t="str">
        <f t="shared" si="58"/>
        <v/>
      </c>
      <c r="FM40" s="93" t="str">
        <f t="shared" si="58"/>
        <v/>
      </c>
      <c r="FN40" s="93" t="str">
        <f t="shared" si="58"/>
        <v/>
      </c>
      <c r="FO40" s="93" t="str">
        <f t="shared" si="58"/>
        <v/>
      </c>
      <c r="FP40" s="93" t="str">
        <f t="shared" si="58"/>
        <v/>
      </c>
      <c r="FQ40" s="93" t="str">
        <f t="shared" si="58"/>
        <v/>
      </c>
      <c r="FR40" s="93" t="str">
        <f t="shared" si="58"/>
        <v/>
      </c>
      <c r="FS40" s="93" t="str">
        <f t="shared" si="58"/>
        <v/>
      </c>
      <c r="FT40" s="93" t="str">
        <f t="shared" si="58"/>
        <v/>
      </c>
      <c r="FU40" s="93" t="str">
        <f t="shared" si="58"/>
        <v/>
      </c>
      <c r="FV40" s="93" t="str">
        <f t="shared" si="58"/>
        <v/>
      </c>
      <c r="FW40" s="93" t="str">
        <f t="shared" si="58"/>
        <v/>
      </c>
      <c r="FX40" s="93" t="str">
        <f t="shared" si="58"/>
        <v/>
      </c>
      <c r="FY40" s="93" t="str">
        <f t="shared" si="58"/>
        <v/>
      </c>
      <c r="FZ40" s="93" t="str">
        <f t="shared" si="58"/>
        <v/>
      </c>
      <c r="GA40" s="93" t="str">
        <f t="shared" si="58"/>
        <v/>
      </c>
      <c r="GB40" s="93" t="str">
        <f t="shared" si="58"/>
        <v/>
      </c>
      <c r="GC40" s="93" t="str">
        <f t="shared" si="58"/>
        <v/>
      </c>
      <c r="GD40" s="93" t="str">
        <f t="shared" si="58"/>
        <v/>
      </c>
      <c r="GE40" s="93" t="str">
        <f t="shared" si="58"/>
        <v/>
      </c>
      <c r="GF40" s="93" t="str">
        <f t="shared" si="58"/>
        <v/>
      </c>
      <c r="GG40" s="93" t="str">
        <f t="shared" si="58"/>
        <v/>
      </c>
      <c r="GH40" s="93" t="str">
        <f t="shared" si="58"/>
        <v/>
      </c>
      <c r="GI40" s="93" t="str">
        <f t="shared" si="58"/>
        <v/>
      </c>
      <c r="GJ40" s="93" t="str">
        <f t="shared" si="58"/>
        <v/>
      </c>
      <c r="GK40" s="93" t="str">
        <f t="shared" si="58"/>
        <v/>
      </c>
      <c r="GL40" s="93" t="str">
        <f t="shared" si="58"/>
        <v/>
      </c>
      <c r="GM40" s="93" t="str">
        <f t="shared" si="58"/>
        <v/>
      </c>
      <c r="GN40" s="93" t="str">
        <f t="shared" si="58"/>
        <v/>
      </c>
      <c r="GO40" s="93" t="str">
        <f t="shared" si="58"/>
        <v/>
      </c>
      <c r="GP40" s="93" t="str">
        <f t="shared" si="58"/>
        <v/>
      </c>
      <c r="GQ40" s="93" t="str">
        <f t="shared" si="58"/>
        <v/>
      </c>
      <c r="GR40" s="93" t="str">
        <f t="shared" si="58"/>
        <v/>
      </c>
      <c r="GS40" s="93" t="str">
        <f t="shared" si="58"/>
        <v/>
      </c>
      <c r="GT40" s="93" t="str">
        <f t="shared" si="58"/>
        <v/>
      </c>
      <c r="GU40" s="93" t="str">
        <f t="shared" si="58"/>
        <v/>
      </c>
      <c r="GV40" s="93" t="str">
        <f t="shared" si="58"/>
        <v/>
      </c>
      <c r="GW40" s="93" t="str">
        <f t="shared" si="58"/>
        <v/>
      </c>
      <c r="GX40" s="93" t="str">
        <f t="shared" si="58"/>
        <v/>
      </c>
      <c r="GY40" s="93" t="str">
        <f t="shared" ref="GY40:HN42" si="59">IF($B40=GY$12,$O40,"")</f>
        <v/>
      </c>
      <c r="GZ40" s="93" t="str">
        <f t="shared" si="59"/>
        <v/>
      </c>
      <c r="HA40" s="93" t="str">
        <f t="shared" si="59"/>
        <v/>
      </c>
      <c r="HB40" s="93" t="str">
        <f t="shared" si="59"/>
        <v/>
      </c>
      <c r="HC40" s="93" t="str">
        <f t="shared" si="59"/>
        <v/>
      </c>
      <c r="HD40" s="93" t="str">
        <f t="shared" si="59"/>
        <v/>
      </c>
      <c r="HE40" s="93" t="str">
        <f t="shared" si="59"/>
        <v/>
      </c>
      <c r="HF40" s="93" t="str">
        <f t="shared" si="59"/>
        <v/>
      </c>
      <c r="HG40" s="93" t="str">
        <f t="shared" si="59"/>
        <v/>
      </c>
      <c r="HH40" s="93" t="str">
        <f t="shared" si="59"/>
        <v/>
      </c>
      <c r="HI40" s="93" t="str">
        <f t="shared" si="59"/>
        <v/>
      </c>
      <c r="HJ40" s="93" t="str">
        <f t="shared" si="59"/>
        <v/>
      </c>
      <c r="HK40" s="93" t="str">
        <f t="shared" si="59"/>
        <v/>
      </c>
      <c r="HL40" s="93" t="str">
        <f t="shared" si="59"/>
        <v/>
      </c>
      <c r="HM40" s="93" t="str">
        <f t="shared" si="59"/>
        <v/>
      </c>
      <c r="HN40" s="93" t="str">
        <f t="shared" si="59"/>
        <v/>
      </c>
      <c r="HO40" s="93" t="str">
        <f t="shared" ref="HI40:HR52" si="60">IF($B40=HO$12,$O40,"")</f>
        <v/>
      </c>
      <c r="HP40" s="93" t="str">
        <f t="shared" si="60"/>
        <v/>
      </c>
      <c r="HQ40" s="93" t="str">
        <f t="shared" si="60"/>
        <v/>
      </c>
      <c r="HR40" s="111" t="str">
        <f t="shared" si="60"/>
        <v/>
      </c>
    </row>
    <row r="41" spans="1:226" ht="11.1" customHeight="1" x14ac:dyDescent="0.25">
      <c r="A41" s="26">
        <v>34</v>
      </c>
      <c r="B41" s="27">
        <v>60</v>
      </c>
      <c r="C41" s="28" t="str">
        <f>IF(A41=0,"",VLOOKUP(A41,[2]CO!$A$3:$F$5327,2,0))</f>
        <v>VIDAL OCHOA ROBERTO ENRIQUE</v>
      </c>
      <c r="D41" s="29"/>
      <c r="E41" s="29"/>
      <c r="F41" s="29"/>
      <c r="G41" s="30" t="str">
        <f>IF(A41=0,"",VLOOKUP(A41,[2]CO!$A$3:$F$5327,3,0))</f>
        <v>DESTAJOS</v>
      </c>
      <c r="H41" s="95"/>
      <c r="I41" s="31"/>
      <c r="J41" s="31"/>
      <c r="K41" s="31"/>
      <c r="L41" s="31"/>
      <c r="M41" s="32" t="str">
        <f t="shared" si="50"/>
        <v/>
      </c>
      <c r="N41" s="32">
        <f>IF(B41=0,"",IF(H41="M",HLOOKUP(B41,$Y$12:$DT$13,2),IF(A41=0,"",VLOOKUP(A41,[2]CO!$A$3:$F$5327,4,0))))</f>
        <v>0</v>
      </c>
      <c r="O41" s="32" t="str">
        <f t="shared" si="7"/>
        <v/>
      </c>
      <c r="P41" s="33"/>
      <c r="Q41" s="34" t="str">
        <f t="shared" si="51"/>
        <v/>
      </c>
      <c r="R41" s="35">
        <f>IF(S41=0,"",IF(OR(G41="PEON",G41="OF",G41="JARD",G41="CARP",G41="MAESTRO",G41="SOLD",G41="BGRO",G41="CHOFER",G41="AYTE",G41="S.INTTE.",G41="ASEO",G41="P.PISOS",G41="VELADOR",G41="RESID",G41="PINTOR",G41="ELECT",G41="AZULE",G41="AUX CONT.",G41="SECRETARIA",G41="AUXILIAR ADMTVO.",G41="ARQUITECTO",G41="DIBUJANTE",G41="AUX. DE RESIDENTE",G41="TOPOGRAFIA",G41="DESTAJOS"),VLOOKUP(B41,P$14:Q$64,2),"")*S41)</f>
        <v>486.4050441690141</v>
      </c>
      <c r="S41" s="118">
        <v>1</v>
      </c>
      <c r="T41" s="53">
        <f>IF(A41=0,"",VLOOKUP(A41,[2]CO!$A$3:$F$5318,5,0))</f>
        <v>0</v>
      </c>
      <c r="U41" s="54">
        <f t="shared" si="52"/>
        <v>0</v>
      </c>
      <c r="V41" s="24"/>
      <c r="W41" s="25"/>
      <c r="X41" s="25"/>
      <c r="Y41" s="64" t="str">
        <f t="shared" si="53"/>
        <v/>
      </c>
      <c r="Z41" s="55" t="str">
        <f t="shared" si="53"/>
        <v/>
      </c>
      <c r="AA41" s="55" t="str">
        <f t="shared" si="53"/>
        <v/>
      </c>
      <c r="AB41" s="55" t="str">
        <f t="shared" si="53"/>
        <v/>
      </c>
      <c r="AC41" s="55" t="str">
        <f t="shared" si="53"/>
        <v/>
      </c>
      <c r="AD41" s="55" t="str">
        <f t="shared" si="53"/>
        <v/>
      </c>
      <c r="AE41" s="55" t="str">
        <f t="shared" si="53"/>
        <v/>
      </c>
      <c r="AF41" s="55" t="str">
        <f t="shared" si="53"/>
        <v/>
      </c>
      <c r="AG41" s="55" t="str">
        <f t="shared" si="53"/>
        <v/>
      </c>
      <c r="AH41" s="55" t="str">
        <f t="shared" si="53"/>
        <v/>
      </c>
      <c r="AI41" s="55" t="str">
        <f t="shared" si="53"/>
        <v/>
      </c>
      <c r="AJ41" s="55" t="str">
        <f t="shared" si="53"/>
        <v/>
      </c>
      <c r="AK41" s="55" t="str">
        <f t="shared" si="53"/>
        <v/>
      </c>
      <c r="AL41" s="55" t="str">
        <f t="shared" si="53"/>
        <v/>
      </c>
      <c r="AM41" s="55" t="str">
        <f t="shared" si="53"/>
        <v/>
      </c>
      <c r="AN41" s="55" t="str">
        <f t="shared" si="53"/>
        <v/>
      </c>
      <c r="AO41" s="55" t="str">
        <f t="shared" si="54"/>
        <v/>
      </c>
      <c r="AP41" s="55" t="str">
        <f t="shared" si="54"/>
        <v/>
      </c>
      <c r="AQ41" s="55" t="str">
        <f t="shared" si="54"/>
        <v/>
      </c>
      <c r="AR41" s="55" t="str">
        <f t="shared" si="54"/>
        <v/>
      </c>
      <c r="AS41" s="55" t="str">
        <f t="shared" si="54"/>
        <v/>
      </c>
      <c r="AT41" s="55" t="str">
        <f t="shared" si="54"/>
        <v/>
      </c>
      <c r="AU41" s="55" t="str">
        <f t="shared" si="54"/>
        <v/>
      </c>
      <c r="AV41" s="55" t="str">
        <f t="shared" si="54"/>
        <v/>
      </c>
      <c r="AW41" s="55" t="str">
        <f t="shared" si="54"/>
        <v/>
      </c>
      <c r="AX41" s="55" t="str">
        <f t="shared" si="54"/>
        <v/>
      </c>
      <c r="AY41" s="55" t="str">
        <f t="shared" si="54"/>
        <v/>
      </c>
      <c r="AZ41" s="55" t="str">
        <f t="shared" si="54"/>
        <v/>
      </c>
      <c r="BA41" s="55" t="str">
        <f t="shared" si="54"/>
        <v/>
      </c>
      <c r="BB41" s="55" t="str">
        <f t="shared" si="54"/>
        <v/>
      </c>
      <c r="BC41" s="55" t="str">
        <f t="shared" si="54"/>
        <v/>
      </c>
      <c r="BD41" s="55" t="str">
        <f t="shared" si="54"/>
        <v/>
      </c>
      <c r="BE41" s="55" t="str">
        <f t="shared" si="54"/>
        <v/>
      </c>
      <c r="BF41" s="55" t="str">
        <f t="shared" si="54"/>
        <v/>
      </c>
      <c r="BG41" s="55" t="str">
        <f t="shared" si="54"/>
        <v/>
      </c>
      <c r="BH41" s="55" t="str">
        <f t="shared" si="54"/>
        <v/>
      </c>
      <c r="BI41" s="55" t="str">
        <f t="shared" si="54"/>
        <v/>
      </c>
      <c r="BJ41" s="55" t="str">
        <f t="shared" si="54"/>
        <v/>
      </c>
      <c r="BK41" s="55" t="str">
        <f t="shared" si="54"/>
        <v/>
      </c>
      <c r="BL41" s="55" t="str">
        <f t="shared" si="54"/>
        <v/>
      </c>
      <c r="BM41" s="55" t="str">
        <f t="shared" si="54"/>
        <v/>
      </c>
      <c r="BN41" s="55" t="str">
        <f t="shared" si="54"/>
        <v/>
      </c>
      <c r="BO41" s="55" t="str">
        <f t="shared" si="54"/>
        <v/>
      </c>
      <c r="BP41" s="55" t="str">
        <f t="shared" si="54"/>
        <v/>
      </c>
      <c r="BQ41" s="55" t="str">
        <f t="shared" si="54"/>
        <v/>
      </c>
      <c r="BR41" s="55" t="str">
        <f t="shared" si="54"/>
        <v/>
      </c>
      <c r="BS41" s="55" t="str">
        <f t="shared" si="54"/>
        <v/>
      </c>
      <c r="BT41" s="55" t="str">
        <f t="shared" si="54"/>
        <v/>
      </c>
      <c r="BU41" s="55" t="str">
        <f t="shared" si="54"/>
        <v/>
      </c>
      <c r="BV41" s="55" t="str">
        <f t="shared" si="54"/>
        <v/>
      </c>
      <c r="BW41" s="55" t="str">
        <f t="shared" si="54"/>
        <v/>
      </c>
      <c r="BX41" s="55" t="str">
        <f t="shared" si="54"/>
        <v/>
      </c>
      <c r="BY41" s="55" t="str">
        <f t="shared" si="54"/>
        <v/>
      </c>
      <c r="BZ41" s="55" t="str">
        <f t="shared" si="54"/>
        <v/>
      </c>
      <c r="CA41" s="55" t="str">
        <f t="shared" si="54"/>
        <v/>
      </c>
      <c r="CB41" s="55" t="str">
        <f t="shared" si="54"/>
        <v/>
      </c>
      <c r="CC41" s="55" t="str">
        <f t="shared" si="54"/>
        <v/>
      </c>
      <c r="CD41" s="55" t="str">
        <f t="shared" si="54"/>
        <v/>
      </c>
      <c r="CE41" s="55" t="str">
        <f t="shared" si="54"/>
        <v/>
      </c>
      <c r="CF41" s="55">
        <f t="shared" si="54"/>
        <v>0</v>
      </c>
      <c r="CG41" s="55" t="str">
        <f t="shared" si="54"/>
        <v/>
      </c>
      <c r="CH41" s="55" t="str">
        <f t="shared" si="54"/>
        <v/>
      </c>
      <c r="CI41" s="55" t="str">
        <f t="shared" si="54"/>
        <v/>
      </c>
      <c r="CJ41" s="55" t="str">
        <f t="shared" si="54"/>
        <v/>
      </c>
      <c r="CK41" s="55" t="str">
        <f t="shared" si="54"/>
        <v/>
      </c>
      <c r="CL41" s="55" t="str">
        <f t="shared" si="54"/>
        <v/>
      </c>
      <c r="CM41" s="55" t="str">
        <f t="shared" si="54"/>
        <v/>
      </c>
      <c r="CN41" s="55" t="str">
        <f t="shared" si="54"/>
        <v/>
      </c>
      <c r="CO41" s="55" t="str">
        <f t="shared" si="54"/>
        <v/>
      </c>
      <c r="CP41" s="55" t="str">
        <f t="shared" si="54"/>
        <v/>
      </c>
      <c r="CQ41" s="55" t="str">
        <f t="shared" si="54"/>
        <v/>
      </c>
      <c r="CR41" s="55" t="str">
        <f t="shared" si="54"/>
        <v/>
      </c>
      <c r="CS41" s="55" t="str">
        <f t="shared" si="54"/>
        <v/>
      </c>
      <c r="CT41" s="55" t="str">
        <f t="shared" si="54"/>
        <v/>
      </c>
      <c r="CU41" s="55" t="str">
        <f t="shared" si="54"/>
        <v/>
      </c>
      <c r="CV41" s="55" t="str">
        <f t="shared" si="54"/>
        <v/>
      </c>
      <c r="CW41" s="55" t="str">
        <f t="shared" si="54"/>
        <v/>
      </c>
      <c r="CX41" s="55" t="str">
        <f t="shared" si="54"/>
        <v/>
      </c>
      <c r="CY41" s="55" t="str">
        <f t="shared" si="54"/>
        <v/>
      </c>
      <c r="CZ41" s="55" t="str">
        <f t="shared" si="54"/>
        <v/>
      </c>
      <c r="DA41" s="55" t="str">
        <f t="shared" si="55"/>
        <v/>
      </c>
      <c r="DB41" s="55" t="str">
        <f t="shared" si="55"/>
        <v/>
      </c>
      <c r="DC41" s="55" t="str">
        <f t="shared" si="55"/>
        <v/>
      </c>
      <c r="DD41" s="55" t="str">
        <f t="shared" si="55"/>
        <v/>
      </c>
      <c r="DE41" s="55" t="str">
        <f t="shared" si="55"/>
        <v/>
      </c>
      <c r="DF41" s="55" t="str">
        <f t="shared" si="55"/>
        <v/>
      </c>
      <c r="DG41" s="55" t="str">
        <f t="shared" si="55"/>
        <v/>
      </c>
      <c r="DH41" s="55" t="str">
        <f t="shared" si="55"/>
        <v/>
      </c>
      <c r="DI41" s="55" t="str">
        <f t="shared" si="55"/>
        <v/>
      </c>
      <c r="DJ41" s="55" t="str">
        <f t="shared" si="55"/>
        <v/>
      </c>
      <c r="DK41" s="55" t="str">
        <f t="shared" si="55"/>
        <v/>
      </c>
      <c r="DL41" s="55" t="str">
        <f t="shared" si="55"/>
        <v/>
      </c>
      <c r="DM41" s="55" t="str">
        <f t="shared" si="55"/>
        <v/>
      </c>
      <c r="DN41" s="55" t="str">
        <f t="shared" si="55"/>
        <v/>
      </c>
      <c r="DO41" s="55" t="str">
        <f t="shared" si="55"/>
        <v/>
      </c>
      <c r="DP41" s="55" t="str">
        <f t="shared" si="55"/>
        <v/>
      </c>
      <c r="DQ41" s="55" t="str">
        <f t="shared" si="56"/>
        <v/>
      </c>
      <c r="DR41" s="55" t="str">
        <f t="shared" si="56"/>
        <v/>
      </c>
      <c r="DS41" s="55" t="str">
        <f t="shared" si="56"/>
        <v/>
      </c>
      <c r="DT41" s="106" t="str">
        <f t="shared" si="56"/>
        <v/>
      </c>
      <c r="DU41" s="54"/>
      <c r="DV41" s="25"/>
      <c r="DW41" s="61" t="str">
        <f t="shared" si="57"/>
        <v/>
      </c>
      <c r="DX41" s="50" t="str">
        <f t="shared" si="57"/>
        <v/>
      </c>
      <c r="DY41" s="50" t="str">
        <f t="shared" si="57"/>
        <v/>
      </c>
      <c r="DZ41" s="50" t="str">
        <f t="shared" si="57"/>
        <v/>
      </c>
      <c r="EA41" s="50" t="str">
        <f t="shared" si="57"/>
        <v/>
      </c>
      <c r="EB41" s="50" t="str">
        <f t="shared" si="57"/>
        <v/>
      </c>
      <c r="EC41" s="50" t="str">
        <f t="shared" si="57"/>
        <v/>
      </c>
      <c r="ED41" s="50" t="str">
        <f t="shared" si="57"/>
        <v/>
      </c>
      <c r="EE41" s="50" t="str">
        <f t="shared" si="57"/>
        <v/>
      </c>
      <c r="EF41" s="50" t="str">
        <f t="shared" si="57"/>
        <v/>
      </c>
      <c r="EG41" s="50" t="str">
        <f t="shared" si="57"/>
        <v/>
      </c>
      <c r="EH41" s="50" t="str">
        <f t="shared" si="57"/>
        <v/>
      </c>
      <c r="EI41" s="50" t="str">
        <f t="shared" si="57"/>
        <v/>
      </c>
      <c r="EJ41" s="50" t="str">
        <f t="shared" si="57"/>
        <v/>
      </c>
      <c r="EK41" s="50" t="str">
        <f t="shared" si="57"/>
        <v/>
      </c>
      <c r="EL41" s="50" t="str">
        <f t="shared" si="57"/>
        <v/>
      </c>
      <c r="EM41" s="50" t="str">
        <f t="shared" si="58"/>
        <v/>
      </c>
      <c r="EN41" s="50" t="str">
        <f t="shared" si="58"/>
        <v/>
      </c>
      <c r="EO41" s="50" t="str">
        <f t="shared" si="58"/>
        <v/>
      </c>
      <c r="EP41" s="50" t="str">
        <f t="shared" si="58"/>
        <v/>
      </c>
      <c r="EQ41" s="50" t="str">
        <f t="shared" si="58"/>
        <v/>
      </c>
      <c r="ER41" s="50" t="str">
        <f t="shared" si="58"/>
        <v/>
      </c>
      <c r="ES41" s="50" t="str">
        <f t="shared" si="58"/>
        <v/>
      </c>
      <c r="ET41" s="50" t="str">
        <f t="shared" si="58"/>
        <v/>
      </c>
      <c r="EU41" s="50" t="str">
        <f t="shared" si="58"/>
        <v/>
      </c>
      <c r="EV41" s="50" t="str">
        <f t="shared" si="58"/>
        <v/>
      </c>
      <c r="EW41" s="50" t="str">
        <f t="shared" si="58"/>
        <v/>
      </c>
      <c r="EX41" s="50" t="str">
        <f t="shared" si="58"/>
        <v/>
      </c>
      <c r="EY41" s="50" t="str">
        <f t="shared" si="58"/>
        <v/>
      </c>
      <c r="EZ41" s="50" t="str">
        <f t="shared" si="58"/>
        <v/>
      </c>
      <c r="FA41" s="50" t="str">
        <f t="shared" si="58"/>
        <v/>
      </c>
      <c r="FB41" s="50" t="str">
        <f t="shared" si="58"/>
        <v/>
      </c>
      <c r="FC41" s="50" t="str">
        <f t="shared" si="58"/>
        <v/>
      </c>
      <c r="FD41" s="50" t="str">
        <f t="shared" si="58"/>
        <v/>
      </c>
      <c r="FE41" s="50" t="str">
        <f t="shared" si="58"/>
        <v/>
      </c>
      <c r="FF41" s="50" t="str">
        <f t="shared" si="58"/>
        <v/>
      </c>
      <c r="FG41" s="50" t="str">
        <f t="shared" si="58"/>
        <v/>
      </c>
      <c r="FH41" s="50" t="str">
        <f t="shared" si="58"/>
        <v/>
      </c>
      <c r="FI41" s="50" t="str">
        <f t="shared" si="58"/>
        <v/>
      </c>
      <c r="FJ41" s="50" t="str">
        <f t="shared" si="58"/>
        <v/>
      </c>
      <c r="FK41" s="50" t="str">
        <f t="shared" si="58"/>
        <v/>
      </c>
      <c r="FL41" s="50" t="str">
        <f t="shared" si="58"/>
        <v/>
      </c>
      <c r="FM41" s="50" t="str">
        <f t="shared" si="58"/>
        <v/>
      </c>
      <c r="FN41" s="50" t="str">
        <f t="shared" si="58"/>
        <v/>
      </c>
      <c r="FO41" s="50" t="str">
        <f t="shared" si="58"/>
        <v/>
      </c>
      <c r="FP41" s="50" t="str">
        <f t="shared" si="58"/>
        <v/>
      </c>
      <c r="FQ41" s="50" t="str">
        <f t="shared" si="58"/>
        <v/>
      </c>
      <c r="FR41" s="50" t="str">
        <f t="shared" si="58"/>
        <v/>
      </c>
      <c r="FS41" s="50" t="str">
        <f t="shared" si="58"/>
        <v/>
      </c>
      <c r="FT41" s="50" t="str">
        <f t="shared" si="58"/>
        <v/>
      </c>
      <c r="FU41" s="50" t="str">
        <f t="shared" si="58"/>
        <v/>
      </c>
      <c r="FV41" s="50" t="str">
        <f t="shared" si="58"/>
        <v/>
      </c>
      <c r="FW41" s="50" t="str">
        <f t="shared" si="58"/>
        <v/>
      </c>
      <c r="FX41" s="50" t="str">
        <f t="shared" si="58"/>
        <v/>
      </c>
      <c r="FY41" s="50" t="str">
        <f t="shared" si="58"/>
        <v/>
      </c>
      <c r="FZ41" s="50" t="str">
        <f t="shared" si="58"/>
        <v/>
      </c>
      <c r="GA41" s="50" t="str">
        <f t="shared" si="58"/>
        <v/>
      </c>
      <c r="GB41" s="50" t="str">
        <f t="shared" si="58"/>
        <v/>
      </c>
      <c r="GC41" s="50" t="str">
        <f t="shared" si="58"/>
        <v/>
      </c>
      <c r="GD41" s="50" t="str">
        <f t="shared" si="58"/>
        <v/>
      </c>
      <c r="GE41" s="50" t="str">
        <f t="shared" si="58"/>
        <v/>
      </c>
      <c r="GF41" s="50" t="str">
        <f t="shared" si="58"/>
        <v/>
      </c>
      <c r="GG41" s="50" t="str">
        <f t="shared" si="58"/>
        <v/>
      </c>
      <c r="GH41" s="50" t="str">
        <f t="shared" si="58"/>
        <v/>
      </c>
      <c r="GI41" s="50" t="str">
        <f t="shared" si="58"/>
        <v/>
      </c>
      <c r="GJ41" s="50" t="str">
        <f t="shared" si="58"/>
        <v/>
      </c>
      <c r="GK41" s="50" t="str">
        <f t="shared" si="58"/>
        <v/>
      </c>
      <c r="GL41" s="50" t="str">
        <f t="shared" si="58"/>
        <v/>
      </c>
      <c r="GM41" s="50" t="str">
        <f t="shared" si="58"/>
        <v/>
      </c>
      <c r="GN41" s="50" t="str">
        <f t="shared" si="58"/>
        <v/>
      </c>
      <c r="GO41" s="50" t="str">
        <f t="shared" si="58"/>
        <v/>
      </c>
      <c r="GP41" s="50" t="str">
        <f t="shared" si="58"/>
        <v/>
      </c>
      <c r="GQ41" s="50" t="str">
        <f t="shared" si="58"/>
        <v/>
      </c>
      <c r="GR41" s="50" t="str">
        <f t="shared" si="58"/>
        <v/>
      </c>
      <c r="GS41" s="50" t="str">
        <f t="shared" si="58"/>
        <v/>
      </c>
      <c r="GT41" s="50" t="str">
        <f t="shared" si="58"/>
        <v/>
      </c>
      <c r="GU41" s="50" t="str">
        <f t="shared" si="58"/>
        <v/>
      </c>
      <c r="GV41" s="50" t="str">
        <f t="shared" si="58"/>
        <v/>
      </c>
      <c r="GW41" s="50" t="str">
        <f t="shared" si="58"/>
        <v/>
      </c>
      <c r="GX41" s="50" t="str">
        <f t="shared" si="58"/>
        <v/>
      </c>
      <c r="GY41" s="50" t="str">
        <f t="shared" si="59"/>
        <v/>
      </c>
      <c r="GZ41" s="50" t="str">
        <f t="shared" si="59"/>
        <v/>
      </c>
      <c r="HA41" s="50" t="str">
        <f t="shared" si="59"/>
        <v/>
      </c>
      <c r="HB41" s="50" t="str">
        <f t="shared" si="59"/>
        <v/>
      </c>
      <c r="HC41" s="50" t="str">
        <f t="shared" si="59"/>
        <v/>
      </c>
      <c r="HD41" s="50" t="str">
        <f t="shared" si="59"/>
        <v/>
      </c>
      <c r="HE41" s="50" t="str">
        <f t="shared" si="59"/>
        <v/>
      </c>
      <c r="HF41" s="50" t="str">
        <f t="shared" si="59"/>
        <v/>
      </c>
      <c r="HG41" s="50" t="str">
        <f t="shared" si="59"/>
        <v/>
      </c>
      <c r="HH41" s="50" t="str">
        <f t="shared" si="59"/>
        <v/>
      </c>
      <c r="HI41" s="50" t="str">
        <f t="shared" si="60"/>
        <v/>
      </c>
      <c r="HJ41" s="50" t="str">
        <f t="shared" si="60"/>
        <v/>
      </c>
      <c r="HK41" s="50" t="str">
        <f t="shared" si="60"/>
        <v/>
      </c>
      <c r="HL41" s="50" t="str">
        <f t="shared" si="60"/>
        <v/>
      </c>
      <c r="HM41" s="50" t="str">
        <f t="shared" si="60"/>
        <v/>
      </c>
      <c r="HN41" s="50" t="str">
        <f t="shared" si="60"/>
        <v/>
      </c>
      <c r="HO41" s="50" t="str">
        <f t="shared" si="60"/>
        <v/>
      </c>
      <c r="HP41" s="50" t="str">
        <f t="shared" si="60"/>
        <v/>
      </c>
      <c r="HQ41" s="50" t="str">
        <f t="shared" si="60"/>
        <v/>
      </c>
      <c r="HR41" s="112" t="str">
        <f t="shared" si="60"/>
        <v/>
      </c>
    </row>
    <row r="42" spans="1:226" ht="11.1" customHeight="1" x14ac:dyDescent="0.25">
      <c r="A42" s="26" t="s">
        <v>43</v>
      </c>
      <c r="B42" s="27">
        <v>60</v>
      </c>
      <c r="C42" s="28" t="str">
        <f>IF(A42=0,"",VLOOKUP(A42,[2]CO!$A$3:$F$5327,2,0))</f>
        <v>Destajos y nominas</v>
      </c>
      <c r="D42" s="29"/>
      <c r="E42" s="29"/>
      <c r="F42" s="29"/>
      <c r="G42" s="30" t="str">
        <f>IF(A42=0,"",VLOOKUP(A42,[2]CO!$A$3:$F$5327,3,0))</f>
        <v>LOTE</v>
      </c>
      <c r="H42" s="126">
        <v>0.04</v>
      </c>
      <c r="I42" s="31"/>
      <c r="J42" s="31"/>
      <c r="K42" s="31"/>
      <c r="L42" s="31">
        <v>1</v>
      </c>
      <c r="M42" s="32">
        <f t="shared" si="50"/>
        <v>4.8640504416901411</v>
      </c>
      <c r="N42" s="32">
        <f>IF(B42=0,"",IF(H42="M",HLOOKUP(B42,$Y$12:$DT$13,2),IF(A42=0,"",VLOOKUP(A42,[2]CO!$A$3:$F$5327,4,0))))</f>
        <v>100</v>
      </c>
      <c r="O42" s="32">
        <f t="shared" si="7"/>
        <v>486.4050441690141</v>
      </c>
      <c r="P42" s="33">
        <v>60</v>
      </c>
      <c r="Q42" s="34">
        <f t="shared" si="51"/>
        <v>486.4050441690141</v>
      </c>
      <c r="R42" s="35" t="str">
        <f>IF(S42=0,"",IF(OR(G42="PEON",G42="OF",G42="JARD",G42="CARP",G42="MAESTRO",G42="SOLD",G42="BGRO",G42="CHOFER",G42="AYTE",G42="S.INTTE.",G42="ASEO",G42="P.PISOS",G42="VELADOR",G42="RESID",G42="PINTOR",G42="ELECT",G42="AZULE",G42="AUX CONT.",G42="SECRETARIA",G42="AUXILIAR ADMTVO.",G42="ARQUITECTO",G42="DIBUJANTE",G42="AUX. DE RESIDENTE",G42="TOPOGRAFIA"),VLOOKUP(B42,P$14:Q$71,2),"")*S42)</f>
        <v/>
      </c>
      <c r="T42" s="53">
        <f>IF(A42=0,"",VLOOKUP(A42,[2]CO!$A$3:$F$5318,5,0))</f>
        <v>0</v>
      </c>
      <c r="U42" s="54">
        <f t="shared" si="52"/>
        <v>0</v>
      </c>
      <c r="V42" s="24"/>
      <c r="W42" s="25"/>
      <c r="X42" s="25"/>
      <c r="Y42" s="64" t="str">
        <f t="shared" si="53"/>
        <v/>
      </c>
      <c r="Z42" s="55" t="str">
        <f t="shared" si="53"/>
        <v/>
      </c>
      <c r="AA42" s="55" t="str">
        <f t="shared" si="53"/>
        <v/>
      </c>
      <c r="AB42" s="55" t="str">
        <f t="shared" si="53"/>
        <v/>
      </c>
      <c r="AC42" s="55" t="str">
        <f t="shared" si="53"/>
        <v/>
      </c>
      <c r="AD42" s="55" t="str">
        <f t="shared" si="53"/>
        <v/>
      </c>
      <c r="AE42" s="55" t="str">
        <f t="shared" si="53"/>
        <v/>
      </c>
      <c r="AF42" s="55" t="str">
        <f t="shared" si="53"/>
        <v/>
      </c>
      <c r="AG42" s="55" t="str">
        <f t="shared" si="53"/>
        <v/>
      </c>
      <c r="AH42" s="55" t="str">
        <f t="shared" si="53"/>
        <v/>
      </c>
      <c r="AI42" s="55" t="str">
        <f t="shared" si="53"/>
        <v/>
      </c>
      <c r="AJ42" s="55" t="str">
        <f t="shared" si="53"/>
        <v/>
      </c>
      <c r="AK42" s="55" t="str">
        <f t="shared" si="53"/>
        <v/>
      </c>
      <c r="AL42" s="55" t="str">
        <f t="shared" si="53"/>
        <v/>
      </c>
      <c r="AM42" s="55" t="str">
        <f t="shared" si="53"/>
        <v/>
      </c>
      <c r="AN42" s="55" t="str">
        <f t="shared" si="53"/>
        <v/>
      </c>
      <c r="AO42" s="55" t="str">
        <f t="shared" si="54"/>
        <v/>
      </c>
      <c r="AP42" s="55" t="str">
        <f t="shared" si="54"/>
        <v/>
      </c>
      <c r="AQ42" s="55" t="str">
        <f t="shared" si="54"/>
        <v/>
      </c>
      <c r="AR42" s="55" t="str">
        <f t="shared" si="54"/>
        <v/>
      </c>
      <c r="AS42" s="55" t="str">
        <f t="shared" si="54"/>
        <v/>
      </c>
      <c r="AT42" s="55" t="str">
        <f t="shared" si="54"/>
        <v/>
      </c>
      <c r="AU42" s="55" t="str">
        <f t="shared" si="54"/>
        <v/>
      </c>
      <c r="AV42" s="55" t="str">
        <f t="shared" si="54"/>
        <v/>
      </c>
      <c r="AW42" s="55" t="str">
        <f t="shared" si="54"/>
        <v/>
      </c>
      <c r="AX42" s="55" t="str">
        <f t="shared" si="54"/>
        <v/>
      </c>
      <c r="AY42" s="55" t="str">
        <f t="shared" si="54"/>
        <v/>
      </c>
      <c r="AZ42" s="55" t="str">
        <f t="shared" si="54"/>
        <v/>
      </c>
      <c r="BA42" s="55" t="str">
        <f t="shared" si="54"/>
        <v/>
      </c>
      <c r="BB42" s="55" t="str">
        <f t="shared" si="54"/>
        <v/>
      </c>
      <c r="BC42" s="55" t="str">
        <f t="shared" si="54"/>
        <v/>
      </c>
      <c r="BD42" s="55" t="str">
        <f t="shared" si="54"/>
        <v/>
      </c>
      <c r="BE42" s="55" t="str">
        <f t="shared" si="54"/>
        <v/>
      </c>
      <c r="BF42" s="55" t="str">
        <f t="shared" si="54"/>
        <v/>
      </c>
      <c r="BG42" s="55" t="str">
        <f t="shared" si="54"/>
        <v/>
      </c>
      <c r="BH42" s="55" t="str">
        <f t="shared" si="54"/>
        <v/>
      </c>
      <c r="BI42" s="55" t="str">
        <f t="shared" si="54"/>
        <v/>
      </c>
      <c r="BJ42" s="55" t="str">
        <f t="shared" si="54"/>
        <v/>
      </c>
      <c r="BK42" s="55" t="str">
        <f t="shared" si="54"/>
        <v/>
      </c>
      <c r="BL42" s="55" t="str">
        <f t="shared" si="54"/>
        <v/>
      </c>
      <c r="BM42" s="55" t="str">
        <f t="shared" si="54"/>
        <v/>
      </c>
      <c r="BN42" s="55" t="str">
        <f t="shared" si="54"/>
        <v/>
      </c>
      <c r="BO42" s="55" t="str">
        <f t="shared" si="54"/>
        <v/>
      </c>
      <c r="BP42" s="55" t="str">
        <f t="shared" si="54"/>
        <v/>
      </c>
      <c r="BQ42" s="55" t="str">
        <f t="shared" si="54"/>
        <v/>
      </c>
      <c r="BR42" s="55" t="str">
        <f t="shared" si="54"/>
        <v/>
      </c>
      <c r="BS42" s="55" t="str">
        <f t="shared" si="54"/>
        <v/>
      </c>
      <c r="BT42" s="55" t="str">
        <f t="shared" si="54"/>
        <v/>
      </c>
      <c r="BU42" s="55" t="str">
        <f t="shared" si="54"/>
        <v/>
      </c>
      <c r="BV42" s="55" t="str">
        <f t="shared" si="54"/>
        <v/>
      </c>
      <c r="BW42" s="55" t="str">
        <f t="shared" si="54"/>
        <v/>
      </c>
      <c r="BX42" s="55" t="str">
        <f t="shared" si="54"/>
        <v/>
      </c>
      <c r="BY42" s="55" t="str">
        <f t="shared" si="54"/>
        <v/>
      </c>
      <c r="BZ42" s="55" t="str">
        <f t="shared" si="54"/>
        <v/>
      </c>
      <c r="CA42" s="55" t="str">
        <f t="shared" si="54"/>
        <v/>
      </c>
      <c r="CB42" s="55" t="str">
        <f t="shared" si="54"/>
        <v/>
      </c>
      <c r="CC42" s="55" t="str">
        <f t="shared" si="54"/>
        <v/>
      </c>
      <c r="CD42" s="55" t="str">
        <f t="shared" si="54"/>
        <v/>
      </c>
      <c r="CE42" s="55" t="str">
        <f t="shared" si="54"/>
        <v/>
      </c>
      <c r="CF42" s="55">
        <f t="shared" si="54"/>
        <v>0</v>
      </c>
      <c r="CG42" s="55" t="str">
        <f t="shared" si="54"/>
        <v/>
      </c>
      <c r="CH42" s="55" t="str">
        <f t="shared" si="54"/>
        <v/>
      </c>
      <c r="CI42" s="55" t="str">
        <f t="shared" si="54"/>
        <v/>
      </c>
      <c r="CJ42" s="55" t="str">
        <f t="shared" si="54"/>
        <v/>
      </c>
      <c r="CK42" s="55" t="str">
        <f t="shared" si="54"/>
        <v/>
      </c>
      <c r="CL42" s="55" t="str">
        <f t="shared" si="54"/>
        <v/>
      </c>
      <c r="CM42" s="55" t="str">
        <f t="shared" si="54"/>
        <v/>
      </c>
      <c r="CN42" s="55" t="str">
        <f t="shared" si="54"/>
        <v/>
      </c>
      <c r="CO42" s="55" t="str">
        <f t="shared" si="54"/>
        <v/>
      </c>
      <c r="CP42" s="55" t="str">
        <f t="shared" si="54"/>
        <v/>
      </c>
      <c r="CQ42" s="55" t="str">
        <f t="shared" si="54"/>
        <v/>
      </c>
      <c r="CR42" s="55" t="str">
        <f t="shared" si="54"/>
        <v/>
      </c>
      <c r="CS42" s="55" t="str">
        <f t="shared" si="54"/>
        <v/>
      </c>
      <c r="CT42" s="55" t="str">
        <f t="shared" si="54"/>
        <v/>
      </c>
      <c r="CU42" s="55" t="str">
        <f t="shared" si="54"/>
        <v/>
      </c>
      <c r="CV42" s="55" t="str">
        <f t="shared" si="54"/>
        <v/>
      </c>
      <c r="CW42" s="55" t="str">
        <f t="shared" si="54"/>
        <v/>
      </c>
      <c r="CX42" s="55" t="str">
        <f t="shared" si="54"/>
        <v/>
      </c>
      <c r="CY42" s="55" t="str">
        <f t="shared" si="54"/>
        <v/>
      </c>
      <c r="CZ42" s="55" t="str">
        <f t="shared" si="54"/>
        <v/>
      </c>
      <c r="DA42" s="55" t="str">
        <f t="shared" si="55"/>
        <v/>
      </c>
      <c r="DB42" s="55" t="str">
        <f t="shared" si="55"/>
        <v/>
      </c>
      <c r="DC42" s="55" t="str">
        <f t="shared" si="55"/>
        <v/>
      </c>
      <c r="DD42" s="55" t="str">
        <f t="shared" si="55"/>
        <v/>
      </c>
      <c r="DE42" s="55" t="str">
        <f t="shared" si="55"/>
        <v/>
      </c>
      <c r="DF42" s="55" t="str">
        <f t="shared" si="55"/>
        <v/>
      </c>
      <c r="DG42" s="55" t="str">
        <f t="shared" si="55"/>
        <v/>
      </c>
      <c r="DH42" s="55" t="str">
        <f t="shared" si="55"/>
        <v/>
      </c>
      <c r="DI42" s="55" t="str">
        <f t="shared" si="55"/>
        <v/>
      </c>
      <c r="DJ42" s="55" t="str">
        <f t="shared" si="55"/>
        <v/>
      </c>
      <c r="DK42" s="55" t="str">
        <f t="shared" si="55"/>
        <v/>
      </c>
      <c r="DL42" s="55" t="str">
        <f t="shared" si="55"/>
        <v/>
      </c>
      <c r="DM42" s="55" t="str">
        <f t="shared" si="55"/>
        <v/>
      </c>
      <c r="DN42" s="55" t="str">
        <f t="shared" si="55"/>
        <v/>
      </c>
      <c r="DO42" s="55" t="str">
        <f t="shared" si="55"/>
        <v/>
      </c>
      <c r="DP42" s="55" t="str">
        <f t="shared" si="55"/>
        <v/>
      </c>
      <c r="DQ42" s="55" t="str">
        <f t="shared" si="56"/>
        <v/>
      </c>
      <c r="DR42" s="55" t="str">
        <f t="shared" si="56"/>
        <v/>
      </c>
      <c r="DS42" s="55" t="str">
        <f t="shared" si="56"/>
        <v/>
      </c>
      <c r="DT42" s="106" t="str">
        <f t="shared" si="56"/>
        <v/>
      </c>
      <c r="DU42" s="54"/>
      <c r="DV42" s="25"/>
      <c r="DW42" s="61" t="str">
        <f t="shared" si="57"/>
        <v/>
      </c>
      <c r="DX42" s="50" t="str">
        <f t="shared" si="57"/>
        <v/>
      </c>
      <c r="DY42" s="50" t="str">
        <f t="shared" si="57"/>
        <v/>
      </c>
      <c r="DZ42" s="50" t="str">
        <f t="shared" si="57"/>
        <v/>
      </c>
      <c r="EA42" s="50" t="str">
        <f t="shared" si="57"/>
        <v/>
      </c>
      <c r="EB42" s="50" t="str">
        <f t="shared" si="57"/>
        <v/>
      </c>
      <c r="EC42" s="50" t="str">
        <f t="shared" si="57"/>
        <v/>
      </c>
      <c r="ED42" s="50" t="str">
        <f t="shared" si="57"/>
        <v/>
      </c>
      <c r="EE42" s="50" t="str">
        <f t="shared" si="57"/>
        <v/>
      </c>
      <c r="EF42" s="50" t="str">
        <f t="shared" si="57"/>
        <v/>
      </c>
      <c r="EG42" s="50" t="str">
        <f t="shared" si="57"/>
        <v/>
      </c>
      <c r="EH42" s="50" t="str">
        <f t="shared" si="57"/>
        <v/>
      </c>
      <c r="EI42" s="50" t="str">
        <f t="shared" si="57"/>
        <v/>
      </c>
      <c r="EJ42" s="50" t="str">
        <f t="shared" si="57"/>
        <v/>
      </c>
      <c r="EK42" s="50" t="str">
        <f t="shared" si="57"/>
        <v/>
      </c>
      <c r="EL42" s="50" t="str">
        <f t="shared" si="57"/>
        <v/>
      </c>
      <c r="EM42" s="50" t="str">
        <f t="shared" si="58"/>
        <v/>
      </c>
      <c r="EN42" s="50" t="str">
        <f t="shared" si="58"/>
        <v/>
      </c>
      <c r="EO42" s="50" t="str">
        <f t="shared" si="58"/>
        <v/>
      </c>
      <c r="EP42" s="50" t="str">
        <f t="shared" si="58"/>
        <v/>
      </c>
      <c r="EQ42" s="50" t="str">
        <f t="shared" si="58"/>
        <v/>
      </c>
      <c r="ER42" s="50" t="str">
        <f t="shared" si="58"/>
        <v/>
      </c>
      <c r="ES42" s="50" t="str">
        <f t="shared" si="58"/>
        <v/>
      </c>
      <c r="ET42" s="50" t="str">
        <f t="shared" si="58"/>
        <v/>
      </c>
      <c r="EU42" s="50" t="str">
        <f t="shared" si="58"/>
        <v/>
      </c>
      <c r="EV42" s="50" t="str">
        <f t="shared" si="58"/>
        <v/>
      </c>
      <c r="EW42" s="50" t="str">
        <f t="shared" si="58"/>
        <v/>
      </c>
      <c r="EX42" s="50" t="str">
        <f t="shared" si="58"/>
        <v/>
      </c>
      <c r="EY42" s="50" t="str">
        <f t="shared" si="58"/>
        <v/>
      </c>
      <c r="EZ42" s="50" t="str">
        <f t="shared" si="58"/>
        <v/>
      </c>
      <c r="FA42" s="50" t="str">
        <f t="shared" si="58"/>
        <v/>
      </c>
      <c r="FB42" s="50" t="str">
        <f t="shared" si="58"/>
        <v/>
      </c>
      <c r="FC42" s="50" t="str">
        <f t="shared" si="58"/>
        <v/>
      </c>
      <c r="FD42" s="50" t="str">
        <f t="shared" si="58"/>
        <v/>
      </c>
      <c r="FE42" s="50" t="str">
        <f t="shared" si="58"/>
        <v/>
      </c>
      <c r="FF42" s="50" t="str">
        <f t="shared" si="58"/>
        <v/>
      </c>
      <c r="FG42" s="50" t="str">
        <f t="shared" si="58"/>
        <v/>
      </c>
      <c r="FH42" s="50" t="str">
        <f t="shared" si="58"/>
        <v/>
      </c>
      <c r="FI42" s="50" t="str">
        <f t="shared" si="58"/>
        <v/>
      </c>
      <c r="FJ42" s="50" t="str">
        <f t="shared" si="58"/>
        <v/>
      </c>
      <c r="FK42" s="50" t="str">
        <f t="shared" si="58"/>
        <v/>
      </c>
      <c r="FL42" s="50" t="str">
        <f t="shared" si="58"/>
        <v/>
      </c>
      <c r="FM42" s="50" t="str">
        <f t="shared" si="58"/>
        <v/>
      </c>
      <c r="FN42" s="50" t="str">
        <f t="shared" si="58"/>
        <v/>
      </c>
      <c r="FO42" s="50" t="str">
        <f t="shared" si="58"/>
        <v/>
      </c>
      <c r="FP42" s="50" t="str">
        <f t="shared" si="58"/>
        <v/>
      </c>
      <c r="FQ42" s="50" t="str">
        <f t="shared" si="58"/>
        <v/>
      </c>
      <c r="FR42" s="50" t="str">
        <f t="shared" si="58"/>
        <v/>
      </c>
      <c r="FS42" s="50" t="str">
        <f t="shared" si="58"/>
        <v/>
      </c>
      <c r="FT42" s="50" t="str">
        <f t="shared" si="58"/>
        <v/>
      </c>
      <c r="FU42" s="50" t="str">
        <f t="shared" si="58"/>
        <v/>
      </c>
      <c r="FV42" s="50" t="str">
        <f t="shared" si="58"/>
        <v/>
      </c>
      <c r="FW42" s="50" t="str">
        <f t="shared" si="58"/>
        <v/>
      </c>
      <c r="FX42" s="50" t="str">
        <f t="shared" si="58"/>
        <v/>
      </c>
      <c r="FY42" s="50" t="str">
        <f t="shared" si="58"/>
        <v/>
      </c>
      <c r="FZ42" s="50" t="str">
        <f t="shared" si="58"/>
        <v/>
      </c>
      <c r="GA42" s="50" t="str">
        <f t="shared" si="58"/>
        <v/>
      </c>
      <c r="GB42" s="50" t="str">
        <f t="shared" si="58"/>
        <v/>
      </c>
      <c r="GC42" s="50" t="str">
        <f t="shared" si="58"/>
        <v/>
      </c>
      <c r="GD42" s="50">
        <f t="shared" si="58"/>
        <v>486.4050441690141</v>
      </c>
      <c r="GE42" s="50" t="str">
        <f t="shared" si="58"/>
        <v/>
      </c>
      <c r="GF42" s="50" t="str">
        <f t="shared" si="58"/>
        <v/>
      </c>
      <c r="GG42" s="50" t="str">
        <f t="shared" si="58"/>
        <v/>
      </c>
      <c r="GH42" s="50" t="str">
        <f t="shared" si="58"/>
        <v/>
      </c>
      <c r="GI42" s="50" t="str">
        <f t="shared" si="58"/>
        <v/>
      </c>
      <c r="GJ42" s="50" t="str">
        <f t="shared" si="58"/>
        <v/>
      </c>
      <c r="GK42" s="50" t="str">
        <f t="shared" si="58"/>
        <v/>
      </c>
      <c r="GL42" s="50" t="str">
        <f t="shared" si="58"/>
        <v/>
      </c>
      <c r="GM42" s="50" t="str">
        <f t="shared" si="58"/>
        <v/>
      </c>
      <c r="GN42" s="50" t="str">
        <f t="shared" si="58"/>
        <v/>
      </c>
      <c r="GO42" s="50" t="str">
        <f t="shared" si="58"/>
        <v/>
      </c>
      <c r="GP42" s="50" t="str">
        <f t="shared" si="58"/>
        <v/>
      </c>
      <c r="GQ42" s="50" t="str">
        <f t="shared" si="58"/>
        <v/>
      </c>
      <c r="GR42" s="50" t="str">
        <f t="shared" si="58"/>
        <v/>
      </c>
      <c r="GS42" s="50" t="str">
        <f t="shared" si="58"/>
        <v/>
      </c>
      <c r="GT42" s="50" t="str">
        <f t="shared" si="58"/>
        <v/>
      </c>
      <c r="GU42" s="50" t="str">
        <f t="shared" si="58"/>
        <v/>
      </c>
      <c r="GV42" s="50" t="str">
        <f t="shared" si="58"/>
        <v/>
      </c>
      <c r="GW42" s="50" t="str">
        <f t="shared" si="58"/>
        <v/>
      </c>
      <c r="GX42" s="50" t="str">
        <f t="shared" si="58"/>
        <v/>
      </c>
      <c r="GY42" s="50" t="str">
        <f t="shared" si="59"/>
        <v/>
      </c>
      <c r="GZ42" s="50" t="str">
        <f t="shared" si="59"/>
        <v/>
      </c>
      <c r="HA42" s="50" t="str">
        <f t="shared" si="59"/>
        <v/>
      </c>
      <c r="HB42" s="50" t="str">
        <f t="shared" si="59"/>
        <v/>
      </c>
      <c r="HC42" s="50" t="str">
        <f t="shared" si="59"/>
        <v/>
      </c>
      <c r="HD42" s="50" t="str">
        <f t="shared" si="59"/>
        <v/>
      </c>
      <c r="HE42" s="50" t="str">
        <f t="shared" si="59"/>
        <v/>
      </c>
      <c r="HF42" s="50" t="str">
        <f t="shared" si="59"/>
        <v/>
      </c>
      <c r="HG42" s="50" t="str">
        <f t="shared" si="59"/>
        <v/>
      </c>
      <c r="HH42" s="50" t="str">
        <f t="shared" si="59"/>
        <v/>
      </c>
      <c r="HI42" s="50" t="str">
        <f t="shared" si="60"/>
        <v/>
      </c>
      <c r="HJ42" s="50" t="str">
        <f t="shared" si="60"/>
        <v/>
      </c>
      <c r="HK42" s="50" t="str">
        <f t="shared" si="60"/>
        <v/>
      </c>
      <c r="HL42" s="50" t="str">
        <f t="shared" si="60"/>
        <v/>
      </c>
      <c r="HM42" s="50" t="str">
        <f t="shared" si="60"/>
        <v/>
      </c>
      <c r="HN42" s="50" t="str">
        <f t="shared" si="60"/>
        <v/>
      </c>
      <c r="HO42" s="50" t="str">
        <f t="shared" si="60"/>
        <v/>
      </c>
      <c r="HP42" s="50" t="str">
        <f t="shared" si="60"/>
        <v/>
      </c>
      <c r="HQ42" s="50" t="str">
        <f t="shared" si="60"/>
        <v/>
      </c>
      <c r="HR42" s="112" t="str">
        <f t="shared" si="60"/>
        <v/>
      </c>
    </row>
    <row r="43" spans="1:226" ht="11.1" customHeight="1" x14ac:dyDescent="0.25">
      <c r="A43" s="26"/>
      <c r="B43" s="27"/>
      <c r="C43" s="28" t="str">
        <f>IF(A43=0,"",VLOOKUP(A43,[2]CO!$A$3:$F$5327,2,0))</f>
        <v/>
      </c>
      <c r="D43" s="29"/>
      <c r="E43" s="29"/>
      <c r="F43" s="29"/>
      <c r="G43" s="30" t="str">
        <f>IF(A43=0,"",VLOOKUP(A43,[2]CO!$A$3:$F$5327,3,0))</f>
        <v/>
      </c>
      <c r="H43" s="95"/>
      <c r="I43" s="31"/>
      <c r="J43" s="31"/>
      <c r="K43" s="31"/>
      <c r="L43" s="31"/>
      <c r="M43" s="32" t="str">
        <f t="shared" si="50"/>
        <v/>
      </c>
      <c r="N43" s="32" t="str">
        <f>IF(B43=0,"",IF(H43="M",HLOOKUP(B43,$Y$12:$DT$13,2),IF(A43=0,"",VLOOKUP(A43,[2]CO!$A$3:$F$5327,4,0))))</f>
        <v/>
      </c>
      <c r="O43" s="32" t="str">
        <f t="shared" si="7"/>
        <v/>
      </c>
      <c r="P43" s="33"/>
      <c r="Q43" s="34" t="str">
        <f t="shared" si="51"/>
        <v/>
      </c>
      <c r="R43" s="35" t="str">
        <f>IF(S43=0,"",IF(OR(G43="PEON",G43="OF",G43="JARD",G43="CARP",G43="MAESTRO",G43="SOLD",G43="BGRO",G43="CHOFER",G43="AYTE",G43="S.INTTE.",G43="ASEO",G43="P.PISOS",G43="VELADOR",G43="RESID",G43="PINTOR",G43="ELECT",G43="AZULE",G43="AUX CONT.",G43="SECRETARIA",G43="AUXILIAR ADMTVO.",G43="ARQUITECTO",G43="DIBUJANTE",G43="AUX. DE RESIDENTE",G43="TOPOGRAFIA"),VLOOKUP(B43,P$14:Q$71,2),"")*S43)</f>
        <v/>
      </c>
      <c r="T43" s="53" t="str">
        <f>IF(A43=0,"",VLOOKUP(A43,[2]CO!$A$3:$F$5318,5,0))</f>
        <v/>
      </c>
      <c r="U43" s="54">
        <f t="shared" si="52"/>
        <v>0</v>
      </c>
      <c r="V43" s="24"/>
      <c r="W43" s="25"/>
      <c r="X43" s="25"/>
      <c r="Y43" s="64" t="str">
        <f t="shared" si="53"/>
        <v/>
      </c>
      <c r="Z43" s="55" t="str">
        <f t="shared" si="53"/>
        <v/>
      </c>
      <c r="AA43" s="55" t="str">
        <f t="shared" si="53"/>
        <v/>
      </c>
      <c r="AB43" s="55" t="str">
        <f t="shared" si="53"/>
        <v/>
      </c>
      <c r="AC43" s="55" t="str">
        <f t="shared" si="53"/>
        <v/>
      </c>
      <c r="AD43" s="55" t="str">
        <f t="shared" si="53"/>
        <v/>
      </c>
      <c r="AE43" s="55" t="str">
        <f t="shared" si="53"/>
        <v/>
      </c>
      <c r="AF43" s="55" t="str">
        <f t="shared" si="53"/>
        <v/>
      </c>
      <c r="AG43" s="55" t="str">
        <f t="shared" si="53"/>
        <v/>
      </c>
      <c r="AH43" s="55" t="str">
        <f t="shared" si="53"/>
        <v/>
      </c>
      <c r="AI43" s="55" t="str">
        <f t="shared" si="53"/>
        <v/>
      </c>
      <c r="AJ43" s="55" t="str">
        <f t="shared" si="53"/>
        <v/>
      </c>
      <c r="AK43" s="55" t="str">
        <f t="shared" si="53"/>
        <v/>
      </c>
      <c r="AL43" s="55" t="str">
        <f t="shared" si="53"/>
        <v/>
      </c>
      <c r="AM43" s="55" t="str">
        <f t="shared" si="53"/>
        <v/>
      </c>
      <c r="AN43" s="55" t="str">
        <f t="shared" si="53"/>
        <v/>
      </c>
      <c r="AO43" s="55" t="str">
        <f t="shared" si="54"/>
        <v/>
      </c>
      <c r="AP43" s="55" t="str">
        <f t="shared" si="54"/>
        <v/>
      </c>
      <c r="AQ43" s="55" t="str">
        <f t="shared" si="54"/>
        <v/>
      </c>
      <c r="AR43" s="55" t="str">
        <f t="shared" si="54"/>
        <v/>
      </c>
      <c r="AS43" s="55" t="str">
        <f t="shared" si="54"/>
        <v/>
      </c>
      <c r="AT43" s="55" t="str">
        <f t="shared" si="54"/>
        <v/>
      </c>
      <c r="AU43" s="55" t="str">
        <f t="shared" si="54"/>
        <v/>
      </c>
      <c r="AV43" s="55" t="str">
        <f t="shared" si="54"/>
        <v/>
      </c>
      <c r="AW43" s="55" t="str">
        <f t="shared" si="54"/>
        <v/>
      </c>
      <c r="AX43" s="55" t="str">
        <f t="shared" si="54"/>
        <v/>
      </c>
      <c r="AY43" s="55" t="str">
        <f t="shared" si="54"/>
        <v/>
      </c>
      <c r="AZ43" s="55" t="str">
        <f t="shared" si="54"/>
        <v/>
      </c>
      <c r="BA43" s="55" t="str">
        <f t="shared" si="54"/>
        <v/>
      </c>
      <c r="BB43" s="55" t="str">
        <f t="shared" si="54"/>
        <v/>
      </c>
      <c r="BC43" s="55" t="str">
        <f t="shared" si="54"/>
        <v/>
      </c>
      <c r="BD43" s="55" t="str">
        <f t="shared" si="54"/>
        <v/>
      </c>
      <c r="BE43" s="55" t="str">
        <f t="shared" si="54"/>
        <v/>
      </c>
      <c r="BF43" s="55" t="str">
        <f t="shared" si="54"/>
        <v/>
      </c>
      <c r="BG43" s="55" t="str">
        <f t="shared" si="54"/>
        <v/>
      </c>
      <c r="BH43" s="55" t="str">
        <f t="shared" si="54"/>
        <v/>
      </c>
      <c r="BI43" s="55" t="str">
        <f t="shared" si="54"/>
        <v/>
      </c>
      <c r="BJ43" s="55" t="str">
        <f t="shared" si="54"/>
        <v/>
      </c>
      <c r="BK43" s="55" t="str">
        <f t="shared" si="54"/>
        <v/>
      </c>
      <c r="BL43" s="55" t="str">
        <f t="shared" si="54"/>
        <v/>
      </c>
      <c r="BM43" s="55" t="str">
        <f t="shared" si="54"/>
        <v/>
      </c>
      <c r="BN43" s="55" t="str">
        <f t="shared" si="54"/>
        <v/>
      </c>
      <c r="BO43" s="55" t="str">
        <f t="shared" si="54"/>
        <v/>
      </c>
      <c r="BP43" s="55" t="str">
        <f t="shared" si="54"/>
        <v/>
      </c>
      <c r="BQ43" s="55" t="str">
        <f t="shared" si="54"/>
        <v/>
      </c>
      <c r="BR43" s="55" t="str">
        <f t="shared" si="54"/>
        <v/>
      </c>
      <c r="BS43" s="55" t="str">
        <f t="shared" si="54"/>
        <v/>
      </c>
      <c r="BT43" s="55" t="str">
        <f t="shared" si="54"/>
        <v/>
      </c>
      <c r="BU43" s="55" t="str">
        <f t="shared" si="54"/>
        <v/>
      </c>
      <c r="BV43" s="55" t="str">
        <f t="shared" si="54"/>
        <v/>
      </c>
      <c r="BW43" s="55" t="str">
        <f t="shared" si="54"/>
        <v/>
      </c>
      <c r="BX43" s="55" t="str">
        <f t="shared" si="54"/>
        <v/>
      </c>
      <c r="BY43" s="55" t="str">
        <f t="shared" si="54"/>
        <v/>
      </c>
      <c r="BZ43" s="55" t="str">
        <f t="shared" si="54"/>
        <v/>
      </c>
      <c r="CA43" s="55" t="str">
        <f t="shared" si="54"/>
        <v/>
      </c>
      <c r="CB43" s="55" t="str">
        <f t="shared" si="54"/>
        <v/>
      </c>
      <c r="CC43" s="55" t="str">
        <f t="shared" si="54"/>
        <v/>
      </c>
      <c r="CD43" s="55" t="str">
        <f t="shared" si="54"/>
        <v/>
      </c>
      <c r="CE43" s="55" t="str">
        <f t="shared" si="54"/>
        <v/>
      </c>
      <c r="CF43" s="55" t="str">
        <f t="shared" si="54"/>
        <v/>
      </c>
      <c r="CG43" s="55" t="str">
        <f t="shared" si="54"/>
        <v/>
      </c>
      <c r="CH43" s="55" t="str">
        <f t="shared" si="54"/>
        <v/>
      </c>
      <c r="CI43" s="55" t="str">
        <f t="shared" si="54"/>
        <v/>
      </c>
      <c r="CJ43" s="55" t="str">
        <f t="shared" si="54"/>
        <v/>
      </c>
      <c r="CK43" s="55" t="str">
        <f t="shared" si="54"/>
        <v/>
      </c>
      <c r="CL43" s="55" t="str">
        <f t="shared" si="54"/>
        <v/>
      </c>
      <c r="CM43" s="55" t="str">
        <f t="shared" si="54"/>
        <v/>
      </c>
      <c r="CN43" s="55" t="str">
        <f t="shared" si="54"/>
        <v/>
      </c>
      <c r="CO43" s="55" t="str">
        <f t="shared" si="54"/>
        <v/>
      </c>
      <c r="CP43" s="55" t="str">
        <f t="shared" si="54"/>
        <v/>
      </c>
      <c r="CQ43" s="55" t="str">
        <f t="shared" si="54"/>
        <v/>
      </c>
      <c r="CR43" s="55" t="str">
        <f t="shared" si="54"/>
        <v/>
      </c>
      <c r="CS43" s="55" t="str">
        <f t="shared" si="54"/>
        <v/>
      </c>
      <c r="CT43" s="55" t="str">
        <f t="shared" si="54"/>
        <v/>
      </c>
      <c r="CU43" s="55" t="str">
        <f t="shared" si="54"/>
        <v/>
      </c>
      <c r="CV43" s="55" t="str">
        <f t="shared" si="54"/>
        <v/>
      </c>
      <c r="CW43" s="55" t="str">
        <f t="shared" si="54"/>
        <v/>
      </c>
      <c r="CX43" s="55" t="str">
        <f t="shared" si="54"/>
        <v/>
      </c>
      <c r="CY43" s="55" t="str">
        <f t="shared" si="54"/>
        <v/>
      </c>
      <c r="CZ43" s="55" t="str">
        <f t="shared" ref="CZ43:DJ52" si="61">IF($B43=CZ$12,$U43,"")</f>
        <v/>
      </c>
      <c r="DA43" s="55" t="str">
        <f t="shared" si="61"/>
        <v/>
      </c>
      <c r="DB43" s="55" t="str">
        <f t="shared" si="61"/>
        <v/>
      </c>
      <c r="DC43" s="55" t="str">
        <f t="shared" si="61"/>
        <v/>
      </c>
      <c r="DD43" s="55" t="str">
        <f t="shared" si="61"/>
        <v/>
      </c>
      <c r="DE43" s="55" t="str">
        <f t="shared" si="61"/>
        <v/>
      </c>
      <c r="DF43" s="55" t="str">
        <f t="shared" si="61"/>
        <v/>
      </c>
      <c r="DG43" s="55" t="str">
        <f t="shared" si="61"/>
        <v/>
      </c>
      <c r="DH43" s="55" t="str">
        <f t="shared" si="61"/>
        <v/>
      </c>
      <c r="DI43" s="55" t="str">
        <f t="shared" si="61"/>
        <v/>
      </c>
      <c r="DJ43" s="55" t="str">
        <f t="shared" si="61"/>
        <v/>
      </c>
      <c r="DK43" s="55" t="str">
        <f t="shared" si="55"/>
        <v/>
      </c>
      <c r="DL43" s="55" t="str">
        <f t="shared" si="55"/>
        <v/>
      </c>
      <c r="DM43" s="55" t="str">
        <f t="shared" si="55"/>
        <v/>
      </c>
      <c r="DN43" s="55" t="str">
        <f t="shared" si="55"/>
        <v/>
      </c>
      <c r="DO43" s="55" t="str">
        <f t="shared" si="55"/>
        <v/>
      </c>
      <c r="DP43" s="55" t="str">
        <f t="shared" si="55"/>
        <v/>
      </c>
      <c r="DQ43" s="55" t="str">
        <f t="shared" si="56"/>
        <v/>
      </c>
      <c r="DR43" s="55" t="str">
        <f t="shared" si="56"/>
        <v/>
      </c>
      <c r="DS43" s="55" t="str">
        <f t="shared" si="56"/>
        <v/>
      </c>
      <c r="DT43" s="106" t="str">
        <f t="shared" si="56"/>
        <v/>
      </c>
      <c r="DU43" s="54"/>
      <c r="DV43" s="25"/>
      <c r="DW43" s="61" t="str">
        <f t="shared" si="57"/>
        <v/>
      </c>
      <c r="DX43" s="50" t="str">
        <f t="shared" si="57"/>
        <v/>
      </c>
      <c r="DY43" s="50" t="str">
        <f t="shared" si="57"/>
        <v/>
      </c>
      <c r="DZ43" s="50" t="str">
        <f t="shared" si="57"/>
        <v/>
      </c>
      <c r="EA43" s="50" t="str">
        <f t="shared" si="57"/>
        <v/>
      </c>
      <c r="EB43" s="50" t="str">
        <f t="shared" si="57"/>
        <v/>
      </c>
      <c r="EC43" s="50" t="str">
        <f t="shared" si="57"/>
        <v/>
      </c>
      <c r="ED43" s="50" t="str">
        <f t="shared" si="57"/>
        <v/>
      </c>
      <c r="EE43" s="50" t="str">
        <f t="shared" si="57"/>
        <v/>
      </c>
      <c r="EF43" s="50" t="str">
        <f t="shared" si="57"/>
        <v/>
      </c>
      <c r="EG43" s="50" t="str">
        <f t="shared" si="57"/>
        <v/>
      </c>
      <c r="EH43" s="50" t="str">
        <f t="shared" si="57"/>
        <v/>
      </c>
      <c r="EI43" s="50" t="str">
        <f t="shared" si="57"/>
        <v/>
      </c>
      <c r="EJ43" s="50" t="str">
        <f t="shared" si="57"/>
        <v/>
      </c>
      <c r="EK43" s="50" t="str">
        <f t="shared" si="57"/>
        <v/>
      </c>
      <c r="EL43" s="50" t="str">
        <f t="shared" si="57"/>
        <v/>
      </c>
      <c r="EM43" s="50" t="str">
        <f t="shared" si="58"/>
        <v/>
      </c>
      <c r="EN43" s="50" t="str">
        <f t="shared" si="58"/>
        <v/>
      </c>
      <c r="EO43" s="50" t="str">
        <f t="shared" si="58"/>
        <v/>
      </c>
      <c r="EP43" s="50" t="str">
        <f t="shared" si="58"/>
        <v/>
      </c>
      <c r="EQ43" s="50" t="str">
        <f t="shared" si="58"/>
        <v/>
      </c>
      <c r="ER43" s="50" t="str">
        <f t="shared" si="58"/>
        <v/>
      </c>
      <c r="ES43" s="50" t="str">
        <f t="shared" si="58"/>
        <v/>
      </c>
      <c r="ET43" s="50" t="str">
        <f t="shared" si="58"/>
        <v/>
      </c>
      <c r="EU43" s="50" t="str">
        <f t="shared" si="58"/>
        <v/>
      </c>
      <c r="EV43" s="50" t="str">
        <f t="shared" si="58"/>
        <v/>
      </c>
      <c r="EW43" s="50" t="str">
        <f t="shared" si="58"/>
        <v/>
      </c>
      <c r="EX43" s="50" t="str">
        <f t="shared" si="58"/>
        <v/>
      </c>
      <c r="EY43" s="50" t="str">
        <f t="shared" si="58"/>
        <v/>
      </c>
      <c r="EZ43" s="50" t="str">
        <f t="shared" si="58"/>
        <v/>
      </c>
      <c r="FA43" s="50" t="str">
        <f t="shared" si="58"/>
        <v/>
      </c>
      <c r="FB43" s="50" t="str">
        <f t="shared" si="58"/>
        <v/>
      </c>
      <c r="FC43" s="50" t="str">
        <f t="shared" si="58"/>
        <v/>
      </c>
      <c r="FD43" s="50" t="str">
        <f t="shared" si="58"/>
        <v/>
      </c>
      <c r="FE43" s="50" t="str">
        <f t="shared" si="58"/>
        <v/>
      </c>
      <c r="FF43" s="50" t="str">
        <f t="shared" si="58"/>
        <v/>
      </c>
      <c r="FG43" s="50" t="str">
        <f t="shared" si="58"/>
        <v/>
      </c>
      <c r="FH43" s="50" t="str">
        <f t="shared" si="58"/>
        <v/>
      </c>
      <c r="FI43" s="50" t="str">
        <f t="shared" si="58"/>
        <v/>
      </c>
      <c r="FJ43" s="50" t="str">
        <f t="shared" si="58"/>
        <v/>
      </c>
      <c r="FK43" s="50" t="str">
        <f t="shared" si="58"/>
        <v/>
      </c>
      <c r="FL43" s="50" t="str">
        <f t="shared" si="58"/>
        <v/>
      </c>
      <c r="FM43" s="50" t="str">
        <f t="shared" si="58"/>
        <v/>
      </c>
      <c r="FN43" s="50" t="str">
        <f t="shared" si="58"/>
        <v/>
      </c>
      <c r="FO43" s="50" t="str">
        <f t="shared" si="58"/>
        <v/>
      </c>
      <c r="FP43" s="50" t="str">
        <f t="shared" si="58"/>
        <v/>
      </c>
      <c r="FQ43" s="50" t="str">
        <f t="shared" si="58"/>
        <v/>
      </c>
      <c r="FR43" s="50" t="str">
        <f t="shared" si="58"/>
        <v/>
      </c>
      <c r="FS43" s="50" t="str">
        <f t="shared" si="58"/>
        <v/>
      </c>
      <c r="FT43" s="50" t="str">
        <f t="shared" si="58"/>
        <v/>
      </c>
      <c r="FU43" s="50" t="str">
        <f t="shared" si="58"/>
        <v/>
      </c>
      <c r="FV43" s="50" t="str">
        <f t="shared" si="58"/>
        <v/>
      </c>
      <c r="FW43" s="50" t="str">
        <f t="shared" si="58"/>
        <v/>
      </c>
      <c r="FX43" s="50" t="str">
        <f t="shared" si="58"/>
        <v/>
      </c>
      <c r="FY43" s="50" t="str">
        <f t="shared" si="58"/>
        <v/>
      </c>
      <c r="FZ43" s="50" t="str">
        <f t="shared" si="58"/>
        <v/>
      </c>
      <c r="GA43" s="50" t="str">
        <f t="shared" si="58"/>
        <v/>
      </c>
      <c r="GB43" s="50" t="str">
        <f t="shared" si="58"/>
        <v/>
      </c>
      <c r="GC43" s="50" t="str">
        <f t="shared" si="58"/>
        <v/>
      </c>
      <c r="GD43" s="50" t="str">
        <f t="shared" si="58"/>
        <v/>
      </c>
      <c r="GE43" s="50" t="str">
        <f t="shared" si="58"/>
        <v/>
      </c>
      <c r="GF43" s="50" t="str">
        <f t="shared" si="58"/>
        <v/>
      </c>
      <c r="GG43" s="50" t="str">
        <f t="shared" si="58"/>
        <v/>
      </c>
      <c r="GH43" s="50" t="str">
        <f t="shared" si="58"/>
        <v/>
      </c>
      <c r="GI43" s="50" t="str">
        <f t="shared" si="58"/>
        <v/>
      </c>
      <c r="GJ43" s="50" t="str">
        <f t="shared" si="58"/>
        <v/>
      </c>
      <c r="GK43" s="50" t="str">
        <f t="shared" si="58"/>
        <v/>
      </c>
      <c r="GL43" s="50" t="str">
        <f t="shared" si="58"/>
        <v/>
      </c>
      <c r="GM43" s="50" t="str">
        <f t="shared" si="58"/>
        <v/>
      </c>
      <c r="GN43" s="50" t="str">
        <f t="shared" si="58"/>
        <v/>
      </c>
      <c r="GO43" s="50" t="str">
        <f t="shared" si="58"/>
        <v/>
      </c>
      <c r="GP43" s="50" t="str">
        <f t="shared" si="58"/>
        <v/>
      </c>
      <c r="GQ43" s="50" t="str">
        <f t="shared" si="58"/>
        <v/>
      </c>
      <c r="GR43" s="50" t="str">
        <f t="shared" si="58"/>
        <v/>
      </c>
      <c r="GS43" s="50" t="str">
        <f t="shared" si="58"/>
        <v/>
      </c>
      <c r="GT43" s="50" t="str">
        <f t="shared" si="58"/>
        <v/>
      </c>
      <c r="GU43" s="50" t="str">
        <f t="shared" si="58"/>
        <v/>
      </c>
      <c r="GV43" s="50" t="str">
        <f t="shared" si="58"/>
        <v/>
      </c>
      <c r="GW43" s="50" t="str">
        <f t="shared" si="58"/>
        <v/>
      </c>
      <c r="GX43" s="50" t="str">
        <f t="shared" ref="GX43:HM52" si="62">IF($B43=GX$12,$O43,"")</f>
        <v/>
      </c>
      <c r="GY43" s="50" t="str">
        <f t="shared" si="62"/>
        <v/>
      </c>
      <c r="GZ43" s="50" t="str">
        <f t="shared" si="62"/>
        <v/>
      </c>
      <c r="HA43" s="50" t="str">
        <f t="shared" si="62"/>
        <v/>
      </c>
      <c r="HB43" s="50" t="str">
        <f t="shared" si="62"/>
        <v/>
      </c>
      <c r="HC43" s="50" t="str">
        <f t="shared" si="62"/>
        <v/>
      </c>
      <c r="HD43" s="50" t="str">
        <f t="shared" si="62"/>
        <v/>
      </c>
      <c r="HE43" s="50" t="str">
        <f t="shared" si="62"/>
        <v/>
      </c>
      <c r="HF43" s="50" t="str">
        <f t="shared" si="62"/>
        <v/>
      </c>
      <c r="HG43" s="50" t="str">
        <f t="shared" si="62"/>
        <v/>
      </c>
      <c r="HH43" s="50" t="str">
        <f t="shared" si="62"/>
        <v/>
      </c>
      <c r="HI43" s="50" t="str">
        <f t="shared" si="62"/>
        <v/>
      </c>
      <c r="HJ43" s="50" t="str">
        <f t="shared" si="62"/>
        <v/>
      </c>
      <c r="HK43" s="50" t="str">
        <f t="shared" si="62"/>
        <v/>
      </c>
      <c r="HL43" s="50" t="str">
        <f t="shared" si="62"/>
        <v/>
      </c>
      <c r="HM43" s="50" t="str">
        <f t="shared" si="62"/>
        <v/>
      </c>
      <c r="HN43" s="50" t="str">
        <f t="shared" si="60"/>
        <v/>
      </c>
      <c r="HO43" s="50" t="str">
        <f t="shared" si="60"/>
        <v/>
      </c>
      <c r="HP43" s="50" t="str">
        <f t="shared" si="60"/>
        <v/>
      </c>
      <c r="HQ43" s="50" t="str">
        <f t="shared" si="60"/>
        <v/>
      </c>
      <c r="HR43" s="112" t="str">
        <f t="shared" si="60"/>
        <v/>
      </c>
    </row>
    <row r="44" spans="1:226" ht="11.1" customHeight="1" x14ac:dyDescent="0.25">
      <c r="A44" s="26">
        <v>159</v>
      </c>
      <c r="B44" s="27">
        <v>61</v>
      </c>
      <c r="C44" s="28" t="str">
        <f>IF(A44=0,"",VLOOKUP(A44,[2]CO!$A$3:$F$5327,2,0))</f>
        <v>GÓMEZ VÁZQUEZ LUIS ERNESTO</v>
      </c>
      <c r="D44" s="29"/>
      <c r="E44" s="29"/>
      <c r="F44" s="29"/>
      <c r="G44" s="30" t="str">
        <f>IF(A44=0,"",VLOOKUP(A44,[2]CO!$A$3:$F$5327,3,0))</f>
        <v>RESID</v>
      </c>
      <c r="H44" s="95"/>
      <c r="I44" s="31"/>
      <c r="J44" s="31"/>
      <c r="K44" s="31"/>
      <c r="L44" s="31">
        <v>7</v>
      </c>
      <c r="M44" s="32">
        <f t="shared" si="50"/>
        <v>7</v>
      </c>
      <c r="N44" s="32">
        <f>IF(B44=0,"",IF(H44="M",HLOOKUP(B44,$Y$12:$DT$13,2),IF(A44=0,"",VLOOKUP(A44,[2]CO!$A$3:$F$5327,4,0))))</f>
        <v>1413.06</v>
      </c>
      <c r="O44" s="32">
        <f t="shared" si="7"/>
        <v>9891.42</v>
      </c>
      <c r="P44" s="33"/>
      <c r="Q44" s="34" t="str">
        <f t="shared" si="51"/>
        <v/>
      </c>
      <c r="R44" s="35">
        <f>IF(S44=0,"",IF(OR(G44="PEON",G44="OF",G44="JARD",G44="CARP",G44="MAESTRO",G44="SOLD",G44="BGRO",G44="CHOFER",G44="AYTE",G44="S.INTTE.",G44="ASEO",G44="P.PISOS",G44="VELADOR",G44="RESID",G44="PINTOR",G44="ELECT",G44="AZULE",G44="AUX CONT.",G44="SECRETARIA",G44="AUXILIAR ADMTVO.",G44="ARQUITECTO",G44="DIBUJANTE",G44="AUX. DE RESIDENTE",G44="TOPOGRAFIA"),VLOOKUP(B44,P$14:Q$71,2),"")*S44)</f>
        <v>11304.48</v>
      </c>
      <c r="S44" s="118">
        <v>1</v>
      </c>
      <c r="T44" s="53">
        <f>IF(A44=0,"",VLOOKUP(A44,[2]CO!$A$3:$F$5318,5,0))</f>
        <v>0</v>
      </c>
      <c r="U44" s="54">
        <f t="shared" si="52"/>
        <v>0</v>
      </c>
      <c r="V44" s="24"/>
      <c r="W44" s="25"/>
      <c r="X44" s="25"/>
      <c r="Y44" s="64" t="str">
        <f t="shared" si="53"/>
        <v/>
      </c>
      <c r="Z44" s="55" t="str">
        <f t="shared" si="53"/>
        <v/>
      </c>
      <c r="AA44" s="55" t="str">
        <f t="shared" si="53"/>
        <v/>
      </c>
      <c r="AB44" s="55" t="str">
        <f t="shared" si="53"/>
        <v/>
      </c>
      <c r="AC44" s="55" t="str">
        <f t="shared" si="53"/>
        <v/>
      </c>
      <c r="AD44" s="55" t="str">
        <f t="shared" si="53"/>
        <v/>
      </c>
      <c r="AE44" s="55" t="str">
        <f t="shared" si="53"/>
        <v/>
      </c>
      <c r="AF44" s="55" t="str">
        <f t="shared" si="53"/>
        <v/>
      </c>
      <c r="AG44" s="55" t="str">
        <f t="shared" si="53"/>
        <v/>
      </c>
      <c r="AH44" s="55" t="str">
        <f t="shared" si="53"/>
        <v/>
      </c>
      <c r="AI44" s="55" t="str">
        <f t="shared" si="53"/>
        <v/>
      </c>
      <c r="AJ44" s="55" t="str">
        <f t="shared" si="53"/>
        <v/>
      </c>
      <c r="AK44" s="55" t="str">
        <f t="shared" si="53"/>
        <v/>
      </c>
      <c r="AL44" s="55" t="str">
        <f t="shared" si="53"/>
        <v/>
      </c>
      <c r="AM44" s="55" t="str">
        <f t="shared" si="53"/>
        <v/>
      </c>
      <c r="AN44" s="55" t="str">
        <f t="shared" si="53"/>
        <v/>
      </c>
      <c r="AO44" s="55" t="str">
        <f t="shared" ref="AO44:BD52" si="63">IF($B44=AO$12,$U44,"")</f>
        <v/>
      </c>
      <c r="AP44" s="55" t="str">
        <f t="shared" si="63"/>
        <v/>
      </c>
      <c r="AQ44" s="55" t="str">
        <f t="shared" si="63"/>
        <v/>
      </c>
      <c r="AR44" s="55" t="str">
        <f t="shared" si="63"/>
        <v/>
      </c>
      <c r="AS44" s="55" t="str">
        <f t="shared" si="63"/>
        <v/>
      </c>
      <c r="AT44" s="55" t="str">
        <f t="shared" si="63"/>
        <v/>
      </c>
      <c r="AU44" s="55" t="str">
        <f t="shared" si="63"/>
        <v/>
      </c>
      <c r="AV44" s="55" t="str">
        <f t="shared" si="63"/>
        <v/>
      </c>
      <c r="AW44" s="55" t="str">
        <f t="shared" si="63"/>
        <v/>
      </c>
      <c r="AX44" s="55" t="str">
        <f t="shared" si="63"/>
        <v/>
      </c>
      <c r="AY44" s="55" t="str">
        <f t="shared" si="63"/>
        <v/>
      </c>
      <c r="AZ44" s="55" t="str">
        <f t="shared" si="63"/>
        <v/>
      </c>
      <c r="BA44" s="55" t="str">
        <f t="shared" si="63"/>
        <v/>
      </c>
      <c r="BB44" s="55" t="str">
        <f t="shared" si="63"/>
        <v/>
      </c>
      <c r="BC44" s="55" t="str">
        <f t="shared" si="63"/>
        <v/>
      </c>
      <c r="BD44" s="55" t="str">
        <f t="shared" si="63"/>
        <v/>
      </c>
      <c r="BE44" s="55" t="str">
        <f t="shared" ref="BE44:CY52" si="64">IF($B44=BE$12,$U44,"")</f>
        <v/>
      </c>
      <c r="BF44" s="55" t="str">
        <f t="shared" si="64"/>
        <v/>
      </c>
      <c r="BG44" s="55" t="str">
        <f t="shared" si="64"/>
        <v/>
      </c>
      <c r="BH44" s="55" t="str">
        <f t="shared" si="64"/>
        <v/>
      </c>
      <c r="BI44" s="55" t="str">
        <f t="shared" si="64"/>
        <v/>
      </c>
      <c r="BJ44" s="55" t="str">
        <f t="shared" si="64"/>
        <v/>
      </c>
      <c r="BK44" s="55" t="str">
        <f t="shared" si="64"/>
        <v/>
      </c>
      <c r="BL44" s="55" t="str">
        <f t="shared" si="64"/>
        <v/>
      </c>
      <c r="BM44" s="55" t="str">
        <f t="shared" si="64"/>
        <v/>
      </c>
      <c r="BN44" s="55" t="str">
        <f t="shared" si="64"/>
        <v/>
      </c>
      <c r="BO44" s="55" t="str">
        <f t="shared" si="64"/>
        <v/>
      </c>
      <c r="BP44" s="55" t="str">
        <f t="shared" si="64"/>
        <v/>
      </c>
      <c r="BQ44" s="55" t="str">
        <f t="shared" si="64"/>
        <v/>
      </c>
      <c r="BR44" s="55" t="str">
        <f t="shared" si="64"/>
        <v/>
      </c>
      <c r="BS44" s="55" t="str">
        <f t="shared" si="64"/>
        <v/>
      </c>
      <c r="BT44" s="55" t="str">
        <f t="shared" si="64"/>
        <v/>
      </c>
      <c r="BU44" s="55" t="str">
        <f t="shared" si="64"/>
        <v/>
      </c>
      <c r="BV44" s="55" t="str">
        <f t="shared" si="64"/>
        <v/>
      </c>
      <c r="BW44" s="55" t="str">
        <f t="shared" si="64"/>
        <v/>
      </c>
      <c r="BX44" s="55" t="str">
        <f t="shared" si="64"/>
        <v/>
      </c>
      <c r="BY44" s="55" t="str">
        <f t="shared" si="64"/>
        <v/>
      </c>
      <c r="BZ44" s="55" t="str">
        <f t="shared" si="64"/>
        <v/>
      </c>
      <c r="CA44" s="55" t="str">
        <f t="shared" si="64"/>
        <v/>
      </c>
      <c r="CB44" s="55" t="str">
        <f t="shared" si="64"/>
        <v/>
      </c>
      <c r="CC44" s="55" t="str">
        <f t="shared" si="64"/>
        <v/>
      </c>
      <c r="CD44" s="55" t="str">
        <f t="shared" si="64"/>
        <v/>
      </c>
      <c r="CE44" s="55" t="str">
        <f t="shared" si="64"/>
        <v/>
      </c>
      <c r="CF44" s="55" t="str">
        <f t="shared" si="64"/>
        <v/>
      </c>
      <c r="CG44" s="55">
        <f t="shared" si="64"/>
        <v>0</v>
      </c>
      <c r="CH44" s="55" t="str">
        <f t="shared" si="64"/>
        <v/>
      </c>
      <c r="CI44" s="55" t="str">
        <f t="shared" si="64"/>
        <v/>
      </c>
      <c r="CJ44" s="55" t="str">
        <f t="shared" si="64"/>
        <v/>
      </c>
      <c r="CK44" s="55" t="str">
        <f t="shared" si="64"/>
        <v/>
      </c>
      <c r="CL44" s="55" t="str">
        <f t="shared" si="64"/>
        <v/>
      </c>
      <c r="CM44" s="55" t="str">
        <f t="shared" si="64"/>
        <v/>
      </c>
      <c r="CN44" s="55" t="str">
        <f t="shared" si="64"/>
        <v/>
      </c>
      <c r="CO44" s="55" t="str">
        <f t="shared" si="64"/>
        <v/>
      </c>
      <c r="CP44" s="55" t="str">
        <f t="shared" si="64"/>
        <v/>
      </c>
      <c r="CQ44" s="55" t="str">
        <f t="shared" si="64"/>
        <v/>
      </c>
      <c r="CR44" s="55" t="str">
        <f t="shared" si="64"/>
        <v/>
      </c>
      <c r="CS44" s="55" t="str">
        <f t="shared" si="64"/>
        <v/>
      </c>
      <c r="CT44" s="55" t="str">
        <f t="shared" si="64"/>
        <v/>
      </c>
      <c r="CU44" s="55" t="str">
        <f t="shared" si="64"/>
        <v/>
      </c>
      <c r="CV44" s="55" t="str">
        <f t="shared" si="64"/>
        <v/>
      </c>
      <c r="CW44" s="55" t="str">
        <f t="shared" si="64"/>
        <v/>
      </c>
      <c r="CX44" s="55" t="str">
        <f t="shared" si="64"/>
        <v/>
      </c>
      <c r="CY44" s="55" t="str">
        <f t="shared" si="64"/>
        <v/>
      </c>
      <c r="CZ44" s="55" t="str">
        <f t="shared" si="61"/>
        <v/>
      </c>
      <c r="DA44" s="55" t="str">
        <f t="shared" si="61"/>
        <v/>
      </c>
      <c r="DB44" s="55" t="str">
        <f t="shared" si="61"/>
        <v/>
      </c>
      <c r="DC44" s="55" t="str">
        <f t="shared" si="61"/>
        <v/>
      </c>
      <c r="DD44" s="55" t="str">
        <f t="shared" si="61"/>
        <v/>
      </c>
      <c r="DE44" s="55" t="str">
        <f t="shared" si="61"/>
        <v/>
      </c>
      <c r="DF44" s="55" t="str">
        <f t="shared" si="61"/>
        <v/>
      </c>
      <c r="DG44" s="55" t="str">
        <f t="shared" si="61"/>
        <v/>
      </c>
      <c r="DH44" s="55" t="str">
        <f t="shared" si="61"/>
        <v/>
      </c>
      <c r="DI44" s="55" t="str">
        <f t="shared" si="61"/>
        <v/>
      </c>
      <c r="DJ44" s="55" t="str">
        <f t="shared" si="61"/>
        <v/>
      </c>
      <c r="DK44" s="55" t="str">
        <f t="shared" si="55"/>
        <v/>
      </c>
      <c r="DL44" s="55" t="str">
        <f t="shared" si="55"/>
        <v/>
      </c>
      <c r="DM44" s="55" t="str">
        <f t="shared" si="55"/>
        <v/>
      </c>
      <c r="DN44" s="55" t="str">
        <f t="shared" si="55"/>
        <v/>
      </c>
      <c r="DO44" s="55" t="str">
        <f t="shared" si="55"/>
        <v/>
      </c>
      <c r="DP44" s="55" t="str">
        <f t="shared" si="55"/>
        <v/>
      </c>
      <c r="DQ44" s="55" t="str">
        <f t="shared" si="56"/>
        <v/>
      </c>
      <c r="DR44" s="55" t="str">
        <f t="shared" si="56"/>
        <v/>
      </c>
      <c r="DS44" s="55" t="str">
        <f t="shared" si="56"/>
        <v/>
      </c>
      <c r="DT44" s="106" t="str">
        <f t="shared" si="56"/>
        <v/>
      </c>
      <c r="DU44" s="54"/>
      <c r="DV44" s="25"/>
      <c r="DW44" s="61" t="str">
        <f t="shared" si="57"/>
        <v/>
      </c>
      <c r="DX44" s="50" t="str">
        <f t="shared" si="57"/>
        <v/>
      </c>
      <c r="DY44" s="50" t="str">
        <f t="shared" si="57"/>
        <v/>
      </c>
      <c r="DZ44" s="50" t="str">
        <f t="shared" si="57"/>
        <v/>
      </c>
      <c r="EA44" s="50" t="str">
        <f t="shared" si="57"/>
        <v/>
      </c>
      <c r="EB44" s="50" t="str">
        <f t="shared" si="57"/>
        <v/>
      </c>
      <c r="EC44" s="50" t="str">
        <f t="shared" si="57"/>
        <v/>
      </c>
      <c r="ED44" s="50" t="str">
        <f t="shared" si="57"/>
        <v/>
      </c>
      <c r="EE44" s="50" t="str">
        <f t="shared" si="57"/>
        <v/>
      </c>
      <c r="EF44" s="50" t="str">
        <f t="shared" si="57"/>
        <v/>
      </c>
      <c r="EG44" s="50" t="str">
        <f t="shared" si="57"/>
        <v/>
      </c>
      <c r="EH44" s="50" t="str">
        <f t="shared" si="57"/>
        <v/>
      </c>
      <c r="EI44" s="50" t="str">
        <f t="shared" si="57"/>
        <v/>
      </c>
      <c r="EJ44" s="50" t="str">
        <f t="shared" si="57"/>
        <v/>
      </c>
      <c r="EK44" s="50" t="str">
        <f t="shared" si="57"/>
        <v/>
      </c>
      <c r="EL44" s="50" t="str">
        <f t="shared" si="57"/>
        <v/>
      </c>
      <c r="EM44" s="50" t="str">
        <f t="shared" ref="EM44:FB52" si="65">IF($B44=EM$12,$O44,"")</f>
        <v/>
      </c>
      <c r="EN44" s="50" t="str">
        <f t="shared" si="65"/>
        <v/>
      </c>
      <c r="EO44" s="50" t="str">
        <f t="shared" si="65"/>
        <v/>
      </c>
      <c r="EP44" s="50" t="str">
        <f t="shared" si="65"/>
        <v/>
      </c>
      <c r="EQ44" s="50" t="str">
        <f t="shared" si="65"/>
        <v/>
      </c>
      <c r="ER44" s="50" t="str">
        <f t="shared" si="65"/>
        <v/>
      </c>
      <c r="ES44" s="50" t="str">
        <f t="shared" si="65"/>
        <v/>
      </c>
      <c r="ET44" s="50" t="str">
        <f t="shared" si="65"/>
        <v/>
      </c>
      <c r="EU44" s="50" t="str">
        <f t="shared" si="65"/>
        <v/>
      </c>
      <c r="EV44" s="50" t="str">
        <f t="shared" si="65"/>
        <v/>
      </c>
      <c r="EW44" s="50" t="str">
        <f t="shared" si="65"/>
        <v/>
      </c>
      <c r="EX44" s="50" t="str">
        <f t="shared" si="65"/>
        <v/>
      </c>
      <c r="EY44" s="50" t="str">
        <f t="shared" si="65"/>
        <v/>
      </c>
      <c r="EZ44" s="50" t="str">
        <f t="shared" si="65"/>
        <v/>
      </c>
      <c r="FA44" s="50" t="str">
        <f t="shared" si="65"/>
        <v/>
      </c>
      <c r="FB44" s="50" t="str">
        <f t="shared" si="65"/>
        <v/>
      </c>
      <c r="FC44" s="50" t="str">
        <f t="shared" ref="FC44:GW52" si="66">IF($B44=FC$12,$O44,"")</f>
        <v/>
      </c>
      <c r="FD44" s="50" t="str">
        <f t="shared" si="66"/>
        <v/>
      </c>
      <c r="FE44" s="50" t="str">
        <f t="shared" si="66"/>
        <v/>
      </c>
      <c r="FF44" s="50" t="str">
        <f t="shared" si="66"/>
        <v/>
      </c>
      <c r="FG44" s="50" t="str">
        <f t="shared" si="66"/>
        <v/>
      </c>
      <c r="FH44" s="50" t="str">
        <f t="shared" si="66"/>
        <v/>
      </c>
      <c r="FI44" s="50" t="str">
        <f t="shared" si="66"/>
        <v/>
      </c>
      <c r="FJ44" s="50" t="str">
        <f t="shared" si="66"/>
        <v/>
      </c>
      <c r="FK44" s="50" t="str">
        <f t="shared" si="66"/>
        <v/>
      </c>
      <c r="FL44" s="50" t="str">
        <f t="shared" si="66"/>
        <v/>
      </c>
      <c r="FM44" s="50" t="str">
        <f t="shared" si="66"/>
        <v/>
      </c>
      <c r="FN44" s="50" t="str">
        <f t="shared" si="66"/>
        <v/>
      </c>
      <c r="FO44" s="50" t="str">
        <f t="shared" si="66"/>
        <v/>
      </c>
      <c r="FP44" s="50" t="str">
        <f t="shared" si="66"/>
        <v/>
      </c>
      <c r="FQ44" s="50" t="str">
        <f t="shared" si="66"/>
        <v/>
      </c>
      <c r="FR44" s="50" t="str">
        <f t="shared" si="66"/>
        <v/>
      </c>
      <c r="FS44" s="50" t="str">
        <f t="shared" si="66"/>
        <v/>
      </c>
      <c r="FT44" s="50" t="str">
        <f t="shared" si="66"/>
        <v/>
      </c>
      <c r="FU44" s="50" t="str">
        <f t="shared" si="66"/>
        <v/>
      </c>
      <c r="FV44" s="50" t="str">
        <f t="shared" si="66"/>
        <v/>
      </c>
      <c r="FW44" s="50" t="str">
        <f t="shared" si="66"/>
        <v/>
      </c>
      <c r="FX44" s="50" t="str">
        <f t="shared" si="66"/>
        <v/>
      </c>
      <c r="FY44" s="50" t="str">
        <f t="shared" si="66"/>
        <v/>
      </c>
      <c r="FZ44" s="50" t="str">
        <f t="shared" si="66"/>
        <v/>
      </c>
      <c r="GA44" s="50" t="str">
        <f t="shared" si="66"/>
        <v/>
      </c>
      <c r="GB44" s="50" t="str">
        <f t="shared" si="66"/>
        <v/>
      </c>
      <c r="GC44" s="50" t="str">
        <f t="shared" si="66"/>
        <v/>
      </c>
      <c r="GD44" s="50" t="str">
        <f t="shared" si="66"/>
        <v/>
      </c>
      <c r="GE44" s="50">
        <f t="shared" si="66"/>
        <v>9891.42</v>
      </c>
      <c r="GF44" s="50" t="str">
        <f t="shared" si="66"/>
        <v/>
      </c>
      <c r="GG44" s="50" t="str">
        <f t="shared" si="66"/>
        <v/>
      </c>
      <c r="GH44" s="50" t="str">
        <f t="shared" si="66"/>
        <v/>
      </c>
      <c r="GI44" s="50" t="str">
        <f t="shared" si="66"/>
        <v/>
      </c>
      <c r="GJ44" s="50" t="str">
        <f t="shared" si="66"/>
        <v/>
      </c>
      <c r="GK44" s="50" t="str">
        <f t="shared" si="66"/>
        <v/>
      </c>
      <c r="GL44" s="50" t="str">
        <f t="shared" si="66"/>
        <v/>
      </c>
      <c r="GM44" s="50" t="str">
        <f t="shared" si="66"/>
        <v/>
      </c>
      <c r="GN44" s="50" t="str">
        <f t="shared" si="66"/>
        <v/>
      </c>
      <c r="GO44" s="50" t="str">
        <f t="shared" si="66"/>
        <v/>
      </c>
      <c r="GP44" s="50" t="str">
        <f t="shared" si="66"/>
        <v/>
      </c>
      <c r="GQ44" s="50" t="str">
        <f t="shared" si="66"/>
        <v/>
      </c>
      <c r="GR44" s="50" t="str">
        <f t="shared" si="66"/>
        <v/>
      </c>
      <c r="GS44" s="50" t="str">
        <f t="shared" si="66"/>
        <v/>
      </c>
      <c r="GT44" s="50" t="str">
        <f t="shared" si="66"/>
        <v/>
      </c>
      <c r="GU44" s="50" t="str">
        <f t="shared" si="66"/>
        <v/>
      </c>
      <c r="GV44" s="50" t="str">
        <f t="shared" si="66"/>
        <v/>
      </c>
      <c r="GW44" s="50" t="str">
        <f t="shared" si="66"/>
        <v/>
      </c>
      <c r="GX44" s="50" t="str">
        <f t="shared" si="62"/>
        <v/>
      </c>
      <c r="GY44" s="50" t="str">
        <f t="shared" si="62"/>
        <v/>
      </c>
      <c r="GZ44" s="50" t="str">
        <f t="shared" si="62"/>
        <v/>
      </c>
      <c r="HA44" s="50" t="str">
        <f t="shared" si="62"/>
        <v/>
      </c>
      <c r="HB44" s="50" t="str">
        <f t="shared" si="62"/>
        <v/>
      </c>
      <c r="HC44" s="50" t="str">
        <f t="shared" si="62"/>
        <v/>
      </c>
      <c r="HD44" s="50" t="str">
        <f t="shared" si="62"/>
        <v/>
      </c>
      <c r="HE44" s="50" t="str">
        <f t="shared" si="62"/>
        <v/>
      </c>
      <c r="HF44" s="50" t="str">
        <f t="shared" si="62"/>
        <v/>
      </c>
      <c r="HG44" s="50" t="str">
        <f t="shared" si="62"/>
        <v/>
      </c>
      <c r="HH44" s="50" t="str">
        <f t="shared" si="62"/>
        <v/>
      </c>
      <c r="HI44" s="50" t="str">
        <f t="shared" si="62"/>
        <v/>
      </c>
      <c r="HJ44" s="50" t="str">
        <f t="shared" si="62"/>
        <v/>
      </c>
      <c r="HK44" s="50" t="str">
        <f t="shared" si="62"/>
        <v/>
      </c>
      <c r="HL44" s="50" t="str">
        <f t="shared" si="62"/>
        <v/>
      </c>
      <c r="HM44" s="50" t="str">
        <f t="shared" si="62"/>
        <v/>
      </c>
      <c r="HN44" s="50" t="str">
        <f t="shared" si="60"/>
        <v/>
      </c>
      <c r="HO44" s="50" t="str">
        <f t="shared" si="60"/>
        <v/>
      </c>
      <c r="HP44" s="50" t="str">
        <f t="shared" si="60"/>
        <v/>
      </c>
      <c r="HQ44" s="50" t="str">
        <f t="shared" si="60"/>
        <v/>
      </c>
      <c r="HR44" s="112" t="str">
        <f t="shared" si="60"/>
        <v/>
      </c>
    </row>
    <row r="45" spans="1:226" ht="11.1" customHeight="1" x14ac:dyDescent="0.25">
      <c r="A45" s="26"/>
      <c r="B45" s="27"/>
      <c r="C45" s="28" t="str">
        <f>IF(A45=0,"",VLOOKUP(A45,[2]CO!$A$3:$F$5327,2,0))</f>
        <v/>
      </c>
      <c r="D45" s="29" t="s">
        <v>44</v>
      </c>
      <c r="E45" s="29"/>
      <c r="F45" s="29"/>
      <c r="G45" s="30" t="str">
        <f>IF(A45=0,"",VLOOKUP(A45,[2]CO!$A$3:$F$5327,3,0))</f>
        <v/>
      </c>
      <c r="H45" s="95"/>
      <c r="I45" s="31"/>
      <c r="J45" s="31"/>
      <c r="K45" s="31"/>
      <c r="L45" s="31"/>
      <c r="M45" s="32" t="str">
        <f t="shared" si="50"/>
        <v/>
      </c>
      <c r="N45" s="32" t="str">
        <f>IF(B45=0,"",IF(H45="M",HLOOKUP(B45,$Y$12:$DT$13,2),IF(A45=0,"",VLOOKUP(A45,[2]CO!$A$3:$F$5327,4,0))))</f>
        <v/>
      </c>
      <c r="O45" s="32" t="str">
        <f t="shared" si="7"/>
        <v/>
      </c>
      <c r="P45" s="33"/>
      <c r="Q45" s="34" t="str">
        <f t="shared" si="51"/>
        <v/>
      </c>
      <c r="R45" s="35" t="str">
        <f>IF(S45=0,"",IF(OR(G45="PEON",G45="OF",G45="JARD",G45="CARP",G45="MAESTRO",G45="SOLD",G45="BGRO",G45="CHOFER",G45="AYTE",G45="S.INTTE.",G45="ASEO",G45="P.PISOS",G45="VELADOR",G45="RESID",G45="PINTOR",G45="ELECT",G45="AZULE",G45="AUX CONT.",G45="SECRETARIA",G45="AUXILIAR ADMTVO.",G45="ARQUITECTO",G45="DIBUJANTE",G45="AUX. DE RESIDENTE",G45="TOPOGRAFIA"),VLOOKUP(B45,P$14:Q$71,2),"")*S45)</f>
        <v/>
      </c>
      <c r="T45" s="53" t="str">
        <f>IF(A45=0,"",VLOOKUP(A45,[2]CO!$A$3:$F$5318,5,0))</f>
        <v/>
      </c>
      <c r="U45" s="54">
        <f t="shared" si="52"/>
        <v>0</v>
      </c>
      <c r="V45" s="24"/>
      <c r="W45" s="25"/>
      <c r="X45" s="25"/>
      <c r="Y45" s="64" t="str">
        <f t="shared" si="53"/>
        <v/>
      </c>
      <c r="Z45" s="55" t="str">
        <f t="shared" si="53"/>
        <v/>
      </c>
      <c r="AA45" s="55" t="str">
        <f t="shared" si="53"/>
        <v/>
      </c>
      <c r="AB45" s="55" t="str">
        <f t="shared" si="53"/>
        <v/>
      </c>
      <c r="AC45" s="55" t="str">
        <f t="shared" si="53"/>
        <v/>
      </c>
      <c r="AD45" s="55" t="str">
        <f t="shared" si="53"/>
        <v/>
      </c>
      <c r="AE45" s="55" t="str">
        <f t="shared" si="53"/>
        <v/>
      </c>
      <c r="AF45" s="55" t="str">
        <f t="shared" si="53"/>
        <v/>
      </c>
      <c r="AG45" s="55" t="str">
        <f t="shared" si="53"/>
        <v/>
      </c>
      <c r="AH45" s="55" t="str">
        <f t="shared" si="53"/>
        <v/>
      </c>
      <c r="AI45" s="55" t="str">
        <f t="shared" si="53"/>
        <v/>
      </c>
      <c r="AJ45" s="55" t="str">
        <f t="shared" si="53"/>
        <v/>
      </c>
      <c r="AK45" s="55" t="str">
        <f t="shared" si="53"/>
        <v/>
      </c>
      <c r="AL45" s="55" t="str">
        <f t="shared" si="53"/>
        <v/>
      </c>
      <c r="AM45" s="55" t="str">
        <f t="shared" si="53"/>
        <v/>
      </c>
      <c r="AN45" s="55" t="str">
        <f t="shared" si="53"/>
        <v/>
      </c>
      <c r="AO45" s="55" t="str">
        <f t="shared" si="63"/>
        <v/>
      </c>
      <c r="AP45" s="55" t="str">
        <f t="shared" si="63"/>
        <v/>
      </c>
      <c r="AQ45" s="55" t="str">
        <f t="shared" si="63"/>
        <v/>
      </c>
      <c r="AR45" s="55" t="str">
        <f t="shared" si="63"/>
        <v/>
      </c>
      <c r="AS45" s="55" t="str">
        <f t="shared" si="63"/>
        <v/>
      </c>
      <c r="AT45" s="55" t="str">
        <f t="shared" si="63"/>
        <v/>
      </c>
      <c r="AU45" s="55" t="str">
        <f t="shared" si="63"/>
        <v/>
      </c>
      <c r="AV45" s="55" t="str">
        <f t="shared" si="63"/>
        <v/>
      </c>
      <c r="AW45" s="55" t="str">
        <f t="shared" si="63"/>
        <v/>
      </c>
      <c r="AX45" s="55" t="str">
        <f t="shared" si="63"/>
        <v/>
      </c>
      <c r="AY45" s="55" t="str">
        <f t="shared" si="63"/>
        <v/>
      </c>
      <c r="AZ45" s="55" t="str">
        <f t="shared" si="63"/>
        <v/>
      </c>
      <c r="BA45" s="55" t="str">
        <f t="shared" si="63"/>
        <v/>
      </c>
      <c r="BB45" s="55" t="str">
        <f t="shared" si="63"/>
        <v/>
      </c>
      <c r="BC45" s="55" t="str">
        <f t="shared" si="63"/>
        <v/>
      </c>
      <c r="BD45" s="55" t="str">
        <f t="shared" si="63"/>
        <v/>
      </c>
      <c r="BE45" s="55" t="str">
        <f t="shared" si="64"/>
        <v/>
      </c>
      <c r="BF45" s="55" t="str">
        <f t="shared" si="64"/>
        <v/>
      </c>
      <c r="BG45" s="55" t="str">
        <f t="shared" si="64"/>
        <v/>
      </c>
      <c r="BH45" s="55" t="str">
        <f t="shared" si="64"/>
        <v/>
      </c>
      <c r="BI45" s="55" t="str">
        <f t="shared" si="64"/>
        <v/>
      </c>
      <c r="BJ45" s="55" t="str">
        <f t="shared" si="64"/>
        <v/>
      </c>
      <c r="BK45" s="55" t="str">
        <f t="shared" si="64"/>
        <v/>
      </c>
      <c r="BL45" s="55" t="str">
        <f t="shared" si="64"/>
        <v/>
      </c>
      <c r="BM45" s="55" t="str">
        <f t="shared" si="64"/>
        <v/>
      </c>
      <c r="BN45" s="55" t="str">
        <f t="shared" si="64"/>
        <v/>
      </c>
      <c r="BO45" s="55" t="str">
        <f t="shared" si="64"/>
        <v/>
      </c>
      <c r="BP45" s="55" t="str">
        <f t="shared" si="64"/>
        <v/>
      </c>
      <c r="BQ45" s="55" t="str">
        <f t="shared" si="64"/>
        <v/>
      </c>
      <c r="BR45" s="55" t="str">
        <f t="shared" si="64"/>
        <v/>
      </c>
      <c r="BS45" s="55" t="str">
        <f t="shared" si="64"/>
        <v/>
      </c>
      <c r="BT45" s="55" t="str">
        <f t="shared" si="64"/>
        <v/>
      </c>
      <c r="BU45" s="55" t="str">
        <f t="shared" si="64"/>
        <v/>
      </c>
      <c r="BV45" s="55" t="str">
        <f t="shared" si="64"/>
        <v/>
      </c>
      <c r="BW45" s="55" t="str">
        <f t="shared" si="64"/>
        <v/>
      </c>
      <c r="BX45" s="55" t="str">
        <f t="shared" si="64"/>
        <v/>
      </c>
      <c r="BY45" s="55" t="str">
        <f t="shared" si="64"/>
        <v/>
      </c>
      <c r="BZ45" s="55" t="str">
        <f t="shared" si="64"/>
        <v/>
      </c>
      <c r="CA45" s="55" t="str">
        <f t="shared" si="64"/>
        <v/>
      </c>
      <c r="CB45" s="55" t="str">
        <f t="shared" si="64"/>
        <v/>
      </c>
      <c r="CC45" s="55" t="str">
        <f t="shared" si="64"/>
        <v/>
      </c>
      <c r="CD45" s="55" t="str">
        <f t="shared" si="64"/>
        <v/>
      </c>
      <c r="CE45" s="55" t="str">
        <f t="shared" si="64"/>
        <v/>
      </c>
      <c r="CF45" s="55" t="str">
        <f t="shared" si="64"/>
        <v/>
      </c>
      <c r="CG45" s="55" t="str">
        <f t="shared" si="64"/>
        <v/>
      </c>
      <c r="CH45" s="55" t="str">
        <f t="shared" si="64"/>
        <v/>
      </c>
      <c r="CI45" s="55" t="str">
        <f t="shared" si="64"/>
        <v/>
      </c>
      <c r="CJ45" s="55" t="str">
        <f t="shared" si="64"/>
        <v/>
      </c>
      <c r="CK45" s="55" t="str">
        <f t="shared" si="64"/>
        <v/>
      </c>
      <c r="CL45" s="55" t="str">
        <f t="shared" si="64"/>
        <v/>
      </c>
      <c r="CM45" s="55" t="str">
        <f t="shared" si="64"/>
        <v/>
      </c>
      <c r="CN45" s="55" t="str">
        <f t="shared" si="64"/>
        <v/>
      </c>
      <c r="CO45" s="55" t="str">
        <f t="shared" si="64"/>
        <v/>
      </c>
      <c r="CP45" s="55" t="str">
        <f t="shared" si="64"/>
        <v/>
      </c>
      <c r="CQ45" s="55" t="str">
        <f t="shared" si="64"/>
        <v/>
      </c>
      <c r="CR45" s="55" t="str">
        <f t="shared" si="64"/>
        <v/>
      </c>
      <c r="CS45" s="55" t="str">
        <f t="shared" si="64"/>
        <v/>
      </c>
      <c r="CT45" s="55" t="str">
        <f t="shared" si="64"/>
        <v/>
      </c>
      <c r="CU45" s="55" t="str">
        <f t="shared" si="64"/>
        <v/>
      </c>
      <c r="CV45" s="55" t="str">
        <f t="shared" si="64"/>
        <v/>
      </c>
      <c r="CW45" s="55" t="str">
        <f t="shared" si="64"/>
        <v/>
      </c>
      <c r="CX45" s="55" t="str">
        <f t="shared" si="64"/>
        <v/>
      </c>
      <c r="CY45" s="55" t="str">
        <f t="shared" si="64"/>
        <v/>
      </c>
      <c r="CZ45" s="55" t="str">
        <f t="shared" si="61"/>
        <v/>
      </c>
      <c r="DA45" s="55" t="str">
        <f t="shared" si="61"/>
        <v/>
      </c>
      <c r="DB45" s="55" t="str">
        <f t="shared" si="61"/>
        <v/>
      </c>
      <c r="DC45" s="55" t="str">
        <f t="shared" si="61"/>
        <v/>
      </c>
      <c r="DD45" s="55" t="str">
        <f t="shared" si="61"/>
        <v/>
      </c>
      <c r="DE45" s="55" t="str">
        <f t="shared" si="61"/>
        <v/>
      </c>
      <c r="DF45" s="55" t="str">
        <f t="shared" si="61"/>
        <v/>
      </c>
      <c r="DG45" s="55" t="str">
        <f t="shared" si="61"/>
        <v/>
      </c>
      <c r="DH45" s="55" t="str">
        <f t="shared" si="61"/>
        <v/>
      </c>
      <c r="DI45" s="55" t="str">
        <f t="shared" si="61"/>
        <v/>
      </c>
      <c r="DJ45" s="55" t="str">
        <f t="shared" si="61"/>
        <v/>
      </c>
      <c r="DK45" s="55" t="str">
        <f t="shared" si="55"/>
        <v/>
      </c>
      <c r="DL45" s="55" t="str">
        <f t="shared" si="55"/>
        <v/>
      </c>
      <c r="DM45" s="55" t="str">
        <f t="shared" si="55"/>
        <v/>
      </c>
      <c r="DN45" s="55" t="str">
        <f t="shared" si="55"/>
        <v/>
      </c>
      <c r="DO45" s="55" t="str">
        <f t="shared" si="55"/>
        <v/>
      </c>
      <c r="DP45" s="55" t="str">
        <f t="shared" si="55"/>
        <v/>
      </c>
      <c r="DQ45" s="55" t="str">
        <f t="shared" si="56"/>
        <v/>
      </c>
      <c r="DR45" s="55" t="str">
        <f t="shared" si="56"/>
        <v/>
      </c>
      <c r="DS45" s="55" t="str">
        <f t="shared" si="56"/>
        <v/>
      </c>
      <c r="DT45" s="106" t="str">
        <f t="shared" si="56"/>
        <v/>
      </c>
      <c r="DU45" s="54"/>
      <c r="DV45" s="25"/>
      <c r="DW45" s="61" t="str">
        <f t="shared" si="57"/>
        <v/>
      </c>
      <c r="DX45" s="50" t="str">
        <f t="shared" si="57"/>
        <v/>
      </c>
      <c r="DY45" s="50" t="str">
        <f t="shared" si="57"/>
        <v/>
      </c>
      <c r="DZ45" s="50" t="str">
        <f t="shared" si="57"/>
        <v/>
      </c>
      <c r="EA45" s="50" t="str">
        <f t="shared" si="57"/>
        <v/>
      </c>
      <c r="EB45" s="50" t="str">
        <f t="shared" si="57"/>
        <v/>
      </c>
      <c r="EC45" s="50" t="str">
        <f t="shared" si="57"/>
        <v/>
      </c>
      <c r="ED45" s="50" t="str">
        <f t="shared" si="57"/>
        <v/>
      </c>
      <c r="EE45" s="50" t="str">
        <f t="shared" si="57"/>
        <v/>
      </c>
      <c r="EF45" s="50" t="str">
        <f t="shared" si="57"/>
        <v/>
      </c>
      <c r="EG45" s="50" t="str">
        <f t="shared" si="57"/>
        <v/>
      </c>
      <c r="EH45" s="50" t="str">
        <f t="shared" si="57"/>
        <v/>
      </c>
      <c r="EI45" s="50" t="str">
        <f t="shared" si="57"/>
        <v/>
      </c>
      <c r="EJ45" s="50" t="str">
        <f t="shared" si="57"/>
        <v/>
      </c>
      <c r="EK45" s="50" t="str">
        <f t="shared" si="57"/>
        <v/>
      </c>
      <c r="EL45" s="50" t="str">
        <f t="shared" si="57"/>
        <v/>
      </c>
      <c r="EM45" s="50" t="str">
        <f t="shared" si="65"/>
        <v/>
      </c>
      <c r="EN45" s="50" t="str">
        <f t="shared" si="65"/>
        <v/>
      </c>
      <c r="EO45" s="50" t="str">
        <f t="shared" si="65"/>
        <v/>
      </c>
      <c r="EP45" s="50" t="str">
        <f t="shared" si="65"/>
        <v/>
      </c>
      <c r="EQ45" s="50" t="str">
        <f t="shared" si="65"/>
        <v/>
      </c>
      <c r="ER45" s="50" t="str">
        <f t="shared" si="65"/>
        <v/>
      </c>
      <c r="ES45" s="50" t="str">
        <f t="shared" si="65"/>
        <v/>
      </c>
      <c r="ET45" s="50" t="str">
        <f t="shared" si="65"/>
        <v/>
      </c>
      <c r="EU45" s="50" t="str">
        <f t="shared" si="65"/>
        <v/>
      </c>
      <c r="EV45" s="50" t="str">
        <f t="shared" si="65"/>
        <v/>
      </c>
      <c r="EW45" s="50" t="str">
        <f t="shared" si="65"/>
        <v/>
      </c>
      <c r="EX45" s="50" t="str">
        <f t="shared" si="65"/>
        <v/>
      </c>
      <c r="EY45" s="50" t="str">
        <f t="shared" si="65"/>
        <v/>
      </c>
      <c r="EZ45" s="50" t="str">
        <f t="shared" si="65"/>
        <v/>
      </c>
      <c r="FA45" s="50" t="str">
        <f t="shared" si="65"/>
        <v/>
      </c>
      <c r="FB45" s="50" t="str">
        <f t="shared" si="65"/>
        <v/>
      </c>
      <c r="FC45" s="50" t="str">
        <f t="shared" si="66"/>
        <v/>
      </c>
      <c r="FD45" s="50" t="str">
        <f t="shared" si="66"/>
        <v/>
      </c>
      <c r="FE45" s="50" t="str">
        <f t="shared" si="66"/>
        <v/>
      </c>
      <c r="FF45" s="50" t="str">
        <f t="shared" si="66"/>
        <v/>
      </c>
      <c r="FG45" s="50" t="str">
        <f t="shared" si="66"/>
        <v/>
      </c>
      <c r="FH45" s="50" t="str">
        <f t="shared" si="66"/>
        <v/>
      </c>
      <c r="FI45" s="50" t="str">
        <f t="shared" si="66"/>
        <v/>
      </c>
      <c r="FJ45" s="50" t="str">
        <f t="shared" si="66"/>
        <v/>
      </c>
      <c r="FK45" s="50" t="str">
        <f t="shared" si="66"/>
        <v/>
      </c>
      <c r="FL45" s="50" t="str">
        <f t="shared" si="66"/>
        <v/>
      </c>
      <c r="FM45" s="50" t="str">
        <f t="shared" si="66"/>
        <v/>
      </c>
      <c r="FN45" s="50" t="str">
        <f t="shared" si="66"/>
        <v/>
      </c>
      <c r="FO45" s="50" t="str">
        <f t="shared" si="66"/>
        <v/>
      </c>
      <c r="FP45" s="50" t="str">
        <f t="shared" si="66"/>
        <v/>
      </c>
      <c r="FQ45" s="50" t="str">
        <f t="shared" si="66"/>
        <v/>
      </c>
      <c r="FR45" s="50" t="str">
        <f t="shared" si="66"/>
        <v/>
      </c>
      <c r="FS45" s="50" t="str">
        <f t="shared" si="66"/>
        <v/>
      </c>
      <c r="FT45" s="50" t="str">
        <f t="shared" si="66"/>
        <v/>
      </c>
      <c r="FU45" s="50" t="str">
        <f t="shared" si="66"/>
        <v/>
      </c>
      <c r="FV45" s="50" t="str">
        <f t="shared" si="66"/>
        <v/>
      </c>
      <c r="FW45" s="50" t="str">
        <f t="shared" si="66"/>
        <v/>
      </c>
      <c r="FX45" s="50" t="str">
        <f t="shared" si="66"/>
        <v/>
      </c>
      <c r="FY45" s="50" t="str">
        <f t="shared" si="66"/>
        <v/>
      </c>
      <c r="FZ45" s="50" t="str">
        <f t="shared" si="66"/>
        <v/>
      </c>
      <c r="GA45" s="50" t="str">
        <f t="shared" si="66"/>
        <v/>
      </c>
      <c r="GB45" s="50" t="str">
        <f t="shared" si="66"/>
        <v/>
      </c>
      <c r="GC45" s="50" t="str">
        <f t="shared" si="66"/>
        <v/>
      </c>
      <c r="GD45" s="50" t="str">
        <f t="shared" si="66"/>
        <v/>
      </c>
      <c r="GE45" s="50" t="str">
        <f t="shared" si="66"/>
        <v/>
      </c>
      <c r="GF45" s="50" t="str">
        <f t="shared" si="66"/>
        <v/>
      </c>
      <c r="GG45" s="50" t="str">
        <f t="shared" si="66"/>
        <v/>
      </c>
      <c r="GH45" s="50" t="str">
        <f t="shared" si="66"/>
        <v/>
      </c>
      <c r="GI45" s="50" t="str">
        <f t="shared" si="66"/>
        <v/>
      </c>
      <c r="GJ45" s="50" t="str">
        <f t="shared" si="66"/>
        <v/>
      </c>
      <c r="GK45" s="50" t="str">
        <f t="shared" si="66"/>
        <v/>
      </c>
      <c r="GL45" s="50" t="str">
        <f t="shared" si="66"/>
        <v/>
      </c>
      <c r="GM45" s="50" t="str">
        <f t="shared" si="66"/>
        <v/>
      </c>
      <c r="GN45" s="50" t="str">
        <f t="shared" si="66"/>
        <v/>
      </c>
      <c r="GO45" s="50" t="str">
        <f t="shared" si="66"/>
        <v/>
      </c>
      <c r="GP45" s="50" t="str">
        <f t="shared" si="66"/>
        <v/>
      </c>
      <c r="GQ45" s="50" t="str">
        <f t="shared" si="66"/>
        <v/>
      </c>
      <c r="GR45" s="50" t="str">
        <f t="shared" si="66"/>
        <v/>
      </c>
      <c r="GS45" s="50" t="str">
        <f t="shared" si="66"/>
        <v/>
      </c>
      <c r="GT45" s="50" t="str">
        <f t="shared" si="66"/>
        <v/>
      </c>
      <c r="GU45" s="50" t="str">
        <f t="shared" si="66"/>
        <v/>
      </c>
      <c r="GV45" s="50" t="str">
        <f t="shared" si="66"/>
        <v/>
      </c>
      <c r="GW45" s="50" t="str">
        <f t="shared" si="66"/>
        <v/>
      </c>
      <c r="GX45" s="50" t="str">
        <f t="shared" si="62"/>
        <v/>
      </c>
      <c r="GY45" s="50" t="str">
        <f t="shared" si="62"/>
        <v/>
      </c>
      <c r="GZ45" s="50" t="str">
        <f t="shared" si="62"/>
        <v/>
      </c>
      <c r="HA45" s="50" t="str">
        <f t="shared" si="62"/>
        <v/>
      </c>
      <c r="HB45" s="50" t="str">
        <f t="shared" si="62"/>
        <v/>
      </c>
      <c r="HC45" s="50" t="str">
        <f t="shared" si="62"/>
        <v/>
      </c>
      <c r="HD45" s="50" t="str">
        <f t="shared" si="62"/>
        <v/>
      </c>
      <c r="HE45" s="50" t="str">
        <f t="shared" si="62"/>
        <v/>
      </c>
      <c r="HF45" s="50" t="str">
        <f t="shared" si="62"/>
        <v/>
      </c>
      <c r="HG45" s="50" t="str">
        <f t="shared" si="62"/>
        <v/>
      </c>
      <c r="HH45" s="50" t="str">
        <f t="shared" si="62"/>
        <v/>
      </c>
      <c r="HI45" s="50" t="str">
        <f t="shared" si="62"/>
        <v/>
      </c>
      <c r="HJ45" s="50" t="str">
        <f t="shared" si="62"/>
        <v/>
      </c>
      <c r="HK45" s="50" t="str">
        <f t="shared" si="62"/>
        <v/>
      </c>
      <c r="HL45" s="50" t="str">
        <f t="shared" si="62"/>
        <v/>
      </c>
      <c r="HM45" s="50" t="str">
        <f t="shared" si="62"/>
        <v/>
      </c>
      <c r="HN45" s="50" t="str">
        <f t="shared" si="60"/>
        <v/>
      </c>
      <c r="HO45" s="50" t="str">
        <f t="shared" si="60"/>
        <v/>
      </c>
      <c r="HP45" s="50" t="str">
        <f t="shared" si="60"/>
        <v/>
      </c>
      <c r="HQ45" s="50" t="str">
        <f t="shared" si="60"/>
        <v/>
      </c>
      <c r="HR45" s="112" t="str">
        <f t="shared" si="60"/>
        <v/>
      </c>
    </row>
    <row r="46" spans="1:226" ht="11.1" customHeight="1" x14ac:dyDescent="0.25">
      <c r="A46" s="26"/>
      <c r="B46" s="27"/>
      <c r="C46" s="28" t="str">
        <f>IF(A46=0,"",VLOOKUP(A46,[2]CO!$A$3:$F$5327,2,0))</f>
        <v/>
      </c>
      <c r="D46" s="29" t="s">
        <v>45</v>
      </c>
      <c r="E46" s="29"/>
      <c r="F46" s="29"/>
      <c r="G46" s="30" t="str">
        <f>IF(A46=0,"",VLOOKUP(A46,[2]CO!$A$3:$F$5327,3,0))</f>
        <v/>
      </c>
      <c r="H46" s="95"/>
      <c r="I46" s="31"/>
      <c r="J46" s="31"/>
      <c r="K46" s="31"/>
      <c r="L46" s="31"/>
      <c r="M46" s="32" t="str">
        <f t="shared" si="50"/>
        <v/>
      </c>
      <c r="N46" s="32" t="str">
        <f>IF(B46=0,"",IF(H46="M",HLOOKUP(B46,$Y$12:$DT$13,2),IF(A46=0,"",VLOOKUP(A46,[2]CO!$A$3:$F$5327,4,0))))</f>
        <v/>
      </c>
      <c r="O46" s="32" t="str">
        <f t="shared" si="7"/>
        <v/>
      </c>
      <c r="P46" s="33"/>
      <c r="Q46" s="34" t="str">
        <f t="shared" si="51"/>
        <v/>
      </c>
      <c r="R46" s="35" t="str">
        <f>IF(S46=0,"",IF(OR(G46="PEON",G46="OF",G46="JARD",G46="CARP",G46="MAESTRO",G46="SOLD",G46="BGRO",G46="CHOFER",G46="AYTE",G46="S.INTTE.",G46="ASEO",G46="P.PISOS",G46="VELADOR",G46="RESID",G46="PINTOR",G46="ELECT",G46="AZULE",G46="AUX CONT.",G46="SECRETARIA",G46="AUXILIAR ADMTVO.",G46="ARQUITECTO",G46="DIBUJANTE",G46="AUX. DE RESIDENTE",G46="TOPOGRAFIA"),VLOOKUP(B46,P$14:Q$71,2),"")*S46)</f>
        <v/>
      </c>
      <c r="T46" s="53" t="str">
        <f>IF(A46=0,"",VLOOKUP(A46,[2]CO!$A$3:$F$5318,5,0))</f>
        <v/>
      </c>
      <c r="U46" s="54">
        <f t="shared" si="52"/>
        <v>0</v>
      </c>
      <c r="V46" s="24"/>
      <c r="W46" s="25"/>
      <c r="X46" s="25"/>
      <c r="Y46" s="64" t="str">
        <f t="shared" si="53"/>
        <v/>
      </c>
      <c r="Z46" s="55" t="str">
        <f t="shared" si="53"/>
        <v/>
      </c>
      <c r="AA46" s="55" t="str">
        <f t="shared" si="53"/>
        <v/>
      </c>
      <c r="AB46" s="55" t="str">
        <f t="shared" si="53"/>
        <v/>
      </c>
      <c r="AC46" s="55" t="str">
        <f t="shared" si="53"/>
        <v/>
      </c>
      <c r="AD46" s="55" t="str">
        <f t="shared" si="53"/>
        <v/>
      </c>
      <c r="AE46" s="55" t="str">
        <f t="shared" si="53"/>
        <v/>
      </c>
      <c r="AF46" s="55" t="str">
        <f t="shared" si="53"/>
        <v/>
      </c>
      <c r="AG46" s="55" t="str">
        <f t="shared" si="53"/>
        <v/>
      </c>
      <c r="AH46" s="55" t="str">
        <f t="shared" si="53"/>
        <v/>
      </c>
      <c r="AI46" s="55" t="str">
        <f t="shared" si="53"/>
        <v/>
      </c>
      <c r="AJ46" s="55" t="str">
        <f t="shared" si="53"/>
        <v/>
      </c>
      <c r="AK46" s="55" t="str">
        <f t="shared" si="53"/>
        <v/>
      </c>
      <c r="AL46" s="55" t="str">
        <f t="shared" si="53"/>
        <v/>
      </c>
      <c r="AM46" s="55" t="str">
        <f t="shared" si="53"/>
        <v/>
      </c>
      <c r="AN46" s="55" t="str">
        <f t="shared" si="53"/>
        <v/>
      </c>
      <c r="AO46" s="55" t="str">
        <f t="shared" si="63"/>
        <v/>
      </c>
      <c r="AP46" s="55" t="str">
        <f t="shared" si="63"/>
        <v/>
      </c>
      <c r="AQ46" s="55" t="str">
        <f t="shared" si="63"/>
        <v/>
      </c>
      <c r="AR46" s="55" t="str">
        <f t="shared" si="63"/>
        <v/>
      </c>
      <c r="AS46" s="55" t="str">
        <f t="shared" si="63"/>
        <v/>
      </c>
      <c r="AT46" s="55" t="str">
        <f t="shared" si="63"/>
        <v/>
      </c>
      <c r="AU46" s="55" t="str">
        <f t="shared" si="63"/>
        <v/>
      </c>
      <c r="AV46" s="55" t="str">
        <f t="shared" si="63"/>
        <v/>
      </c>
      <c r="AW46" s="55" t="str">
        <f t="shared" si="63"/>
        <v/>
      </c>
      <c r="AX46" s="55" t="str">
        <f t="shared" si="63"/>
        <v/>
      </c>
      <c r="AY46" s="55" t="str">
        <f t="shared" si="63"/>
        <v/>
      </c>
      <c r="AZ46" s="55" t="str">
        <f t="shared" si="63"/>
        <v/>
      </c>
      <c r="BA46" s="55" t="str">
        <f t="shared" si="63"/>
        <v/>
      </c>
      <c r="BB46" s="55" t="str">
        <f t="shared" si="63"/>
        <v/>
      </c>
      <c r="BC46" s="55" t="str">
        <f t="shared" si="63"/>
        <v/>
      </c>
      <c r="BD46" s="55" t="str">
        <f t="shared" si="63"/>
        <v/>
      </c>
      <c r="BE46" s="55" t="str">
        <f t="shared" si="64"/>
        <v/>
      </c>
      <c r="BF46" s="55" t="str">
        <f t="shared" si="64"/>
        <v/>
      </c>
      <c r="BG46" s="55" t="str">
        <f t="shared" si="64"/>
        <v/>
      </c>
      <c r="BH46" s="55" t="str">
        <f t="shared" si="64"/>
        <v/>
      </c>
      <c r="BI46" s="55" t="str">
        <f t="shared" si="64"/>
        <v/>
      </c>
      <c r="BJ46" s="55" t="str">
        <f t="shared" si="64"/>
        <v/>
      </c>
      <c r="BK46" s="55" t="str">
        <f t="shared" si="64"/>
        <v/>
      </c>
      <c r="BL46" s="55" t="str">
        <f t="shared" si="64"/>
        <v/>
      </c>
      <c r="BM46" s="55" t="str">
        <f t="shared" si="64"/>
        <v/>
      </c>
      <c r="BN46" s="55" t="str">
        <f t="shared" si="64"/>
        <v/>
      </c>
      <c r="BO46" s="55" t="str">
        <f t="shared" si="64"/>
        <v/>
      </c>
      <c r="BP46" s="55" t="str">
        <f t="shared" si="64"/>
        <v/>
      </c>
      <c r="BQ46" s="55" t="str">
        <f t="shared" si="64"/>
        <v/>
      </c>
      <c r="BR46" s="55" t="str">
        <f t="shared" si="64"/>
        <v/>
      </c>
      <c r="BS46" s="55" t="str">
        <f t="shared" si="64"/>
        <v/>
      </c>
      <c r="BT46" s="55" t="str">
        <f t="shared" si="64"/>
        <v/>
      </c>
      <c r="BU46" s="55" t="str">
        <f t="shared" si="64"/>
        <v/>
      </c>
      <c r="BV46" s="55" t="str">
        <f t="shared" si="64"/>
        <v/>
      </c>
      <c r="BW46" s="55" t="str">
        <f t="shared" si="64"/>
        <v/>
      </c>
      <c r="BX46" s="55" t="str">
        <f t="shared" si="64"/>
        <v/>
      </c>
      <c r="BY46" s="55" t="str">
        <f t="shared" si="64"/>
        <v/>
      </c>
      <c r="BZ46" s="55" t="str">
        <f t="shared" si="64"/>
        <v/>
      </c>
      <c r="CA46" s="55" t="str">
        <f t="shared" si="64"/>
        <v/>
      </c>
      <c r="CB46" s="55" t="str">
        <f t="shared" si="64"/>
        <v/>
      </c>
      <c r="CC46" s="55" t="str">
        <f t="shared" si="64"/>
        <v/>
      </c>
      <c r="CD46" s="55" t="str">
        <f t="shared" si="64"/>
        <v/>
      </c>
      <c r="CE46" s="55" t="str">
        <f t="shared" si="64"/>
        <v/>
      </c>
      <c r="CF46" s="55" t="str">
        <f t="shared" si="64"/>
        <v/>
      </c>
      <c r="CG46" s="55" t="str">
        <f t="shared" si="64"/>
        <v/>
      </c>
      <c r="CH46" s="55" t="str">
        <f t="shared" si="64"/>
        <v/>
      </c>
      <c r="CI46" s="55" t="str">
        <f t="shared" si="64"/>
        <v/>
      </c>
      <c r="CJ46" s="55" t="str">
        <f t="shared" si="64"/>
        <v/>
      </c>
      <c r="CK46" s="55" t="str">
        <f t="shared" si="64"/>
        <v/>
      </c>
      <c r="CL46" s="55" t="str">
        <f t="shared" si="64"/>
        <v/>
      </c>
      <c r="CM46" s="55" t="str">
        <f t="shared" si="64"/>
        <v/>
      </c>
      <c r="CN46" s="55" t="str">
        <f t="shared" si="64"/>
        <v/>
      </c>
      <c r="CO46" s="55" t="str">
        <f t="shared" si="64"/>
        <v/>
      </c>
      <c r="CP46" s="55" t="str">
        <f t="shared" si="64"/>
        <v/>
      </c>
      <c r="CQ46" s="55" t="str">
        <f t="shared" si="64"/>
        <v/>
      </c>
      <c r="CR46" s="55" t="str">
        <f t="shared" si="64"/>
        <v/>
      </c>
      <c r="CS46" s="55" t="str">
        <f t="shared" si="64"/>
        <v/>
      </c>
      <c r="CT46" s="55" t="str">
        <f t="shared" si="64"/>
        <v/>
      </c>
      <c r="CU46" s="55" t="str">
        <f t="shared" si="64"/>
        <v/>
      </c>
      <c r="CV46" s="55" t="str">
        <f t="shared" si="64"/>
        <v/>
      </c>
      <c r="CW46" s="55" t="str">
        <f t="shared" si="64"/>
        <v/>
      </c>
      <c r="CX46" s="55" t="str">
        <f t="shared" si="64"/>
        <v/>
      </c>
      <c r="CY46" s="55" t="str">
        <f t="shared" si="64"/>
        <v/>
      </c>
      <c r="CZ46" s="55" t="str">
        <f t="shared" si="61"/>
        <v/>
      </c>
      <c r="DA46" s="55" t="str">
        <f t="shared" si="61"/>
        <v/>
      </c>
      <c r="DB46" s="55" t="str">
        <f t="shared" si="61"/>
        <v/>
      </c>
      <c r="DC46" s="55" t="str">
        <f t="shared" si="61"/>
        <v/>
      </c>
      <c r="DD46" s="55" t="str">
        <f t="shared" si="61"/>
        <v/>
      </c>
      <c r="DE46" s="55" t="str">
        <f t="shared" si="61"/>
        <v/>
      </c>
      <c r="DF46" s="55" t="str">
        <f t="shared" si="61"/>
        <v/>
      </c>
      <c r="DG46" s="55" t="str">
        <f t="shared" si="61"/>
        <v/>
      </c>
      <c r="DH46" s="55" t="str">
        <f t="shared" si="61"/>
        <v/>
      </c>
      <c r="DI46" s="55" t="str">
        <f t="shared" si="61"/>
        <v/>
      </c>
      <c r="DJ46" s="55" t="str">
        <f t="shared" si="61"/>
        <v/>
      </c>
      <c r="DK46" s="55" t="str">
        <f t="shared" si="55"/>
        <v/>
      </c>
      <c r="DL46" s="55" t="str">
        <f t="shared" si="55"/>
        <v/>
      </c>
      <c r="DM46" s="55" t="str">
        <f t="shared" si="55"/>
        <v/>
      </c>
      <c r="DN46" s="55" t="str">
        <f t="shared" si="55"/>
        <v/>
      </c>
      <c r="DO46" s="55" t="str">
        <f t="shared" si="55"/>
        <v/>
      </c>
      <c r="DP46" s="55" t="str">
        <f t="shared" si="55"/>
        <v/>
      </c>
      <c r="DQ46" s="55" t="str">
        <f t="shared" si="56"/>
        <v/>
      </c>
      <c r="DR46" s="55" t="str">
        <f t="shared" si="56"/>
        <v/>
      </c>
      <c r="DS46" s="55" t="str">
        <f t="shared" si="56"/>
        <v/>
      </c>
      <c r="DT46" s="106" t="str">
        <f t="shared" si="56"/>
        <v/>
      </c>
      <c r="DU46" s="54"/>
      <c r="DV46" s="25"/>
      <c r="DW46" s="61" t="str">
        <f t="shared" si="57"/>
        <v/>
      </c>
      <c r="DX46" s="50" t="str">
        <f t="shared" si="57"/>
        <v/>
      </c>
      <c r="DY46" s="50" t="str">
        <f t="shared" si="57"/>
        <v/>
      </c>
      <c r="DZ46" s="50" t="str">
        <f t="shared" si="57"/>
        <v/>
      </c>
      <c r="EA46" s="50" t="str">
        <f t="shared" si="57"/>
        <v/>
      </c>
      <c r="EB46" s="50" t="str">
        <f t="shared" si="57"/>
        <v/>
      </c>
      <c r="EC46" s="50" t="str">
        <f t="shared" si="57"/>
        <v/>
      </c>
      <c r="ED46" s="50" t="str">
        <f t="shared" si="57"/>
        <v/>
      </c>
      <c r="EE46" s="50" t="str">
        <f t="shared" si="57"/>
        <v/>
      </c>
      <c r="EF46" s="50" t="str">
        <f t="shared" si="57"/>
        <v/>
      </c>
      <c r="EG46" s="50" t="str">
        <f t="shared" si="57"/>
        <v/>
      </c>
      <c r="EH46" s="50" t="str">
        <f t="shared" si="57"/>
        <v/>
      </c>
      <c r="EI46" s="50" t="str">
        <f t="shared" si="57"/>
        <v/>
      </c>
      <c r="EJ46" s="50" t="str">
        <f t="shared" si="57"/>
        <v/>
      </c>
      <c r="EK46" s="50" t="str">
        <f t="shared" si="57"/>
        <v/>
      </c>
      <c r="EL46" s="50" t="str">
        <f t="shared" si="57"/>
        <v/>
      </c>
      <c r="EM46" s="50" t="str">
        <f t="shared" si="65"/>
        <v/>
      </c>
      <c r="EN46" s="50" t="str">
        <f t="shared" si="65"/>
        <v/>
      </c>
      <c r="EO46" s="50" t="str">
        <f t="shared" si="65"/>
        <v/>
      </c>
      <c r="EP46" s="50" t="str">
        <f t="shared" si="65"/>
        <v/>
      </c>
      <c r="EQ46" s="50" t="str">
        <f t="shared" si="65"/>
        <v/>
      </c>
      <c r="ER46" s="50" t="str">
        <f t="shared" si="65"/>
        <v/>
      </c>
      <c r="ES46" s="50" t="str">
        <f t="shared" si="65"/>
        <v/>
      </c>
      <c r="ET46" s="50" t="str">
        <f t="shared" si="65"/>
        <v/>
      </c>
      <c r="EU46" s="50" t="str">
        <f t="shared" si="65"/>
        <v/>
      </c>
      <c r="EV46" s="50" t="str">
        <f t="shared" si="65"/>
        <v/>
      </c>
      <c r="EW46" s="50" t="str">
        <f t="shared" si="65"/>
        <v/>
      </c>
      <c r="EX46" s="50" t="str">
        <f t="shared" si="65"/>
        <v/>
      </c>
      <c r="EY46" s="50" t="str">
        <f t="shared" si="65"/>
        <v/>
      </c>
      <c r="EZ46" s="50" t="str">
        <f t="shared" si="65"/>
        <v/>
      </c>
      <c r="FA46" s="50" t="str">
        <f t="shared" si="65"/>
        <v/>
      </c>
      <c r="FB46" s="50" t="str">
        <f t="shared" si="65"/>
        <v/>
      </c>
      <c r="FC46" s="50" t="str">
        <f t="shared" si="66"/>
        <v/>
      </c>
      <c r="FD46" s="50" t="str">
        <f t="shared" si="66"/>
        <v/>
      </c>
      <c r="FE46" s="50" t="str">
        <f t="shared" si="66"/>
        <v/>
      </c>
      <c r="FF46" s="50" t="str">
        <f t="shared" si="66"/>
        <v/>
      </c>
      <c r="FG46" s="50" t="str">
        <f t="shared" si="66"/>
        <v/>
      </c>
      <c r="FH46" s="50" t="str">
        <f t="shared" si="66"/>
        <v/>
      </c>
      <c r="FI46" s="50" t="str">
        <f t="shared" si="66"/>
        <v/>
      </c>
      <c r="FJ46" s="50" t="str">
        <f t="shared" si="66"/>
        <v/>
      </c>
      <c r="FK46" s="50" t="str">
        <f t="shared" si="66"/>
        <v/>
      </c>
      <c r="FL46" s="50" t="str">
        <f t="shared" si="66"/>
        <v/>
      </c>
      <c r="FM46" s="50" t="str">
        <f t="shared" si="66"/>
        <v/>
      </c>
      <c r="FN46" s="50" t="str">
        <f t="shared" si="66"/>
        <v/>
      </c>
      <c r="FO46" s="50" t="str">
        <f t="shared" si="66"/>
        <v/>
      </c>
      <c r="FP46" s="50" t="str">
        <f t="shared" si="66"/>
        <v/>
      </c>
      <c r="FQ46" s="50" t="str">
        <f t="shared" si="66"/>
        <v/>
      </c>
      <c r="FR46" s="50" t="str">
        <f t="shared" si="66"/>
        <v/>
      </c>
      <c r="FS46" s="50" t="str">
        <f t="shared" si="66"/>
        <v/>
      </c>
      <c r="FT46" s="50" t="str">
        <f t="shared" si="66"/>
        <v/>
      </c>
      <c r="FU46" s="50" t="str">
        <f t="shared" si="66"/>
        <v/>
      </c>
      <c r="FV46" s="50" t="str">
        <f t="shared" si="66"/>
        <v/>
      </c>
      <c r="FW46" s="50" t="str">
        <f t="shared" si="66"/>
        <v/>
      </c>
      <c r="FX46" s="50" t="str">
        <f t="shared" si="66"/>
        <v/>
      </c>
      <c r="FY46" s="50" t="str">
        <f t="shared" si="66"/>
        <v/>
      </c>
      <c r="FZ46" s="50" t="str">
        <f t="shared" si="66"/>
        <v/>
      </c>
      <c r="GA46" s="50" t="str">
        <f t="shared" si="66"/>
        <v/>
      </c>
      <c r="GB46" s="50" t="str">
        <f t="shared" si="66"/>
        <v/>
      </c>
      <c r="GC46" s="50" t="str">
        <f t="shared" si="66"/>
        <v/>
      </c>
      <c r="GD46" s="50" t="str">
        <f t="shared" si="66"/>
        <v/>
      </c>
      <c r="GE46" s="50" t="str">
        <f t="shared" si="66"/>
        <v/>
      </c>
      <c r="GF46" s="50" t="str">
        <f t="shared" si="66"/>
        <v/>
      </c>
      <c r="GG46" s="50" t="str">
        <f t="shared" si="66"/>
        <v/>
      </c>
      <c r="GH46" s="50" t="str">
        <f t="shared" si="66"/>
        <v/>
      </c>
      <c r="GI46" s="50" t="str">
        <f t="shared" si="66"/>
        <v/>
      </c>
      <c r="GJ46" s="50" t="str">
        <f t="shared" si="66"/>
        <v/>
      </c>
      <c r="GK46" s="50" t="str">
        <f t="shared" si="66"/>
        <v/>
      </c>
      <c r="GL46" s="50" t="str">
        <f t="shared" si="66"/>
        <v/>
      </c>
      <c r="GM46" s="50" t="str">
        <f t="shared" si="66"/>
        <v/>
      </c>
      <c r="GN46" s="50" t="str">
        <f t="shared" si="66"/>
        <v/>
      </c>
      <c r="GO46" s="50" t="str">
        <f t="shared" si="66"/>
        <v/>
      </c>
      <c r="GP46" s="50" t="str">
        <f t="shared" si="66"/>
        <v/>
      </c>
      <c r="GQ46" s="50" t="str">
        <f t="shared" si="66"/>
        <v/>
      </c>
      <c r="GR46" s="50" t="str">
        <f t="shared" si="66"/>
        <v/>
      </c>
      <c r="GS46" s="50" t="str">
        <f t="shared" si="66"/>
        <v/>
      </c>
      <c r="GT46" s="50" t="str">
        <f t="shared" si="66"/>
        <v/>
      </c>
      <c r="GU46" s="50" t="str">
        <f t="shared" si="66"/>
        <v/>
      </c>
      <c r="GV46" s="50" t="str">
        <f t="shared" si="66"/>
        <v/>
      </c>
      <c r="GW46" s="50" t="str">
        <f t="shared" si="66"/>
        <v/>
      </c>
      <c r="GX46" s="50" t="str">
        <f t="shared" si="62"/>
        <v/>
      </c>
      <c r="GY46" s="50" t="str">
        <f t="shared" si="62"/>
        <v/>
      </c>
      <c r="GZ46" s="50" t="str">
        <f t="shared" si="62"/>
        <v/>
      </c>
      <c r="HA46" s="50" t="str">
        <f t="shared" si="62"/>
        <v/>
      </c>
      <c r="HB46" s="50" t="str">
        <f t="shared" si="62"/>
        <v/>
      </c>
      <c r="HC46" s="50" t="str">
        <f t="shared" si="62"/>
        <v/>
      </c>
      <c r="HD46" s="50" t="str">
        <f t="shared" si="62"/>
        <v/>
      </c>
      <c r="HE46" s="50" t="str">
        <f t="shared" si="62"/>
        <v/>
      </c>
      <c r="HF46" s="50" t="str">
        <f t="shared" si="62"/>
        <v/>
      </c>
      <c r="HG46" s="50" t="str">
        <f t="shared" si="62"/>
        <v/>
      </c>
      <c r="HH46" s="50" t="str">
        <f t="shared" si="62"/>
        <v/>
      </c>
      <c r="HI46" s="50" t="str">
        <f t="shared" si="62"/>
        <v/>
      </c>
      <c r="HJ46" s="50" t="str">
        <f t="shared" si="62"/>
        <v/>
      </c>
      <c r="HK46" s="50" t="str">
        <f t="shared" si="62"/>
        <v/>
      </c>
      <c r="HL46" s="50" t="str">
        <f t="shared" si="62"/>
        <v/>
      </c>
      <c r="HM46" s="50" t="str">
        <f t="shared" si="62"/>
        <v/>
      </c>
      <c r="HN46" s="50" t="str">
        <f t="shared" si="60"/>
        <v/>
      </c>
      <c r="HO46" s="50" t="str">
        <f t="shared" si="60"/>
        <v/>
      </c>
      <c r="HP46" s="50" t="str">
        <f t="shared" si="60"/>
        <v/>
      </c>
      <c r="HQ46" s="50" t="str">
        <f t="shared" si="60"/>
        <v/>
      </c>
      <c r="HR46" s="112" t="str">
        <f t="shared" si="60"/>
        <v/>
      </c>
    </row>
    <row r="47" spans="1:226" ht="11.1" customHeight="1" x14ac:dyDescent="0.25">
      <c r="A47" s="26" t="s">
        <v>37</v>
      </c>
      <c r="B47" s="27">
        <v>61</v>
      </c>
      <c r="C47" s="28" t="str">
        <f>IF(A47=0,"",VLOOKUP(A47,[2]CO!$A$3:$F$5327,2,0))</f>
        <v>Lote</v>
      </c>
      <c r="D47" s="29" t="s">
        <v>46</v>
      </c>
      <c r="E47" s="29"/>
      <c r="F47" s="29"/>
      <c r="G47" s="30" t="str">
        <f>IF(A47=0,"",VLOOKUP(A47,[2]CO!$A$3:$F$5327,3,0))</f>
        <v>LOTE</v>
      </c>
      <c r="H47" s="95"/>
      <c r="I47" s="31">
        <v>3.5326499999999998</v>
      </c>
      <c r="J47" s="31"/>
      <c r="K47" s="31"/>
      <c r="L47" s="31">
        <v>4</v>
      </c>
      <c r="M47" s="32">
        <f t="shared" si="50"/>
        <v>14.130599999999999</v>
      </c>
      <c r="N47" s="32">
        <f>IF(B47=0,"",IF(H47="M",HLOOKUP(B47,$Y$12:$DT$13,2),IF(A47=0,"",VLOOKUP(A47,[2]CO!$A$3:$F$5327,4,0))))</f>
        <v>100</v>
      </c>
      <c r="O47" s="32">
        <f t="shared" si="7"/>
        <v>1413.06</v>
      </c>
      <c r="P47" s="33">
        <v>61</v>
      </c>
      <c r="Q47" s="34">
        <f t="shared" si="51"/>
        <v>11304.48</v>
      </c>
      <c r="R47" s="35" t="str">
        <f>IF(S47=0,"",IF(OR(G47="PEON",G47="OF",G47="JARD",G47="CARP",G47="MAESTRO",G47="SOLD",G47="BGRO",G47="CHOFER",G47="AYTE",G47="S.INTTE.",G47="ASEO",G47="P.PISOS",G47="VELADOR",G47="RESID",G47="PINTOR",G47="ELECT",G47="AZULE",G47="AUX CONT.",G47="SECRETARIA",G47="AUXILIAR ADMTVO.",G47="ARQUITECTO",G47="DIBUJANTE",G47="AUX. DE RESIDENTE",G47="TOPOGRAFIA"),VLOOKUP(B47,P$14:Q$71,2),"")*S47)</f>
        <v/>
      </c>
      <c r="T47" s="53">
        <f>IF(A47=0,"",VLOOKUP(A47,[2]CO!$A$3:$F$5318,5,0))</f>
        <v>0</v>
      </c>
      <c r="U47" s="54">
        <f t="shared" si="52"/>
        <v>0</v>
      </c>
      <c r="V47" s="24"/>
      <c r="W47" s="25"/>
      <c r="X47" s="25"/>
      <c r="Y47" s="64" t="str">
        <f t="shared" si="53"/>
        <v/>
      </c>
      <c r="Z47" s="55" t="str">
        <f t="shared" si="53"/>
        <v/>
      </c>
      <c r="AA47" s="55" t="str">
        <f t="shared" si="53"/>
        <v/>
      </c>
      <c r="AB47" s="55" t="str">
        <f t="shared" si="53"/>
        <v/>
      </c>
      <c r="AC47" s="55" t="str">
        <f t="shared" si="53"/>
        <v/>
      </c>
      <c r="AD47" s="55" t="str">
        <f t="shared" si="53"/>
        <v/>
      </c>
      <c r="AE47" s="55" t="str">
        <f t="shared" si="53"/>
        <v/>
      </c>
      <c r="AF47" s="55" t="str">
        <f t="shared" si="53"/>
        <v/>
      </c>
      <c r="AG47" s="55" t="str">
        <f t="shared" si="53"/>
        <v/>
      </c>
      <c r="AH47" s="55" t="str">
        <f t="shared" si="53"/>
        <v/>
      </c>
      <c r="AI47" s="55" t="str">
        <f t="shared" si="53"/>
        <v/>
      </c>
      <c r="AJ47" s="55" t="str">
        <f t="shared" si="53"/>
        <v/>
      </c>
      <c r="AK47" s="55" t="str">
        <f t="shared" si="53"/>
        <v/>
      </c>
      <c r="AL47" s="55" t="str">
        <f t="shared" si="53"/>
        <v/>
      </c>
      <c r="AM47" s="55" t="str">
        <f t="shared" si="53"/>
        <v/>
      </c>
      <c r="AN47" s="55" t="str">
        <f t="shared" si="53"/>
        <v/>
      </c>
      <c r="AO47" s="55" t="str">
        <f t="shared" si="63"/>
        <v/>
      </c>
      <c r="AP47" s="55" t="str">
        <f t="shared" si="63"/>
        <v/>
      </c>
      <c r="AQ47" s="55" t="str">
        <f t="shared" si="63"/>
        <v/>
      </c>
      <c r="AR47" s="55" t="str">
        <f t="shared" si="63"/>
        <v/>
      </c>
      <c r="AS47" s="55" t="str">
        <f t="shared" si="63"/>
        <v/>
      </c>
      <c r="AT47" s="55" t="str">
        <f t="shared" si="63"/>
        <v/>
      </c>
      <c r="AU47" s="55" t="str">
        <f t="shared" si="63"/>
        <v/>
      </c>
      <c r="AV47" s="55" t="str">
        <f t="shared" si="63"/>
        <v/>
      </c>
      <c r="AW47" s="55" t="str">
        <f t="shared" si="63"/>
        <v/>
      </c>
      <c r="AX47" s="55" t="str">
        <f t="shared" si="63"/>
        <v/>
      </c>
      <c r="AY47" s="55" t="str">
        <f t="shared" si="63"/>
        <v/>
      </c>
      <c r="AZ47" s="55" t="str">
        <f t="shared" si="63"/>
        <v/>
      </c>
      <c r="BA47" s="55" t="str">
        <f t="shared" si="63"/>
        <v/>
      </c>
      <c r="BB47" s="55" t="str">
        <f t="shared" si="63"/>
        <v/>
      </c>
      <c r="BC47" s="55" t="str">
        <f t="shared" si="63"/>
        <v/>
      </c>
      <c r="BD47" s="55" t="str">
        <f t="shared" si="63"/>
        <v/>
      </c>
      <c r="BE47" s="55" t="str">
        <f t="shared" si="64"/>
        <v/>
      </c>
      <c r="BF47" s="55" t="str">
        <f t="shared" si="64"/>
        <v/>
      </c>
      <c r="BG47" s="55" t="str">
        <f t="shared" si="64"/>
        <v/>
      </c>
      <c r="BH47" s="55" t="str">
        <f t="shared" si="64"/>
        <v/>
      </c>
      <c r="BI47" s="55" t="str">
        <f t="shared" si="64"/>
        <v/>
      </c>
      <c r="BJ47" s="55" t="str">
        <f t="shared" si="64"/>
        <v/>
      </c>
      <c r="BK47" s="55" t="str">
        <f t="shared" si="64"/>
        <v/>
      </c>
      <c r="BL47" s="55" t="str">
        <f t="shared" si="64"/>
        <v/>
      </c>
      <c r="BM47" s="55" t="str">
        <f t="shared" si="64"/>
        <v/>
      </c>
      <c r="BN47" s="55" t="str">
        <f t="shared" si="64"/>
        <v/>
      </c>
      <c r="BO47" s="55" t="str">
        <f t="shared" si="64"/>
        <v/>
      </c>
      <c r="BP47" s="55" t="str">
        <f t="shared" si="64"/>
        <v/>
      </c>
      <c r="BQ47" s="55" t="str">
        <f t="shared" si="64"/>
        <v/>
      </c>
      <c r="BR47" s="55" t="str">
        <f t="shared" si="64"/>
        <v/>
      </c>
      <c r="BS47" s="55" t="str">
        <f t="shared" si="64"/>
        <v/>
      </c>
      <c r="BT47" s="55" t="str">
        <f t="shared" si="64"/>
        <v/>
      </c>
      <c r="BU47" s="55" t="str">
        <f t="shared" si="64"/>
        <v/>
      </c>
      <c r="BV47" s="55" t="str">
        <f t="shared" si="64"/>
        <v/>
      </c>
      <c r="BW47" s="55" t="str">
        <f t="shared" si="64"/>
        <v/>
      </c>
      <c r="BX47" s="55" t="str">
        <f t="shared" si="64"/>
        <v/>
      </c>
      <c r="BY47" s="55" t="str">
        <f t="shared" si="64"/>
        <v/>
      </c>
      <c r="BZ47" s="55" t="str">
        <f t="shared" si="64"/>
        <v/>
      </c>
      <c r="CA47" s="55" t="str">
        <f t="shared" si="64"/>
        <v/>
      </c>
      <c r="CB47" s="55" t="str">
        <f t="shared" si="64"/>
        <v/>
      </c>
      <c r="CC47" s="55" t="str">
        <f t="shared" si="64"/>
        <v/>
      </c>
      <c r="CD47" s="55" t="str">
        <f t="shared" si="64"/>
        <v/>
      </c>
      <c r="CE47" s="55" t="str">
        <f t="shared" si="64"/>
        <v/>
      </c>
      <c r="CF47" s="55" t="str">
        <f t="shared" si="64"/>
        <v/>
      </c>
      <c r="CG47" s="55">
        <f t="shared" si="64"/>
        <v>0</v>
      </c>
      <c r="CH47" s="55" t="str">
        <f t="shared" si="64"/>
        <v/>
      </c>
      <c r="CI47" s="55" t="str">
        <f t="shared" si="64"/>
        <v/>
      </c>
      <c r="CJ47" s="55" t="str">
        <f t="shared" si="64"/>
        <v/>
      </c>
      <c r="CK47" s="55" t="str">
        <f t="shared" si="64"/>
        <v/>
      </c>
      <c r="CL47" s="55" t="str">
        <f t="shared" si="64"/>
        <v/>
      </c>
      <c r="CM47" s="55" t="str">
        <f t="shared" si="64"/>
        <v/>
      </c>
      <c r="CN47" s="55" t="str">
        <f t="shared" si="64"/>
        <v/>
      </c>
      <c r="CO47" s="55" t="str">
        <f t="shared" si="64"/>
        <v/>
      </c>
      <c r="CP47" s="55" t="str">
        <f t="shared" si="64"/>
        <v/>
      </c>
      <c r="CQ47" s="55" t="str">
        <f t="shared" si="64"/>
        <v/>
      </c>
      <c r="CR47" s="55" t="str">
        <f t="shared" si="64"/>
        <v/>
      </c>
      <c r="CS47" s="55" t="str">
        <f t="shared" si="64"/>
        <v/>
      </c>
      <c r="CT47" s="55" t="str">
        <f t="shared" si="64"/>
        <v/>
      </c>
      <c r="CU47" s="55" t="str">
        <f t="shared" si="64"/>
        <v/>
      </c>
      <c r="CV47" s="55" t="str">
        <f t="shared" si="64"/>
        <v/>
      </c>
      <c r="CW47" s="55" t="str">
        <f t="shared" si="64"/>
        <v/>
      </c>
      <c r="CX47" s="55" t="str">
        <f t="shared" si="64"/>
        <v/>
      </c>
      <c r="CY47" s="55" t="str">
        <f t="shared" si="64"/>
        <v/>
      </c>
      <c r="CZ47" s="55" t="str">
        <f t="shared" si="61"/>
        <v/>
      </c>
      <c r="DA47" s="55" t="str">
        <f t="shared" si="61"/>
        <v/>
      </c>
      <c r="DB47" s="55" t="str">
        <f t="shared" si="61"/>
        <v/>
      </c>
      <c r="DC47" s="55" t="str">
        <f t="shared" si="61"/>
        <v/>
      </c>
      <c r="DD47" s="55" t="str">
        <f t="shared" si="61"/>
        <v/>
      </c>
      <c r="DE47" s="55" t="str">
        <f t="shared" si="61"/>
        <v/>
      </c>
      <c r="DF47" s="55" t="str">
        <f t="shared" si="61"/>
        <v/>
      </c>
      <c r="DG47" s="55" t="str">
        <f t="shared" si="61"/>
        <v/>
      </c>
      <c r="DH47" s="55" t="str">
        <f t="shared" si="61"/>
        <v/>
      </c>
      <c r="DI47" s="55" t="str">
        <f t="shared" si="61"/>
        <v/>
      </c>
      <c r="DJ47" s="55" t="str">
        <f t="shared" si="61"/>
        <v/>
      </c>
      <c r="DK47" s="55" t="str">
        <f t="shared" si="55"/>
        <v/>
      </c>
      <c r="DL47" s="55" t="str">
        <f t="shared" si="55"/>
        <v/>
      </c>
      <c r="DM47" s="55" t="str">
        <f t="shared" si="55"/>
        <v/>
      </c>
      <c r="DN47" s="55" t="str">
        <f t="shared" si="55"/>
        <v/>
      </c>
      <c r="DO47" s="55" t="str">
        <f t="shared" si="55"/>
        <v/>
      </c>
      <c r="DP47" s="55" t="str">
        <f t="shared" si="55"/>
        <v/>
      </c>
      <c r="DQ47" s="55" t="str">
        <f t="shared" si="56"/>
        <v/>
      </c>
      <c r="DR47" s="55" t="str">
        <f t="shared" si="56"/>
        <v/>
      </c>
      <c r="DS47" s="55" t="str">
        <f t="shared" si="56"/>
        <v/>
      </c>
      <c r="DT47" s="106" t="str">
        <f t="shared" si="56"/>
        <v/>
      </c>
      <c r="DU47" s="54"/>
      <c r="DV47" s="25"/>
      <c r="DW47" s="61" t="str">
        <f t="shared" si="57"/>
        <v/>
      </c>
      <c r="DX47" s="50" t="str">
        <f t="shared" si="57"/>
        <v/>
      </c>
      <c r="DY47" s="50" t="str">
        <f t="shared" si="57"/>
        <v/>
      </c>
      <c r="DZ47" s="50" t="str">
        <f t="shared" si="57"/>
        <v/>
      </c>
      <c r="EA47" s="50" t="str">
        <f t="shared" si="57"/>
        <v/>
      </c>
      <c r="EB47" s="50" t="str">
        <f t="shared" si="57"/>
        <v/>
      </c>
      <c r="EC47" s="50" t="str">
        <f t="shared" si="57"/>
        <v/>
      </c>
      <c r="ED47" s="50" t="str">
        <f t="shared" si="57"/>
        <v/>
      </c>
      <c r="EE47" s="50" t="str">
        <f t="shared" si="57"/>
        <v/>
      </c>
      <c r="EF47" s="50" t="str">
        <f t="shared" si="57"/>
        <v/>
      </c>
      <c r="EG47" s="50" t="str">
        <f t="shared" si="57"/>
        <v/>
      </c>
      <c r="EH47" s="50" t="str">
        <f t="shared" si="57"/>
        <v/>
      </c>
      <c r="EI47" s="50" t="str">
        <f t="shared" si="57"/>
        <v/>
      </c>
      <c r="EJ47" s="50" t="str">
        <f t="shared" si="57"/>
        <v/>
      </c>
      <c r="EK47" s="50" t="str">
        <f t="shared" si="57"/>
        <v/>
      </c>
      <c r="EL47" s="50" t="str">
        <f t="shared" si="57"/>
        <v/>
      </c>
      <c r="EM47" s="50" t="str">
        <f t="shared" si="65"/>
        <v/>
      </c>
      <c r="EN47" s="50" t="str">
        <f t="shared" si="65"/>
        <v/>
      </c>
      <c r="EO47" s="50" t="str">
        <f t="shared" si="65"/>
        <v/>
      </c>
      <c r="EP47" s="50" t="str">
        <f t="shared" si="65"/>
        <v/>
      </c>
      <c r="EQ47" s="50" t="str">
        <f t="shared" si="65"/>
        <v/>
      </c>
      <c r="ER47" s="50" t="str">
        <f t="shared" si="65"/>
        <v/>
      </c>
      <c r="ES47" s="50" t="str">
        <f t="shared" si="65"/>
        <v/>
      </c>
      <c r="ET47" s="50" t="str">
        <f t="shared" si="65"/>
        <v/>
      </c>
      <c r="EU47" s="50" t="str">
        <f t="shared" si="65"/>
        <v/>
      </c>
      <c r="EV47" s="50" t="str">
        <f t="shared" si="65"/>
        <v/>
      </c>
      <c r="EW47" s="50" t="str">
        <f t="shared" si="65"/>
        <v/>
      </c>
      <c r="EX47" s="50" t="str">
        <f t="shared" si="65"/>
        <v/>
      </c>
      <c r="EY47" s="50" t="str">
        <f t="shared" si="65"/>
        <v/>
      </c>
      <c r="EZ47" s="50" t="str">
        <f t="shared" si="65"/>
        <v/>
      </c>
      <c r="FA47" s="50" t="str">
        <f t="shared" si="65"/>
        <v/>
      </c>
      <c r="FB47" s="50" t="str">
        <f t="shared" si="65"/>
        <v/>
      </c>
      <c r="FC47" s="50" t="str">
        <f t="shared" si="66"/>
        <v/>
      </c>
      <c r="FD47" s="50" t="str">
        <f t="shared" si="66"/>
        <v/>
      </c>
      <c r="FE47" s="50" t="str">
        <f t="shared" si="66"/>
        <v/>
      </c>
      <c r="FF47" s="50" t="str">
        <f t="shared" si="66"/>
        <v/>
      </c>
      <c r="FG47" s="50" t="str">
        <f t="shared" si="66"/>
        <v/>
      </c>
      <c r="FH47" s="50" t="str">
        <f t="shared" si="66"/>
        <v/>
      </c>
      <c r="FI47" s="50" t="str">
        <f t="shared" si="66"/>
        <v/>
      </c>
      <c r="FJ47" s="50" t="str">
        <f t="shared" si="66"/>
        <v/>
      </c>
      <c r="FK47" s="50" t="str">
        <f t="shared" si="66"/>
        <v/>
      </c>
      <c r="FL47" s="50" t="str">
        <f t="shared" si="66"/>
        <v/>
      </c>
      <c r="FM47" s="50" t="str">
        <f t="shared" si="66"/>
        <v/>
      </c>
      <c r="FN47" s="50" t="str">
        <f t="shared" si="66"/>
        <v/>
      </c>
      <c r="FO47" s="50" t="str">
        <f t="shared" si="66"/>
        <v/>
      </c>
      <c r="FP47" s="50" t="str">
        <f t="shared" si="66"/>
        <v/>
      </c>
      <c r="FQ47" s="50" t="str">
        <f t="shared" si="66"/>
        <v/>
      </c>
      <c r="FR47" s="50" t="str">
        <f t="shared" si="66"/>
        <v/>
      </c>
      <c r="FS47" s="50" t="str">
        <f t="shared" si="66"/>
        <v/>
      </c>
      <c r="FT47" s="50" t="str">
        <f t="shared" si="66"/>
        <v/>
      </c>
      <c r="FU47" s="50" t="str">
        <f t="shared" si="66"/>
        <v/>
      </c>
      <c r="FV47" s="50" t="str">
        <f t="shared" si="66"/>
        <v/>
      </c>
      <c r="FW47" s="50" t="str">
        <f t="shared" si="66"/>
        <v/>
      </c>
      <c r="FX47" s="50" t="str">
        <f t="shared" si="66"/>
        <v/>
      </c>
      <c r="FY47" s="50" t="str">
        <f t="shared" si="66"/>
        <v/>
      </c>
      <c r="FZ47" s="50" t="str">
        <f t="shared" si="66"/>
        <v/>
      </c>
      <c r="GA47" s="50" t="str">
        <f t="shared" si="66"/>
        <v/>
      </c>
      <c r="GB47" s="50" t="str">
        <f t="shared" si="66"/>
        <v/>
      </c>
      <c r="GC47" s="50" t="str">
        <f t="shared" si="66"/>
        <v/>
      </c>
      <c r="GD47" s="50" t="str">
        <f t="shared" si="66"/>
        <v/>
      </c>
      <c r="GE47" s="50">
        <f t="shared" si="66"/>
        <v>1413.06</v>
      </c>
      <c r="GF47" s="50" t="str">
        <f t="shared" si="66"/>
        <v/>
      </c>
      <c r="GG47" s="50" t="str">
        <f t="shared" si="66"/>
        <v/>
      </c>
      <c r="GH47" s="50" t="str">
        <f t="shared" si="66"/>
        <v/>
      </c>
      <c r="GI47" s="50" t="str">
        <f t="shared" si="66"/>
        <v/>
      </c>
      <c r="GJ47" s="50" t="str">
        <f t="shared" si="66"/>
        <v/>
      </c>
      <c r="GK47" s="50" t="str">
        <f t="shared" si="66"/>
        <v/>
      </c>
      <c r="GL47" s="50" t="str">
        <f t="shared" si="66"/>
        <v/>
      </c>
      <c r="GM47" s="50" t="str">
        <f t="shared" si="66"/>
        <v/>
      </c>
      <c r="GN47" s="50" t="str">
        <f t="shared" si="66"/>
        <v/>
      </c>
      <c r="GO47" s="50" t="str">
        <f t="shared" si="66"/>
        <v/>
      </c>
      <c r="GP47" s="50" t="str">
        <f t="shared" si="66"/>
        <v/>
      </c>
      <c r="GQ47" s="50" t="str">
        <f t="shared" si="66"/>
        <v/>
      </c>
      <c r="GR47" s="50" t="str">
        <f t="shared" si="66"/>
        <v/>
      </c>
      <c r="GS47" s="50" t="str">
        <f t="shared" si="66"/>
        <v/>
      </c>
      <c r="GT47" s="50" t="str">
        <f t="shared" si="66"/>
        <v/>
      </c>
      <c r="GU47" s="50" t="str">
        <f t="shared" si="66"/>
        <v/>
      </c>
      <c r="GV47" s="50" t="str">
        <f t="shared" si="66"/>
        <v/>
      </c>
      <c r="GW47" s="50" t="str">
        <f t="shared" si="66"/>
        <v/>
      </c>
      <c r="GX47" s="50" t="str">
        <f t="shared" si="62"/>
        <v/>
      </c>
      <c r="GY47" s="50" t="str">
        <f t="shared" si="62"/>
        <v/>
      </c>
      <c r="GZ47" s="50" t="str">
        <f t="shared" si="62"/>
        <v/>
      </c>
      <c r="HA47" s="50" t="str">
        <f t="shared" si="62"/>
        <v/>
      </c>
      <c r="HB47" s="50" t="str">
        <f t="shared" si="62"/>
        <v/>
      </c>
      <c r="HC47" s="50" t="str">
        <f t="shared" si="62"/>
        <v/>
      </c>
      <c r="HD47" s="50" t="str">
        <f t="shared" si="62"/>
        <v/>
      </c>
      <c r="HE47" s="50" t="str">
        <f t="shared" si="62"/>
        <v/>
      </c>
      <c r="HF47" s="50" t="str">
        <f t="shared" si="62"/>
        <v/>
      </c>
      <c r="HG47" s="50" t="str">
        <f t="shared" si="62"/>
        <v/>
      </c>
      <c r="HH47" s="50" t="str">
        <f t="shared" si="62"/>
        <v/>
      </c>
      <c r="HI47" s="50" t="str">
        <f t="shared" si="62"/>
        <v/>
      </c>
      <c r="HJ47" s="50" t="str">
        <f t="shared" si="62"/>
        <v/>
      </c>
      <c r="HK47" s="50" t="str">
        <f t="shared" si="62"/>
        <v/>
      </c>
      <c r="HL47" s="50" t="str">
        <f t="shared" si="62"/>
        <v/>
      </c>
      <c r="HM47" s="50" t="str">
        <f t="shared" si="62"/>
        <v/>
      </c>
      <c r="HN47" s="50" t="str">
        <f t="shared" si="60"/>
        <v/>
      </c>
      <c r="HO47" s="50" t="str">
        <f t="shared" si="60"/>
        <v/>
      </c>
      <c r="HP47" s="50" t="str">
        <f t="shared" si="60"/>
        <v/>
      </c>
      <c r="HQ47" s="50" t="str">
        <f t="shared" si="60"/>
        <v/>
      </c>
      <c r="HR47" s="112" t="str">
        <f t="shared" si="60"/>
        <v/>
      </c>
    </row>
    <row r="48" spans="1:226" ht="11.1" customHeight="1" x14ac:dyDescent="0.25">
      <c r="A48" s="26"/>
      <c r="B48" s="27"/>
      <c r="C48" s="28" t="str">
        <f>IF(A48=0,"",VLOOKUP(A48,[2]CO!$A$3:$F$5327,2,0))</f>
        <v/>
      </c>
      <c r="D48" s="29"/>
      <c r="E48" s="29"/>
      <c r="F48" s="29"/>
      <c r="G48" s="30" t="str">
        <f>IF(A48=0,"",VLOOKUP(A48,[2]CO!$A$3:$F$5327,3,0))</f>
        <v/>
      </c>
      <c r="H48" s="95"/>
      <c r="I48" s="31"/>
      <c r="J48" s="31"/>
      <c r="K48" s="31"/>
      <c r="L48" s="31"/>
      <c r="M48" s="32" t="str">
        <f t="shared" ref="M48:M50" si="67">IF(H48&gt;0,H48*Q$36/N48,IF(AND(L48&gt;0,I48&gt;0),L48*I48,IF(L48&gt;0,L48,"")))</f>
        <v/>
      </c>
      <c r="N48" s="32" t="str">
        <f>IF(B48=0,"",IF(H48="M",HLOOKUP(B48,$Y$12:$DT$13,2),IF(A48=0,"",VLOOKUP(A48,[2]CO!$A$3:$F$5327,4,0))))</f>
        <v/>
      </c>
      <c r="O48" s="32" t="str">
        <f t="shared" ref="O48:O50" si="68">IF(L48=0,"",PRODUCT(M48:N48))</f>
        <v/>
      </c>
      <c r="P48" s="33"/>
      <c r="Q48" s="34" t="str">
        <f t="shared" ref="Q48:Q50" si="69">IF(P48=0,"",(HLOOKUP(P48,$DW$12:$HR$13,2)))</f>
        <v/>
      </c>
      <c r="R48" s="35" t="str">
        <f>IF(S48=0,"",IF(OR(G48="PEON",G48="OF",G48="JARD",G48="CARP",G48="MAESTRO",G48="SOLD",G48="BGRO",G48="CHOFER",G48="AYTE",G48="S.INTTE.",G48="ASEO",G48="P.PISOS",G48="VELADOR",G48="RESID",G48="PINTOR",G48="ELECT",G48="AZULE",G48="AUX CONT.",G48="SECRETARIA",G48="AUXILIAR ADMTVO.",G48="ARQUITECTO",G48="DIBUJANTE",G48="AUX. DE RESIDENTE",G48="TOPOGRAFIA"),VLOOKUP(B48,P$14:Q$71,2),"")*S48)</f>
        <v/>
      </c>
      <c r="T48" s="53" t="str">
        <f>IF(A48=0,"",VLOOKUP(A48,[2]CO!$A$3:$F$5318,5,0))</f>
        <v/>
      </c>
      <c r="U48" s="54">
        <f t="shared" ref="U48:U50" si="70">IF(T48=1,O48*0.1,)</f>
        <v>0</v>
      </c>
      <c r="V48" s="24"/>
      <c r="W48" s="25"/>
      <c r="X48" s="25"/>
      <c r="Y48" s="64" t="str">
        <f t="shared" ref="Y48:AN49" si="71">IF($B48=Y$12,$U48,"")</f>
        <v/>
      </c>
      <c r="Z48" s="55" t="str">
        <f t="shared" si="71"/>
        <v/>
      </c>
      <c r="AA48" s="55" t="str">
        <f t="shared" si="71"/>
        <v/>
      </c>
      <c r="AB48" s="55" t="str">
        <f t="shared" si="71"/>
        <v/>
      </c>
      <c r="AC48" s="55" t="str">
        <f t="shared" si="71"/>
        <v/>
      </c>
      <c r="AD48" s="55" t="str">
        <f t="shared" si="71"/>
        <v/>
      </c>
      <c r="AE48" s="55" t="str">
        <f t="shared" si="71"/>
        <v/>
      </c>
      <c r="AF48" s="55" t="str">
        <f t="shared" si="71"/>
        <v/>
      </c>
      <c r="AG48" s="55" t="str">
        <f t="shared" si="71"/>
        <v/>
      </c>
      <c r="AH48" s="55" t="str">
        <f t="shared" si="71"/>
        <v/>
      </c>
      <c r="AI48" s="55" t="str">
        <f t="shared" si="71"/>
        <v/>
      </c>
      <c r="AJ48" s="55" t="str">
        <f t="shared" si="71"/>
        <v/>
      </c>
      <c r="AK48" s="55" t="str">
        <f t="shared" si="71"/>
        <v/>
      </c>
      <c r="AL48" s="55" t="str">
        <f t="shared" si="71"/>
        <v/>
      </c>
      <c r="AM48" s="55" t="str">
        <f t="shared" si="71"/>
        <v/>
      </c>
      <c r="AN48" s="55" t="str">
        <f t="shared" si="71"/>
        <v/>
      </c>
      <c r="AO48" s="55" t="str">
        <f t="shared" ref="AO48:BD49" si="72">IF($B48=AO$12,$U48,"")</f>
        <v/>
      </c>
      <c r="AP48" s="55" t="str">
        <f t="shared" si="72"/>
        <v/>
      </c>
      <c r="AQ48" s="55" t="str">
        <f t="shared" si="72"/>
        <v/>
      </c>
      <c r="AR48" s="55" t="str">
        <f t="shared" si="72"/>
        <v/>
      </c>
      <c r="AS48" s="55" t="str">
        <f t="shared" si="72"/>
        <v/>
      </c>
      <c r="AT48" s="55" t="str">
        <f t="shared" si="72"/>
        <v/>
      </c>
      <c r="AU48" s="55" t="str">
        <f t="shared" si="72"/>
        <v/>
      </c>
      <c r="AV48" s="55" t="str">
        <f t="shared" si="72"/>
        <v/>
      </c>
      <c r="AW48" s="55" t="str">
        <f t="shared" si="72"/>
        <v/>
      </c>
      <c r="AX48" s="55" t="str">
        <f t="shared" si="72"/>
        <v/>
      </c>
      <c r="AY48" s="55" t="str">
        <f t="shared" si="72"/>
        <v/>
      </c>
      <c r="AZ48" s="55" t="str">
        <f t="shared" si="72"/>
        <v/>
      </c>
      <c r="BA48" s="55" t="str">
        <f t="shared" si="72"/>
        <v/>
      </c>
      <c r="BB48" s="55" t="str">
        <f t="shared" si="72"/>
        <v/>
      </c>
      <c r="BC48" s="55" t="str">
        <f t="shared" si="72"/>
        <v/>
      </c>
      <c r="BD48" s="55" t="str">
        <f t="shared" si="72"/>
        <v/>
      </c>
      <c r="BE48" s="55" t="str">
        <f t="shared" ref="BE48:BX48" si="73">IF($B48=BE$12,$U48,"")</f>
        <v/>
      </c>
      <c r="BF48" s="55" t="str">
        <f t="shared" si="73"/>
        <v/>
      </c>
      <c r="BG48" s="55" t="str">
        <f t="shared" si="73"/>
        <v/>
      </c>
      <c r="BH48" s="55" t="str">
        <f t="shared" si="73"/>
        <v/>
      </c>
      <c r="BI48" s="55" t="str">
        <f t="shared" si="73"/>
        <v/>
      </c>
      <c r="BJ48" s="55" t="str">
        <f t="shared" si="73"/>
        <v/>
      </c>
      <c r="BK48" s="55" t="str">
        <f t="shared" si="73"/>
        <v/>
      </c>
      <c r="BL48" s="55" t="str">
        <f t="shared" si="73"/>
        <v/>
      </c>
      <c r="BM48" s="55" t="str">
        <f t="shared" si="73"/>
        <v/>
      </c>
      <c r="BN48" s="55" t="str">
        <f t="shared" si="73"/>
        <v/>
      </c>
      <c r="BO48" s="55" t="str">
        <f t="shared" si="73"/>
        <v/>
      </c>
      <c r="BP48" s="55" t="str">
        <f t="shared" si="73"/>
        <v/>
      </c>
      <c r="BQ48" s="55" t="str">
        <f t="shared" si="73"/>
        <v/>
      </c>
      <c r="BR48" s="55" t="str">
        <f t="shared" si="73"/>
        <v/>
      </c>
      <c r="BS48" s="55" t="str">
        <f t="shared" si="73"/>
        <v/>
      </c>
      <c r="BT48" s="55" t="str">
        <f t="shared" si="73"/>
        <v/>
      </c>
      <c r="BU48" s="55" t="str">
        <f t="shared" si="73"/>
        <v/>
      </c>
      <c r="BV48" s="55" t="str">
        <f t="shared" si="73"/>
        <v/>
      </c>
      <c r="BW48" s="55" t="str">
        <f t="shared" si="73"/>
        <v/>
      </c>
      <c r="BX48" s="55" t="str">
        <f t="shared" si="73"/>
        <v/>
      </c>
      <c r="BY48" s="55" t="str">
        <f t="shared" ref="BY48:CY48" si="74">IF($B48=BY$12,$U48,"")</f>
        <v/>
      </c>
      <c r="BZ48" s="55" t="str">
        <f t="shared" si="74"/>
        <v/>
      </c>
      <c r="CA48" s="55" t="str">
        <f t="shared" si="74"/>
        <v/>
      </c>
      <c r="CB48" s="55" t="str">
        <f t="shared" si="74"/>
        <v/>
      </c>
      <c r="CC48" s="55" t="str">
        <f t="shared" si="74"/>
        <v/>
      </c>
      <c r="CD48" s="55" t="str">
        <f t="shared" si="74"/>
        <v/>
      </c>
      <c r="CE48" s="55" t="str">
        <f t="shared" si="74"/>
        <v/>
      </c>
      <c r="CF48" s="55" t="str">
        <f t="shared" si="74"/>
        <v/>
      </c>
      <c r="CG48" s="55" t="str">
        <f t="shared" si="74"/>
        <v/>
      </c>
      <c r="CH48" s="55" t="str">
        <f t="shared" si="74"/>
        <v/>
      </c>
      <c r="CI48" s="55" t="str">
        <f t="shared" si="74"/>
        <v/>
      </c>
      <c r="CJ48" s="55" t="str">
        <f t="shared" si="74"/>
        <v/>
      </c>
      <c r="CK48" s="55" t="str">
        <f t="shared" si="74"/>
        <v/>
      </c>
      <c r="CL48" s="55" t="str">
        <f t="shared" si="74"/>
        <v/>
      </c>
      <c r="CM48" s="55" t="str">
        <f t="shared" si="74"/>
        <v/>
      </c>
      <c r="CN48" s="55" t="str">
        <f t="shared" si="74"/>
        <v/>
      </c>
      <c r="CO48" s="55" t="str">
        <f t="shared" si="74"/>
        <v/>
      </c>
      <c r="CP48" s="55" t="str">
        <f t="shared" si="74"/>
        <v/>
      </c>
      <c r="CQ48" s="55" t="str">
        <f t="shared" si="74"/>
        <v/>
      </c>
      <c r="CR48" s="55" t="str">
        <f t="shared" si="74"/>
        <v/>
      </c>
      <c r="CS48" s="55" t="str">
        <f t="shared" si="74"/>
        <v/>
      </c>
      <c r="CT48" s="55" t="str">
        <f t="shared" si="74"/>
        <v/>
      </c>
      <c r="CU48" s="55" t="str">
        <f t="shared" si="74"/>
        <v/>
      </c>
      <c r="CV48" s="55" t="str">
        <f t="shared" si="74"/>
        <v/>
      </c>
      <c r="CW48" s="55" t="str">
        <f t="shared" si="74"/>
        <v/>
      </c>
      <c r="CX48" s="55" t="str">
        <f t="shared" si="74"/>
        <v/>
      </c>
      <c r="CY48" s="55" t="str">
        <f t="shared" si="74"/>
        <v/>
      </c>
      <c r="CZ48" s="55" t="str">
        <f t="shared" ref="CZ48:DJ49" si="75">IF($B48=CZ$12,$U48,"")</f>
        <v/>
      </c>
      <c r="DA48" s="55" t="str">
        <f t="shared" si="75"/>
        <v/>
      </c>
      <c r="DB48" s="55" t="str">
        <f t="shared" si="75"/>
        <v/>
      </c>
      <c r="DC48" s="55" t="str">
        <f t="shared" si="75"/>
        <v/>
      </c>
      <c r="DD48" s="55" t="str">
        <f t="shared" si="75"/>
        <v/>
      </c>
      <c r="DE48" s="55" t="str">
        <f t="shared" si="75"/>
        <v/>
      </c>
      <c r="DF48" s="55" t="str">
        <f t="shared" si="75"/>
        <v/>
      </c>
      <c r="DG48" s="55" t="str">
        <f t="shared" si="75"/>
        <v/>
      </c>
      <c r="DH48" s="55" t="str">
        <f t="shared" si="75"/>
        <v/>
      </c>
      <c r="DI48" s="55" t="str">
        <f t="shared" si="75"/>
        <v/>
      </c>
      <c r="DJ48" s="55" t="str">
        <f t="shared" si="75"/>
        <v/>
      </c>
      <c r="DK48" s="55" t="str">
        <f t="shared" si="55"/>
        <v/>
      </c>
      <c r="DL48" s="55" t="str">
        <f t="shared" si="55"/>
        <v/>
      </c>
      <c r="DM48" s="55" t="str">
        <f t="shared" si="55"/>
        <v/>
      </c>
      <c r="DN48" s="55" t="str">
        <f t="shared" si="55"/>
        <v/>
      </c>
      <c r="DO48" s="55" t="str">
        <f t="shared" si="55"/>
        <v/>
      </c>
      <c r="DP48" s="55" t="str">
        <f t="shared" si="55"/>
        <v/>
      </c>
      <c r="DQ48" s="55" t="str">
        <f t="shared" si="56"/>
        <v/>
      </c>
      <c r="DR48" s="55" t="str">
        <f t="shared" si="56"/>
        <v/>
      </c>
      <c r="DS48" s="55" t="str">
        <f t="shared" si="56"/>
        <v/>
      </c>
      <c r="DT48" s="106" t="str">
        <f t="shared" si="56"/>
        <v/>
      </c>
      <c r="DU48" s="54"/>
      <c r="DV48" s="25"/>
      <c r="DW48" s="61" t="str">
        <f t="shared" ref="DW48:EL49" si="76">IF($B48=DW$12,$O48,"")</f>
        <v/>
      </c>
      <c r="DX48" s="50" t="str">
        <f t="shared" si="76"/>
        <v/>
      </c>
      <c r="DY48" s="50" t="str">
        <f t="shared" si="76"/>
        <v/>
      </c>
      <c r="DZ48" s="50" t="str">
        <f t="shared" si="76"/>
        <v/>
      </c>
      <c r="EA48" s="50" t="str">
        <f t="shared" si="76"/>
        <v/>
      </c>
      <c r="EB48" s="50" t="str">
        <f t="shared" si="76"/>
        <v/>
      </c>
      <c r="EC48" s="50" t="str">
        <f t="shared" si="76"/>
        <v/>
      </c>
      <c r="ED48" s="50" t="str">
        <f t="shared" si="76"/>
        <v/>
      </c>
      <c r="EE48" s="50" t="str">
        <f t="shared" si="76"/>
        <v/>
      </c>
      <c r="EF48" s="50" t="str">
        <f t="shared" si="76"/>
        <v/>
      </c>
      <c r="EG48" s="50" t="str">
        <f t="shared" si="76"/>
        <v/>
      </c>
      <c r="EH48" s="50" t="str">
        <f t="shared" si="76"/>
        <v/>
      </c>
      <c r="EI48" s="50" t="str">
        <f t="shared" si="76"/>
        <v/>
      </c>
      <c r="EJ48" s="50" t="str">
        <f t="shared" si="76"/>
        <v/>
      </c>
      <c r="EK48" s="50" t="str">
        <f t="shared" si="76"/>
        <v/>
      </c>
      <c r="EL48" s="50" t="str">
        <f t="shared" si="76"/>
        <v/>
      </c>
      <c r="EM48" s="50" t="str">
        <f t="shared" ref="EM48:FB49" si="77">IF($B48=EM$12,$O48,"")</f>
        <v/>
      </c>
      <c r="EN48" s="50" t="str">
        <f t="shared" si="77"/>
        <v/>
      </c>
      <c r="EO48" s="50" t="str">
        <f t="shared" si="77"/>
        <v/>
      </c>
      <c r="EP48" s="50" t="str">
        <f t="shared" si="77"/>
        <v/>
      </c>
      <c r="EQ48" s="50" t="str">
        <f t="shared" si="77"/>
        <v/>
      </c>
      <c r="ER48" s="50" t="str">
        <f t="shared" si="77"/>
        <v/>
      </c>
      <c r="ES48" s="50" t="str">
        <f t="shared" si="77"/>
        <v/>
      </c>
      <c r="ET48" s="50" t="str">
        <f t="shared" si="77"/>
        <v/>
      </c>
      <c r="EU48" s="50" t="str">
        <f t="shared" si="77"/>
        <v/>
      </c>
      <c r="EV48" s="50" t="str">
        <f t="shared" si="77"/>
        <v/>
      </c>
      <c r="EW48" s="50" t="str">
        <f t="shared" si="77"/>
        <v/>
      </c>
      <c r="EX48" s="50" t="str">
        <f t="shared" si="77"/>
        <v/>
      </c>
      <c r="EY48" s="50" t="str">
        <f t="shared" si="77"/>
        <v/>
      </c>
      <c r="EZ48" s="50" t="str">
        <f t="shared" si="77"/>
        <v/>
      </c>
      <c r="FA48" s="50" t="str">
        <f t="shared" si="77"/>
        <v/>
      </c>
      <c r="FB48" s="50" t="str">
        <f t="shared" si="77"/>
        <v/>
      </c>
      <c r="FC48" s="50" t="str">
        <f t="shared" ref="FC48:FV48" si="78">IF($B48=FC$12,$O48,"")</f>
        <v/>
      </c>
      <c r="FD48" s="50" t="str">
        <f t="shared" si="78"/>
        <v/>
      </c>
      <c r="FE48" s="50" t="str">
        <f t="shared" si="78"/>
        <v/>
      </c>
      <c r="FF48" s="50" t="str">
        <f t="shared" si="78"/>
        <v/>
      </c>
      <c r="FG48" s="50" t="str">
        <f t="shared" si="78"/>
        <v/>
      </c>
      <c r="FH48" s="50" t="str">
        <f t="shared" si="78"/>
        <v/>
      </c>
      <c r="FI48" s="50" t="str">
        <f t="shared" si="78"/>
        <v/>
      </c>
      <c r="FJ48" s="50" t="str">
        <f t="shared" si="78"/>
        <v/>
      </c>
      <c r="FK48" s="50" t="str">
        <f t="shared" si="78"/>
        <v/>
      </c>
      <c r="FL48" s="50" t="str">
        <f t="shared" si="78"/>
        <v/>
      </c>
      <c r="FM48" s="50" t="str">
        <f t="shared" si="78"/>
        <v/>
      </c>
      <c r="FN48" s="50" t="str">
        <f t="shared" si="78"/>
        <v/>
      </c>
      <c r="FO48" s="50" t="str">
        <f t="shared" si="78"/>
        <v/>
      </c>
      <c r="FP48" s="50" t="str">
        <f t="shared" si="78"/>
        <v/>
      </c>
      <c r="FQ48" s="50" t="str">
        <f t="shared" si="78"/>
        <v/>
      </c>
      <c r="FR48" s="50" t="str">
        <f t="shared" si="78"/>
        <v/>
      </c>
      <c r="FS48" s="50" t="str">
        <f t="shared" si="78"/>
        <v/>
      </c>
      <c r="FT48" s="50" t="str">
        <f t="shared" si="78"/>
        <v/>
      </c>
      <c r="FU48" s="50" t="str">
        <f t="shared" si="78"/>
        <v/>
      </c>
      <c r="FV48" s="50" t="str">
        <f t="shared" si="78"/>
        <v/>
      </c>
      <c r="FW48" s="50" t="str">
        <f t="shared" ref="FW48:GW48" si="79">IF($B48=FW$12,$O48,"")</f>
        <v/>
      </c>
      <c r="FX48" s="50" t="str">
        <f t="shared" si="79"/>
        <v/>
      </c>
      <c r="FY48" s="50" t="str">
        <f t="shared" si="79"/>
        <v/>
      </c>
      <c r="FZ48" s="50" t="str">
        <f t="shared" si="79"/>
        <v/>
      </c>
      <c r="GA48" s="50" t="str">
        <f t="shared" si="79"/>
        <v/>
      </c>
      <c r="GB48" s="50" t="str">
        <f t="shared" si="79"/>
        <v/>
      </c>
      <c r="GC48" s="50" t="str">
        <f t="shared" si="79"/>
        <v/>
      </c>
      <c r="GD48" s="50" t="str">
        <f t="shared" si="79"/>
        <v/>
      </c>
      <c r="GE48" s="50" t="str">
        <f t="shared" si="79"/>
        <v/>
      </c>
      <c r="GF48" s="50" t="str">
        <f t="shared" si="79"/>
        <v/>
      </c>
      <c r="GG48" s="50" t="str">
        <f t="shared" si="79"/>
        <v/>
      </c>
      <c r="GH48" s="50" t="str">
        <f t="shared" si="79"/>
        <v/>
      </c>
      <c r="GI48" s="50" t="str">
        <f t="shared" si="79"/>
        <v/>
      </c>
      <c r="GJ48" s="50" t="str">
        <f t="shared" si="79"/>
        <v/>
      </c>
      <c r="GK48" s="50" t="str">
        <f t="shared" si="79"/>
        <v/>
      </c>
      <c r="GL48" s="50" t="str">
        <f t="shared" si="79"/>
        <v/>
      </c>
      <c r="GM48" s="50" t="str">
        <f t="shared" si="79"/>
        <v/>
      </c>
      <c r="GN48" s="50" t="str">
        <f t="shared" si="79"/>
        <v/>
      </c>
      <c r="GO48" s="50" t="str">
        <f t="shared" si="79"/>
        <v/>
      </c>
      <c r="GP48" s="50" t="str">
        <f t="shared" si="79"/>
        <v/>
      </c>
      <c r="GQ48" s="50" t="str">
        <f t="shared" si="79"/>
        <v/>
      </c>
      <c r="GR48" s="50" t="str">
        <f t="shared" si="79"/>
        <v/>
      </c>
      <c r="GS48" s="50" t="str">
        <f t="shared" si="79"/>
        <v/>
      </c>
      <c r="GT48" s="50" t="str">
        <f t="shared" si="79"/>
        <v/>
      </c>
      <c r="GU48" s="50" t="str">
        <f t="shared" si="79"/>
        <v/>
      </c>
      <c r="GV48" s="50" t="str">
        <f t="shared" si="79"/>
        <v/>
      </c>
      <c r="GW48" s="50" t="str">
        <f t="shared" si="79"/>
        <v/>
      </c>
      <c r="GX48" s="50" t="str">
        <f t="shared" ref="GX48:HM49" si="80">IF($B48=GX$12,$O48,"")</f>
        <v/>
      </c>
      <c r="GY48" s="50" t="str">
        <f t="shared" si="80"/>
        <v/>
      </c>
      <c r="GZ48" s="50" t="str">
        <f t="shared" si="80"/>
        <v/>
      </c>
      <c r="HA48" s="50" t="str">
        <f t="shared" si="80"/>
        <v/>
      </c>
      <c r="HB48" s="50" t="str">
        <f t="shared" si="80"/>
        <v/>
      </c>
      <c r="HC48" s="50" t="str">
        <f t="shared" si="80"/>
        <v/>
      </c>
      <c r="HD48" s="50" t="str">
        <f t="shared" si="80"/>
        <v/>
      </c>
      <c r="HE48" s="50" t="str">
        <f t="shared" si="80"/>
        <v/>
      </c>
      <c r="HF48" s="50" t="str">
        <f t="shared" si="80"/>
        <v/>
      </c>
      <c r="HG48" s="50" t="str">
        <f t="shared" si="80"/>
        <v/>
      </c>
      <c r="HH48" s="50" t="str">
        <f t="shared" si="80"/>
        <v/>
      </c>
      <c r="HI48" s="50" t="str">
        <f t="shared" si="80"/>
        <v/>
      </c>
      <c r="HJ48" s="50" t="str">
        <f t="shared" si="80"/>
        <v/>
      </c>
      <c r="HK48" s="50" t="str">
        <f t="shared" si="80"/>
        <v/>
      </c>
      <c r="HL48" s="50" t="str">
        <f t="shared" si="80"/>
        <v/>
      </c>
      <c r="HM48" s="50" t="str">
        <f t="shared" si="80"/>
        <v/>
      </c>
      <c r="HN48" s="50" t="str">
        <f t="shared" si="60"/>
        <v/>
      </c>
      <c r="HO48" s="50" t="str">
        <f t="shared" si="60"/>
        <v/>
      </c>
      <c r="HP48" s="50" t="str">
        <f t="shared" si="60"/>
        <v/>
      </c>
      <c r="HQ48" s="50" t="str">
        <f t="shared" si="60"/>
        <v/>
      </c>
      <c r="HR48" s="112" t="str">
        <f t="shared" si="60"/>
        <v/>
      </c>
    </row>
    <row r="49" spans="1:226" ht="11.1" customHeight="1" x14ac:dyDescent="0.25">
      <c r="A49" s="26"/>
      <c r="B49" s="27"/>
      <c r="C49" s="28" t="str">
        <f>IF(A49=0,"",VLOOKUP(A49,[2]CO!$A$3:$F$5327,2,0))</f>
        <v/>
      </c>
      <c r="D49" s="29"/>
      <c r="E49" s="29"/>
      <c r="F49" s="29"/>
      <c r="G49" s="30" t="str">
        <f>IF(A49=0,"",VLOOKUP(A49,[2]CO!$A$3:$F$5327,3,0))</f>
        <v/>
      </c>
      <c r="H49" s="95"/>
      <c r="I49" s="31"/>
      <c r="J49" s="31"/>
      <c r="K49" s="31"/>
      <c r="L49" s="31"/>
      <c r="M49" s="32" t="str">
        <f t="shared" si="67"/>
        <v/>
      </c>
      <c r="N49" s="32" t="str">
        <f>IF(B49=0,"",IF(H49="M",HLOOKUP(B49,$Y$12:$DT$13,2),IF(A49=0,"",VLOOKUP(A49,[2]CO!$A$3:$F$5327,4,0))))</f>
        <v/>
      </c>
      <c r="O49" s="32" t="str">
        <f t="shared" si="68"/>
        <v/>
      </c>
      <c r="P49" s="33"/>
      <c r="Q49" s="34" t="str">
        <f t="shared" si="69"/>
        <v/>
      </c>
      <c r="R49" s="35" t="str">
        <f>IF(S49=0,"",IF(OR(G49="PEON",G49="OF",G49="JARD",G49="CARP",G49="MAESTRO",G49="SOLD",G49="BGRO",G49="CHOFER",G49="AYTE",G49="S.INTTE.",G49="ASEO",G49="P.PISOS",G49="VELADOR",G49="RESID",G49="PINTOR",G49="ELECT",G49="AZULE",G49="AUX CONT.",G49="SECRETARIA",G49="AUXILIAR ADMTVO.",G49="ARQUITECTO",G49="DIBUJANTE",G49="AUX. DE RESIDENTE",G49="TOPOGRAFIA"),VLOOKUP(B49,P$14:Q$71,2),"")*S49)</f>
        <v/>
      </c>
      <c r="T49" s="53" t="str">
        <f>IF(A49=0,"",VLOOKUP(A49,[2]CO!$A$3:$F$5318,5,0))</f>
        <v/>
      </c>
      <c r="U49" s="54">
        <f t="shared" si="70"/>
        <v>0</v>
      </c>
      <c r="V49" s="24"/>
      <c r="W49" s="25"/>
      <c r="X49" s="25"/>
      <c r="Y49" s="64" t="str">
        <f t="shared" si="71"/>
        <v/>
      </c>
      <c r="Z49" s="55" t="str">
        <f t="shared" si="71"/>
        <v/>
      </c>
      <c r="AA49" s="55" t="str">
        <f t="shared" si="71"/>
        <v/>
      </c>
      <c r="AB49" s="55" t="str">
        <f t="shared" si="71"/>
        <v/>
      </c>
      <c r="AC49" s="55" t="str">
        <f t="shared" si="71"/>
        <v/>
      </c>
      <c r="AD49" s="55" t="str">
        <f t="shared" si="71"/>
        <v/>
      </c>
      <c r="AE49" s="55" t="str">
        <f t="shared" si="71"/>
        <v/>
      </c>
      <c r="AF49" s="55" t="str">
        <f t="shared" si="71"/>
        <v/>
      </c>
      <c r="AG49" s="55" t="str">
        <f t="shared" si="71"/>
        <v/>
      </c>
      <c r="AH49" s="55" t="str">
        <f t="shared" si="71"/>
        <v/>
      </c>
      <c r="AI49" s="55" t="str">
        <f t="shared" si="71"/>
        <v/>
      </c>
      <c r="AJ49" s="55" t="str">
        <f t="shared" si="71"/>
        <v/>
      </c>
      <c r="AK49" s="55" t="str">
        <f t="shared" si="71"/>
        <v/>
      </c>
      <c r="AL49" s="55" t="str">
        <f t="shared" si="71"/>
        <v/>
      </c>
      <c r="AM49" s="55" t="str">
        <f t="shared" si="71"/>
        <v/>
      </c>
      <c r="AN49" s="55" t="str">
        <f t="shared" si="71"/>
        <v/>
      </c>
      <c r="AO49" s="55" t="str">
        <f t="shared" si="72"/>
        <v/>
      </c>
      <c r="AP49" s="55" t="str">
        <f t="shared" si="72"/>
        <v/>
      </c>
      <c r="AQ49" s="55" t="str">
        <f t="shared" si="72"/>
        <v/>
      </c>
      <c r="AR49" s="55" t="str">
        <f t="shared" si="72"/>
        <v/>
      </c>
      <c r="AS49" s="55" t="str">
        <f t="shared" si="72"/>
        <v/>
      </c>
      <c r="AT49" s="55" t="str">
        <f t="shared" si="72"/>
        <v/>
      </c>
      <c r="AU49" s="55" t="str">
        <f t="shared" si="72"/>
        <v/>
      </c>
      <c r="AV49" s="55" t="str">
        <f t="shared" si="72"/>
        <v/>
      </c>
      <c r="AW49" s="55" t="str">
        <f t="shared" si="72"/>
        <v/>
      </c>
      <c r="AX49" s="55" t="str">
        <f t="shared" si="72"/>
        <v/>
      </c>
      <c r="AY49" s="55" t="str">
        <f t="shared" si="72"/>
        <v/>
      </c>
      <c r="AZ49" s="55" t="str">
        <f t="shared" si="72"/>
        <v/>
      </c>
      <c r="BA49" s="55" t="str">
        <f t="shared" si="72"/>
        <v/>
      </c>
      <c r="BB49" s="55" t="str">
        <f t="shared" si="72"/>
        <v/>
      </c>
      <c r="BC49" s="55" t="str">
        <f t="shared" si="72"/>
        <v/>
      </c>
      <c r="BD49" s="55" t="str">
        <f t="shared" si="72"/>
        <v/>
      </c>
      <c r="BE49" s="55" t="str">
        <f t="shared" ref="BE49:CY50" si="81">IF($B49=BE$12,$U49,"")</f>
        <v/>
      </c>
      <c r="BF49" s="55" t="str">
        <f t="shared" si="81"/>
        <v/>
      </c>
      <c r="BG49" s="55" t="str">
        <f t="shared" si="81"/>
        <v/>
      </c>
      <c r="BH49" s="55" t="str">
        <f t="shared" si="81"/>
        <v/>
      </c>
      <c r="BI49" s="55" t="str">
        <f t="shared" si="81"/>
        <v/>
      </c>
      <c r="BJ49" s="55" t="str">
        <f t="shared" si="81"/>
        <v/>
      </c>
      <c r="BK49" s="55" t="str">
        <f t="shared" si="81"/>
        <v/>
      </c>
      <c r="BL49" s="55" t="str">
        <f t="shared" si="81"/>
        <v/>
      </c>
      <c r="BM49" s="55" t="str">
        <f t="shared" si="81"/>
        <v/>
      </c>
      <c r="BN49" s="55" t="str">
        <f t="shared" si="81"/>
        <v/>
      </c>
      <c r="BO49" s="55" t="str">
        <f t="shared" si="81"/>
        <v/>
      </c>
      <c r="BP49" s="55" t="str">
        <f t="shared" si="81"/>
        <v/>
      </c>
      <c r="BQ49" s="55" t="str">
        <f t="shared" si="81"/>
        <v/>
      </c>
      <c r="BR49" s="55" t="str">
        <f t="shared" si="81"/>
        <v/>
      </c>
      <c r="BS49" s="55" t="str">
        <f t="shared" si="81"/>
        <v/>
      </c>
      <c r="BT49" s="55" t="str">
        <f t="shared" si="81"/>
        <v/>
      </c>
      <c r="BU49" s="55" t="str">
        <f t="shared" si="81"/>
        <v/>
      </c>
      <c r="BV49" s="55" t="str">
        <f t="shared" si="81"/>
        <v/>
      </c>
      <c r="BW49" s="55" t="str">
        <f t="shared" si="81"/>
        <v/>
      </c>
      <c r="BX49" s="55" t="str">
        <f t="shared" si="81"/>
        <v/>
      </c>
      <c r="BY49" s="55" t="str">
        <f t="shared" si="81"/>
        <v/>
      </c>
      <c r="BZ49" s="55" t="str">
        <f t="shared" si="81"/>
        <v/>
      </c>
      <c r="CA49" s="55" t="str">
        <f t="shared" si="81"/>
        <v/>
      </c>
      <c r="CB49" s="55" t="str">
        <f t="shared" si="81"/>
        <v/>
      </c>
      <c r="CC49" s="55" t="str">
        <f t="shared" si="81"/>
        <v/>
      </c>
      <c r="CD49" s="55" t="str">
        <f t="shared" si="81"/>
        <v/>
      </c>
      <c r="CE49" s="55" t="str">
        <f t="shared" si="81"/>
        <v/>
      </c>
      <c r="CF49" s="55" t="str">
        <f t="shared" si="81"/>
        <v/>
      </c>
      <c r="CG49" s="55" t="str">
        <f t="shared" si="81"/>
        <v/>
      </c>
      <c r="CH49" s="55" t="str">
        <f t="shared" si="81"/>
        <v/>
      </c>
      <c r="CI49" s="55" t="str">
        <f t="shared" si="81"/>
        <v/>
      </c>
      <c r="CJ49" s="55" t="str">
        <f t="shared" si="81"/>
        <v/>
      </c>
      <c r="CK49" s="55" t="str">
        <f t="shared" si="81"/>
        <v/>
      </c>
      <c r="CL49" s="55" t="str">
        <f t="shared" si="81"/>
        <v/>
      </c>
      <c r="CM49" s="55" t="str">
        <f t="shared" si="81"/>
        <v/>
      </c>
      <c r="CN49" s="55" t="str">
        <f t="shared" si="81"/>
        <v/>
      </c>
      <c r="CO49" s="55" t="str">
        <f t="shared" si="81"/>
        <v/>
      </c>
      <c r="CP49" s="55" t="str">
        <f t="shared" si="81"/>
        <v/>
      </c>
      <c r="CQ49" s="55" t="str">
        <f t="shared" si="81"/>
        <v/>
      </c>
      <c r="CR49" s="55" t="str">
        <f t="shared" si="81"/>
        <v/>
      </c>
      <c r="CS49" s="55" t="str">
        <f t="shared" si="81"/>
        <v/>
      </c>
      <c r="CT49" s="55" t="str">
        <f t="shared" si="81"/>
        <v/>
      </c>
      <c r="CU49" s="55" t="str">
        <f t="shared" si="81"/>
        <v/>
      </c>
      <c r="CV49" s="55" t="str">
        <f t="shared" si="81"/>
        <v/>
      </c>
      <c r="CW49" s="55" t="str">
        <f t="shared" si="81"/>
        <v/>
      </c>
      <c r="CX49" s="55" t="str">
        <f t="shared" si="81"/>
        <v/>
      </c>
      <c r="CY49" s="55" t="str">
        <f t="shared" si="81"/>
        <v/>
      </c>
      <c r="CZ49" s="55" t="str">
        <f t="shared" si="75"/>
        <v/>
      </c>
      <c r="DA49" s="55" t="str">
        <f t="shared" si="75"/>
        <v/>
      </c>
      <c r="DB49" s="55" t="str">
        <f t="shared" si="75"/>
        <v/>
      </c>
      <c r="DC49" s="55" t="str">
        <f t="shared" si="75"/>
        <v/>
      </c>
      <c r="DD49" s="55" t="str">
        <f t="shared" si="75"/>
        <v/>
      </c>
      <c r="DE49" s="55" t="str">
        <f t="shared" si="75"/>
        <v/>
      </c>
      <c r="DF49" s="55" t="str">
        <f t="shared" si="75"/>
        <v/>
      </c>
      <c r="DG49" s="55" t="str">
        <f t="shared" si="75"/>
        <v/>
      </c>
      <c r="DH49" s="55" t="str">
        <f t="shared" si="75"/>
        <v/>
      </c>
      <c r="DI49" s="55" t="str">
        <f t="shared" si="75"/>
        <v/>
      </c>
      <c r="DJ49" s="55" t="str">
        <f t="shared" si="75"/>
        <v/>
      </c>
      <c r="DK49" s="55" t="str">
        <f t="shared" si="55"/>
        <v/>
      </c>
      <c r="DL49" s="55" t="str">
        <f t="shared" si="55"/>
        <v/>
      </c>
      <c r="DM49" s="55" t="str">
        <f t="shared" si="55"/>
        <v/>
      </c>
      <c r="DN49" s="55" t="str">
        <f t="shared" si="55"/>
        <v/>
      </c>
      <c r="DO49" s="55" t="str">
        <f t="shared" si="55"/>
        <v/>
      </c>
      <c r="DP49" s="55" t="str">
        <f t="shared" si="55"/>
        <v/>
      </c>
      <c r="DQ49" s="55" t="str">
        <f t="shared" si="56"/>
        <v/>
      </c>
      <c r="DR49" s="55" t="str">
        <f t="shared" si="56"/>
        <v/>
      </c>
      <c r="DS49" s="55" t="str">
        <f t="shared" si="56"/>
        <v/>
      </c>
      <c r="DT49" s="106" t="str">
        <f t="shared" si="56"/>
        <v/>
      </c>
      <c r="DU49" s="54"/>
      <c r="DV49" s="25"/>
      <c r="DW49" s="61" t="str">
        <f t="shared" si="76"/>
        <v/>
      </c>
      <c r="DX49" s="50" t="str">
        <f t="shared" si="76"/>
        <v/>
      </c>
      <c r="DY49" s="50" t="str">
        <f t="shared" si="76"/>
        <v/>
      </c>
      <c r="DZ49" s="50" t="str">
        <f t="shared" si="76"/>
        <v/>
      </c>
      <c r="EA49" s="50" t="str">
        <f t="shared" si="76"/>
        <v/>
      </c>
      <c r="EB49" s="50" t="str">
        <f t="shared" si="76"/>
        <v/>
      </c>
      <c r="EC49" s="50" t="str">
        <f t="shared" si="76"/>
        <v/>
      </c>
      <c r="ED49" s="50" t="str">
        <f t="shared" si="76"/>
        <v/>
      </c>
      <c r="EE49" s="50" t="str">
        <f t="shared" si="76"/>
        <v/>
      </c>
      <c r="EF49" s="50" t="str">
        <f t="shared" si="76"/>
        <v/>
      </c>
      <c r="EG49" s="50" t="str">
        <f t="shared" si="76"/>
        <v/>
      </c>
      <c r="EH49" s="50" t="str">
        <f t="shared" si="76"/>
        <v/>
      </c>
      <c r="EI49" s="50" t="str">
        <f t="shared" si="76"/>
        <v/>
      </c>
      <c r="EJ49" s="50" t="str">
        <f t="shared" si="76"/>
        <v/>
      </c>
      <c r="EK49" s="50" t="str">
        <f t="shared" si="76"/>
        <v/>
      </c>
      <c r="EL49" s="50" t="str">
        <f t="shared" si="76"/>
        <v/>
      </c>
      <c r="EM49" s="50" t="str">
        <f t="shared" si="77"/>
        <v/>
      </c>
      <c r="EN49" s="50" t="str">
        <f t="shared" si="77"/>
        <v/>
      </c>
      <c r="EO49" s="50" t="str">
        <f t="shared" si="77"/>
        <v/>
      </c>
      <c r="EP49" s="50" t="str">
        <f t="shared" si="77"/>
        <v/>
      </c>
      <c r="EQ49" s="50" t="str">
        <f t="shared" si="77"/>
        <v/>
      </c>
      <c r="ER49" s="50" t="str">
        <f t="shared" si="77"/>
        <v/>
      </c>
      <c r="ES49" s="50" t="str">
        <f t="shared" si="77"/>
        <v/>
      </c>
      <c r="ET49" s="50" t="str">
        <f t="shared" si="77"/>
        <v/>
      </c>
      <c r="EU49" s="50" t="str">
        <f t="shared" si="77"/>
        <v/>
      </c>
      <c r="EV49" s="50" t="str">
        <f t="shared" si="77"/>
        <v/>
      </c>
      <c r="EW49" s="50" t="str">
        <f t="shared" si="77"/>
        <v/>
      </c>
      <c r="EX49" s="50" t="str">
        <f t="shared" si="77"/>
        <v/>
      </c>
      <c r="EY49" s="50" t="str">
        <f t="shared" si="77"/>
        <v/>
      </c>
      <c r="EZ49" s="50" t="str">
        <f t="shared" si="77"/>
        <v/>
      </c>
      <c r="FA49" s="50" t="str">
        <f t="shared" si="77"/>
        <v/>
      </c>
      <c r="FB49" s="50" t="str">
        <f t="shared" si="77"/>
        <v/>
      </c>
      <c r="FC49" s="50" t="str">
        <f t="shared" ref="FC49:GW50" si="82">IF($B49=FC$12,$O49,"")</f>
        <v/>
      </c>
      <c r="FD49" s="50" t="str">
        <f t="shared" si="82"/>
        <v/>
      </c>
      <c r="FE49" s="50" t="str">
        <f t="shared" si="82"/>
        <v/>
      </c>
      <c r="FF49" s="50" t="str">
        <f t="shared" si="82"/>
        <v/>
      </c>
      <c r="FG49" s="50" t="str">
        <f t="shared" si="82"/>
        <v/>
      </c>
      <c r="FH49" s="50" t="str">
        <f t="shared" si="82"/>
        <v/>
      </c>
      <c r="FI49" s="50" t="str">
        <f t="shared" si="82"/>
        <v/>
      </c>
      <c r="FJ49" s="50" t="str">
        <f t="shared" si="82"/>
        <v/>
      </c>
      <c r="FK49" s="50" t="str">
        <f t="shared" si="82"/>
        <v/>
      </c>
      <c r="FL49" s="50" t="str">
        <f t="shared" si="82"/>
        <v/>
      </c>
      <c r="FM49" s="50" t="str">
        <f t="shared" si="82"/>
        <v/>
      </c>
      <c r="FN49" s="50" t="str">
        <f t="shared" si="82"/>
        <v/>
      </c>
      <c r="FO49" s="50" t="str">
        <f t="shared" si="82"/>
        <v/>
      </c>
      <c r="FP49" s="50" t="str">
        <f t="shared" si="82"/>
        <v/>
      </c>
      <c r="FQ49" s="50" t="str">
        <f t="shared" si="82"/>
        <v/>
      </c>
      <c r="FR49" s="50" t="str">
        <f t="shared" si="82"/>
        <v/>
      </c>
      <c r="FS49" s="50" t="str">
        <f t="shared" si="82"/>
        <v/>
      </c>
      <c r="FT49" s="50" t="str">
        <f t="shared" si="82"/>
        <v/>
      </c>
      <c r="FU49" s="50" t="str">
        <f t="shared" si="82"/>
        <v/>
      </c>
      <c r="FV49" s="50" t="str">
        <f t="shared" si="82"/>
        <v/>
      </c>
      <c r="FW49" s="50" t="str">
        <f t="shared" si="82"/>
        <v/>
      </c>
      <c r="FX49" s="50" t="str">
        <f t="shared" si="82"/>
        <v/>
      </c>
      <c r="FY49" s="50" t="str">
        <f t="shared" si="82"/>
        <v/>
      </c>
      <c r="FZ49" s="50" t="str">
        <f t="shared" si="82"/>
        <v/>
      </c>
      <c r="GA49" s="50" t="str">
        <f t="shared" si="82"/>
        <v/>
      </c>
      <c r="GB49" s="50" t="str">
        <f t="shared" si="82"/>
        <v/>
      </c>
      <c r="GC49" s="50" t="str">
        <f t="shared" si="82"/>
        <v/>
      </c>
      <c r="GD49" s="50" t="str">
        <f t="shared" si="82"/>
        <v/>
      </c>
      <c r="GE49" s="50" t="str">
        <f t="shared" si="82"/>
        <v/>
      </c>
      <c r="GF49" s="50" t="str">
        <f t="shared" si="82"/>
        <v/>
      </c>
      <c r="GG49" s="50" t="str">
        <f t="shared" si="82"/>
        <v/>
      </c>
      <c r="GH49" s="50" t="str">
        <f t="shared" si="82"/>
        <v/>
      </c>
      <c r="GI49" s="50" t="str">
        <f t="shared" si="82"/>
        <v/>
      </c>
      <c r="GJ49" s="50" t="str">
        <f t="shared" si="82"/>
        <v/>
      </c>
      <c r="GK49" s="50" t="str">
        <f t="shared" si="82"/>
        <v/>
      </c>
      <c r="GL49" s="50" t="str">
        <f t="shared" si="82"/>
        <v/>
      </c>
      <c r="GM49" s="50" t="str">
        <f t="shared" si="82"/>
        <v/>
      </c>
      <c r="GN49" s="50" t="str">
        <f t="shared" si="82"/>
        <v/>
      </c>
      <c r="GO49" s="50" t="str">
        <f t="shared" si="82"/>
        <v/>
      </c>
      <c r="GP49" s="50" t="str">
        <f t="shared" si="82"/>
        <v/>
      </c>
      <c r="GQ49" s="50" t="str">
        <f t="shared" si="82"/>
        <v/>
      </c>
      <c r="GR49" s="50" t="str">
        <f t="shared" si="82"/>
        <v/>
      </c>
      <c r="GS49" s="50" t="str">
        <f t="shared" si="82"/>
        <v/>
      </c>
      <c r="GT49" s="50" t="str">
        <f t="shared" si="82"/>
        <v/>
      </c>
      <c r="GU49" s="50" t="str">
        <f t="shared" si="82"/>
        <v/>
      </c>
      <c r="GV49" s="50" t="str">
        <f t="shared" si="82"/>
        <v/>
      </c>
      <c r="GW49" s="50" t="str">
        <f t="shared" si="82"/>
        <v/>
      </c>
      <c r="GX49" s="50" t="str">
        <f t="shared" si="80"/>
        <v/>
      </c>
      <c r="GY49" s="50" t="str">
        <f t="shared" si="80"/>
        <v/>
      </c>
      <c r="GZ49" s="50" t="str">
        <f t="shared" si="80"/>
        <v/>
      </c>
      <c r="HA49" s="50" t="str">
        <f t="shared" si="80"/>
        <v/>
      </c>
      <c r="HB49" s="50" t="str">
        <f t="shared" si="80"/>
        <v/>
      </c>
      <c r="HC49" s="50" t="str">
        <f t="shared" si="80"/>
        <v/>
      </c>
      <c r="HD49" s="50" t="str">
        <f t="shared" si="80"/>
        <v/>
      </c>
      <c r="HE49" s="50" t="str">
        <f t="shared" si="80"/>
        <v/>
      </c>
      <c r="HF49" s="50" t="str">
        <f t="shared" si="80"/>
        <v/>
      </c>
      <c r="HG49" s="50" t="str">
        <f t="shared" si="80"/>
        <v/>
      </c>
      <c r="HH49" s="50" t="str">
        <f t="shared" si="80"/>
        <v/>
      </c>
      <c r="HI49" s="50" t="str">
        <f t="shared" si="80"/>
        <v/>
      </c>
      <c r="HJ49" s="50" t="str">
        <f t="shared" si="80"/>
        <v/>
      </c>
      <c r="HK49" s="50" t="str">
        <f t="shared" si="80"/>
        <v/>
      </c>
      <c r="HL49" s="50" t="str">
        <f t="shared" si="80"/>
        <v/>
      </c>
      <c r="HM49" s="50" t="str">
        <f t="shared" ref="HM49" si="83">IF($B49=HM$12,$O49,"")</f>
        <v/>
      </c>
      <c r="HN49" s="50" t="str">
        <f t="shared" si="60"/>
        <v/>
      </c>
      <c r="HO49" s="50" t="str">
        <f t="shared" si="60"/>
        <v/>
      </c>
      <c r="HP49" s="50" t="str">
        <f t="shared" si="60"/>
        <v/>
      </c>
      <c r="HQ49" s="50" t="str">
        <f t="shared" si="60"/>
        <v/>
      </c>
      <c r="HR49" s="112" t="str">
        <f t="shared" si="60"/>
        <v/>
      </c>
    </row>
    <row r="50" spans="1:226" ht="11.1" customHeight="1" x14ac:dyDescent="0.25">
      <c r="A50" s="26"/>
      <c r="B50" s="27"/>
      <c r="C50" s="28" t="str">
        <f>IF(A50=0,"",VLOOKUP(A50,[2]CO!$A$3:$F$5327,2,0))</f>
        <v/>
      </c>
      <c r="D50" s="29"/>
      <c r="E50" s="29"/>
      <c r="F50" s="29"/>
      <c r="G50" s="30" t="str">
        <f>IF(A50=0,"",VLOOKUP(A50,[2]CO!$A$3:$F$5327,3,0))</f>
        <v/>
      </c>
      <c r="H50" s="95"/>
      <c r="I50" s="31"/>
      <c r="J50" s="31"/>
      <c r="K50" s="31"/>
      <c r="L50" s="31"/>
      <c r="M50" s="32" t="str">
        <f t="shared" si="67"/>
        <v/>
      </c>
      <c r="N50" s="32" t="str">
        <f>IF(B50=0,"",IF(H50="M",HLOOKUP(B50,$Y$12:$DT$13,2),IF(A50=0,"",VLOOKUP(A50,[2]CO!$A$3:$F$5327,4,0))))</f>
        <v/>
      </c>
      <c r="O50" s="32" t="str">
        <f t="shared" si="68"/>
        <v/>
      </c>
      <c r="P50" s="33"/>
      <c r="Q50" s="34" t="str">
        <f t="shared" si="69"/>
        <v/>
      </c>
      <c r="R50" s="35" t="str">
        <f>IF(S50=0,"",IF(OR(G50="PEON",G50="OF",G50="JARD",G50="CARP",G50="MAESTRO",G50="SOLD",G50="BGRO",G50="CHOFER",G50="AYTE",G50="S.INTTE.",G50="ASEO",G50="P.PISOS",G50="VELADOR",G50="RESID",G50="PINTOR",G50="ELECT",G50="AZULE",G50="AUX CONT.",G50="SECRETARIA",G50="AUXILIAR ADMTVO.",G50="ARQUITECTO",G50="DIBUJANTE",G50="AUX. DE RESIDENTE",G50="TOPOGRAFIA"),VLOOKUP(B50,P$14:Q$71,2),"")*S50)</f>
        <v/>
      </c>
      <c r="T50" s="53" t="str">
        <f>IF(A50=0,"",VLOOKUP(A50,[2]CO!$A$3:$F$5318,5,0))</f>
        <v/>
      </c>
      <c r="U50" s="54">
        <f t="shared" si="70"/>
        <v>0</v>
      </c>
      <c r="V50" s="24"/>
      <c r="W50" s="25"/>
      <c r="X50" s="25"/>
      <c r="Y50" s="64" t="str">
        <f t="shared" si="53"/>
        <v/>
      </c>
      <c r="Z50" s="55" t="str">
        <f t="shared" si="53"/>
        <v/>
      </c>
      <c r="AA50" s="55" t="str">
        <f t="shared" si="53"/>
        <v/>
      </c>
      <c r="AB50" s="55" t="str">
        <f t="shared" si="53"/>
        <v/>
      </c>
      <c r="AC50" s="55" t="str">
        <f t="shared" si="53"/>
        <v/>
      </c>
      <c r="AD50" s="55" t="str">
        <f t="shared" si="53"/>
        <v/>
      </c>
      <c r="AE50" s="55" t="str">
        <f t="shared" si="53"/>
        <v/>
      </c>
      <c r="AF50" s="55" t="str">
        <f t="shared" si="53"/>
        <v/>
      </c>
      <c r="AG50" s="55" t="str">
        <f t="shared" si="53"/>
        <v/>
      </c>
      <c r="AH50" s="55" t="str">
        <f t="shared" si="53"/>
        <v/>
      </c>
      <c r="AI50" s="55" t="str">
        <f t="shared" si="53"/>
        <v/>
      </c>
      <c r="AJ50" s="55" t="str">
        <f t="shared" si="53"/>
        <v/>
      </c>
      <c r="AK50" s="55" t="str">
        <f t="shared" si="53"/>
        <v/>
      </c>
      <c r="AL50" s="55" t="str">
        <f t="shared" si="53"/>
        <v/>
      </c>
      <c r="AM50" s="55" t="str">
        <f t="shared" si="53"/>
        <v/>
      </c>
      <c r="AN50" s="55" t="str">
        <f t="shared" si="53"/>
        <v/>
      </c>
      <c r="AO50" s="55" t="str">
        <f t="shared" si="63"/>
        <v/>
      </c>
      <c r="AP50" s="55" t="str">
        <f t="shared" si="63"/>
        <v/>
      </c>
      <c r="AQ50" s="55" t="str">
        <f t="shared" si="63"/>
        <v/>
      </c>
      <c r="AR50" s="55" t="str">
        <f t="shared" si="63"/>
        <v/>
      </c>
      <c r="AS50" s="55" t="str">
        <f t="shared" si="63"/>
        <v/>
      </c>
      <c r="AT50" s="55" t="str">
        <f t="shared" si="63"/>
        <v/>
      </c>
      <c r="AU50" s="55" t="str">
        <f t="shared" si="63"/>
        <v/>
      </c>
      <c r="AV50" s="55" t="str">
        <f t="shared" si="63"/>
        <v/>
      </c>
      <c r="AW50" s="55" t="str">
        <f t="shared" si="63"/>
        <v/>
      </c>
      <c r="AX50" s="55" t="str">
        <f t="shared" si="63"/>
        <v/>
      </c>
      <c r="AY50" s="55" t="str">
        <f t="shared" si="63"/>
        <v/>
      </c>
      <c r="AZ50" s="55" t="str">
        <f t="shared" si="63"/>
        <v/>
      </c>
      <c r="BA50" s="55" t="str">
        <f t="shared" si="63"/>
        <v/>
      </c>
      <c r="BB50" s="55" t="str">
        <f t="shared" si="63"/>
        <v/>
      </c>
      <c r="BC50" s="55" t="str">
        <f t="shared" si="63"/>
        <v/>
      </c>
      <c r="BD50" s="55" t="str">
        <f t="shared" si="63"/>
        <v/>
      </c>
      <c r="BE50" s="55" t="str">
        <f t="shared" si="81"/>
        <v/>
      </c>
      <c r="BF50" s="55" t="str">
        <f t="shared" si="81"/>
        <v/>
      </c>
      <c r="BG50" s="55" t="str">
        <f t="shared" si="81"/>
        <v/>
      </c>
      <c r="BH50" s="55" t="str">
        <f t="shared" si="81"/>
        <v/>
      </c>
      <c r="BI50" s="55" t="str">
        <f t="shared" si="81"/>
        <v/>
      </c>
      <c r="BJ50" s="55" t="str">
        <f t="shared" si="81"/>
        <v/>
      </c>
      <c r="BK50" s="55" t="str">
        <f t="shared" si="81"/>
        <v/>
      </c>
      <c r="BL50" s="55" t="str">
        <f t="shared" si="81"/>
        <v/>
      </c>
      <c r="BM50" s="55" t="str">
        <f t="shared" si="81"/>
        <v/>
      </c>
      <c r="BN50" s="55" t="str">
        <f t="shared" si="81"/>
        <v/>
      </c>
      <c r="BO50" s="55" t="str">
        <f t="shared" si="81"/>
        <v/>
      </c>
      <c r="BP50" s="55" t="str">
        <f t="shared" si="81"/>
        <v/>
      </c>
      <c r="BQ50" s="55" t="str">
        <f t="shared" si="81"/>
        <v/>
      </c>
      <c r="BR50" s="55" t="str">
        <f t="shared" si="81"/>
        <v/>
      </c>
      <c r="BS50" s="55" t="str">
        <f t="shared" si="81"/>
        <v/>
      </c>
      <c r="BT50" s="55" t="str">
        <f t="shared" si="81"/>
        <v/>
      </c>
      <c r="BU50" s="55" t="str">
        <f t="shared" si="81"/>
        <v/>
      </c>
      <c r="BV50" s="55" t="str">
        <f t="shared" si="81"/>
        <v/>
      </c>
      <c r="BW50" s="55" t="str">
        <f t="shared" si="81"/>
        <v/>
      </c>
      <c r="BX50" s="55" t="str">
        <f t="shared" si="81"/>
        <v/>
      </c>
      <c r="BY50" s="55" t="str">
        <f t="shared" si="81"/>
        <v/>
      </c>
      <c r="BZ50" s="55" t="str">
        <f t="shared" si="81"/>
        <v/>
      </c>
      <c r="CA50" s="55" t="str">
        <f t="shared" si="81"/>
        <v/>
      </c>
      <c r="CB50" s="55" t="str">
        <f t="shared" si="81"/>
        <v/>
      </c>
      <c r="CC50" s="55" t="str">
        <f t="shared" si="81"/>
        <v/>
      </c>
      <c r="CD50" s="55" t="str">
        <f t="shared" si="81"/>
        <v/>
      </c>
      <c r="CE50" s="55" t="str">
        <f t="shared" si="81"/>
        <v/>
      </c>
      <c r="CF50" s="55" t="str">
        <f t="shared" si="81"/>
        <v/>
      </c>
      <c r="CG50" s="55" t="str">
        <f t="shared" si="81"/>
        <v/>
      </c>
      <c r="CH50" s="55" t="str">
        <f t="shared" si="81"/>
        <v/>
      </c>
      <c r="CI50" s="55" t="str">
        <f t="shared" si="81"/>
        <v/>
      </c>
      <c r="CJ50" s="55" t="str">
        <f t="shared" si="81"/>
        <v/>
      </c>
      <c r="CK50" s="55" t="str">
        <f t="shared" si="81"/>
        <v/>
      </c>
      <c r="CL50" s="55" t="str">
        <f t="shared" si="81"/>
        <v/>
      </c>
      <c r="CM50" s="55" t="str">
        <f t="shared" si="81"/>
        <v/>
      </c>
      <c r="CN50" s="55" t="str">
        <f t="shared" si="81"/>
        <v/>
      </c>
      <c r="CO50" s="55" t="str">
        <f t="shared" si="81"/>
        <v/>
      </c>
      <c r="CP50" s="55" t="str">
        <f t="shared" si="81"/>
        <v/>
      </c>
      <c r="CQ50" s="55" t="str">
        <f t="shared" si="81"/>
        <v/>
      </c>
      <c r="CR50" s="55" t="str">
        <f t="shared" si="81"/>
        <v/>
      </c>
      <c r="CS50" s="55" t="str">
        <f t="shared" si="81"/>
        <v/>
      </c>
      <c r="CT50" s="55" t="str">
        <f t="shared" si="81"/>
        <v/>
      </c>
      <c r="CU50" s="55" t="str">
        <f t="shared" si="81"/>
        <v/>
      </c>
      <c r="CV50" s="55" t="str">
        <f t="shared" si="81"/>
        <v/>
      </c>
      <c r="CW50" s="55" t="str">
        <f t="shared" si="81"/>
        <v/>
      </c>
      <c r="CX50" s="55" t="str">
        <f t="shared" si="81"/>
        <v/>
      </c>
      <c r="CY50" s="55" t="str">
        <f t="shared" si="81"/>
        <v/>
      </c>
      <c r="CZ50" s="55" t="str">
        <f t="shared" si="61"/>
        <v/>
      </c>
      <c r="DA50" s="55" t="str">
        <f t="shared" si="61"/>
        <v/>
      </c>
      <c r="DB50" s="55" t="str">
        <f t="shared" si="61"/>
        <v/>
      </c>
      <c r="DC50" s="55" t="str">
        <f t="shared" si="61"/>
        <v/>
      </c>
      <c r="DD50" s="55" t="str">
        <f t="shared" si="61"/>
        <v/>
      </c>
      <c r="DE50" s="55" t="str">
        <f t="shared" si="61"/>
        <v/>
      </c>
      <c r="DF50" s="55" t="str">
        <f t="shared" si="61"/>
        <v/>
      </c>
      <c r="DG50" s="55" t="str">
        <f t="shared" si="61"/>
        <v/>
      </c>
      <c r="DH50" s="55" t="str">
        <f t="shared" si="61"/>
        <v/>
      </c>
      <c r="DI50" s="55" t="str">
        <f t="shared" si="61"/>
        <v/>
      </c>
      <c r="DJ50" s="55" t="str">
        <f t="shared" si="61"/>
        <v/>
      </c>
      <c r="DK50" s="55" t="str">
        <f t="shared" si="55"/>
        <v/>
      </c>
      <c r="DL50" s="55" t="str">
        <f t="shared" si="55"/>
        <v/>
      </c>
      <c r="DM50" s="55" t="str">
        <f t="shared" si="55"/>
        <v/>
      </c>
      <c r="DN50" s="55" t="str">
        <f t="shared" si="55"/>
        <v/>
      </c>
      <c r="DO50" s="55" t="str">
        <f t="shared" si="55"/>
        <v/>
      </c>
      <c r="DP50" s="55" t="str">
        <f t="shared" si="55"/>
        <v/>
      </c>
      <c r="DQ50" s="55" t="str">
        <f t="shared" si="56"/>
        <v/>
      </c>
      <c r="DR50" s="55" t="str">
        <f t="shared" si="56"/>
        <v/>
      </c>
      <c r="DS50" s="55" t="str">
        <f t="shared" si="56"/>
        <v/>
      </c>
      <c r="DT50" s="106" t="str">
        <f t="shared" si="56"/>
        <v/>
      </c>
      <c r="DU50" s="54"/>
      <c r="DV50" s="25"/>
      <c r="DW50" s="61" t="str">
        <f t="shared" si="57"/>
        <v/>
      </c>
      <c r="DX50" s="50" t="str">
        <f t="shared" si="57"/>
        <v/>
      </c>
      <c r="DY50" s="50" t="str">
        <f t="shared" si="57"/>
        <v/>
      </c>
      <c r="DZ50" s="50" t="str">
        <f t="shared" si="57"/>
        <v/>
      </c>
      <c r="EA50" s="50" t="str">
        <f t="shared" si="57"/>
        <v/>
      </c>
      <c r="EB50" s="50" t="str">
        <f t="shared" si="57"/>
        <v/>
      </c>
      <c r="EC50" s="50" t="str">
        <f t="shared" si="57"/>
        <v/>
      </c>
      <c r="ED50" s="50" t="str">
        <f t="shared" si="57"/>
        <v/>
      </c>
      <c r="EE50" s="50" t="str">
        <f t="shared" si="57"/>
        <v/>
      </c>
      <c r="EF50" s="50" t="str">
        <f t="shared" si="57"/>
        <v/>
      </c>
      <c r="EG50" s="50" t="str">
        <f t="shared" si="57"/>
        <v/>
      </c>
      <c r="EH50" s="50" t="str">
        <f t="shared" si="57"/>
        <v/>
      </c>
      <c r="EI50" s="50" t="str">
        <f t="shared" si="57"/>
        <v/>
      </c>
      <c r="EJ50" s="50" t="str">
        <f t="shared" si="57"/>
        <v/>
      </c>
      <c r="EK50" s="50" t="str">
        <f t="shared" si="57"/>
        <v/>
      </c>
      <c r="EL50" s="50" t="str">
        <f t="shared" si="57"/>
        <v/>
      </c>
      <c r="EM50" s="50" t="str">
        <f t="shared" si="65"/>
        <v/>
      </c>
      <c r="EN50" s="50" t="str">
        <f t="shared" si="65"/>
        <v/>
      </c>
      <c r="EO50" s="50" t="str">
        <f t="shared" si="65"/>
        <v/>
      </c>
      <c r="EP50" s="50" t="str">
        <f t="shared" si="65"/>
        <v/>
      </c>
      <c r="EQ50" s="50" t="str">
        <f t="shared" si="65"/>
        <v/>
      </c>
      <c r="ER50" s="50" t="str">
        <f t="shared" si="65"/>
        <v/>
      </c>
      <c r="ES50" s="50" t="str">
        <f t="shared" si="65"/>
        <v/>
      </c>
      <c r="ET50" s="50" t="str">
        <f t="shared" si="65"/>
        <v/>
      </c>
      <c r="EU50" s="50" t="str">
        <f t="shared" si="65"/>
        <v/>
      </c>
      <c r="EV50" s="50" t="str">
        <f t="shared" si="65"/>
        <v/>
      </c>
      <c r="EW50" s="50" t="str">
        <f t="shared" si="65"/>
        <v/>
      </c>
      <c r="EX50" s="50" t="str">
        <f t="shared" si="65"/>
        <v/>
      </c>
      <c r="EY50" s="50" t="str">
        <f t="shared" si="65"/>
        <v/>
      </c>
      <c r="EZ50" s="50" t="str">
        <f t="shared" si="65"/>
        <v/>
      </c>
      <c r="FA50" s="50" t="str">
        <f t="shared" si="65"/>
        <v/>
      </c>
      <c r="FB50" s="50" t="str">
        <f t="shared" si="65"/>
        <v/>
      </c>
      <c r="FC50" s="50" t="str">
        <f t="shared" si="82"/>
        <v/>
      </c>
      <c r="FD50" s="50" t="str">
        <f t="shared" si="82"/>
        <v/>
      </c>
      <c r="FE50" s="50" t="str">
        <f t="shared" si="82"/>
        <v/>
      </c>
      <c r="FF50" s="50" t="str">
        <f t="shared" si="82"/>
        <v/>
      </c>
      <c r="FG50" s="50" t="str">
        <f t="shared" si="82"/>
        <v/>
      </c>
      <c r="FH50" s="50" t="str">
        <f t="shared" si="82"/>
        <v/>
      </c>
      <c r="FI50" s="50" t="str">
        <f t="shared" si="82"/>
        <v/>
      </c>
      <c r="FJ50" s="50" t="str">
        <f t="shared" si="82"/>
        <v/>
      </c>
      <c r="FK50" s="50" t="str">
        <f t="shared" si="82"/>
        <v/>
      </c>
      <c r="FL50" s="50" t="str">
        <f t="shared" si="82"/>
        <v/>
      </c>
      <c r="FM50" s="50" t="str">
        <f t="shared" si="82"/>
        <v/>
      </c>
      <c r="FN50" s="50" t="str">
        <f t="shared" si="82"/>
        <v/>
      </c>
      <c r="FO50" s="50" t="str">
        <f t="shared" si="82"/>
        <v/>
      </c>
      <c r="FP50" s="50" t="str">
        <f t="shared" si="82"/>
        <v/>
      </c>
      <c r="FQ50" s="50" t="str">
        <f t="shared" si="82"/>
        <v/>
      </c>
      <c r="FR50" s="50" t="str">
        <f t="shared" si="82"/>
        <v/>
      </c>
      <c r="FS50" s="50" t="str">
        <f t="shared" si="82"/>
        <v/>
      </c>
      <c r="FT50" s="50" t="str">
        <f t="shared" si="82"/>
        <v/>
      </c>
      <c r="FU50" s="50" t="str">
        <f t="shared" si="82"/>
        <v/>
      </c>
      <c r="FV50" s="50" t="str">
        <f t="shared" si="82"/>
        <v/>
      </c>
      <c r="FW50" s="50" t="str">
        <f t="shared" si="82"/>
        <v/>
      </c>
      <c r="FX50" s="50" t="str">
        <f t="shared" si="82"/>
        <v/>
      </c>
      <c r="FY50" s="50" t="str">
        <f t="shared" si="82"/>
        <v/>
      </c>
      <c r="FZ50" s="50" t="str">
        <f t="shared" si="82"/>
        <v/>
      </c>
      <c r="GA50" s="50" t="str">
        <f t="shared" si="82"/>
        <v/>
      </c>
      <c r="GB50" s="50" t="str">
        <f t="shared" si="82"/>
        <v/>
      </c>
      <c r="GC50" s="50" t="str">
        <f t="shared" si="82"/>
        <v/>
      </c>
      <c r="GD50" s="50" t="str">
        <f t="shared" si="82"/>
        <v/>
      </c>
      <c r="GE50" s="50" t="str">
        <f t="shared" si="82"/>
        <v/>
      </c>
      <c r="GF50" s="50" t="str">
        <f t="shared" si="82"/>
        <v/>
      </c>
      <c r="GG50" s="50" t="str">
        <f t="shared" si="82"/>
        <v/>
      </c>
      <c r="GH50" s="50" t="str">
        <f t="shared" si="82"/>
        <v/>
      </c>
      <c r="GI50" s="50" t="str">
        <f t="shared" si="82"/>
        <v/>
      </c>
      <c r="GJ50" s="50" t="str">
        <f t="shared" si="82"/>
        <v/>
      </c>
      <c r="GK50" s="50" t="str">
        <f t="shared" si="82"/>
        <v/>
      </c>
      <c r="GL50" s="50" t="str">
        <f t="shared" si="82"/>
        <v/>
      </c>
      <c r="GM50" s="50" t="str">
        <f t="shared" si="82"/>
        <v/>
      </c>
      <c r="GN50" s="50" t="str">
        <f t="shared" si="82"/>
        <v/>
      </c>
      <c r="GO50" s="50" t="str">
        <f t="shared" si="82"/>
        <v/>
      </c>
      <c r="GP50" s="50" t="str">
        <f t="shared" si="82"/>
        <v/>
      </c>
      <c r="GQ50" s="50" t="str">
        <f t="shared" si="82"/>
        <v/>
      </c>
      <c r="GR50" s="50" t="str">
        <f t="shared" si="82"/>
        <v/>
      </c>
      <c r="GS50" s="50" t="str">
        <f t="shared" si="82"/>
        <v/>
      </c>
      <c r="GT50" s="50" t="str">
        <f t="shared" si="82"/>
        <v/>
      </c>
      <c r="GU50" s="50" t="str">
        <f t="shared" si="82"/>
        <v/>
      </c>
      <c r="GV50" s="50" t="str">
        <f t="shared" si="82"/>
        <v/>
      </c>
      <c r="GW50" s="50" t="str">
        <f t="shared" si="82"/>
        <v/>
      </c>
      <c r="GX50" s="50" t="str">
        <f t="shared" si="62"/>
        <v/>
      </c>
      <c r="GY50" s="50" t="str">
        <f t="shared" si="62"/>
        <v/>
      </c>
      <c r="GZ50" s="50" t="str">
        <f t="shared" si="62"/>
        <v/>
      </c>
      <c r="HA50" s="50" t="str">
        <f t="shared" si="62"/>
        <v/>
      </c>
      <c r="HB50" s="50" t="str">
        <f t="shared" si="62"/>
        <v/>
      </c>
      <c r="HC50" s="50" t="str">
        <f t="shared" si="62"/>
        <v/>
      </c>
      <c r="HD50" s="50" t="str">
        <f t="shared" si="62"/>
        <v/>
      </c>
      <c r="HE50" s="50" t="str">
        <f t="shared" si="62"/>
        <v/>
      </c>
      <c r="HF50" s="50" t="str">
        <f t="shared" si="62"/>
        <v/>
      </c>
      <c r="HG50" s="50" t="str">
        <f t="shared" si="62"/>
        <v/>
      </c>
      <c r="HH50" s="50" t="str">
        <f t="shared" si="62"/>
        <v/>
      </c>
      <c r="HI50" s="50" t="str">
        <f t="shared" si="62"/>
        <v/>
      </c>
      <c r="HJ50" s="50" t="str">
        <f t="shared" si="62"/>
        <v/>
      </c>
      <c r="HK50" s="50" t="str">
        <f t="shared" si="62"/>
        <v/>
      </c>
      <c r="HL50" s="50" t="str">
        <f t="shared" si="62"/>
        <v/>
      </c>
      <c r="HM50" s="50" t="str">
        <f t="shared" si="62"/>
        <v/>
      </c>
      <c r="HN50" s="50" t="str">
        <f t="shared" si="60"/>
        <v/>
      </c>
      <c r="HO50" s="50" t="str">
        <f t="shared" si="60"/>
        <v/>
      </c>
      <c r="HP50" s="50" t="str">
        <f t="shared" si="60"/>
        <v/>
      </c>
      <c r="HQ50" s="50" t="str">
        <f t="shared" si="60"/>
        <v/>
      </c>
      <c r="HR50" s="112" t="str">
        <f t="shared" si="60"/>
        <v/>
      </c>
    </row>
    <row r="51" spans="1:226" ht="11.1" customHeight="1" x14ac:dyDescent="0.25">
      <c r="A51" s="26"/>
      <c r="B51" s="27"/>
      <c r="C51" s="28" t="str">
        <f>IF(A51=0,"",VLOOKUP(A51,[2]CO!$A$3:$F$5327,2,0))</f>
        <v/>
      </c>
      <c r="D51" s="29"/>
      <c r="E51" s="29"/>
      <c r="F51" s="29"/>
      <c r="G51" s="30" t="str">
        <f>IF(A51=0,"",VLOOKUP(A51,[2]CO!$A$3:$F$5327,3,0))</f>
        <v/>
      </c>
      <c r="H51" s="95"/>
      <c r="I51" s="31"/>
      <c r="J51" s="31"/>
      <c r="K51" s="31"/>
      <c r="L51" s="31"/>
      <c r="M51" s="32" t="str">
        <f t="shared" si="50"/>
        <v/>
      </c>
      <c r="N51" s="32" t="str">
        <f>IF(B51=0,"",IF(H51="M",HLOOKUP(B51,$Y$12:$DT$13,2),IF(A51=0,"",VLOOKUP(A51,[2]CO!$A$3:$F$5327,4,0))))</f>
        <v/>
      </c>
      <c r="O51" s="32" t="str">
        <f t="shared" si="7"/>
        <v/>
      </c>
      <c r="P51" s="33"/>
      <c r="Q51" s="34" t="str">
        <f t="shared" si="51"/>
        <v/>
      </c>
      <c r="R51" s="35" t="str">
        <f>IF(S51=0,"",IF(OR(G51="PEON",G51="OF",G51="JARD",G51="CARP",G51="MAESTRO",G51="SOLD",G51="BGRO",G51="CHOFER",G51="AYTE",G51="S.INTTE.",G51="ASEO",G51="P.PISOS",G51="VELADOR",G51="RESID",G51="PINTOR",G51="ELECT",G51="AZULE",G51="AUX CONT.",G51="SECRETARIA",G51="AUXILIAR ADMTVO.",G51="ARQUITECTO",G51="DIBUJANTE",G51="AUX. DE RESIDENTE",G51="TOPOGRAFIA"),VLOOKUP(B51,P$14:Q$71,2),"")*S51)</f>
        <v/>
      </c>
      <c r="T51" s="53" t="str">
        <f>IF(A51=0,"",VLOOKUP(A51,[2]CO!$A$3:$F$5318,5,0))</f>
        <v/>
      </c>
      <c r="U51" s="54">
        <f t="shared" si="52"/>
        <v>0</v>
      </c>
      <c r="V51" s="24"/>
      <c r="W51" s="25"/>
      <c r="X51" s="25"/>
      <c r="Y51" s="64" t="str">
        <f t="shared" si="53"/>
        <v/>
      </c>
      <c r="Z51" s="55" t="str">
        <f t="shared" si="53"/>
        <v/>
      </c>
      <c r="AA51" s="55" t="str">
        <f t="shared" si="53"/>
        <v/>
      </c>
      <c r="AB51" s="55" t="str">
        <f t="shared" si="53"/>
        <v/>
      </c>
      <c r="AC51" s="55" t="str">
        <f t="shared" si="53"/>
        <v/>
      </c>
      <c r="AD51" s="55" t="str">
        <f t="shared" si="53"/>
        <v/>
      </c>
      <c r="AE51" s="55" t="str">
        <f t="shared" si="53"/>
        <v/>
      </c>
      <c r="AF51" s="55" t="str">
        <f t="shared" si="53"/>
        <v/>
      </c>
      <c r="AG51" s="55" t="str">
        <f t="shared" si="53"/>
        <v/>
      </c>
      <c r="AH51" s="55" t="str">
        <f t="shared" si="53"/>
        <v/>
      </c>
      <c r="AI51" s="55" t="str">
        <f t="shared" si="53"/>
        <v/>
      </c>
      <c r="AJ51" s="55" t="str">
        <f t="shared" si="53"/>
        <v/>
      </c>
      <c r="AK51" s="55" t="str">
        <f t="shared" si="53"/>
        <v/>
      </c>
      <c r="AL51" s="55" t="str">
        <f t="shared" si="53"/>
        <v/>
      </c>
      <c r="AM51" s="55" t="str">
        <f t="shared" si="53"/>
        <v/>
      </c>
      <c r="AN51" s="55" t="str">
        <f t="shared" si="53"/>
        <v/>
      </c>
      <c r="AO51" s="55" t="str">
        <f t="shared" si="63"/>
        <v/>
      </c>
      <c r="AP51" s="55" t="str">
        <f t="shared" si="63"/>
        <v/>
      </c>
      <c r="AQ51" s="55" t="str">
        <f t="shared" si="63"/>
        <v/>
      </c>
      <c r="AR51" s="55" t="str">
        <f t="shared" si="63"/>
        <v/>
      </c>
      <c r="AS51" s="55" t="str">
        <f t="shared" si="63"/>
        <v/>
      </c>
      <c r="AT51" s="55" t="str">
        <f t="shared" si="63"/>
        <v/>
      </c>
      <c r="AU51" s="55" t="str">
        <f t="shared" si="63"/>
        <v/>
      </c>
      <c r="AV51" s="55" t="str">
        <f t="shared" si="63"/>
        <v/>
      </c>
      <c r="AW51" s="55" t="str">
        <f t="shared" si="63"/>
        <v/>
      </c>
      <c r="AX51" s="55" t="str">
        <f t="shared" si="63"/>
        <v/>
      </c>
      <c r="AY51" s="55" t="str">
        <f t="shared" si="63"/>
        <v/>
      </c>
      <c r="AZ51" s="55" t="str">
        <f t="shared" si="63"/>
        <v/>
      </c>
      <c r="BA51" s="55" t="str">
        <f t="shared" si="63"/>
        <v/>
      </c>
      <c r="BB51" s="55" t="str">
        <f t="shared" si="63"/>
        <v/>
      </c>
      <c r="BC51" s="55" t="str">
        <f t="shared" si="63"/>
        <v/>
      </c>
      <c r="BD51" s="55" t="str">
        <f t="shared" si="63"/>
        <v/>
      </c>
      <c r="BE51" s="55" t="str">
        <f t="shared" si="64"/>
        <v/>
      </c>
      <c r="BF51" s="55" t="str">
        <f t="shared" si="64"/>
        <v/>
      </c>
      <c r="BG51" s="55" t="str">
        <f t="shared" si="64"/>
        <v/>
      </c>
      <c r="BH51" s="55" t="str">
        <f t="shared" si="64"/>
        <v/>
      </c>
      <c r="BI51" s="55" t="str">
        <f t="shared" si="64"/>
        <v/>
      </c>
      <c r="BJ51" s="55" t="str">
        <f t="shared" si="64"/>
        <v/>
      </c>
      <c r="BK51" s="55" t="str">
        <f t="shared" si="64"/>
        <v/>
      </c>
      <c r="BL51" s="55" t="str">
        <f t="shared" si="64"/>
        <v/>
      </c>
      <c r="BM51" s="55" t="str">
        <f t="shared" si="64"/>
        <v/>
      </c>
      <c r="BN51" s="55" t="str">
        <f t="shared" si="64"/>
        <v/>
      </c>
      <c r="BO51" s="55" t="str">
        <f t="shared" si="64"/>
        <v/>
      </c>
      <c r="BP51" s="55" t="str">
        <f t="shared" si="64"/>
        <v/>
      </c>
      <c r="BQ51" s="55" t="str">
        <f t="shared" si="64"/>
        <v/>
      </c>
      <c r="BR51" s="55" t="str">
        <f t="shared" si="64"/>
        <v/>
      </c>
      <c r="BS51" s="55" t="str">
        <f t="shared" si="64"/>
        <v/>
      </c>
      <c r="BT51" s="55" t="str">
        <f t="shared" si="64"/>
        <v/>
      </c>
      <c r="BU51" s="55" t="str">
        <f t="shared" si="64"/>
        <v/>
      </c>
      <c r="BV51" s="55" t="str">
        <f t="shared" si="64"/>
        <v/>
      </c>
      <c r="BW51" s="55" t="str">
        <f t="shared" si="64"/>
        <v/>
      </c>
      <c r="BX51" s="55" t="str">
        <f t="shared" si="64"/>
        <v/>
      </c>
      <c r="BY51" s="55" t="str">
        <f t="shared" si="64"/>
        <v/>
      </c>
      <c r="BZ51" s="55" t="str">
        <f t="shared" si="64"/>
        <v/>
      </c>
      <c r="CA51" s="55" t="str">
        <f t="shared" si="64"/>
        <v/>
      </c>
      <c r="CB51" s="55" t="str">
        <f t="shared" si="64"/>
        <v/>
      </c>
      <c r="CC51" s="55" t="str">
        <f t="shared" si="64"/>
        <v/>
      </c>
      <c r="CD51" s="55" t="str">
        <f t="shared" si="64"/>
        <v/>
      </c>
      <c r="CE51" s="55" t="str">
        <f t="shared" si="64"/>
        <v/>
      </c>
      <c r="CF51" s="55" t="str">
        <f t="shared" si="64"/>
        <v/>
      </c>
      <c r="CG51" s="55" t="str">
        <f t="shared" si="64"/>
        <v/>
      </c>
      <c r="CH51" s="55" t="str">
        <f t="shared" si="64"/>
        <v/>
      </c>
      <c r="CI51" s="55" t="str">
        <f t="shared" si="64"/>
        <v/>
      </c>
      <c r="CJ51" s="55" t="str">
        <f t="shared" si="64"/>
        <v/>
      </c>
      <c r="CK51" s="55" t="str">
        <f t="shared" si="64"/>
        <v/>
      </c>
      <c r="CL51" s="55" t="str">
        <f t="shared" si="64"/>
        <v/>
      </c>
      <c r="CM51" s="55" t="str">
        <f t="shared" si="64"/>
        <v/>
      </c>
      <c r="CN51" s="55" t="str">
        <f t="shared" si="64"/>
        <v/>
      </c>
      <c r="CO51" s="55" t="str">
        <f t="shared" si="64"/>
        <v/>
      </c>
      <c r="CP51" s="55" t="str">
        <f t="shared" si="64"/>
        <v/>
      </c>
      <c r="CQ51" s="55" t="str">
        <f t="shared" si="64"/>
        <v/>
      </c>
      <c r="CR51" s="55" t="str">
        <f t="shared" si="64"/>
        <v/>
      </c>
      <c r="CS51" s="55" t="str">
        <f t="shared" si="64"/>
        <v/>
      </c>
      <c r="CT51" s="55" t="str">
        <f t="shared" si="64"/>
        <v/>
      </c>
      <c r="CU51" s="55" t="str">
        <f t="shared" si="64"/>
        <v/>
      </c>
      <c r="CV51" s="55" t="str">
        <f t="shared" si="64"/>
        <v/>
      </c>
      <c r="CW51" s="55" t="str">
        <f t="shared" si="64"/>
        <v/>
      </c>
      <c r="CX51" s="55" t="str">
        <f t="shared" si="64"/>
        <v/>
      </c>
      <c r="CY51" s="55" t="str">
        <f t="shared" si="64"/>
        <v/>
      </c>
      <c r="CZ51" s="55" t="str">
        <f t="shared" si="61"/>
        <v/>
      </c>
      <c r="DA51" s="55" t="str">
        <f t="shared" si="61"/>
        <v/>
      </c>
      <c r="DB51" s="55" t="str">
        <f t="shared" si="61"/>
        <v/>
      </c>
      <c r="DC51" s="55" t="str">
        <f t="shared" si="61"/>
        <v/>
      </c>
      <c r="DD51" s="55" t="str">
        <f t="shared" si="61"/>
        <v/>
      </c>
      <c r="DE51" s="55" t="str">
        <f t="shared" si="61"/>
        <v/>
      </c>
      <c r="DF51" s="55" t="str">
        <f t="shared" si="61"/>
        <v/>
      </c>
      <c r="DG51" s="55" t="str">
        <f t="shared" si="61"/>
        <v/>
      </c>
      <c r="DH51" s="55" t="str">
        <f t="shared" si="61"/>
        <v/>
      </c>
      <c r="DI51" s="55" t="str">
        <f t="shared" si="61"/>
        <v/>
      </c>
      <c r="DJ51" s="55" t="str">
        <f t="shared" si="61"/>
        <v/>
      </c>
      <c r="DK51" s="55" t="str">
        <f t="shared" si="55"/>
        <v/>
      </c>
      <c r="DL51" s="55" t="str">
        <f t="shared" si="55"/>
        <v/>
      </c>
      <c r="DM51" s="55" t="str">
        <f t="shared" si="55"/>
        <v/>
      </c>
      <c r="DN51" s="55" t="str">
        <f t="shared" si="55"/>
        <v/>
      </c>
      <c r="DO51" s="55" t="str">
        <f t="shared" si="55"/>
        <v/>
      </c>
      <c r="DP51" s="55" t="str">
        <f t="shared" si="55"/>
        <v/>
      </c>
      <c r="DQ51" s="55" t="str">
        <f t="shared" si="56"/>
        <v/>
      </c>
      <c r="DR51" s="55" t="str">
        <f t="shared" si="56"/>
        <v/>
      </c>
      <c r="DS51" s="55" t="str">
        <f t="shared" si="56"/>
        <v/>
      </c>
      <c r="DT51" s="106" t="str">
        <f t="shared" si="56"/>
        <v/>
      </c>
      <c r="DU51" s="54"/>
      <c r="DV51" s="25"/>
      <c r="DW51" s="61" t="str">
        <f t="shared" si="57"/>
        <v/>
      </c>
      <c r="DX51" s="50" t="str">
        <f t="shared" si="57"/>
        <v/>
      </c>
      <c r="DY51" s="50" t="str">
        <f t="shared" si="57"/>
        <v/>
      </c>
      <c r="DZ51" s="50" t="str">
        <f t="shared" si="57"/>
        <v/>
      </c>
      <c r="EA51" s="50" t="str">
        <f t="shared" si="57"/>
        <v/>
      </c>
      <c r="EB51" s="50" t="str">
        <f t="shared" si="57"/>
        <v/>
      </c>
      <c r="EC51" s="50" t="str">
        <f t="shared" si="57"/>
        <v/>
      </c>
      <c r="ED51" s="50" t="str">
        <f t="shared" si="57"/>
        <v/>
      </c>
      <c r="EE51" s="50" t="str">
        <f t="shared" si="57"/>
        <v/>
      </c>
      <c r="EF51" s="50" t="str">
        <f t="shared" si="57"/>
        <v/>
      </c>
      <c r="EG51" s="50" t="str">
        <f t="shared" si="57"/>
        <v/>
      </c>
      <c r="EH51" s="50" t="str">
        <f t="shared" si="57"/>
        <v/>
      </c>
      <c r="EI51" s="50" t="str">
        <f t="shared" si="57"/>
        <v/>
      </c>
      <c r="EJ51" s="50" t="str">
        <f t="shared" si="57"/>
        <v/>
      </c>
      <c r="EK51" s="50" t="str">
        <f t="shared" si="57"/>
        <v/>
      </c>
      <c r="EL51" s="50" t="str">
        <f t="shared" si="57"/>
        <v/>
      </c>
      <c r="EM51" s="50" t="str">
        <f t="shared" si="65"/>
        <v/>
      </c>
      <c r="EN51" s="50" t="str">
        <f t="shared" si="65"/>
        <v/>
      </c>
      <c r="EO51" s="50" t="str">
        <f t="shared" si="65"/>
        <v/>
      </c>
      <c r="EP51" s="50" t="str">
        <f t="shared" si="65"/>
        <v/>
      </c>
      <c r="EQ51" s="50" t="str">
        <f t="shared" si="65"/>
        <v/>
      </c>
      <c r="ER51" s="50" t="str">
        <f t="shared" si="65"/>
        <v/>
      </c>
      <c r="ES51" s="50" t="str">
        <f t="shared" si="65"/>
        <v/>
      </c>
      <c r="ET51" s="50" t="str">
        <f t="shared" si="65"/>
        <v/>
      </c>
      <c r="EU51" s="50" t="str">
        <f t="shared" si="65"/>
        <v/>
      </c>
      <c r="EV51" s="50" t="str">
        <f t="shared" si="65"/>
        <v/>
      </c>
      <c r="EW51" s="50" t="str">
        <f t="shared" si="65"/>
        <v/>
      </c>
      <c r="EX51" s="50" t="str">
        <f t="shared" si="65"/>
        <v/>
      </c>
      <c r="EY51" s="50" t="str">
        <f t="shared" si="65"/>
        <v/>
      </c>
      <c r="EZ51" s="50" t="str">
        <f t="shared" si="65"/>
        <v/>
      </c>
      <c r="FA51" s="50" t="str">
        <f t="shared" si="65"/>
        <v/>
      </c>
      <c r="FB51" s="50" t="str">
        <f t="shared" si="65"/>
        <v/>
      </c>
      <c r="FC51" s="50" t="str">
        <f t="shared" si="66"/>
        <v/>
      </c>
      <c r="FD51" s="50" t="str">
        <f t="shared" si="66"/>
        <v/>
      </c>
      <c r="FE51" s="50" t="str">
        <f t="shared" si="66"/>
        <v/>
      </c>
      <c r="FF51" s="50" t="str">
        <f t="shared" si="66"/>
        <v/>
      </c>
      <c r="FG51" s="50" t="str">
        <f t="shared" si="66"/>
        <v/>
      </c>
      <c r="FH51" s="50" t="str">
        <f t="shared" si="66"/>
        <v/>
      </c>
      <c r="FI51" s="50" t="str">
        <f t="shared" si="66"/>
        <v/>
      </c>
      <c r="FJ51" s="50" t="str">
        <f t="shared" si="66"/>
        <v/>
      </c>
      <c r="FK51" s="50" t="str">
        <f t="shared" si="66"/>
        <v/>
      </c>
      <c r="FL51" s="50" t="str">
        <f t="shared" si="66"/>
        <v/>
      </c>
      <c r="FM51" s="50" t="str">
        <f t="shared" si="66"/>
        <v/>
      </c>
      <c r="FN51" s="50" t="str">
        <f t="shared" si="66"/>
        <v/>
      </c>
      <c r="FO51" s="50" t="str">
        <f t="shared" si="66"/>
        <v/>
      </c>
      <c r="FP51" s="50" t="str">
        <f t="shared" si="66"/>
        <v/>
      </c>
      <c r="FQ51" s="50" t="str">
        <f t="shared" si="66"/>
        <v/>
      </c>
      <c r="FR51" s="50" t="str">
        <f t="shared" si="66"/>
        <v/>
      </c>
      <c r="FS51" s="50" t="str">
        <f t="shared" si="66"/>
        <v/>
      </c>
      <c r="FT51" s="50" t="str">
        <f t="shared" si="66"/>
        <v/>
      </c>
      <c r="FU51" s="50" t="str">
        <f t="shared" si="66"/>
        <v/>
      </c>
      <c r="FV51" s="50" t="str">
        <f t="shared" si="66"/>
        <v/>
      </c>
      <c r="FW51" s="50" t="str">
        <f t="shared" si="66"/>
        <v/>
      </c>
      <c r="FX51" s="50" t="str">
        <f t="shared" si="66"/>
        <v/>
      </c>
      <c r="FY51" s="50" t="str">
        <f t="shared" si="66"/>
        <v/>
      </c>
      <c r="FZ51" s="50" t="str">
        <f t="shared" si="66"/>
        <v/>
      </c>
      <c r="GA51" s="50" t="str">
        <f t="shared" si="66"/>
        <v/>
      </c>
      <c r="GB51" s="50" t="str">
        <f t="shared" si="66"/>
        <v/>
      </c>
      <c r="GC51" s="50" t="str">
        <f t="shared" si="66"/>
        <v/>
      </c>
      <c r="GD51" s="50" t="str">
        <f t="shared" si="66"/>
        <v/>
      </c>
      <c r="GE51" s="50" t="str">
        <f t="shared" si="66"/>
        <v/>
      </c>
      <c r="GF51" s="50" t="str">
        <f t="shared" si="66"/>
        <v/>
      </c>
      <c r="GG51" s="50" t="str">
        <f t="shared" si="66"/>
        <v/>
      </c>
      <c r="GH51" s="50" t="str">
        <f t="shared" si="66"/>
        <v/>
      </c>
      <c r="GI51" s="50" t="str">
        <f t="shared" si="66"/>
        <v/>
      </c>
      <c r="GJ51" s="50" t="str">
        <f t="shared" si="66"/>
        <v/>
      </c>
      <c r="GK51" s="50" t="str">
        <f t="shared" si="66"/>
        <v/>
      </c>
      <c r="GL51" s="50" t="str">
        <f t="shared" si="66"/>
        <v/>
      </c>
      <c r="GM51" s="50" t="str">
        <f t="shared" si="66"/>
        <v/>
      </c>
      <c r="GN51" s="50" t="str">
        <f t="shared" si="66"/>
        <v/>
      </c>
      <c r="GO51" s="50" t="str">
        <f t="shared" si="66"/>
        <v/>
      </c>
      <c r="GP51" s="50" t="str">
        <f t="shared" si="66"/>
        <v/>
      </c>
      <c r="GQ51" s="50" t="str">
        <f t="shared" si="66"/>
        <v/>
      </c>
      <c r="GR51" s="50" t="str">
        <f t="shared" si="66"/>
        <v/>
      </c>
      <c r="GS51" s="50" t="str">
        <f t="shared" si="66"/>
        <v/>
      </c>
      <c r="GT51" s="50" t="str">
        <f t="shared" si="66"/>
        <v/>
      </c>
      <c r="GU51" s="50" t="str">
        <f t="shared" si="66"/>
        <v/>
      </c>
      <c r="GV51" s="50" t="str">
        <f t="shared" si="66"/>
        <v/>
      </c>
      <c r="GW51" s="50" t="str">
        <f t="shared" si="66"/>
        <v/>
      </c>
      <c r="GX51" s="50" t="str">
        <f t="shared" si="62"/>
        <v/>
      </c>
      <c r="GY51" s="50" t="str">
        <f t="shared" si="62"/>
        <v/>
      </c>
      <c r="GZ51" s="50" t="str">
        <f t="shared" si="62"/>
        <v/>
      </c>
      <c r="HA51" s="50" t="str">
        <f t="shared" si="62"/>
        <v/>
      </c>
      <c r="HB51" s="50" t="str">
        <f t="shared" si="62"/>
        <v/>
      </c>
      <c r="HC51" s="50" t="str">
        <f t="shared" si="62"/>
        <v/>
      </c>
      <c r="HD51" s="50" t="str">
        <f t="shared" si="62"/>
        <v/>
      </c>
      <c r="HE51" s="50" t="str">
        <f t="shared" si="62"/>
        <v/>
      </c>
      <c r="HF51" s="50" t="str">
        <f t="shared" si="62"/>
        <v/>
      </c>
      <c r="HG51" s="50" t="str">
        <f t="shared" si="62"/>
        <v/>
      </c>
      <c r="HH51" s="50" t="str">
        <f t="shared" si="62"/>
        <v/>
      </c>
      <c r="HI51" s="50" t="str">
        <f t="shared" si="62"/>
        <v/>
      </c>
      <c r="HJ51" s="50" t="str">
        <f t="shared" si="62"/>
        <v/>
      </c>
      <c r="HK51" s="50" t="str">
        <f t="shared" si="62"/>
        <v/>
      </c>
      <c r="HL51" s="50" t="str">
        <f t="shared" si="62"/>
        <v/>
      </c>
      <c r="HM51" s="50" t="str">
        <f t="shared" si="62"/>
        <v/>
      </c>
      <c r="HN51" s="50" t="str">
        <f t="shared" si="60"/>
        <v/>
      </c>
      <c r="HO51" s="50" t="str">
        <f t="shared" si="60"/>
        <v/>
      </c>
      <c r="HP51" s="50" t="str">
        <f t="shared" si="60"/>
        <v/>
      </c>
      <c r="HQ51" s="50" t="str">
        <f t="shared" si="60"/>
        <v/>
      </c>
      <c r="HR51" s="112" t="str">
        <f t="shared" si="60"/>
        <v/>
      </c>
    </row>
    <row r="52" spans="1:226" ht="11.1" customHeight="1" thickBot="1" x14ac:dyDescent="0.3">
      <c r="A52" s="66"/>
      <c r="B52" s="67"/>
      <c r="C52" s="68" t="str">
        <f>IF(A52=0,"",VLOOKUP(A52,[2]CO!$A$3:$F$5327,2,0))</f>
        <v/>
      </c>
      <c r="D52" s="69"/>
      <c r="E52" s="69"/>
      <c r="F52" s="69"/>
      <c r="G52" s="70" t="str">
        <f>IF(A52=0,"",VLOOKUP(A52,[2]CO!$A$3:$F$5327,3,0))</f>
        <v/>
      </c>
      <c r="H52" s="96"/>
      <c r="I52" s="71"/>
      <c r="J52" s="71"/>
      <c r="K52" s="71"/>
      <c r="L52" s="71"/>
      <c r="M52" s="72" t="str">
        <f t="shared" si="50"/>
        <v/>
      </c>
      <c r="N52" s="72" t="str">
        <f>IF(B52=0,"",IF(H52="M",HLOOKUP(B52,$Y$12:$DT$13,2),IF(A52=0,"",VLOOKUP(A52,[2]CO!$A$3:$F$5327,4,0))))</f>
        <v/>
      </c>
      <c r="O52" s="72" t="str">
        <f t="shared" si="7"/>
        <v/>
      </c>
      <c r="P52" s="73"/>
      <c r="Q52" s="74" t="str">
        <f t="shared" si="51"/>
        <v/>
      </c>
      <c r="R52" s="75" t="str">
        <f>IF(S52=0,"",IF(OR(G52="PEON",G52="OF",G52="JARD",G52="CARP",G52="MAESTRO",G52="SOLD",G52="BGRO",G52="CHOFER",G52="AYTE",G52="S.INTTE.",G52="ASEO",G52="P.PISOS",G52="VELADOR",G52="RESID",G52="PINTOR",G52="ELECT",G52="AZULE",G52="AUX CONT.",G52="SECRETARIA",G52="AUXILIAR ADMTVO.",G52="ARQUITECTO",G52="DIBUJANTE",G52="AUX. DE RESIDENTE",G52="TOPOGRAFIA"),VLOOKUP(B52,P$14:Q$71,2),"")*S52)</f>
        <v/>
      </c>
      <c r="T52" s="53" t="str">
        <f>IF(A52=0,"",VLOOKUP(A52,[2]CO!$A$3:$F$5318,5,0))</f>
        <v/>
      </c>
      <c r="U52" s="54">
        <f t="shared" si="52"/>
        <v>0</v>
      </c>
      <c r="V52" s="24"/>
      <c r="W52" s="25"/>
      <c r="X52" s="25"/>
      <c r="Y52" s="76" t="str">
        <f t="shared" si="53"/>
        <v/>
      </c>
      <c r="Z52" s="77" t="str">
        <f t="shared" si="53"/>
        <v/>
      </c>
      <c r="AA52" s="77" t="str">
        <f t="shared" si="53"/>
        <v/>
      </c>
      <c r="AB52" s="77" t="str">
        <f t="shared" si="53"/>
        <v/>
      </c>
      <c r="AC52" s="77" t="str">
        <f t="shared" si="53"/>
        <v/>
      </c>
      <c r="AD52" s="77" t="str">
        <f t="shared" si="53"/>
        <v/>
      </c>
      <c r="AE52" s="77" t="str">
        <f t="shared" si="53"/>
        <v/>
      </c>
      <c r="AF52" s="77" t="str">
        <f t="shared" si="53"/>
        <v/>
      </c>
      <c r="AG52" s="77" t="str">
        <f t="shared" si="53"/>
        <v/>
      </c>
      <c r="AH52" s="77" t="str">
        <f t="shared" si="53"/>
        <v/>
      </c>
      <c r="AI52" s="77" t="str">
        <f t="shared" si="53"/>
        <v/>
      </c>
      <c r="AJ52" s="77" t="str">
        <f t="shared" si="53"/>
        <v/>
      </c>
      <c r="AK52" s="77" t="str">
        <f t="shared" si="53"/>
        <v/>
      </c>
      <c r="AL52" s="77" t="str">
        <f t="shared" si="53"/>
        <v/>
      </c>
      <c r="AM52" s="77" t="str">
        <f t="shared" si="53"/>
        <v/>
      </c>
      <c r="AN52" s="77" t="str">
        <f t="shared" si="53"/>
        <v/>
      </c>
      <c r="AO52" s="77" t="str">
        <f t="shared" si="63"/>
        <v/>
      </c>
      <c r="AP52" s="77" t="str">
        <f t="shared" si="63"/>
        <v/>
      </c>
      <c r="AQ52" s="77" t="str">
        <f t="shared" si="63"/>
        <v/>
      </c>
      <c r="AR52" s="77" t="str">
        <f t="shared" si="63"/>
        <v/>
      </c>
      <c r="AS52" s="77" t="str">
        <f t="shared" si="63"/>
        <v/>
      </c>
      <c r="AT52" s="77" t="str">
        <f t="shared" si="63"/>
        <v/>
      </c>
      <c r="AU52" s="77" t="str">
        <f t="shared" si="63"/>
        <v/>
      </c>
      <c r="AV52" s="77" t="str">
        <f t="shared" si="63"/>
        <v/>
      </c>
      <c r="AW52" s="77" t="str">
        <f t="shared" si="63"/>
        <v/>
      </c>
      <c r="AX52" s="77" t="str">
        <f t="shared" si="63"/>
        <v/>
      </c>
      <c r="AY52" s="77" t="str">
        <f t="shared" si="63"/>
        <v/>
      </c>
      <c r="AZ52" s="77" t="str">
        <f t="shared" si="63"/>
        <v/>
      </c>
      <c r="BA52" s="77" t="str">
        <f t="shared" si="63"/>
        <v/>
      </c>
      <c r="BB52" s="77" t="str">
        <f t="shared" si="63"/>
        <v/>
      </c>
      <c r="BC52" s="77" t="str">
        <f t="shared" si="63"/>
        <v/>
      </c>
      <c r="BD52" s="77" t="str">
        <f t="shared" si="63"/>
        <v/>
      </c>
      <c r="BE52" s="77" t="str">
        <f t="shared" si="64"/>
        <v/>
      </c>
      <c r="BF52" s="77" t="str">
        <f t="shared" si="64"/>
        <v/>
      </c>
      <c r="BG52" s="77" t="str">
        <f t="shared" si="64"/>
        <v/>
      </c>
      <c r="BH52" s="77" t="str">
        <f t="shared" si="64"/>
        <v/>
      </c>
      <c r="BI52" s="77" t="str">
        <f t="shared" si="64"/>
        <v/>
      </c>
      <c r="BJ52" s="77" t="str">
        <f t="shared" si="64"/>
        <v/>
      </c>
      <c r="BK52" s="77" t="str">
        <f t="shared" si="64"/>
        <v/>
      </c>
      <c r="BL52" s="77" t="str">
        <f t="shared" si="64"/>
        <v/>
      </c>
      <c r="BM52" s="77" t="str">
        <f t="shared" si="64"/>
        <v/>
      </c>
      <c r="BN52" s="77" t="str">
        <f t="shared" si="64"/>
        <v/>
      </c>
      <c r="BO52" s="77" t="str">
        <f t="shared" si="64"/>
        <v/>
      </c>
      <c r="BP52" s="77" t="str">
        <f t="shared" si="64"/>
        <v/>
      </c>
      <c r="BQ52" s="77" t="str">
        <f t="shared" si="64"/>
        <v/>
      </c>
      <c r="BR52" s="77" t="str">
        <f t="shared" si="64"/>
        <v/>
      </c>
      <c r="BS52" s="77" t="str">
        <f t="shared" si="64"/>
        <v/>
      </c>
      <c r="BT52" s="77" t="str">
        <f t="shared" si="64"/>
        <v/>
      </c>
      <c r="BU52" s="77" t="str">
        <f t="shared" si="64"/>
        <v/>
      </c>
      <c r="BV52" s="77" t="str">
        <f t="shared" si="64"/>
        <v/>
      </c>
      <c r="BW52" s="77" t="str">
        <f t="shared" si="64"/>
        <v/>
      </c>
      <c r="BX52" s="77" t="str">
        <f t="shared" si="64"/>
        <v/>
      </c>
      <c r="BY52" s="77" t="str">
        <f t="shared" ref="BY52:CY52" si="84">IF($B52=BY$12,$U52,"")</f>
        <v/>
      </c>
      <c r="BZ52" s="77" t="str">
        <f t="shared" si="84"/>
        <v/>
      </c>
      <c r="CA52" s="77" t="str">
        <f t="shared" si="84"/>
        <v/>
      </c>
      <c r="CB52" s="77" t="str">
        <f t="shared" si="84"/>
        <v/>
      </c>
      <c r="CC52" s="77" t="str">
        <f t="shared" si="84"/>
        <v/>
      </c>
      <c r="CD52" s="77" t="str">
        <f t="shared" si="84"/>
        <v/>
      </c>
      <c r="CE52" s="77" t="str">
        <f t="shared" si="84"/>
        <v/>
      </c>
      <c r="CF52" s="77" t="str">
        <f t="shared" si="84"/>
        <v/>
      </c>
      <c r="CG52" s="77" t="str">
        <f t="shared" si="84"/>
        <v/>
      </c>
      <c r="CH52" s="77" t="str">
        <f t="shared" si="84"/>
        <v/>
      </c>
      <c r="CI52" s="77" t="str">
        <f t="shared" si="84"/>
        <v/>
      </c>
      <c r="CJ52" s="77" t="str">
        <f t="shared" si="84"/>
        <v/>
      </c>
      <c r="CK52" s="77" t="str">
        <f t="shared" si="84"/>
        <v/>
      </c>
      <c r="CL52" s="77" t="str">
        <f t="shared" si="84"/>
        <v/>
      </c>
      <c r="CM52" s="77" t="str">
        <f t="shared" si="84"/>
        <v/>
      </c>
      <c r="CN52" s="77" t="str">
        <f t="shared" si="84"/>
        <v/>
      </c>
      <c r="CO52" s="77" t="str">
        <f t="shared" si="84"/>
        <v/>
      </c>
      <c r="CP52" s="77" t="str">
        <f t="shared" si="84"/>
        <v/>
      </c>
      <c r="CQ52" s="77" t="str">
        <f t="shared" si="84"/>
        <v/>
      </c>
      <c r="CR52" s="77" t="str">
        <f t="shared" si="84"/>
        <v/>
      </c>
      <c r="CS52" s="77" t="str">
        <f t="shared" si="84"/>
        <v/>
      </c>
      <c r="CT52" s="77" t="str">
        <f t="shared" si="84"/>
        <v/>
      </c>
      <c r="CU52" s="77" t="str">
        <f t="shared" si="84"/>
        <v/>
      </c>
      <c r="CV52" s="77" t="str">
        <f t="shared" si="84"/>
        <v/>
      </c>
      <c r="CW52" s="77" t="str">
        <f t="shared" si="84"/>
        <v/>
      </c>
      <c r="CX52" s="77" t="str">
        <f t="shared" si="84"/>
        <v/>
      </c>
      <c r="CY52" s="77" t="str">
        <f t="shared" si="84"/>
        <v/>
      </c>
      <c r="CZ52" s="77" t="str">
        <f t="shared" si="61"/>
        <v/>
      </c>
      <c r="DA52" s="77" t="str">
        <f t="shared" si="61"/>
        <v/>
      </c>
      <c r="DB52" s="77" t="str">
        <f t="shared" si="61"/>
        <v/>
      </c>
      <c r="DC52" s="77" t="str">
        <f t="shared" si="61"/>
        <v/>
      </c>
      <c r="DD52" s="77" t="str">
        <f t="shared" si="61"/>
        <v/>
      </c>
      <c r="DE52" s="77" t="str">
        <f t="shared" si="61"/>
        <v/>
      </c>
      <c r="DF52" s="77" t="str">
        <f t="shared" si="61"/>
        <v/>
      </c>
      <c r="DG52" s="77" t="str">
        <f t="shared" si="61"/>
        <v/>
      </c>
      <c r="DH52" s="77" t="str">
        <f t="shared" si="61"/>
        <v/>
      </c>
      <c r="DI52" s="77" t="str">
        <f t="shared" si="61"/>
        <v/>
      </c>
      <c r="DJ52" s="77" t="str">
        <f t="shared" si="61"/>
        <v/>
      </c>
      <c r="DK52" s="77" t="str">
        <f t="shared" si="55"/>
        <v/>
      </c>
      <c r="DL52" s="77" t="str">
        <f t="shared" si="55"/>
        <v/>
      </c>
      <c r="DM52" s="77" t="str">
        <f t="shared" si="55"/>
        <v/>
      </c>
      <c r="DN52" s="77" t="str">
        <f t="shared" si="55"/>
        <v/>
      </c>
      <c r="DO52" s="77" t="str">
        <f t="shared" si="55"/>
        <v/>
      </c>
      <c r="DP52" s="77" t="str">
        <f t="shared" si="55"/>
        <v/>
      </c>
      <c r="DQ52" s="77" t="str">
        <f t="shared" si="56"/>
        <v/>
      </c>
      <c r="DR52" s="77" t="str">
        <f t="shared" si="56"/>
        <v/>
      </c>
      <c r="DS52" s="77" t="str">
        <f t="shared" si="56"/>
        <v/>
      </c>
      <c r="DT52" s="107" t="str">
        <f t="shared" si="56"/>
        <v/>
      </c>
      <c r="DU52" s="54"/>
      <c r="DV52" s="25"/>
      <c r="DW52" s="78" t="str">
        <f t="shared" si="57"/>
        <v/>
      </c>
      <c r="DX52" s="79" t="str">
        <f t="shared" si="57"/>
        <v/>
      </c>
      <c r="DY52" s="79" t="str">
        <f t="shared" si="57"/>
        <v/>
      </c>
      <c r="DZ52" s="79" t="str">
        <f t="shared" si="57"/>
        <v/>
      </c>
      <c r="EA52" s="79" t="str">
        <f t="shared" si="57"/>
        <v/>
      </c>
      <c r="EB52" s="79" t="str">
        <f t="shared" si="57"/>
        <v/>
      </c>
      <c r="EC52" s="79" t="str">
        <f t="shared" si="57"/>
        <v/>
      </c>
      <c r="ED52" s="79" t="str">
        <f t="shared" si="57"/>
        <v/>
      </c>
      <c r="EE52" s="79" t="str">
        <f t="shared" si="57"/>
        <v/>
      </c>
      <c r="EF52" s="79" t="str">
        <f t="shared" si="57"/>
        <v/>
      </c>
      <c r="EG52" s="79" t="str">
        <f t="shared" si="57"/>
        <v/>
      </c>
      <c r="EH52" s="79" t="str">
        <f t="shared" si="57"/>
        <v/>
      </c>
      <c r="EI52" s="79" t="str">
        <f t="shared" si="57"/>
        <v/>
      </c>
      <c r="EJ52" s="79" t="str">
        <f t="shared" si="57"/>
        <v/>
      </c>
      <c r="EK52" s="79" t="str">
        <f t="shared" si="57"/>
        <v/>
      </c>
      <c r="EL52" s="79" t="str">
        <f t="shared" si="57"/>
        <v/>
      </c>
      <c r="EM52" s="79" t="str">
        <f t="shared" si="65"/>
        <v/>
      </c>
      <c r="EN52" s="79" t="str">
        <f t="shared" si="65"/>
        <v/>
      </c>
      <c r="EO52" s="79" t="str">
        <f t="shared" si="65"/>
        <v/>
      </c>
      <c r="EP52" s="79" t="str">
        <f t="shared" si="65"/>
        <v/>
      </c>
      <c r="EQ52" s="79" t="str">
        <f t="shared" si="65"/>
        <v/>
      </c>
      <c r="ER52" s="79" t="str">
        <f t="shared" si="65"/>
        <v/>
      </c>
      <c r="ES52" s="79" t="str">
        <f t="shared" si="65"/>
        <v/>
      </c>
      <c r="ET52" s="79" t="str">
        <f t="shared" si="65"/>
        <v/>
      </c>
      <c r="EU52" s="79" t="str">
        <f t="shared" si="65"/>
        <v/>
      </c>
      <c r="EV52" s="79" t="str">
        <f t="shared" si="65"/>
        <v/>
      </c>
      <c r="EW52" s="79" t="str">
        <f t="shared" si="65"/>
        <v/>
      </c>
      <c r="EX52" s="79" t="str">
        <f t="shared" si="65"/>
        <v/>
      </c>
      <c r="EY52" s="79" t="str">
        <f t="shared" si="65"/>
        <v/>
      </c>
      <c r="EZ52" s="79" t="str">
        <f t="shared" si="65"/>
        <v/>
      </c>
      <c r="FA52" s="79" t="str">
        <f t="shared" si="65"/>
        <v/>
      </c>
      <c r="FB52" s="79" t="str">
        <f t="shared" si="65"/>
        <v/>
      </c>
      <c r="FC52" s="79" t="str">
        <f t="shared" si="66"/>
        <v/>
      </c>
      <c r="FD52" s="79" t="str">
        <f t="shared" si="66"/>
        <v/>
      </c>
      <c r="FE52" s="79" t="str">
        <f t="shared" si="66"/>
        <v/>
      </c>
      <c r="FF52" s="79" t="str">
        <f t="shared" si="66"/>
        <v/>
      </c>
      <c r="FG52" s="79" t="str">
        <f t="shared" si="66"/>
        <v/>
      </c>
      <c r="FH52" s="79" t="str">
        <f t="shared" si="66"/>
        <v/>
      </c>
      <c r="FI52" s="79" t="str">
        <f t="shared" si="66"/>
        <v/>
      </c>
      <c r="FJ52" s="79" t="str">
        <f t="shared" si="66"/>
        <v/>
      </c>
      <c r="FK52" s="79" t="str">
        <f t="shared" si="66"/>
        <v/>
      </c>
      <c r="FL52" s="79" t="str">
        <f t="shared" si="66"/>
        <v/>
      </c>
      <c r="FM52" s="79" t="str">
        <f t="shared" si="66"/>
        <v/>
      </c>
      <c r="FN52" s="79" t="str">
        <f t="shared" si="66"/>
        <v/>
      </c>
      <c r="FO52" s="79" t="str">
        <f t="shared" si="66"/>
        <v/>
      </c>
      <c r="FP52" s="79" t="str">
        <f t="shared" si="66"/>
        <v/>
      </c>
      <c r="FQ52" s="79" t="str">
        <f t="shared" si="66"/>
        <v/>
      </c>
      <c r="FR52" s="79" t="str">
        <f t="shared" si="66"/>
        <v/>
      </c>
      <c r="FS52" s="79" t="str">
        <f t="shared" si="66"/>
        <v/>
      </c>
      <c r="FT52" s="79" t="str">
        <f t="shared" si="66"/>
        <v/>
      </c>
      <c r="FU52" s="79" t="str">
        <f t="shared" si="66"/>
        <v/>
      </c>
      <c r="FV52" s="79" t="str">
        <f t="shared" si="66"/>
        <v/>
      </c>
      <c r="FW52" s="79" t="str">
        <f t="shared" ref="FW52:GW52" si="85">IF($B52=FW$12,$O52,"")</f>
        <v/>
      </c>
      <c r="FX52" s="79" t="str">
        <f t="shared" si="85"/>
        <v/>
      </c>
      <c r="FY52" s="79" t="str">
        <f t="shared" si="85"/>
        <v/>
      </c>
      <c r="FZ52" s="79" t="str">
        <f t="shared" si="85"/>
        <v/>
      </c>
      <c r="GA52" s="79" t="str">
        <f t="shared" si="85"/>
        <v/>
      </c>
      <c r="GB52" s="79" t="str">
        <f t="shared" si="85"/>
        <v/>
      </c>
      <c r="GC52" s="79" t="str">
        <f t="shared" si="85"/>
        <v/>
      </c>
      <c r="GD52" s="79" t="str">
        <f t="shared" si="85"/>
        <v/>
      </c>
      <c r="GE52" s="79" t="str">
        <f t="shared" si="85"/>
        <v/>
      </c>
      <c r="GF52" s="79" t="str">
        <f t="shared" si="85"/>
        <v/>
      </c>
      <c r="GG52" s="79" t="str">
        <f t="shared" si="85"/>
        <v/>
      </c>
      <c r="GH52" s="79" t="str">
        <f t="shared" si="85"/>
        <v/>
      </c>
      <c r="GI52" s="79" t="str">
        <f t="shared" si="85"/>
        <v/>
      </c>
      <c r="GJ52" s="79" t="str">
        <f t="shared" si="85"/>
        <v/>
      </c>
      <c r="GK52" s="79" t="str">
        <f t="shared" si="85"/>
        <v/>
      </c>
      <c r="GL52" s="79" t="str">
        <f t="shared" si="85"/>
        <v/>
      </c>
      <c r="GM52" s="79" t="str">
        <f t="shared" si="85"/>
        <v/>
      </c>
      <c r="GN52" s="79" t="str">
        <f t="shared" si="85"/>
        <v/>
      </c>
      <c r="GO52" s="79" t="str">
        <f t="shared" si="85"/>
        <v/>
      </c>
      <c r="GP52" s="79" t="str">
        <f t="shared" si="85"/>
        <v/>
      </c>
      <c r="GQ52" s="79" t="str">
        <f t="shared" si="85"/>
        <v/>
      </c>
      <c r="GR52" s="79" t="str">
        <f t="shared" si="85"/>
        <v/>
      </c>
      <c r="GS52" s="79" t="str">
        <f t="shared" si="85"/>
        <v/>
      </c>
      <c r="GT52" s="79" t="str">
        <f t="shared" si="85"/>
        <v/>
      </c>
      <c r="GU52" s="79" t="str">
        <f t="shared" si="85"/>
        <v/>
      </c>
      <c r="GV52" s="79" t="str">
        <f t="shared" si="85"/>
        <v/>
      </c>
      <c r="GW52" s="79" t="str">
        <f t="shared" si="85"/>
        <v/>
      </c>
      <c r="GX52" s="79" t="str">
        <f t="shared" si="62"/>
        <v/>
      </c>
      <c r="GY52" s="79" t="str">
        <f t="shared" si="62"/>
        <v/>
      </c>
      <c r="GZ52" s="79" t="str">
        <f t="shared" si="62"/>
        <v/>
      </c>
      <c r="HA52" s="79" t="str">
        <f t="shared" si="62"/>
        <v/>
      </c>
      <c r="HB52" s="79" t="str">
        <f t="shared" si="62"/>
        <v/>
      </c>
      <c r="HC52" s="79" t="str">
        <f t="shared" si="62"/>
        <v/>
      </c>
      <c r="HD52" s="79" t="str">
        <f t="shared" si="62"/>
        <v/>
      </c>
      <c r="HE52" s="79" t="str">
        <f t="shared" si="62"/>
        <v/>
      </c>
      <c r="HF52" s="79" t="str">
        <f t="shared" si="62"/>
        <v/>
      </c>
      <c r="HG52" s="79" t="str">
        <f t="shared" si="62"/>
        <v/>
      </c>
      <c r="HH52" s="79" t="str">
        <f t="shared" si="62"/>
        <v/>
      </c>
      <c r="HI52" s="79" t="str">
        <f t="shared" si="62"/>
        <v/>
      </c>
      <c r="HJ52" s="79" t="str">
        <f t="shared" si="62"/>
        <v/>
      </c>
      <c r="HK52" s="79" t="str">
        <f t="shared" si="62"/>
        <v/>
      </c>
      <c r="HL52" s="79" t="str">
        <f t="shared" si="62"/>
        <v/>
      </c>
      <c r="HM52" s="79" t="str">
        <f t="shared" si="62"/>
        <v/>
      </c>
      <c r="HN52" s="79" t="str">
        <f t="shared" si="60"/>
        <v/>
      </c>
      <c r="HO52" s="79" t="str">
        <f t="shared" si="60"/>
        <v/>
      </c>
      <c r="HP52" s="79" t="str">
        <f t="shared" si="60"/>
        <v/>
      </c>
      <c r="HQ52" s="79" t="str">
        <f t="shared" si="60"/>
        <v/>
      </c>
      <c r="HR52" s="113" t="str">
        <f t="shared" si="60"/>
        <v/>
      </c>
    </row>
    <row r="53" spans="1:226" ht="11.1" customHeight="1" thickTop="1" x14ac:dyDescent="0.25"/>
    <row r="54" spans="1:226" x14ac:dyDescent="0.25">
      <c r="L54" s="119"/>
      <c r="O54" s="48" t="s">
        <v>17</v>
      </c>
      <c r="P54" s="49"/>
      <c r="Q54" s="104">
        <f>SUM(Q40:Q52)</f>
        <v>11790.885044169014</v>
      </c>
      <c r="R54" s="104">
        <f>SUM(R40:R52)</f>
        <v>11790.885044169014</v>
      </c>
    </row>
    <row r="55" spans="1:226" ht="11.1" customHeight="1" thickBot="1" x14ac:dyDescent="0.3"/>
    <row r="56" spans="1:226" ht="16.2" thickBot="1" x14ac:dyDescent="0.3">
      <c r="A56" s="147"/>
      <c r="B56" s="148"/>
      <c r="C56" s="99"/>
      <c r="D56" s="148"/>
      <c r="E56" s="99"/>
      <c r="F56" s="99"/>
      <c r="G56" s="99" t="s">
        <v>19</v>
      </c>
      <c r="H56" s="99"/>
      <c r="I56" s="99"/>
      <c r="J56" s="99"/>
      <c r="K56" s="99"/>
      <c r="L56" s="99"/>
      <c r="M56" s="99"/>
      <c r="N56" s="99"/>
      <c r="O56" s="99"/>
      <c r="P56" s="99"/>
      <c r="Q56" s="99"/>
      <c r="R56" s="100"/>
    </row>
    <row r="57" spans="1:226" ht="11.1" customHeight="1" thickBot="1" x14ac:dyDescent="0.3"/>
    <row r="58" spans="1:226" ht="11.1" customHeight="1" thickTop="1" x14ac:dyDescent="0.25">
      <c r="A58" s="80"/>
      <c r="B58" s="81"/>
      <c r="C58" s="82" t="str">
        <f>IF(A58=0,"",VLOOKUP(A58,[2]CO!$A$3:$F$5327,2,0))</f>
        <v/>
      </c>
      <c r="D58" s="83"/>
      <c r="E58" s="83"/>
      <c r="F58" s="102" t="str">
        <f t="shared" ref="F58:F64" si="86">IF(AND(B58&gt;0,H58&gt;0),(H58*100) &amp; "% DE $" &amp;$Q$36,"")</f>
        <v/>
      </c>
      <c r="G58" s="84" t="str">
        <f>IF(A58=0,"",VLOOKUP(A58,[2]CO!$A$3:$F$5327,3,0))</f>
        <v/>
      </c>
      <c r="H58" s="94"/>
      <c r="I58" s="85"/>
      <c r="J58" s="85"/>
      <c r="K58" s="85"/>
      <c r="L58" s="85"/>
      <c r="M58" s="86" t="str">
        <f t="shared" ref="M58:M63" si="87">IF(L58=0,"",H58*Q$36/N58)</f>
        <v/>
      </c>
      <c r="N58" s="86" t="str">
        <f>IF(B58=0,"",IF(H58="M",HLOOKUP(B58,$Y$12:$DT$13,2),IF(A58=0,"",VLOOKUP(A58,[2]CO!$A$3:$F$5327,4,0))))</f>
        <v/>
      </c>
      <c r="O58" s="86" t="str">
        <f t="shared" si="7"/>
        <v/>
      </c>
      <c r="P58" s="87"/>
      <c r="Q58" s="88" t="str">
        <f t="shared" ref="Q58:Q64" si="88">IF(P58=0,"",(HLOOKUP(P58,$DW$12:$HR$13,2)))</f>
        <v/>
      </c>
      <c r="R58" s="89"/>
      <c r="T58" s="53" t="str">
        <f>IF(A58=0,"",VLOOKUP(A58,[2]CO!$A$3:$F$5318,5,0))</f>
        <v/>
      </c>
      <c r="U58" s="54">
        <f t="shared" si="52"/>
        <v>0</v>
      </c>
      <c r="V58" s="24"/>
      <c r="W58" s="25"/>
      <c r="X58" s="25"/>
      <c r="Y58" s="90" t="str">
        <f t="shared" ref="Y58:AN64" si="89">IF($B58=Y$12,$U58,"")</f>
        <v/>
      </c>
      <c r="Z58" s="91" t="str">
        <f t="shared" si="89"/>
        <v/>
      </c>
      <c r="AA58" s="91" t="str">
        <f t="shared" si="89"/>
        <v/>
      </c>
      <c r="AB58" s="91" t="str">
        <f t="shared" si="89"/>
        <v/>
      </c>
      <c r="AC58" s="91" t="str">
        <f t="shared" si="89"/>
        <v/>
      </c>
      <c r="AD58" s="91" t="str">
        <f t="shared" si="89"/>
        <v/>
      </c>
      <c r="AE58" s="91" t="str">
        <f t="shared" si="89"/>
        <v/>
      </c>
      <c r="AF58" s="91" t="str">
        <f t="shared" si="89"/>
        <v/>
      </c>
      <c r="AG58" s="91" t="str">
        <f t="shared" si="89"/>
        <v/>
      </c>
      <c r="AH58" s="91" t="str">
        <f t="shared" si="89"/>
        <v/>
      </c>
      <c r="AI58" s="91" t="str">
        <f t="shared" si="89"/>
        <v/>
      </c>
      <c r="AJ58" s="91" t="str">
        <f t="shared" si="89"/>
        <v/>
      </c>
      <c r="AK58" s="91" t="str">
        <f t="shared" si="89"/>
        <v/>
      </c>
      <c r="AL58" s="91" t="str">
        <f t="shared" si="89"/>
        <v/>
      </c>
      <c r="AM58" s="91" t="str">
        <f t="shared" si="89"/>
        <v/>
      </c>
      <c r="AN58" s="91" t="str">
        <f t="shared" si="89"/>
        <v/>
      </c>
      <c r="AO58" s="91" t="str">
        <f t="shared" ref="AO58:BD64" si="90">IF($B58=AO$12,$U58,"")</f>
        <v/>
      </c>
      <c r="AP58" s="91" t="str">
        <f t="shared" si="90"/>
        <v/>
      </c>
      <c r="AQ58" s="91" t="str">
        <f t="shared" si="90"/>
        <v/>
      </c>
      <c r="AR58" s="91" t="str">
        <f t="shared" si="90"/>
        <v/>
      </c>
      <c r="AS58" s="91" t="str">
        <f t="shared" si="90"/>
        <v/>
      </c>
      <c r="AT58" s="91" t="str">
        <f t="shared" si="90"/>
        <v/>
      </c>
      <c r="AU58" s="91" t="str">
        <f t="shared" si="90"/>
        <v/>
      </c>
      <c r="AV58" s="91" t="str">
        <f t="shared" si="90"/>
        <v/>
      </c>
      <c r="AW58" s="91" t="str">
        <f t="shared" si="90"/>
        <v/>
      </c>
      <c r="AX58" s="91" t="str">
        <f t="shared" si="90"/>
        <v/>
      </c>
      <c r="AY58" s="91" t="str">
        <f t="shared" si="90"/>
        <v/>
      </c>
      <c r="AZ58" s="91" t="str">
        <f t="shared" si="90"/>
        <v/>
      </c>
      <c r="BA58" s="91" t="str">
        <f t="shared" si="90"/>
        <v/>
      </c>
      <c r="BB58" s="91" t="str">
        <f t="shared" si="90"/>
        <v/>
      </c>
      <c r="BC58" s="91" t="str">
        <f t="shared" si="90"/>
        <v/>
      </c>
      <c r="BD58" s="91" t="str">
        <f t="shared" si="90"/>
        <v/>
      </c>
      <c r="BE58" s="91" t="str">
        <f t="shared" ref="BE58:BT64" si="91">IF($B58=BE$12,$U58,"")</f>
        <v/>
      </c>
      <c r="BF58" s="91" t="str">
        <f t="shared" si="91"/>
        <v/>
      </c>
      <c r="BG58" s="91" t="str">
        <f t="shared" si="91"/>
        <v/>
      </c>
      <c r="BH58" s="91" t="str">
        <f t="shared" si="91"/>
        <v/>
      </c>
      <c r="BI58" s="91" t="str">
        <f t="shared" si="91"/>
        <v/>
      </c>
      <c r="BJ58" s="91" t="str">
        <f t="shared" si="91"/>
        <v/>
      </c>
      <c r="BK58" s="91" t="str">
        <f t="shared" si="91"/>
        <v/>
      </c>
      <c r="BL58" s="91" t="str">
        <f t="shared" si="91"/>
        <v/>
      </c>
      <c r="BM58" s="91" t="str">
        <f t="shared" si="91"/>
        <v/>
      </c>
      <c r="BN58" s="91" t="str">
        <f t="shared" si="91"/>
        <v/>
      </c>
      <c r="BO58" s="91" t="str">
        <f t="shared" si="91"/>
        <v/>
      </c>
      <c r="BP58" s="91" t="str">
        <f t="shared" si="91"/>
        <v/>
      </c>
      <c r="BQ58" s="91" t="str">
        <f t="shared" si="91"/>
        <v/>
      </c>
      <c r="BR58" s="91" t="str">
        <f t="shared" si="91"/>
        <v/>
      </c>
      <c r="BS58" s="91" t="str">
        <f t="shared" si="91"/>
        <v/>
      </c>
      <c r="BT58" s="91" t="str">
        <f t="shared" si="91"/>
        <v/>
      </c>
      <c r="BU58" s="91" t="str">
        <f t="shared" ref="BU58:DT62" si="92">IF($B58=BU$12,$U58,"")</f>
        <v/>
      </c>
      <c r="BV58" s="91" t="str">
        <f t="shared" si="92"/>
        <v/>
      </c>
      <c r="BW58" s="91" t="str">
        <f t="shared" si="92"/>
        <v/>
      </c>
      <c r="BX58" s="91" t="str">
        <f t="shared" si="92"/>
        <v/>
      </c>
      <c r="BY58" s="91" t="str">
        <f t="shared" si="92"/>
        <v/>
      </c>
      <c r="BZ58" s="91" t="str">
        <f t="shared" si="92"/>
        <v/>
      </c>
      <c r="CA58" s="91" t="str">
        <f t="shared" si="92"/>
        <v/>
      </c>
      <c r="CB58" s="91" t="str">
        <f t="shared" si="92"/>
        <v/>
      </c>
      <c r="CC58" s="91" t="str">
        <f t="shared" si="92"/>
        <v/>
      </c>
      <c r="CD58" s="91" t="str">
        <f t="shared" si="92"/>
        <v/>
      </c>
      <c r="CE58" s="91" t="str">
        <f t="shared" si="92"/>
        <v/>
      </c>
      <c r="CF58" s="91" t="str">
        <f t="shared" si="92"/>
        <v/>
      </c>
      <c r="CG58" s="91" t="str">
        <f t="shared" si="92"/>
        <v/>
      </c>
      <c r="CH58" s="91" t="str">
        <f t="shared" si="92"/>
        <v/>
      </c>
      <c r="CI58" s="91" t="str">
        <f t="shared" si="92"/>
        <v/>
      </c>
      <c r="CJ58" s="91" t="str">
        <f t="shared" si="92"/>
        <v/>
      </c>
      <c r="CK58" s="91" t="str">
        <f t="shared" si="92"/>
        <v/>
      </c>
      <c r="CL58" s="91" t="str">
        <f t="shared" si="92"/>
        <v/>
      </c>
      <c r="CM58" s="91" t="str">
        <f t="shared" si="92"/>
        <v/>
      </c>
      <c r="CN58" s="91" t="str">
        <f t="shared" si="92"/>
        <v/>
      </c>
      <c r="CO58" s="91" t="str">
        <f t="shared" si="92"/>
        <v/>
      </c>
      <c r="CP58" s="91" t="str">
        <f t="shared" si="92"/>
        <v/>
      </c>
      <c r="CQ58" s="91" t="str">
        <f t="shared" si="92"/>
        <v/>
      </c>
      <c r="CR58" s="91" t="str">
        <f t="shared" si="92"/>
        <v/>
      </c>
      <c r="CS58" s="91" t="str">
        <f t="shared" si="92"/>
        <v/>
      </c>
      <c r="CT58" s="91" t="str">
        <f t="shared" si="92"/>
        <v/>
      </c>
      <c r="CU58" s="91" t="str">
        <f t="shared" si="92"/>
        <v/>
      </c>
      <c r="CV58" s="91" t="str">
        <f t="shared" si="92"/>
        <v/>
      </c>
      <c r="CW58" s="91" t="str">
        <f t="shared" si="92"/>
        <v/>
      </c>
      <c r="CX58" s="91" t="str">
        <f t="shared" si="92"/>
        <v/>
      </c>
      <c r="CY58" s="91" t="str">
        <f t="shared" si="92"/>
        <v/>
      </c>
      <c r="CZ58" s="91" t="str">
        <f t="shared" si="92"/>
        <v/>
      </c>
      <c r="DA58" s="91" t="str">
        <f t="shared" si="92"/>
        <v/>
      </c>
      <c r="DB58" s="91" t="str">
        <f t="shared" si="92"/>
        <v/>
      </c>
      <c r="DC58" s="91" t="str">
        <f t="shared" si="92"/>
        <v/>
      </c>
      <c r="DD58" s="91" t="str">
        <f t="shared" si="92"/>
        <v/>
      </c>
      <c r="DE58" s="91" t="str">
        <f t="shared" si="92"/>
        <v/>
      </c>
      <c r="DF58" s="91" t="str">
        <f t="shared" si="92"/>
        <v/>
      </c>
      <c r="DG58" s="91" t="str">
        <f t="shared" si="92"/>
        <v/>
      </c>
      <c r="DH58" s="91" t="str">
        <f t="shared" si="92"/>
        <v/>
      </c>
      <c r="DI58" s="91" t="str">
        <f t="shared" si="92"/>
        <v/>
      </c>
      <c r="DJ58" s="91" t="str">
        <f t="shared" si="92"/>
        <v/>
      </c>
      <c r="DK58" s="91" t="str">
        <f t="shared" si="92"/>
        <v/>
      </c>
      <c r="DL58" s="91" t="str">
        <f t="shared" si="92"/>
        <v/>
      </c>
      <c r="DM58" s="91" t="str">
        <f t="shared" si="92"/>
        <v/>
      </c>
      <c r="DN58" s="91" t="str">
        <f t="shared" si="92"/>
        <v/>
      </c>
      <c r="DO58" s="91" t="str">
        <f t="shared" si="92"/>
        <v/>
      </c>
      <c r="DP58" s="91" t="str">
        <f t="shared" si="92"/>
        <v/>
      </c>
      <c r="DQ58" s="91" t="str">
        <f t="shared" si="92"/>
        <v/>
      </c>
      <c r="DR58" s="91" t="str">
        <f t="shared" si="92"/>
        <v/>
      </c>
      <c r="DS58" s="91" t="str">
        <f t="shared" si="92"/>
        <v/>
      </c>
      <c r="DT58" s="105" t="str">
        <f t="shared" si="92"/>
        <v/>
      </c>
      <c r="DU58" s="54"/>
      <c r="DV58" s="25"/>
      <c r="DW58" s="92" t="str">
        <f t="shared" ref="DW58:EL64" si="93">IF($B58=DW$12,$O58,"")</f>
        <v/>
      </c>
      <c r="DX58" s="93" t="str">
        <f t="shared" si="93"/>
        <v/>
      </c>
      <c r="DY58" s="93" t="str">
        <f t="shared" si="93"/>
        <v/>
      </c>
      <c r="DZ58" s="93" t="str">
        <f t="shared" si="93"/>
        <v/>
      </c>
      <c r="EA58" s="93" t="str">
        <f t="shared" si="93"/>
        <v/>
      </c>
      <c r="EB58" s="93" t="str">
        <f t="shared" si="93"/>
        <v/>
      </c>
      <c r="EC58" s="93" t="str">
        <f t="shared" si="93"/>
        <v/>
      </c>
      <c r="ED58" s="93" t="str">
        <f t="shared" si="93"/>
        <v/>
      </c>
      <c r="EE58" s="93" t="str">
        <f t="shared" si="93"/>
        <v/>
      </c>
      <c r="EF58" s="93" t="str">
        <f t="shared" si="93"/>
        <v/>
      </c>
      <c r="EG58" s="93" t="str">
        <f t="shared" si="93"/>
        <v/>
      </c>
      <c r="EH58" s="93" t="str">
        <f t="shared" si="93"/>
        <v/>
      </c>
      <c r="EI58" s="93" t="str">
        <f t="shared" si="93"/>
        <v/>
      </c>
      <c r="EJ58" s="93" t="str">
        <f t="shared" si="93"/>
        <v/>
      </c>
      <c r="EK58" s="93" t="str">
        <f t="shared" si="93"/>
        <v/>
      </c>
      <c r="EL58" s="93" t="str">
        <f t="shared" si="93"/>
        <v/>
      </c>
      <c r="EM58" s="93" t="str">
        <f t="shared" ref="EM58:FB64" si="94">IF($B58=EM$12,$O58,"")</f>
        <v/>
      </c>
      <c r="EN58" s="93" t="str">
        <f t="shared" si="94"/>
        <v/>
      </c>
      <c r="EO58" s="93" t="str">
        <f t="shared" si="94"/>
        <v/>
      </c>
      <c r="EP58" s="93" t="str">
        <f t="shared" si="94"/>
        <v/>
      </c>
      <c r="EQ58" s="93" t="str">
        <f t="shared" si="94"/>
        <v/>
      </c>
      <c r="ER58" s="93" t="str">
        <f t="shared" si="94"/>
        <v/>
      </c>
      <c r="ES58" s="93" t="str">
        <f t="shared" si="94"/>
        <v/>
      </c>
      <c r="ET58" s="93" t="str">
        <f t="shared" si="94"/>
        <v/>
      </c>
      <c r="EU58" s="93" t="str">
        <f t="shared" si="94"/>
        <v/>
      </c>
      <c r="EV58" s="93" t="str">
        <f t="shared" si="94"/>
        <v/>
      </c>
      <c r="EW58" s="93" t="str">
        <f t="shared" si="94"/>
        <v/>
      </c>
      <c r="EX58" s="93" t="str">
        <f t="shared" si="94"/>
        <v/>
      </c>
      <c r="EY58" s="93" t="str">
        <f t="shared" si="94"/>
        <v/>
      </c>
      <c r="EZ58" s="93" t="str">
        <f t="shared" si="94"/>
        <v/>
      </c>
      <c r="FA58" s="93" t="str">
        <f t="shared" si="94"/>
        <v/>
      </c>
      <c r="FB58" s="93" t="str">
        <f t="shared" si="94"/>
        <v/>
      </c>
      <c r="FC58" s="93" t="str">
        <f t="shared" ref="FC58:FR64" si="95">IF($B58=FC$12,$O58,"")</f>
        <v/>
      </c>
      <c r="FD58" s="93" t="str">
        <f t="shared" si="95"/>
        <v/>
      </c>
      <c r="FE58" s="93" t="str">
        <f t="shared" si="95"/>
        <v/>
      </c>
      <c r="FF58" s="93" t="str">
        <f t="shared" si="95"/>
        <v/>
      </c>
      <c r="FG58" s="93" t="str">
        <f t="shared" si="95"/>
        <v/>
      </c>
      <c r="FH58" s="93" t="str">
        <f t="shared" si="95"/>
        <v/>
      </c>
      <c r="FI58" s="93" t="str">
        <f t="shared" si="95"/>
        <v/>
      </c>
      <c r="FJ58" s="93" t="str">
        <f t="shared" si="95"/>
        <v/>
      </c>
      <c r="FK58" s="93" t="str">
        <f t="shared" si="95"/>
        <v/>
      </c>
      <c r="FL58" s="93" t="str">
        <f t="shared" si="95"/>
        <v/>
      </c>
      <c r="FM58" s="93" t="str">
        <f t="shared" si="95"/>
        <v/>
      </c>
      <c r="FN58" s="93" t="str">
        <f t="shared" si="95"/>
        <v/>
      </c>
      <c r="FO58" s="93" t="str">
        <f t="shared" si="95"/>
        <v/>
      </c>
      <c r="FP58" s="93" t="str">
        <f t="shared" si="95"/>
        <v/>
      </c>
      <c r="FQ58" s="93" t="str">
        <f t="shared" si="95"/>
        <v/>
      </c>
      <c r="FR58" s="93" t="str">
        <f t="shared" si="95"/>
        <v/>
      </c>
      <c r="FS58" s="93" t="str">
        <f t="shared" ref="FS58:HR62" si="96">IF($B58=FS$12,$O58,"")</f>
        <v/>
      </c>
      <c r="FT58" s="93" t="str">
        <f t="shared" si="96"/>
        <v/>
      </c>
      <c r="FU58" s="93" t="str">
        <f t="shared" si="96"/>
        <v/>
      </c>
      <c r="FV58" s="93" t="str">
        <f t="shared" si="96"/>
        <v/>
      </c>
      <c r="FW58" s="93" t="str">
        <f t="shared" si="96"/>
        <v/>
      </c>
      <c r="FX58" s="93" t="str">
        <f t="shared" si="96"/>
        <v/>
      </c>
      <c r="FY58" s="93" t="str">
        <f t="shared" si="96"/>
        <v/>
      </c>
      <c r="FZ58" s="93" t="str">
        <f t="shared" si="96"/>
        <v/>
      </c>
      <c r="GA58" s="93" t="str">
        <f t="shared" si="96"/>
        <v/>
      </c>
      <c r="GB58" s="93" t="str">
        <f t="shared" si="96"/>
        <v/>
      </c>
      <c r="GC58" s="93" t="str">
        <f t="shared" si="96"/>
        <v/>
      </c>
      <c r="GD58" s="93" t="str">
        <f t="shared" si="96"/>
        <v/>
      </c>
      <c r="GE58" s="93" t="str">
        <f t="shared" si="96"/>
        <v/>
      </c>
      <c r="GF58" s="93" t="str">
        <f t="shared" si="96"/>
        <v/>
      </c>
      <c r="GG58" s="93" t="str">
        <f t="shared" si="96"/>
        <v/>
      </c>
      <c r="GH58" s="93" t="str">
        <f t="shared" si="96"/>
        <v/>
      </c>
      <c r="GI58" s="93" t="str">
        <f t="shared" si="96"/>
        <v/>
      </c>
      <c r="GJ58" s="93" t="str">
        <f t="shared" si="96"/>
        <v/>
      </c>
      <c r="GK58" s="93" t="str">
        <f t="shared" si="96"/>
        <v/>
      </c>
      <c r="GL58" s="93" t="str">
        <f t="shared" si="96"/>
        <v/>
      </c>
      <c r="GM58" s="93" t="str">
        <f t="shared" si="96"/>
        <v/>
      </c>
      <c r="GN58" s="93" t="str">
        <f t="shared" si="96"/>
        <v/>
      </c>
      <c r="GO58" s="93" t="str">
        <f t="shared" si="96"/>
        <v/>
      </c>
      <c r="GP58" s="93" t="str">
        <f t="shared" si="96"/>
        <v/>
      </c>
      <c r="GQ58" s="93" t="str">
        <f t="shared" si="96"/>
        <v/>
      </c>
      <c r="GR58" s="93" t="str">
        <f t="shared" si="96"/>
        <v/>
      </c>
      <c r="GS58" s="93" t="str">
        <f t="shared" si="96"/>
        <v/>
      </c>
      <c r="GT58" s="93" t="str">
        <f t="shared" si="96"/>
        <v/>
      </c>
      <c r="GU58" s="93" t="str">
        <f t="shared" si="96"/>
        <v/>
      </c>
      <c r="GV58" s="93" t="str">
        <f t="shared" si="96"/>
        <v/>
      </c>
      <c r="GW58" s="93" t="str">
        <f t="shared" si="96"/>
        <v/>
      </c>
      <c r="GX58" s="93" t="str">
        <f t="shared" si="96"/>
        <v/>
      </c>
      <c r="GY58" s="93" t="str">
        <f t="shared" si="96"/>
        <v/>
      </c>
      <c r="GZ58" s="93" t="str">
        <f t="shared" si="96"/>
        <v/>
      </c>
      <c r="HA58" s="93" t="str">
        <f t="shared" si="96"/>
        <v/>
      </c>
      <c r="HB58" s="93" t="str">
        <f t="shared" si="96"/>
        <v/>
      </c>
      <c r="HC58" s="93" t="str">
        <f t="shared" si="96"/>
        <v/>
      </c>
      <c r="HD58" s="93" t="str">
        <f t="shared" si="96"/>
        <v/>
      </c>
      <c r="HE58" s="93" t="str">
        <f t="shared" si="96"/>
        <v/>
      </c>
      <c r="HF58" s="93" t="str">
        <f t="shared" si="96"/>
        <v/>
      </c>
      <c r="HG58" s="93" t="str">
        <f t="shared" si="96"/>
        <v/>
      </c>
      <c r="HH58" s="93" t="str">
        <f t="shared" si="96"/>
        <v/>
      </c>
      <c r="HI58" s="93" t="str">
        <f t="shared" si="96"/>
        <v/>
      </c>
      <c r="HJ58" s="93" t="str">
        <f t="shared" si="96"/>
        <v/>
      </c>
      <c r="HK58" s="93" t="str">
        <f t="shared" si="96"/>
        <v/>
      </c>
      <c r="HL58" s="93" t="str">
        <f t="shared" si="96"/>
        <v/>
      </c>
      <c r="HM58" s="93" t="str">
        <f t="shared" si="96"/>
        <v/>
      </c>
      <c r="HN58" s="93" t="str">
        <f t="shared" si="96"/>
        <v/>
      </c>
      <c r="HO58" s="93" t="str">
        <f t="shared" si="96"/>
        <v/>
      </c>
      <c r="HP58" s="93" t="str">
        <f t="shared" si="96"/>
        <v/>
      </c>
      <c r="HQ58" s="93" t="str">
        <f t="shared" si="96"/>
        <v/>
      </c>
      <c r="HR58" s="111" t="str">
        <f t="shared" si="96"/>
        <v/>
      </c>
    </row>
    <row r="59" spans="1:226" ht="11.1" customHeight="1" x14ac:dyDescent="0.25">
      <c r="A59" s="26" t="s">
        <v>37</v>
      </c>
      <c r="B59" s="27">
        <v>75</v>
      </c>
      <c r="C59" s="28" t="str">
        <f>IF(A59=0,"",VLOOKUP(A59,[2]CO!$A$3:$F$5327,2,0))</f>
        <v>Lote</v>
      </c>
      <c r="D59" s="29" t="s">
        <v>19</v>
      </c>
      <c r="E59" s="29"/>
      <c r="F59" s="101" t="str">
        <f t="shared" si="86"/>
        <v>12% DE $12160.1261042254</v>
      </c>
      <c r="G59" s="30" t="str">
        <f>IF(A59=0,"",VLOOKUP(A59,[2]CO!$A$3:$F$5327,3,0))</f>
        <v>LOTE</v>
      </c>
      <c r="H59" s="95">
        <v>0.12</v>
      </c>
      <c r="I59" s="31"/>
      <c r="J59" s="31"/>
      <c r="K59" s="31"/>
      <c r="L59" s="31">
        <v>1</v>
      </c>
      <c r="M59" s="32">
        <f t="shared" si="87"/>
        <v>14.592151325070422</v>
      </c>
      <c r="N59" s="32">
        <f>IF(B59=0,"",IF(H59="M",HLOOKUP(B59,$Y$12:$DT$13,2),IF(A59=0,"",VLOOKUP(A59,[2]CO!$A$3:$F$5327,4,0))))</f>
        <v>100</v>
      </c>
      <c r="O59" s="32">
        <f t="shared" si="7"/>
        <v>1459.2151325070422</v>
      </c>
      <c r="P59" s="33">
        <v>75</v>
      </c>
      <c r="Q59" s="34">
        <f t="shared" si="88"/>
        <v>1459.2151325070422</v>
      </c>
      <c r="R59" s="35"/>
      <c r="T59" s="53">
        <f>IF(A59=0,"",VLOOKUP(A59,[2]CO!$A$3:$F$5318,5,0))</f>
        <v>0</v>
      </c>
      <c r="U59" s="54">
        <f t="shared" si="52"/>
        <v>0</v>
      </c>
      <c r="V59" s="24"/>
      <c r="W59" s="25"/>
      <c r="X59" s="25"/>
      <c r="Y59" s="64" t="str">
        <f t="shared" si="89"/>
        <v/>
      </c>
      <c r="Z59" s="55" t="str">
        <f t="shared" si="89"/>
        <v/>
      </c>
      <c r="AA59" s="55" t="str">
        <f t="shared" si="89"/>
        <v/>
      </c>
      <c r="AB59" s="55" t="str">
        <f t="shared" si="89"/>
        <v/>
      </c>
      <c r="AC59" s="55" t="str">
        <f t="shared" si="89"/>
        <v/>
      </c>
      <c r="AD59" s="55" t="str">
        <f t="shared" si="89"/>
        <v/>
      </c>
      <c r="AE59" s="55" t="str">
        <f t="shared" si="89"/>
        <v/>
      </c>
      <c r="AF59" s="55" t="str">
        <f t="shared" si="89"/>
        <v/>
      </c>
      <c r="AG59" s="55" t="str">
        <f t="shared" si="89"/>
        <v/>
      </c>
      <c r="AH59" s="55" t="str">
        <f t="shared" si="89"/>
        <v/>
      </c>
      <c r="AI59" s="55" t="str">
        <f t="shared" si="89"/>
        <v/>
      </c>
      <c r="AJ59" s="55" t="str">
        <f t="shared" si="89"/>
        <v/>
      </c>
      <c r="AK59" s="55" t="str">
        <f t="shared" si="89"/>
        <v/>
      </c>
      <c r="AL59" s="55" t="str">
        <f t="shared" si="89"/>
        <v/>
      </c>
      <c r="AM59" s="55" t="str">
        <f t="shared" si="89"/>
        <v/>
      </c>
      <c r="AN59" s="55" t="str">
        <f t="shared" si="89"/>
        <v/>
      </c>
      <c r="AO59" s="55" t="str">
        <f t="shared" si="90"/>
        <v/>
      </c>
      <c r="AP59" s="55" t="str">
        <f t="shared" si="90"/>
        <v/>
      </c>
      <c r="AQ59" s="55" t="str">
        <f t="shared" si="90"/>
        <v/>
      </c>
      <c r="AR59" s="55" t="str">
        <f t="shared" si="90"/>
        <v/>
      </c>
      <c r="AS59" s="55" t="str">
        <f t="shared" si="90"/>
        <v/>
      </c>
      <c r="AT59" s="55" t="str">
        <f t="shared" si="90"/>
        <v/>
      </c>
      <c r="AU59" s="55" t="str">
        <f t="shared" si="90"/>
        <v/>
      </c>
      <c r="AV59" s="55" t="str">
        <f t="shared" si="90"/>
        <v/>
      </c>
      <c r="AW59" s="55" t="str">
        <f t="shared" si="90"/>
        <v/>
      </c>
      <c r="AX59" s="55" t="str">
        <f t="shared" si="90"/>
        <v/>
      </c>
      <c r="AY59" s="55" t="str">
        <f t="shared" si="90"/>
        <v/>
      </c>
      <c r="AZ59" s="55" t="str">
        <f t="shared" si="90"/>
        <v/>
      </c>
      <c r="BA59" s="55" t="str">
        <f t="shared" si="90"/>
        <v/>
      </c>
      <c r="BB59" s="55" t="str">
        <f t="shared" si="90"/>
        <v/>
      </c>
      <c r="BC59" s="55" t="str">
        <f t="shared" si="90"/>
        <v/>
      </c>
      <c r="BD59" s="55" t="str">
        <f t="shared" si="90"/>
        <v/>
      </c>
      <c r="BE59" s="55" t="str">
        <f t="shared" si="91"/>
        <v/>
      </c>
      <c r="BF59" s="55" t="str">
        <f t="shared" si="91"/>
        <v/>
      </c>
      <c r="BG59" s="55" t="str">
        <f t="shared" si="91"/>
        <v/>
      </c>
      <c r="BH59" s="55" t="str">
        <f t="shared" si="91"/>
        <v/>
      </c>
      <c r="BI59" s="55" t="str">
        <f t="shared" si="91"/>
        <v/>
      </c>
      <c r="BJ59" s="55" t="str">
        <f t="shared" si="91"/>
        <v/>
      </c>
      <c r="BK59" s="55" t="str">
        <f t="shared" si="91"/>
        <v/>
      </c>
      <c r="BL59" s="55" t="str">
        <f t="shared" si="91"/>
        <v/>
      </c>
      <c r="BM59" s="55" t="str">
        <f t="shared" si="91"/>
        <v/>
      </c>
      <c r="BN59" s="55" t="str">
        <f t="shared" si="91"/>
        <v/>
      </c>
      <c r="BO59" s="55" t="str">
        <f t="shared" si="91"/>
        <v/>
      </c>
      <c r="BP59" s="55" t="str">
        <f t="shared" si="91"/>
        <v/>
      </c>
      <c r="BQ59" s="55" t="str">
        <f t="shared" si="91"/>
        <v/>
      </c>
      <c r="BR59" s="55" t="str">
        <f t="shared" si="91"/>
        <v/>
      </c>
      <c r="BS59" s="55" t="str">
        <f t="shared" si="91"/>
        <v/>
      </c>
      <c r="BT59" s="55" t="str">
        <f t="shared" si="91"/>
        <v/>
      </c>
      <c r="BU59" s="55" t="str">
        <f t="shared" si="92"/>
        <v/>
      </c>
      <c r="BV59" s="55" t="str">
        <f t="shared" si="92"/>
        <v/>
      </c>
      <c r="BW59" s="55" t="str">
        <f t="shared" si="92"/>
        <v/>
      </c>
      <c r="BX59" s="55" t="str">
        <f t="shared" si="92"/>
        <v/>
      </c>
      <c r="BY59" s="55" t="str">
        <f t="shared" si="92"/>
        <v/>
      </c>
      <c r="BZ59" s="55" t="str">
        <f t="shared" si="92"/>
        <v/>
      </c>
      <c r="CA59" s="55" t="str">
        <f t="shared" si="92"/>
        <v/>
      </c>
      <c r="CB59" s="55" t="str">
        <f t="shared" si="92"/>
        <v/>
      </c>
      <c r="CC59" s="55" t="str">
        <f t="shared" si="92"/>
        <v/>
      </c>
      <c r="CD59" s="55" t="str">
        <f t="shared" si="92"/>
        <v/>
      </c>
      <c r="CE59" s="55" t="str">
        <f t="shared" si="92"/>
        <v/>
      </c>
      <c r="CF59" s="55" t="str">
        <f t="shared" si="92"/>
        <v/>
      </c>
      <c r="CG59" s="55" t="str">
        <f t="shared" si="92"/>
        <v/>
      </c>
      <c r="CH59" s="55" t="str">
        <f t="shared" si="92"/>
        <v/>
      </c>
      <c r="CI59" s="55" t="str">
        <f t="shared" si="92"/>
        <v/>
      </c>
      <c r="CJ59" s="55" t="str">
        <f t="shared" si="92"/>
        <v/>
      </c>
      <c r="CK59" s="55" t="str">
        <f t="shared" si="92"/>
        <v/>
      </c>
      <c r="CL59" s="55" t="str">
        <f t="shared" si="92"/>
        <v/>
      </c>
      <c r="CM59" s="55" t="str">
        <f t="shared" si="92"/>
        <v/>
      </c>
      <c r="CN59" s="55" t="str">
        <f t="shared" si="92"/>
        <v/>
      </c>
      <c r="CO59" s="55" t="str">
        <f t="shared" si="92"/>
        <v/>
      </c>
      <c r="CP59" s="55" t="str">
        <f t="shared" si="92"/>
        <v/>
      </c>
      <c r="CQ59" s="55" t="str">
        <f t="shared" si="92"/>
        <v/>
      </c>
      <c r="CR59" s="55" t="str">
        <f t="shared" si="92"/>
        <v/>
      </c>
      <c r="CS59" s="55" t="str">
        <f t="shared" si="92"/>
        <v/>
      </c>
      <c r="CT59" s="55" t="str">
        <f t="shared" si="92"/>
        <v/>
      </c>
      <c r="CU59" s="55">
        <f t="shared" si="92"/>
        <v>0</v>
      </c>
      <c r="CV59" s="55" t="str">
        <f t="shared" si="92"/>
        <v/>
      </c>
      <c r="CW59" s="55" t="str">
        <f t="shared" si="92"/>
        <v/>
      </c>
      <c r="CX59" s="55" t="str">
        <f t="shared" si="92"/>
        <v/>
      </c>
      <c r="CY59" s="55" t="str">
        <f t="shared" si="92"/>
        <v/>
      </c>
      <c r="CZ59" s="55" t="str">
        <f t="shared" si="92"/>
        <v/>
      </c>
      <c r="DA59" s="55" t="str">
        <f t="shared" si="92"/>
        <v/>
      </c>
      <c r="DB59" s="55" t="str">
        <f t="shared" si="92"/>
        <v/>
      </c>
      <c r="DC59" s="55" t="str">
        <f t="shared" si="92"/>
        <v/>
      </c>
      <c r="DD59" s="55" t="str">
        <f t="shared" si="92"/>
        <v/>
      </c>
      <c r="DE59" s="55" t="str">
        <f t="shared" si="92"/>
        <v/>
      </c>
      <c r="DF59" s="55" t="str">
        <f t="shared" si="92"/>
        <v/>
      </c>
      <c r="DG59" s="55" t="str">
        <f t="shared" si="92"/>
        <v/>
      </c>
      <c r="DH59" s="55" t="str">
        <f t="shared" si="92"/>
        <v/>
      </c>
      <c r="DI59" s="55" t="str">
        <f t="shared" si="92"/>
        <v/>
      </c>
      <c r="DJ59" s="55" t="str">
        <f t="shared" si="92"/>
        <v/>
      </c>
      <c r="DK59" s="55" t="str">
        <f t="shared" si="92"/>
        <v/>
      </c>
      <c r="DL59" s="55" t="str">
        <f t="shared" si="92"/>
        <v/>
      </c>
      <c r="DM59" s="55" t="str">
        <f t="shared" si="92"/>
        <v/>
      </c>
      <c r="DN59" s="55" t="str">
        <f t="shared" si="92"/>
        <v/>
      </c>
      <c r="DO59" s="55" t="str">
        <f t="shared" si="92"/>
        <v/>
      </c>
      <c r="DP59" s="55" t="str">
        <f t="shared" si="92"/>
        <v/>
      </c>
      <c r="DQ59" s="55" t="str">
        <f t="shared" si="92"/>
        <v/>
      </c>
      <c r="DR59" s="55" t="str">
        <f t="shared" si="92"/>
        <v/>
      </c>
      <c r="DS59" s="55" t="str">
        <f t="shared" si="92"/>
        <v/>
      </c>
      <c r="DT59" s="106" t="str">
        <f t="shared" si="92"/>
        <v/>
      </c>
      <c r="DU59" s="54"/>
      <c r="DV59" s="25"/>
      <c r="DW59" s="61" t="str">
        <f t="shared" si="93"/>
        <v/>
      </c>
      <c r="DX59" s="50" t="str">
        <f t="shared" si="93"/>
        <v/>
      </c>
      <c r="DY59" s="50" t="str">
        <f t="shared" si="93"/>
        <v/>
      </c>
      <c r="DZ59" s="50" t="str">
        <f t="shared" si="93"/>
        <v/>
      </c>
      <c r="EA59" s="50" t="str">
        <f t="shared" si="93"/>
        <v/>
      </c>
      <c r="EB59" s="50" t="str">
        <f t="shared" si="93"/>
        <v/>
      </c>
      <c r="EC59" s="50" t="str">
        <f t="shared" si="93"/>
        <v/>
      </c>
      <c r="ED59" s="50" t="str">
        <f t="shared" si="93"/>
        <v/>
      </c>
      <c r="EE59" s="50" t="str">
        <f t="shared" si="93"/>
        <v/>
      </c>
      <c r="EF59" s="50" t="str">
        <f t="shared" si="93"/>
        <v/>
      </c>
      <c r="EG59" s="50" t="str">
        <f t="shared" si="93"/>
        <v/>
      </c>
      <c r="EH59" s="50" t="str">
        <f t="shared" si="93"/>
        <v/>
      </c>
      <c r="EI59" s="50" t="str">
        <f t="shared" si="93"/>
        <v/>
      </c>
      <c r="EJ59" s="50" t="str">
        <f t="shared" si="93"/>
        <v/>
      </c>
      <c r="EK59" s="50" t="str">
        <f t="shared" si="93"/>
        <v/>
      </c>
      <c r="EL59" s="50" t="str">
        <f t="shared" si="93"/>
        <v/>
      </c>
      <c r="EM59" s="50" t="str">
        <f t="shared" si="94"/>
        <v/>
      </c>
      <c r="EN59" s="50" t="str">
        <f t="shared" si="94"/>
        <v/>
      </c>
      <c r="EO59" s="50" t="str">
        <f t="shared" si="94"/>
        <v/>
      </c>
      <c r="EP59" s="50" t="str">
        <f t="shared" si="94"/>
        <v/>
      </c>
      <c r="EQ59" s="50" t="str">
        <f t="shared" si="94"/>
        <v/>
      </c>
      <c r="ER59" s="50" t="str">
        <f t="shared" si="94"/>
        <v/>
      </c>
      <c r="ES59" s="50" t="str">
        <f t="shared" si="94"/>
        <v/>
      </c>
      <c r="ET59" s="50" t="str">
        <f t="shared" si="94"/>
        <v/>
      </c>
      <c r="EU59" s="50" t="str">
        <f t="shared" si="94"/>
        <v/>
      </c>
      <c r="EV59" s="50" t="str">
        <f t="shared" si="94"/>
        <v/>
      </c>
      <c r="EW59" s="50" t="str">
        <f t="shared" si="94"/>
        <v/>
      </c>
      <c r="EX59" s="50" t="str">
        <f t="shared" si="94"/>
        <v/>
      </c>
      <c r="EY59" s="50" t="str">
        <f t="shared" si="94"/>
        <v/>
      </c>
      <c r="EZ59" s="50" t="str">
        <f t="shared" si="94"/>
        <v/>
      </c>
      <c r="FA59" s="50" t="str">
        <f t="shared" si="94"/>
        <v/>
      </c>
      <c r="FB59" s="50" t="str">
        <f t="shared" si="94"/>
        <v/>
      </c>
      <c r="FC59" s="50" t="str">
        <f t="shared" si="95"/>
        <v/>
      </c>
      <c r="FD59" s="50" t="str">
        <f t="shared" si="95"/>
        <v/>
      </c>
      <c r="FE59" s="50" t="str">
        <f t="shared" si="95"/>
        <v/>
      </c>
      <c r="FF59" s="50" t="str">
        <f t="shared" si="95"/>
        <v/>
      </c>
      <c r="FG59" s="50" t="str">
        <f t="shared" si="95"/>
        <v/>
      </c>
      <c r="FH59" s="50" t="str">
        <f t="shared" si="95"/>
        <v/>
      </c>
      <c r="FI59" s="50" t="str">
        <f t="shared" si="95"/>
        <v/>
      </c>
      <c r="FJ59" s="50" t="str">
        <f t="shared" si="95"/>
        <v/>
      </c>
      <c r="FK59" s="50" t="str">
        <f t="shared" si="95"/>
        <v/>
      </c>
      <c r="FL59" s="50" t="str">
        <f t="shared" si="95"/>
        <v/>
      </c>
      <c r="FM59" s="50" t="str">
        <f t="shared" si="95"/>
        <v/>
      </c>
      <c r="FN59" s="50" t="str">
        <f t="shared" si="95"/>
        <v/>
      </c>
      <c r="FO59" s="50" t="str">
        <f t="shared" si="95"/>
        <v/>
      </c>
      <c r="FP59" s="50" t="str">
        <f t="shared" si="95"/>
        <v/>
      </c>
      <c r="FQ59" s="50" t="str">
        <f t="shared" si="95"/>
        <v/>
      </c>
      <c r="FR59" s="50" t="str">
        <f t="shared" si="95"/>
        <v/>
      </c>
      <c r="FS59" s="50" t="str">
        <f t="shared" si="96"/>
        <v/>
      </c>
      <c r="FT59" s="50" t="str">
        <f t="shared" si="96"/>
        <v/>
      </c>
      <c r="FU59" s="50" t="str">
        <f t="shared" si="96"/>
        <v/>
      </c>
      <c r="FV59" s="50" t="str">
        <f t="shared" si="96"/>
        <v/>
      </c>
      <c r="FW59" s="50" t="str">
        <f t="shared" si="96"/>
        <v/>
      </c>
      <c r="FX59" s="50" t="str">
        <f t="shared" si="96"/>
        <v/>
      </c>
      <c r="FY59" s="50" t="str">
        <f t="shared" si="96"/>
        <v/>
      </c>
      <c r="FZ59" s="50" t="str">
        <f t="shared" si="96"/>
        <v/>
      </c>
      <c r="GA59" s="50" t="str">
        <f t="shared" si="96"/>
        <v/>
      </c>
      <c r="GB59" s="50" t="str">
        <f t="shared" si="96"/>
        <v/>
      </c>
      <c r="GC59" s="50" t="str">
        <f t="shared" si="96"/>
        <v/>
      </c>
      <c r="GD59" s="50" t="str">
        <f t="shared" si="96"/>
        <v/>
      </c>
      <c r="GE59" s="50" t="str">
        <f t="shared" si="96"/>
        <v/>
      </c>
      <c r="GF59" s="50" t="str">
        <f t="shared" si="96"/>
        <v/>
      </c>
      <c r="GG59" s="50" t="str">
        <f t="shared" si="96"/>
        <v/>
      </c>
      <c r="GH59" s="50" t="str">
        <f t="shared" si="96"/>
        <v/>
      </c>
      <c r="GI59" s="50" t="str">
        <f t="shared" si="96"/>
        <v/>
      </c>
      <c r="GJ59" s="50" t="str">
        <f t="shared" si="96"/>
        <v/>
      </c>
      <c r="GK59" s="50" t="str">
        <f t="shared" si="96"/>
        <v/>
      </c>
      <c r="GL59" s="50" t="str">
        <f t="shared" si="96"/>
        <v/>
      </c>
      <c r="GM59" s="50" t="str">
        <f t="shared" si="96"/>
        <v/>
      </c>
      <c r="GN59" s="50" t="str">
        <f t="shared" si="96"/>
        <v/>
      </c>
      <c r="GO59" s="50" t="str">
        <f t="shared" si="96"/>
        <v/>
      </c>
      <c r="GP59" s="50" t="str">
        <f t="shared" si="96"/>
        <v/>
      </c>
      <c r="GQ59" s="50" t="str">
        <f t="shared" si="96"/>
        <v/>
      </c>
      <c r="GR59" s="50" t="str">
        <f t="shared" si="96"/>
        <v/>
      </c>
      <c r="GS59" s="50">
        <f t="shared" si="96"/>
        <v>1459.2151325070422</v>
      </c>
      <c r="GT59" s="50" t="str">
        <f t="shared" si="96"/>
        <v/>
      </c>
      <c r="GU59" s="50" t="str">
        <f t="shared" si="96"/>
        <v/>
      </c>
      <c r="GV59" s="50" t="str">
        <f t="shared" si="96"/>
        <v/>
      </c>
      <c r="GW59" s="50" t="str">
        <f t="shared" si="96"/>
        <v/>
      </c>
      <c r="GX59" s="50" t="str">
        <f t="shared" si="96"/>
        <v/>
      </c>
      <c r="GY59" s="50" t="str">
        <f t="shared" si="96"/>
        <v/>
      </c>
      <c r="GZ59" s="50" t="str">
        <f t="shared" si="96"/>
        <v/>
      </c>
      <c r="HA59" s="50" t="str">
        <f t="shared" si="96"/>
        <v/>
      </c>
      <c r="HB59" s="50" t="str">
        <f t="shared" si="96"/>
        <v/>
      </c>
      <c r="HC59" s="50" t="str">
        <f t="shared" si="96"/>
        <v/>
      </c>
      <c r="HD59" s="50" t="str">
        <f t="shared" si="96"/>
        <v/>
      </c>
      <c r="HE59" s="50" t="str">
        <f t="shared" si="96"/>
        <v/>
      </c>
      <c r="HF59" s="50" t="str">
        <f t="shared" si="96"/>
        <v/>
      </c>
      <c r="HG59" s="50" t="str">
        <f t="shared" si="96"/>
        <v/>
      </c>
      <c r="HH59" s="50" t="str">
        <f t="shared" si="96"/>
        <v/>
      </c>
      <c r="HI59" s="50" t="str">
        <f t="shared" si="96"/>
        <v/>
      </c>
      <c r="HJ59" s="50" t="str">
        <f t="shared" si="96"/>
        <v/>
      </c>
      <c r="HK59" s="50" t="str">
        <f t="shared" si="96"/>
        <v/>
      </c>
      <c r="HL59" s="50" t="str">
        <f t="shared" si="96"/>
        <v/>
      </c>
      <c r="HM59" s="50" t="str">
        <f t="shared" si="96"/>
        <v/>
      </c>
      <c r="HN59" s="50" t="str">
        <f t="shared" si="96"/>
        <v/>
      </c>
      <c r="HO59" s="50" t="str">
        <f t="shared" si="96"/>
        <v/>
      </c>
      <c r="HP59" s="50" t="str">
        <f t="shared" si="96"/>
        <v/>
      </c>
      <c r="HQ59" s="50" t="str">
        <f t="shared" si="96"/>
        <v/>
      </c>
      <c r="HR59" s="112" t="str">
        <f t="shared" si="96"/>
        <v/>
      </c>
    </row>
    <row r="60" spans="1:226" ht="11.1" customHeight="1" x14ac:dyDescent="0.25">
      <c r="A60" s="26"/>
      <c r="B60" s="27"/>
      <c r="C60" s="28" t="str">
        <f>IF(A60=0,"",VLOOKUP(A60,[2]CO!$A$3:$F$5327,2,0))</f>
        <v/>
      </c>
      <c r="D60" s="29"/>
      <c r="E60" s="29"/>
      <c r="F60" s="101" t="str">
        <f t="shared" si="86"/>
        <v/>
      </c>
      <c r="G60" s="30" t="str">
        <f>IF(A60=0,"",VLOOKUP(A60,[2]CO!$A$3:$F$5327,3,0))</f>
        <v/>
      </c>
      <c r="H60" s="95"/>
      <c r="I60" s="31"/>
      <c r="J60" s="31"/>
      <c r="K60" s="31"/>
      <c r="L60" s="31"/>
      <c r="M60" s="32" t="str">
        <f t="shared" si="87"/>
        <v/>
      </c>
      <c r="N60" s="32" t="str">
        <f>IF(B60=0,"",IF(H60="M",HLOOKUP(B60,$Y$12:$DT$13,2),IF(A60=0,"",VLOOKUP(A60,[2]CO!$A$3:$F$5327,4,0))))</f>
        <v/>
      </c>
      <c r="O60" s="32" t="str">
        <f t="shared" si="7"/>
        <v/>
      </c>
      <c r="P60" s="33"/>
      <c r="Q60" s="34" t="str">
        <f t="shared" si="88"/>
        <v/>
      </c>
      <c r="R60" s="35"/>
      <c r="T60" s="53" t="str">
        <f>IF(A60=0,"",VLOOKUP(A60,[2]CO!$A$3:$F$5318,5,0))</f>
        <v/>
      </c>
      <c r="U60" s="54">
        <f t="shared" si="52"/>
        <v>0</v>
      </c>
      <c r="V60" s="24"/>
      <c r="W60" s="25"/>
      <c r="X60" s="25"/>
      <c r="Y60" s="64" t="str">
        <f t="shared" si="89"/>
        <v/>
      </c>
      <c r="Z60" s="55" t="str">
        <f t="shared" si="89"/>
        <v/>
      </c>
      <c r="AA60" s="55" t="str">
        <f t="shared" si="89"/>
        <v/>
      </c>
      <c r="AB60" s="55" t="str">
        <f t="shared" si="89"/>
        <v/>
      </c>
      <c r="AC60" s="55" t="str">
        <f t="shared" si="89"/>
        <v/>
      </c>
      <c r="AD60" s="55" t="str">
        <f t="shared" si="89"/>
        <v/>
      </c>
      <c r="AE60" s="55" t="str">
        <f t="shared" si="89"/>
        <v/>
      </c>
      <c r="AF60" s="55" t="str">
        <f t="shared" si="89"/>
        <v/>
      </c>
      <c r="AG60" s="55" t="str">
        <f t="shared" si="89"/>
        <v/>
      </c>
      <c r="AH60" s="55" t="str">
        <f t="shared" si="89"/>
        <v/>
      </c>
      <c r="AI60" s="55" t="str">
        <f t="shared" si="89"/>
        <v/>
      </c>
      <c r="AJ60" s="55" t="str">
        <f t="shared" si="89"/>
        <v/>
      </c>
      <c r="AK60" s="55" t="str">
        <f t="shared" si="89"/>
        <v/>
      </c>
      <c r="AL60" s="55" t="str">
        <f t="shared" si="89"/>
        <v/>
      </c>
      <c r="AM60" s="55" t="str">
        <f t="shared" si="89"/>
        <v/>
      </c>
      <c r="AN60" s="55" t="str">
        <f t="shared" si="89"/>
        <v/>
      </c>
      <c r="AO60" s="55" t="str">
        <f t="shared" si="90"/>
        <v/>
      </c>
      <c r="AP60" s="55" t="str">
        <f t="shared" si="90"/>
        <v/>
      </c>
      <c r="AQ60" s="55" t="str">
        <f t="shared" si="90"/>
        <v/>
      </c>
      <c r="AR60" s="55" t="str">
        <f t="shared" si="90"/>
        <v/>
      </c>
      <c r="AS60" s="55" t="str">
        <f t="shared" si="90"/>
        <v/>
      </c>
      <c r="AT60" s="55" t="str">
        <f t="shared" si="90"/>
        <v/>
      </c>
      <c r="AU60" s="55" t="str">
        <f t="shared" si="90"/>
        <v/>
      </c>
      <c r="AV60" s="55" t="str">
        <f t="shared" si="90"/>
        <v/>
      </c>
      <c r="AW60" s="55" t="str">
        <f t="shared" si="90"/>
        <v/>
      </c>
      <c r="AX60" s="55" t="str">
        <f t="shared" si="90"/>
        <v/>
      </c>
      <c r="AY60" s="55" t="str">
        <f t="shared" si="90"/>
        <v/>
      </c>
      <c r="AZ60" s="55" t="str">
        <f t="shared" si="90"/>
        <v/>
      </c>
      <c r="BA60" s="55" t="str">
        <f t="shared" si="90"/>
        <v/>
      </c>
      <c r="BB60" s="55" t="str">
        <f t="shared" si="90"/>
        <v/>
      </c>
      <c r="BC60" s="55" t="str">
        <f t="shared" si="90"/>
        <v/>
      </c>
      <c r="BD60" s="55" t="str">
        <f t="shared" si="90"/>
        <v/>
      </c>
      <c r="BE60" s="55" t="str">
        <f t="shared" si="91"/>
        <v/>
      </c>
      <c r="BF60" s="55" t="str">
        <f t="shared" si="91"/>
        <v/>
      </c>
      <c r="BG60" s="55" t="str">
        <f t="shared" si="91"/>
        <v/>
      </c>
      <c r="BH60" s="55" t="str">
        <f t="shared" si="91"/>
        <v/>
      </c>
      <c r="BI60" s="55" t="str">
        <f t="shared" si="91"/>
        <v/>
      </c>
      <c r="BJ60" s="55" t="str">
        <f t="shared" si="91"/>
        <v/>
      </c>
      <c r="BK60" s="55" t="str">
        <f t="shared" si="91"/>
        <v/>
      </c>
      <c r="BL60" s="55" t="str">
        <f t="shared" si="91"/>
        <v/>
      </c>
      <c r="BM60" s="55" t="str">
        <f t="shared" si="91"/>
        <v/>
      </c>
      <c r="BN60" s="55" t="str">
        <f t="shared" si="91"/>
        <v/>
      </c>
      <c r="BO60" s="55" t="str">
        <f t="shared" si="91"/>
        <v/>
      </c>
      <c r="BP60" s="55" t="str">
        <f t="shared" si="91"/>
        <v/>
      </c>
      <c r="BQ60" s="55" t="str">
        <f t="shared" si="91"/>
        <v/>
      </c>
      <c r="BR60" s="55" t="str">
        <f t="shared" si="91"/>
        <v/>
      </c>
      <c r="BS60" s="55" t="str">
        <f t="shared" si="91"/>
        <v/>
      </c>
      <c r="BT60" s="55" t="str">
        <f t="shared" si="91"/>
        <v/>
      </c>
      <c r="BU60" s="55" t="str">
        <f t="shared" si="92"/>
        <v/>
      </c>
      <c r="BV60" s="55" t="str">
        <f t="shared" si="92"/>
        <v/>
      </c>
      <c r="BW60" s="55" t="str">
        <f t="shared" si="92"/>
        <v/>
      </c>
      <c r="BX60" s="55" t="str">
        <f t="shared" si="92"/>
        <v/>
      </c>
      <c r="BY60" s="55" t="str">
        <f t="shared" si="92"/>
        <v/>
      </c>
      <c r="BZ60" s="55" t="str">
        <f t="shared" si="92"/>
        <v/>
      </c>
      <c r="CA60" s="55" t="str">
        <f t="shared" si="92"/>
        <v/>
      </c>
      <c r="CB60" s="55" t="str">
        <f t="shared" si="92"/>
        <v/>
      </c>
      <c r="CC60" s="55" t="str">
        <f t="shared" si="92"/>
        <v/>
      </c>
      <c r="CD60" s="55" t="str">
        <f t="shared" si="92"/>
        <v/>
      </c>
      <c r="CE60" s="55" t="str">
        <f t="shared" si="92"/>
        <v/>
      </c>
      <c r="CF60" s="55" t="str">
        <f t="shared" si="92"/>
        <v/>
      </c>
      <c r="CG60" s="55" t="str">
        <f t="shared" si="92"/>
        <v/>
      </c>
      <c r="CH60" s="55" t="str">
        <f t="shared" si="92"/>
        <v/>
      </c>
      <c r="CI60" s="55" t="str">
        <f t="shared" si="92"/>
        <v/>
      </c>
      <c r="CJ60" s="55" t="str">
        <f t="shared" si="92"/>
        <v/>
      </c>
      <c r="CK60" s="55" t="str">
        <f t="shared" si="92"/>
        <v/>
      </c>
      <c r="CL60" s="55" t="str">
        <f t="shared" si="92"/>
        <v/>
      </c>
      <c r="CM60" s="55" t="str">
        <f t="shared" si="92"/>
        <v/>
      </c>
      <c r="CN60" s="55" t="str">
        <f t="shared" si="92"/>
        <v/>
      </c>
      <c r="CO60" s="55" t="str">
        <f t="shared" si="92"/>
        <v/>
      </c>
      <c r="CP60" s="55" t="str">
        <f t="shared" si="92"/>
        <v/>
      </c>
      <c r="CQ60" s="55" t="str">
        <f t="shared" si="92"/>
        <v/>
      </c>
      <c r="CR60" s="55" t="str">
        <f t="shared" si="92"/>
        <v/>
      </c>
      <c r="CS60" s="55" t="str">
        <f t="shared" si="92"/>
        <v/>
      </c>
      <c r="CT60" s="55" t="str">
        <f t="shared" si="92"/>
        <v/>
      </c>
      <c r="CU60" s="55" t="str">
        <f t="shared" si="92"/>
        <v/>
      </c>
      <c r="CV60" s="55" t="str">
        <f t="shared" si="92"/>
        <v/>
      </c>
      <c r="CW60" s="55" t="str">
        <f t="shared" si="92"/>
        <v/>
      </c>
      <c r="CX60" s="55" t="str">
        <f t="shared" si="92"/>
        <v/>
      </c>
      <c r="CY60" s="55" t="str">
        <f t="shared" si="92"/>
        <v/>
      </c>
      <c r="CZ60" s="55" t="str">
        <f t="shared" si="92"/>
        <v/>
      </c>
      <c r="DA60" s="55" t="str">
        <f t="shared" si="92"/>
        <v/>
      </c>
      <c r="DB60" s="55" t="str">
        <f t="shared" si="92"/>
        <v/>
      </c>
      <c r="DC60" s="55" t="str">
        <f t="shared" si="92"/>
        <v/>
      </c>
      <c r="DD60" s="55" t="str">
        <f t="shared" si="92"/>
        <v/>
      </c>
      <c r="DE60" s="55" t="str">
        <f t="shared" si="92"/>
        <v/>
      </c>
      <c r="DF60" s="55" t="str">
        <f t="shared" si="92"/>
        <v/>
      </c>
      <c r="DG60" s="55" t="str">
        <f t="shared" si="92"/>
        <v/>
      </c>
      <c r="DH60" s="55" t="str">
        <f t="shared" si="92"/>
        <v/>
      </c>
      <c r="DI60" s="55" t="str">
        <f t="shared" si="92"/>
        <v/>
      </c>
      <c r="DJ60" s="55" t="str">
        <f t="shared" si="92"/>
        <v/>
      </c>
      <c r="DK60" s="55" t="str">
        <f t="shared" si="92"/>
        <v/>
      </c>
      <c r="DL60" s="55" t="str">
        <f t="shared" si="92"/>
        <v/>
      </c>
      <c r="DM60" s="55" t="str">
        <f t="shared" si="92"/>
        <v/>
      </c>
      <c r="DN60" s="55" t="str">
        <f t="shared" si="92"/>
        <v/>
      </c>
      <c r="DO60" s="55" t="str">
        <f t="shared" si="92"/>
        <v/>
      </c>
      <c r="DP60" s="55" t="str">
        <f t="shared" si="92"/>
        <v/>
      </c>
      <c r="DQ60" s="55" t="str">
        <f t="shared" si="92"/>
        <v/>
      </c>
      <c r="DR60" s="55" t="str">
        <f t="shared" si="92"/>
        <v/>
      </c>
      <c r="DS60" s="55" t="str">
        <f t="shared" si="92"/>
        <v/>
      </c>
      <c r="DT60" s="106" t="str">
        <f t="shared" si="92"/>
        <v/>
      </c>
      <c r="DU60" s="54"/>
      <c r="DV60" s="25"/>
      <c r="DW60" s="61" t="str">
        <f t="shared" si="93"/>
        <v/>
      </c>
      <c r="DX60" s="50" t="str">
        <f t="shared" si="93"/>
        <v/>
      </c>
      <c r="DY60" s="50" t="str">
        <f t="shared" si="93"/>
        <v/>
      </c>
      <c r="DZ60" s="50" t="str">
        <f t="shared" si="93"/>
        <v/>
      </c>
      <c r="EA60" s="50" t="str">
        <f t="shared" si="93"/>
        <v/>
      </c>
      <c r="EB60" s="50" t="str">
        <f t="shared" si="93"/>
        <v/>
      </c>
      <c r="EC60" s="50" t="str">
        <f t="shared" si="93"/>
        <v/>
      </c>
      <c r="ED60" s="50" t="str">
        <f t="shared" si="93"/>
        <v/>
      </c>
      <c r="EE60" s="50" t="str">
        <f t="shared" si="93"/>
        <v/>
      </c>
      <c r="EF60" s="50" t="str">
        <f t="shared" si="93"/>
        <v/>
      </c>
      <c r="EG60" s="50" t="str">
        <f t="shared" si="93"/>
        <v/>
      </c>
      <c r="EH60" s="50" t="str">
        <f t="shared" si="93"/>
        <v/>
      </c>
      <c r="EI60" s="50" t="str">
        <f t="shared" si="93"/>
        <v/>
      </c>
      <c r="EJ60" s="50" t="str">
        <f t="shared" si="93"/>
        <v/>
      </c>
      <c r="EK60" s="50" t="str">
        <f t="shared" si="93"/>
        <v/>
      </c>
      <c r="EL60" s="50" t="str">
        <f t="shared" si="93"/>
        <v/>
      </c>
      <c r="EM60" s="50" t="str">
        <f t="shared" si="94"/>
        <v/>
      </c>
      <c r="EN60" s="50" t="str">
        <f t="shared" si="94"/>
        <v/>
      </c>
      <c r="EO60" s="50" t="str">
        <f t="shared" si="94"/>
        <v/>
      </c>
      <c r="EP60" s="50" t="str">
        <f t="shared" si="94"/>
        <v/>
      </c>
      <c r="EQ60" s="50" t="str">
        <f t="shared" si="94"/>
        <v/>
      </c>
      <c r="ER60" s="50" t="str">
        <f t="shared" si="94"/>
        <v/>
      </c>
      <c r="ES60" s="50" t="str">
        <f t="shared" si="94"/>
        <v/>
      </c>
      <c r="ET60" s="50" t="str">
        <f t="shared" si="94"/>
        <v/>
      </c>
      <c r="EU60" s="50" t="str">
        <f t="shared" si="94"/>
        <v/>
      </c>
      <c r="EV60" s="50" t="str">
        <f t="shared" si="94"/>
        <v/>
      </c>
      <c r="EW60" s="50" t="str">
        <f t="shared" si="94"/>
        <v/>
      </c>
      <c r="EX60" s="50" t="str">
        <f t="shared" si="94"/>
        <v/>
      </c>
      <c r="EY60" s="50" t="str">
        <f t="shared" si="94"/>
        <v/>
      </c>
      <c r="EZ60" s="50" t="str">
        <f t="shared" si="94"/>
        <v/>
      </c>
      <c r="FA60" s="50" t="str">
        <f t="shared" si="94"/>
        <v/>
      </c>
      <c r="FB60" s="50" t="str">
        <f t="shared" si="94"/>
        <v/>
      </c>
      <c r="FC60" s="50" t="str">
        <f t="shared" si="95"/>
        <v/>
      </c>
      <c r="FD60" s="50" t="str">
        <f t="shared" si="95"/>
        <v/>
      </c>
      <c r="FE60" s="50" t="str">
        <f t="shared" si="95"/>
        <v/>
      </c>
      <c r="FF60" s="50" t="str">
        <f t="shared" si="95"/>
        <v/>
      </c>
      <c r="FG60" s="50" t="str">
        <f t="shared" si="95"/>
        <v/>
      </c>
      <c r="FH60" s="50" t="str">
        <f t="shared" si="95"/>
        <v/>
      </c>
      <c r="FI60" s="50" t="str">
        <f t="shared" si="95"/>
        <v/>
      </c>
      <c r="FJ60" s="50" t="str">
        <f t="shared" si="95"/>
        <v/>
      </c>
      <c r="FK60" s="50" t="str">
        <f t="shared" si="95"/>
        <v/>
      </c>
      <c r="FL60" s="50" t="str">
        <f t="shared" si="95"/>
        <v/>
      </c>
      <c r="FM60" s="50" t="str">
        <f t="shared" si="95"/>
        <v/>
      </c>
      <c r="FN60" s="50" t="str">
        <f t="shared" si="95"/>
        <v/>
      </c>
      <c r="FO60" s="50" t="str">
        <f t="shared" si="95"/>
        <v/>
      </c>
      <c r="FP60" s="50" t="str">
        <f t="shared" si="95"/>
        <v/>
      </c>
      <c r="FQ60" s="50" t="str">
        <f t="shared" si="95"/>
        <v/>
      </c>
      <c r="FR60" s="50" t="str">
        <f t="shared" si="95"/>
        <v/>
      </c>
      <c r="FS60" s="50" t="str">
        <f t="shared" si="96"/>
        <v/>
      </c>
      <c r="FT60" s="50" t="str">
        <f t="shared" si="96"/>
        <v/>
      </c>
      <c r="FU60" s="50" t="str">
        <f t="shared" si="96"/>
        <v/>
      </c>
      <c r="FV60" s="50" t="str">
        <f t="shared" si="96"/>
        <v/>
      </c>
      <c r="FW60" s="50" t="str">
        <f t="shared" si="96"/>
        <v/>
      </c>
      <c r="FX60" s="50" t="str">
        <f t="shared" si="96"/>
        <v/>
      </c>
      <c r="FY60" s="50" t="str">
        <f t="shared" si="96"/>
        <v/>
      </c>
      <c r="FZ60" s="50" t="str">
        <f t="shared" si="96"/>
        <v/>
      </c>
      <c r="GA60" s="50" t="str">
        <f t="shared" si="96"/>
        <v/>
      </c>
      <c r="GB60" s="50" t="str">
        <f t="shared" si="96"/>
        <v/>
      </c>
      <c r="GC60" s="50" t="str">
        <f t="shared" si="96"/>
        <v/>
      </c>
      <c r="GD60" s="50" t="str">
        <f t="shared" si="96"/>
        <v/>
      </c>
      <c r="GE60" s="50" t="str">
        <f t="shared" si="96"/>
        <v/>
      </c>
      <c r="GF60" s="50" t="str">
        <f t="shared" si="96"/>
        <v/>
      </c>
      <c r="GG60" s="50" t="str">
        <f t="shared" si="96"/>
        <v/>
      </c>
      <c r="GH60" s="50" t="str">
        <f t="shared" si="96"/>
        <v/>
      </c>
      <c r="GI60" s="50" t="str">
        <f t="shared" si="96"/>
        <v/>
      </c>
      <c r="GJ60" s="50" t="str">
        <f t="shared" si="96"/>
        <v/>
      </c>
      <c r="GK60" s="50" t="str">
        <f t="shared" si="96"/>
        <v/>
      </c>
      <c r="GL60" s="50" t="str">
        <f t="shared" si="96"/>
        <v/>
      </c>
      <c r="GM60" s="50" t="str">
        <f t="shared" si="96"/>
        <v/>
      </c>
      <c r="GN60" s="50" t="str">
        <f t="shared" si="96"/>
        <v/>
      </c>
      <c r="GO60" s="50" t="str">
        <f t="shared" si="96"/>
        <v/>
      </c>
      <c r="GP60" s="50" t="str">
        <f t="shared" si="96"/>
        <v/>
      </c>
      <c r="GQ60" s="50" t="str">
        <f t="shared" si="96"/>
        <v/>
      </c>
      <c r="GR60" s="50" t="str">
        <f t="shared" si="96"/>
        <v/>
      </c>
      <c r="GS60" s="50" t="str">
        <f t="shared" si="96"/>
        <v/>
      </c>
      <c r="GT60" s="50" t="str">
        <f t="shared" si="96"/>
        <v/>
      </c>
      <c r="GU60" s="50" t="str">
        <f t="shared" si="96"/>
        <v/>
      </c>
      <c r="GV60" s="50" t="str">
        <f t="shared" si="96"/>
        <v/>
      </c>
      <c r="GW60" s="50" t="str">
        <f t="shared" si="96"/>
        <v/>
      </c>
      <c r="GX60" s="50" t="str">
        <f t="shared" si="96"/>
        <v/>
      </c>
      <c r="GY60" s="50" t="str">
        <f t="shared" si="96"/>
        <v/>
      </c>
      <c r="GZ60" s="50" t="str">
        <f t="shared" si="96"/>
        <v/>
      </c>
      <c r="HA60" s="50" t="str">
        <f t="shared" si="96"/>
        <v/>
      </c>
      <c r="HB60" s="50" t="str">
        <f t="shared" si="96"/>
        <v/>
      </c>
      <c r="HC60" s="50" t="str">
        <f t="shared" si="96"/>
        <v/>
      </c>
      <c r="HD60" s="50" t="str">
        <f t="shared" si="96"/>
        <v/>
      </c>
      <c r="HE60" s="50" t="str">
        <f t="shared" si="96"/>
        <v/>
      </c>
      <c r="HF60" s="50" t="str">
        <f t="shared" si="96"/>
        <v/>
      </c>
      <c r="HG60" s="50" t="str">
        <f t="shared" si="96"/>
        <v/>
      </c>
      <c r="HH60" s="50" t="str">
        <f t="shared" si="96"/>
        <v/>
      </c>
      <c r="HI60" s="50" t="str">
        <f t="shared" si="96"/>
        <v/>
      </c>
      <c r="HJ60" s="50" t="str">
        <f t="shared" si="96"/>
        <v/>
      </c>
      <c r="HK60" s="50" t="str">
        <f t="shared" si="96"/>
        <v/>
      </c>
      <c r="HL60" s="50" t="str">
        <f t="shared" si="96"/>
        <v/>
      </c>
      <c r="HM60" s="50" t="str">
        <f t="shared" si="96"/>
        <v/>
      </c>
      <c r="HN60" s="50" t="str">
        <f t="shared" si="96"/>
        <v/>
      </c>
      <c r="HO60" s="50" t="str">
        <f t="shared" si="96"/>
        <v/>
      </c>
      <c r="HP60" s="50" t="str">
        <f t="shared" si="96"/>
        <v/>
      </c>
      <c r="HQ60" s="50" t="str">
        <f t="shared" si="96"/>
        <v/>
      </c>
      <c r="HR60" s="112" t="str">
        <f t="shared" si="96"/>
        <v/>
      </c>
    </row>
    <row r="61" spans="1:226" ht="11.1" customHeight="1" x14ac:dyDescent="0.25">
      <c r="A61" s="26"/>
      <c r="B61" s="27"/>
      <c r="C61" s="28" t="str">
        <f>IF(A61=0,"",VLOOKUP(A61,[2]CO!$A$3:$F$5327,2,0))</f>
        <v/>
      </c>
      <c r="D61" s="29"/>
      <c r="E61" s="29"/>
      <c r="F61" s="101" t="str">
        <f t="shared" si="86"/>
        <v/>
      </c>
      <c r="G61" s="30" t="str">
        <f>IF(A61=0,"",VLOOKUP(A61,[2]CO!$A$3:$F$5327,3,0))</f>
        <v/>
      </c>
      <c r="H61" s="95"/>
      <c r="I61" s="31"/>
      <c r="J61" s="31"/>
      <c r="K61" s="31"/>
      <c r="L61" s="31"/>
      <c r="M61" s="32" t="str">
        <f t="shared" si="87"/>
        <v/>
      </c>
      <c r="N61" s="32" t="str">
        <f>IF(B61=0,"",IF(H61="M",HLOOKUP(B61,$Y$12:$DT$13,2),IF(A61=0,"",VLOOKUP(A61,[2]CO!$A$3:$F$5327,4,0))))</f>
        <v/>
      </c>
      <c r="O61" s="32" t="str">
        <f t="shared" si="7"/>
        <v/>
      </c>
      <c r="P61" s="33"/>
      <c r="Q61" s="34" t="str">
        <f t="shared" si="88"/>
        <v/>
      </c>
      <c r="R61" s="35"/>
      <c r="T61" s="53" t="str">
        <f>IF(A61=0,"",VLOOKUP(A61,[2]CO!$A$3:$F$5318,5,0))</f>
        <v/>
      </c>
      <c r="U61" s="54">
        <f t="shared" si="52"/>
        <v>0</v>
      </c>
      <c r="V61" s="24"/>
      <c r="W61" s="25"/>
      <c r="X61" s="25"/>
      <c r="Y61" s="64" t="str">
        <f t="shared" si="89"/>
        <v/>
      </c>
      <c r="Z61" s="55" t="str">
        <f t="shared" si="89"/>
        <v/>
      </c>
      <c r="AA61" s="55" t="str">
        <f t="shared" si="89"/>
        <v/>
      </c>
      <c r="AB61" s="55" t="str">
        <f t="shared" si="89"/>
        <v/>
      </c>
      <c r="AC61" s="55" t="str">
        <f t="shared" si="89"/>
        <v/>
      </c>
      <c r="AD61" s="55" t="str">
        <f t="shared" si="89"/>
        <v/>
      </c>
      <c r="AE61" s="55" t="str">
        <f t="shared" si="89"/>
        <v/>
      </c>
      <c r="AF61" s="55" t="str">
        <f t="shared" si="89"/>
        <v/>
      </c>
      <c r="AG61" s="55" t="str">
        <f t="shared" si="89"/>
        <v/>
      </c>
      <c r="AH61" s="55" t="str">
        <f t="shared" si="89"/>
        <v/>
      </c>
      <c r="AI61" s="55" t="str">
        <f t="shared" si="89"/>
        <v/>
      </c>
      <c r="AJ61" s="55" t="str">
        <f t="shared" si="89"/>
        <v/>
      </c>
      <c r="AK61" s="55" t="str">
        <f t="shared" si="89"/>
        <v/>
      </c>
      <c r="AL61" s="55" t="str">
        <f t="shared" si="89"/>
        <v/>
      </c>
      <c r="AM61" s="55" t="str">
        <f t="shared" si="89"/>
        <v/>
      </c>
      <c r="AN61" s="55" t="str">
        <f t="shared" si="89"/>
        <v/>
      </c>
      <c r="AO61" s="55" t="str">
        <f t="shared" si="90"/>
        <v/>
      </c>
      <c r="AP61" s="55" t="str">
        <f t="shared" si="90"/>
        <v/>
      </c>
      <c r="AQ61" s="55" t="str">
        <f t="shared" si="90"/>
        <v/>
      </c>
      <c r="AR61" s="55" t="str">
        <f t="shared" si="90"/>
        <v/>
      </c>
      <c r="AS61" s="55" t="str">
        <f t="shared" si="90"/>
        <v/>
      </c>
      <c r="AT61" s="55" t="str">
        <f t="shared" si="90"/>
        <v/>
      </c>
      <c r="AU61" s="55" t="str">
        <f t="shared" si="90"/>
        <v/>
      </c>
      <c r="AV61" s="55" t="str">
        <f t="shared" si="90"/>
        <v/>
      </c>
      <c r="AW61" s="55" t="str">
        <f t="shared" si="90"/>
        <v/>
      </c>
      <c r="AX61" s="55" t="str">
        <f t="shared" si="90"/>
        <v/>
      </c>
      <c r="AY61" s="55" t="str">
        <f t="shared" si="90"/>
        <v/>
      </c>
      <c r="AZ61" s="55" t="str">
        <f t="shared" si="90"/>
        <v/>
      </c>
      <c r="BA61" s="55" t="str">
        <f t="shared" si="90"/>
        <v/>
      </c>
      <c r="BB61" s="55" t="str">
        <f t="shared" si="90"/>
        <v/>
      </c>
      <c r="BC61" s="55" t="str">
        <f t="shared" si="90"/>
        <v/>
      </c>
      <c r="BD61" s="55" t="str">
        <f t="shared" si="90"/>
        <v/>
      </c>
      <c r="BE61" s="55" t="str">
        <f t="shared" si="91"/>
        <v/>
      </c>
      <c r="BF61" s="55" t="str">
        <f t="shared" si="91"/>
        <v/>
      </c>
      <c r="BG61" s="55" t="str">
        <f t="shared" si="91"/>
        <v/>
      </c>
      <c r="BH61" s="55" t="str">
        <f t="shared" si="91"/>
        <v/>
      </c>
      <c r="BI61" s="55" t="str">
        <f t="shared" si="91"/>
        <v/>
      </c>
      <c r="BJ61" s="55" t="str">
        <f t="shared" si="91"/>
        <v/>
      </c>
      <c r="BK61" s="55" t="str">
        <f t="shared" si="91"/>
        <v/>
      </c>
      <c r="BL61" s="55" t="str">
        <f t="shared" si="91"/>
        <v/>
      </c>
      <c r="BM61" s="55" t="str">
        <f t="shared" si="91"/>
        <v/>
      </c>
      <c r="BN61" s="55" t="str">
        <f t="shared" si="91"/>
        <v/>
      </c>
      <c r="BO61" s="55" t="str">
        <f t="shared" si="91"/>
        <v/>
      </c>
      <c r="BP61" s="55" t="str">
        <f t="shared" si="91"/>
        <v/>
      </c>
      <c r="BQ61" s="55" t="str">
        <f t="shared" si="91"/>
        <v/>
      </c>
      <c r="BR61" s="55" t="str">
        <f t="shared" si="91"/>
        <v/>
      </c>
      <c r="BS61" s="55" t="str">
        <f t="shared" si="91"/>
        <v/>
      </c>
      <c r="BT61" s="55" t="str">
        <f t="shared" si="91"/>
        <v/>
      </c>
      <c r="BU61" s="55" t="str">
        <f t="shared" si="92"/>
        <v/>
      </c>
      <c r="BV61" s="55" t="str">
        <f t="shared" si="92"/>
        <v/>
      </c>
      <c r="BW61" s="55" t="str">
        <f t="shared" si="92"/>
        <v/>
      </c>
      <c r="BX61" s="55" t="str">
        <f t="shared" si="92"/>
        <v/>
      </c>
      <c r="BY61" s="55" t="str">
        <f t="shared" si="92"/>
        <v/>
      </c>
      <c r="BZ61" s="55" t="str">
        <f t="shared" si="92"/>
        <v/>
      </c>
      <c r="CA61" s="55" t="str">
        <f t="shared" si="92"/>
        <v/>
      </c>
      <c r="CB61" s="55" t="str">
        <f t="shared" si="92"/>
        <v/>
      </c>
      <c r="CC61" s="55" t="str">
        <f t="shared" si="92"/>
        <v/>
      </c>
      <c r="CD61" s="55" t="str">
        <f t="shared" si="92"/>
        <v/>
      </c>
      <c r="CE61" s="55" t="str">
        <f t="shared" si="92"/>
        <v/>
      </c>
      <c r="CF61" s="55" t="str">
        <f t="shared" si="92"/>
        <v/>
      </c>
      <c r="CG61" s="55" t="str">
        <f t="shared" si="92"/>
        <v/>
      </c>
      <c r="CH61" s="55" t="str">
        <f t="shared" si="92"/>
        <v/>
      </c>
      <c r="CI61" s="55" t="str">
        <f t="shared" si="92"/>
        <v/>
      </c>
      <c r="CJ61" s="55" t="str">
        <f t="shared" si="92"/>
        <v/>
      </c>
      <c r="CK61" s="55" t="str">
        <f t="shared" si="92"/>
        <v/>
      </c>
      <c r="CL61" s="55" t="str">
        <f t="shared" si="92"/>
        <v/>
      </c>
      <c r="CM61" s="55" t="str">
        <f t="shared" si="92"/>
        <v/>
      </c>
      <c r="CN61" s="55" t="str">
        <f t="shared" si="92"/>
        <v/>
      </c>
      <c r="CO61" s="55" t="str">
        <f t="shared" si="92"/>
        <v/>
      </c>
      <c r="CP61" s="55" t="str">
        <f t="shared" si="92"/>
        <v/>
      </c>
      <c r="CQ61" s="55" t="str">
        <f t="shared" si="92"/>
        <v/>
      </c>
      <c r="CR61" s="55" t="str">
        <f t="shared" si="92"/>
        <v/>
      </c>
      <c r="CS61" s="55" t="str">
        <f t="shared" si="92"/>
        <v/>
      </c>
      <c r="CT61" s="55" t="str">
        <f t="shared" si="92"/>
        <v/>
      </c>
      <c r="CU61" s="55" t="str">
        <f t="shared" si="92"/>
        <v/>
      </c>
      <c r="CV61" s="55" t="str">
        <f t="shared" si="92"/>
        <v/>
      </c>
      <c r="CW61" s="55" t="str">
        <f t="shared" si="92"/>
        <v/>
      </c>
      <c r="CX61" s="55" t="str">
        <f t="shared" si="92"/>
        <v/>
      </c>
      <c r="CY61" s="55" t="str">
        <f t="shared" si="92"/>
        <v/>
      </c>
      <c r="CZ61" s="55" t="str">
        <f t="shared" si="92"/>
        <v/>
      </c>
      <c r="DA61" s="55" t="str">
        <f t="shared" si="92"/>
        <v/>
      </c>
      <c r="DB61" s="55" t="str">
        <f t="shared" si="92"/>
        <v/>
      </c>
      <c r="DC61" s="55" t="str">
        <f t="shared" si="92"/>
        <v/>
      </c>
      <c r="DD61" s="55" t="str">
        <f t="shared" si="92"/>
        <v/>
      </c>
      <c r="DE61" s="55" t="str">
        <f t="shared" si="92"/>
        <v/>
      </c>
      <c r="DF61" s="55" t="str">
        <f t="shared" si="92"/>
        <v/>
      </c>
      <c r="DG61" s="55" t="str">
        <f t="shared" si="92"/>
        <v/>
      </c>
      <c r="DH61" s="55" t="str">
        <f t="shared" si="92"/>
        <v/>
      </c>
      <c r="DI61" s="55" t="str">
        <f t="shared" si="92"/>
        <v/>
      </c>
      <c r="DJ61" s="55" t="str">
        <f t="shared" si="92"/>
        <v/>
      </c>
      <c r="DK61" s="55" t="str">
        <f t="shared" si="92"/>
        <v/>
      </c>
      <c r="DL61" s="55" t="str">
        <f t="shared" si="92"/>
        <v/>
      </c>
      <c r="DM61" s="55" t="str">
        <f t="shared" si="92"/>
        <v/>
      </c>
      <c r="DN61" s="55" t="str">
        <f t="shared" si="92"/>
        <v/>
      </c>
      <c r="DO61" s="55" t="str">
        <f t="shared" si="92"/>
        <v/>
      </c>
      <c r="DP61" s="55" t="str">
        <f t="shared" si="92"/>
        <v/>
      </c>
      <c r="DQ61" s="55" t="str">
        <f t="shared" si="92"/>
        <v/>
      </c>
      <c r="DR61" s="55" t="str">
        <f t="shared" si="92"/>
        <v/>
      </c>
      <c r="DS61" s="55" t="str">
        <f t="shared" si="92"/>
        <v/>
      </c>
      <c r="DT61" s="106" t="str">
        <f t="shared" si="92"/>
        <v/>
      </c>
      <c r="DU61" s="54"/>
      <c r="DV61" s="25"/>
      <c r="DW61" s="61" t="str">
        <f t="shared" si="93"/>
        <v/>
      </c>
      <c r="DX61" s="50" t="str">
        <f t="shared" si="93"/>
        <v/>
      </c>
      <c r="DY61" s="50" t="str">
        <f t="shared" si="93"/>
        <v/>
      </c>
      <c r="DZ61" s="50" t="str">
        <f t="shared" si="93"/>
        <v/>
      </c>
      <c r="EA61" s="50" t="str">
        <f t="shared" si="93"/>
        <v/>
      </c>
      <c r="EB61" s="50" t="str">
        <f t="shared" si="93"/>
        <v/>
      </c>
      <c r="EC61" s="50" t="str">
        <f t="shared" si="93"/>
        <v/>
      </c>
      <c r="ED61" s="50" t="str">
        <f t="shared" si="93"/>
        <v/>
      </c>
      <c r="EE61" s="50" t="str">
        <f t="shared" si="93"/>
        <v/>
      </c>
      <c r="EF61" s="50" t="str">
        <f t="shared" si="93"/>
        <v/>
      </c>
      <c r="EG61" s="50" t="str">
        <f t="shared" si="93"/>
        <v/>
      </c>
      <c r="EH61" s="50" t="str">
        <f t="shared" si="93"/>
        <v/>
      </c>
      <c r="EI61" s="50" t="str">
        <f t="shared" si="93"/>
        <v/>
      </c>
      <c r="EJ61" s="50" t="str">
        <f t="shared" si="93"/>
        <v/>
      </c>
      <c r="EK61" s="50" t="str">
        <f t="shared" si="93"/>
        <v/>
      </c>
      <c r="EL61" s="50" t="str">
        <f t="shared" si="93"/>
        <v/>
      </c>
      <c r="EM61" s="50" t="str">
        <f t="shared" si="94"/>
        <v/>
      </c>
      <c r="EN61" s="50" t="str">
        <f t="shared" si="94"/>
        <v/>
      </c>
      <c r="EO61" s="50" t="str">
        <f t="shared" si="94"/>
        <v/>
      </c>
      <c r="EP61" s="50" t="str">
        <f t="shared" si="94"/>
        <v/>
      </c>
      <c r="EQ61" s="50" t="str">
        <f t="shared" si="94"/>
        <v/>
      </c>
      <c r="ER61" s="50" t="str">
        <f t="shared" si="94"/>
        <v/>
      </c>
      <c r="ES61" s="50" t="str">
        <f t="shared" si="94"/>
        <v/>
      </c>
      <c r="ET61" s="50" t="str">
        <f t="shared" si="94"/>
        <v/>
      </c>
      <c r="EU61" s="50" t="str">
        <f t="shared" si="94"/>
        <v/>
      </c>
      <c r="EV61" s="50" t="str">
        <f t="shared" si="94"/>
        <v/>
      </c>
      <c r="EW61" s="50" t="str">
        <f t="shared" si="94"/>
        <v/>
      </c>
      <c r="EX61" s="50" t="str">
        <f t="shared" si="94"/>
        <v/>
      </c>
      <c r="EY61" s="50" t="str">
        <f t="shared" si="94"/>
        <v/>
      </c>
      <c r="EZ61" s="50" t="str">
        <f t="shared" si="94"/>
        <v/>
      </c>
      <c r="FA61" s="50" t="str">
        <f t="shared" si="94"/>
        <v/>
      </c>
      <c r="FB61" s="50" t="str">
        <f t="shared" si="94"/>
        <v/>
      </c>
      <c r="FC61" s="50" t="str">
        <f t="shared" si="95"/>
        <v/>
      </c>
      <c r="FD61" s="50" t="str">
        <f t="shared" si="95"/>
        <v/>
      </c>
      <c r="FE61" s="50" t="str">
        <f t="shared" si="95"/>
        <v/>
      </c>
      <c r="FF61" s="50" t="str">
        <f t="shared" si="95"/>
        <v/>
      </c>
      <c r="FG61" s="50" t="str">
        <f t="shared" si="95"/>
        <v/>
      </c>
      <c r="FH61" s="50" t="str">
        <f t="shared" si="95"/>
        <v/>
      </c>
      <c r="FI61" s="50" t="str">
        <f t="shared" si="95"/>
        <v/>
      </c>
      <c r="FJ61" s="50" t="str">
        <f t="shared" si="95"/>
        <v/>
      </c>
      <c r="FK61" s="50" t="str">
        <f t="shared" si="95"/>
        <v/>
      </c>
      <c r="FL61" s="50" t="str">
        <f t="shared" si="95"/>
        <v/>
      </c>
      <c r="FM61" s="50" t="str">
        <f t="shared" si="95"/>
        <v/>
      </c>
      <c r="FN61" s="50" t="str">
        <f t="shared" si="95"/>
        <v/>
      </c>
      <c r="FO61" s="50" t="str">
        <f t="shared" si="95"/>
        <v/>
      </c>
      <c r="FP61" s="50" t="str">
        <f t="shared" si="95"/>
        <v/>
      </c>
      <c r="FQ61" s="50" t="str">
        <f t="shared" si="95"/>
        <v/>
      </c>
      <c r="FR61" s="50" t="str">
        <f t="shared" si="95"/>
        <v/>
      </c>
      <c r="FS61" s="50" t="str">
        <f t="shared" si="96"/>
        <v/>
      </c>
      <c r="FT61" s="50" t="str">
        <f t="shared" si="96"/>
        <v/>
      </c>
      <c r="FU61" s="50" t="str">
        <f t="shared" si="96"/>
        <v/>
      </c>
      <c r="FV61" s="50" t="str">
        <f t="shared" si="96"/>
        <v/>
      </c>
      <c r="FW61" s="50" t="str">
        <f t="shared" si="96"/>
        <v/>
      </c>
      <c r="FX61" s="50" t="str">
        <f t="shared" si="96"/>
        <v/>
      </c>
      <c r="FY61" s="50" t="str">
        <f t="shared" si="96"/>
        <v/>
      </c>
      <c r="FZ61" s="50" t="str">
        <f t="shared" si="96"/>
        <v/>
      </c>
      <c r="GA61" s="50" t="str">
        <f t="shared" si="96"/>
        <v/>
      </c>
      <c r="GB61" s="50" t="str">
        <f t="shared" si="96"/>
        <v/>
      </c>
      <c r="GC61" s="50" t="str">
        <f t="shared" si="96"/>
        <v/>
      </c>
      <c r="GD61" s="50" t="str">
        <f t="shared" si="96"/>
        <v/>
      </c>
      <c r="GE61" s="50" t="str">
        <f t="shared" si="96"/>
        <v/>
      </c>
      <c r="GF61" s="50" t="str">
        <f t="shared" si="96"/>
        <v/>
      </c>
      <c r="GG61" s="50" t="str">
        <f t="shared" si="96"/>
        <v/>
      </c>
      <c r="GH61" s="50" t="str">
        <f t="shared" si="96"/>
        <v/>
      </c>
      <c r="GI61" s="50" t="str">
        <f t="shared" si="96"/>
        <v/>
      </c>
      <c r="GJ61" s="50" t="str">
        <f t="shared" si="96"/>
        <v/>
      </c>
      <c r="GK61" s="50" t="str">
        <f t="shared" si="96"/>
        <v/>
      </c>
      <c r="GL61" s="50" t="str">
        <f t="shared" si="96"/>
        <v/>
      </c>
      <c r="GM61" s="50" t="str">
        <f t="shared" si="96"/>
        <v/>
      </c>
      <c r="GN61" s="50" t="str">
        <f t="shared" si="96"/>
        <v/>
      </c>
      <c r="GO61" s="50" t="str">
        <f t="shared" si="96"/>
        <v/>
      </c>
      <c r="GP61" s="50" t="str">
        <f t="shared" si="96"/>
        <v/>
      </c>
      <c r="GQ61" s="50" t="str">
        <f t="shared" si="96"/>
        <v/>
      </c>
      <c r="GR61" s="50" t="str">
        <f t="shared" si="96"/>
        <v/>
      </c>
      <c r="GS61" s="50" t="str">
        <f t="shared" si="96"/>
        <v/>
      </c>
      <c r="GT61" s="50" t="str">
        <f t="shared" si="96"/>
        <v/>
      </c>
      <c r="GU61" s="50" t="str">
        <f t="shared" si="96"/>
        <v/>
      </c>
      <c r="GV61" s="50" t="str">
        <f t="shared" si="96"/>
        <v/>
      </c>
      <c r="GW61" s="50" t="str">
        <f t="shared" si="96"/>
        <v/>
      </c>
      <c r="GX61" s="50" t="str">
        <f t="shared" si="96"/>
        <v/>
      </c>
      <c r="GY61" s="50" t="str">
        <f t="shared" si="96"/>
        <v/>
      </c>
      <c r="GZ61" s="50" t="str">
        <f t="shared" si="96"/>
        <v/>
      </c>
      <c r="HA61" s="50" t="str">
        <f t="shared" si="96"/>
        <v/>
      </c>
      <c r="HB61" s="50" t="str">
        <f t="shared" si="96"/>
        <v/>
      </c>
      <c r="HC61" s="50" t="str">
        <f t="shared" si="96"/>
        <v/>
      </c>
      <c r="HD61" s="50" t="str">
        <f t="shared" si="96"/>
        <v/>
      </c>
      <c r="HE61" s="50" t="str">
        <f t="shared" si="96"/>
        <v/>
      </c>
      <c r="HF61" s="50" t="str">
        <f t="shared" si="96"/>
        <v/>
      </c>
      <c r="HG61" s="50" t="str">
        <f t="shared" si="96"/>
        <v/>
      </c>
      <c r="HH61" s="50" t="str">
        <f t="shared" si="96"/>
        <v/>
      </c>
      <c r="HI61" s="50" t="str">
        <f t="shared" si="96"/>
        <v/>
      </c>
      <c r="HJ61" s="50" t="str">
        <f t="shared" si="96"/>
        <v/>
      </c>
      <c r="HK61" s="50" t="str">
        <f t="shared" si="96"/>
        <v/>
      </c>
      <c r="HL61" s="50" t="str">
        <f t="shared" si="96"/>
        <v/>
      </c>
      <c r="HM61" s="50" t="str">
        <f t="shared" si="96"/>
        <v/>
      </c>
      <c r="HN61" s="50" t="str">
        <f t="shared" si="96"/>
        <v/>
      </c>
      <c r="HO61" s="50" t="str">
        <f t="shared" si="96"/>
        <v/>
      </c>
      <c r="HP61" s="50" t="str">
        <f t="shared" si="96"/>
        <v/>
      </c>
      <c r="HQ61" s="50" t="str">
        <f t="shared" si="96"/>
        <v/>
      </c>
      <c r="HR61" s="112" t="str">
        <f t="shared" si="96"/>
        <v/>
      </c>
    </row>
    <row r="62" spans="1:226" ht="11.1" customHeight="1" x14ac:dyDescent="0.25">
      <c r="A62" s="26"/>
      <c r="B62" s="27"/>
      <c r="C62" s="28" t="str">
        <f>IF(A62=0,"",VLOOKUP(A62,[2]CO!$A$3:$F$5327,2,0))</f>
        <v/>
      </c>
      <c r="D62" s="29"/>
      <c r="E62" s="29"/>
      <c r="F62" s="101" t="str">
        <f t="shared" si="86"/>
        <v/>
      </c>
      <c r="G62" s="30" t="str">
        <f>IF(A62=0,"",VLOOKUP(A62,[2]CO!$A$3:$F$5327,3,0))</f>
        <v/>
      </c>
      <c r="H62" s="95"/>
      <c r="I62" s="31"/>
      <c r="J62" s="31"/>
      <c r="K62" s="31"/>
      <c r="L62" s="31"/>
      <c r="M62" s="32" t="str">
        <f t="shared" si="87"/>
        <v/>
      </c>
      <c r="N62" s="32" t="str">
        <f>IF(B62=0,"",IF(H62="M",HLOOKUP(B62,$Y$12:$DT$13,2),IF(A62=0,"",VLOOKUP(A62,[2]CO!$A$3:$F$5327,4,0))))</f>
        <v/>
      </c>
      <c r="O62" s="32" t="str">
        <f t="shared" si="7"/>
        <v/>
      </c>
      <c r="P62" s="33"/>
      <c r="Q62" s="34" t="str">
        <f t="shared" si="88"/>
        <v/>
      </c>
      <c r="R62" s="35"/>
      <c r="T62" s="53" t="str">
        <f>IF(A62=0,"",VLOOKUP(A62,[2]CO!$A$3:$F$5318,5,0))</f>
        <v/>
      </c>
      <c r="U62" s="54">
        <f t="shared" si="52"/>
        <v>0</v>
      </c>
      <c r="V62" s="24"/>
      <c r="W62" s="25"/>
      <c r="X62" s="25"/>
      <c r="Y62" s="64" t="str">
        <f t="shared" si="89"/>
        <v/>
      </c>
      <c r="Z62" s="55" t="str">
        <f t="shared" si="89"/>
        <v/>
      </c>
      <c r="AA62" s="55" t="str">
        <f t="shared" si="89"/>
        <v/>
      </c>
      <c r="AB62" s="55" t="str">
        <f t="shared" si="89"/>
        <v/>
      </c>
      <c r="AC62" s="55" t="str">
        <f t="shared" si="89"/>
        <v/>
      </c>
      <c r="AD62" s="55" t="str">
        <f t="shared" si="89"/>
        <v/>
      </c>
      <c r="AE62" s="55" t="str">
        <f t="shared" si="89"/>
        <v/>
      </c>
      <c r="AF62" s="55" t="str">
        <f t="shared" si="89"/>
        <v/>
      </c>
      <c r="AG62" s="55" t="str">
        <f t="shared" si="89"/>
        <v/>
      </c>
      <c r="AH62" s="55" t="str">
        <f t="shared" si="89"/>
        <v/>
      </c>
      <c r="AI62" s="55" t="str">
        <f t="shared" si="89"/>
        <v/>
      </c>
      <c r="AJ62" s="55" t="str">
        <f t="shared" si="89"/>
        <v/>
      </c>
      <c r="AK62" s="55" t="str">
        <f t="shared" si="89"/>
        <v/>
      </c>
      <c r="AL62" s="55" t="str">
        <f t="shared" si="89"/>
        <v/>
      </c>
      <c r="AM62" s="55" t="str">
        <f t="shared" si="89"/>
        <v/>
      </c>
      <c r="AN62" s="55" t="str">
        <f t="shared" si="89"/>
        <v/>
      </c>
      <c r="AO62" s="55" t="str">
        <f t="shared" si="90"/>
        <v/>
      </c>
      <c r="AP62" s="55" t="str">
        <f t="shared" si="90"/>
        <v/>
      </c>
      <c r="AQ62" s="55" t="str">
        <f t="shared" si="90"/>
        <v/>
      </c>
      <c r="AR62" s="55" t="str">
        <f t="shared" si="90"/>
        <v/>
      </c>
      <c r="AS62" s="55" t="str">
        <f t="shared" si="90"/>
        <v/>
      </c>
      <c r="AT62" s="55" t="str">
        <f t="shared" si="90"/>
        <v/>
      </c>
      <c r="AU62" s="55" t="str">
        <f t="shared" si="90"/>
        <v/>
      </c>
      <c r="AV62" s="55" t="str">
        <f t="shared" si="90"/>
        <v/>
      </c>
      <c r="AW62" s="55" t="str">
        <f t="shared" si="90"/>
        <v/>
      </c>
      <c r="AX62" s="55" t="str">
        <f t="shared" si="90"/>
        <v/>
      </c>
      <c r="AY62" s="55" t="str">
        <f t="shared" si="90"/>
        <v/>
      </c>
      <c r="AZ62" s="55" t="str">
        <f t="shared" si="90"/>
        <v/>
      </c>
      <c r="BA62" s="55" t="str">
        <f t="shared" si="90"/>
        <v/>
      </c>
      <c r="BB62" s="55" t="str">
        <f t="shared" si="90"/>
        <v/>
      </c>
      <c r="BC62" s="55" t="str">
        <f t="shared" si="90"/>
        <v/>
      </c>
      <c r="BD62" s="55" t="str">
        <f t="shared" si="90"/>
        <v/>
      </c>
      <c r="BE62" s="55" t="str">
        <f t="shared" si="91"/>
        <v/>
      </c>
      <c r="BF62" s="55" t="str">
        <f t="shared" si="91"/>
        <v/>
      </c>
      <c r="BG62" s="55" t="str">
        <f t="shared" si="91"/>
        <v/>
      </c>
      <c r="BH62" s="55" t="str">
        <f t="shared" si="91"/>
        <v/>
      </c>
      <c r="BI62" s="55" t="str">
        <f t="shared" si="91"/>
        <v/>
      </c>
      <c r="BJ62" s="55" t="str">
        <f t="shared" si="91"/>
        <v/>
      </c>
      <c r="BK62" s="55" t="str">
        <f t="shared" si="91"/>
        <v/>
      </c>
      <c r="BL62" s="55" t="str">
        <f t="shared" si="91"/>
        <v/>
      </c>
      <c r="BM62" s="55" t="str">
        <f t="shared" si="91"/>
        <v/>
      </c>
      <c r="BN62" s="55" t="str">
        <f t="shared" si="91"/>
        <v/>
      </c>
      <c r="BO62" s="55" t="str">
        <f t="shared" si="91"/>
        <v/>
      </c>
      <c r="BP62" s="55" t="str">
        <f t="shared" si="91"/>
        <v/>
      </c>
      <c r="BQ62" s="55" t="str">
        <f t="shared" si="91"/>
        <v/>
      </c>
      <c r="BR62" s="55" t="str">
        <f t="shared" si="91"/>
        <v/>
      </c>
      <c r="BS62" s="55" t="str">
        <f t="shared" si="91"/>
        <v/>
      </c>
      <c r="BT62" s="55" t="str">
        <f t="shared" si="91"/>
        <v/>
      </c>
      <c r="BU62" s="55" t="str">
        <f t="shared" si="92"/>
        <v/>
      </c>
      <c r="BV62" s="55" t="str">
        <f t="shared" si="92"/>
        <v/>
      </c>
      <c r="BW62" s="55" t="str">
        <f t="shared" si="92"/>
        <v/>
      </c>
      <c r="BX62" s="55" t="str">
        <f t="shared" si="92"/>
        <v/>
      </c>
      <c r="BY62" s="55" t="str">
        <f t="shared" si="92"/>
        <v/>
      </c>
      <c r="BZ62" s="55" t="str">
        <f t="shared" si="92"/>
        <v/>
      </c>
      <c r="CA62" s="55" t="str">
        <f t="shared" si="92"/>
        <v/>
      </c>
      <c r="CB62" s="55" t="str">
        <f t="shared" si="92"/>
        <v/>
      </c>
      <c r="CC62" s="55" t="str">
        <f t="shared" si="92"/>
        <v/>
      </c>
      <c r="CD62" s="55" t="str">
        <f t="shared" si="92"/>
        <v/>
      </c>
      <c r="CE62" s="55" t="str">
        <f t="shared" si="92"/>
        <v/>
      </c>
      <c r="CF62" s="55" t="str">
        <f t="shared" si="92"/>
        <v/>
      </c>
      <c r="CG62" s="55" t="str">
        <f t="shared" si="92"/>
        <v/>
      </c>
      <c r="CH62" s="55" t="str">
        <f t="shared" si="92"/>
        <v/>
      </c>
      <c r="CI62" s="55" t="str">
        <f t="shared" si="92"/>
        <v/>
      </c>
      <c r="CJ62" s="55" t="str">
        <f t="shared" si="92"/>
        <v/>
      </c>
      <c r="CK62" s="55" t="str">
        <f t="shared" si="92"/>
        <v/>
      </c>
      <c r="CL62" s="55" t="str">
        <f t="shared" si="92"/>
        <v/>
      </c>
      <c r="CM62" s="55" t="str">
        <f t="shared" si="92"/>
        <v/>
      </c>
      <c r="CN62" s="55" t="str">
        <f t="shared" si="92"/>
        <v/>
      </c>
      <c r="CO62" s="55" t="str">
        <f t="shared" si="92"/>
        <v/>
      </c>
      <c r="CP62" s="55" t="str">
        <f t="shared" si="92"/>
        <v/>
      </c>
      <c r="CQ62" s="55" t="str">
        <f t="shared" si="92"/>
        <v/>
      </c>
      <c r="CR62" s="55" t="str">
        <f t="shared" si="92"/>
        <v/>
      </c>
      <c r="CS62" s="55" t="str">
        <f t="shared" si="92"/>
        <v/>
      </c>
      <c r="CT62" s="55" t="str">
        <f t="shared" si="92"/>
        <v/>
      </c>
      <c r="CU62" s="55" t="str">
        <f t="shared" si="92"/>
        <v/>
      </c>
      <c r="CV62" s="55" t="str">
        <f t="shared" si="92"/>
        <v/>
      </c>
      <c r="CW62" s="55" t="str">
        <f t="shared" si="92"/>
        <v/>
      </c>
      <c r="CX62" s="55" t="str">
        <f t="shared" si="92"/>
        <v/>
      </c>
      <c r="CY62" s="55" t="str">
        <f t="shared" si="92"/>
        <v/>
      </c>
      <c r="CZ62" s="55" t="str">
        <f t="shared" si="92"/>
        <v/>
      </c>
      <c r="DA62" s="55" t="str">
        <f t="shared" si="92"/>
        <v/>
      </c>
      <c r="DB62" s="55" t="str">
        <f t="shared" si="92"/>
        <v/>
      </c>
      <c r="DC62" s="55" t="str">
        <f t="shared" si="92"/>
        <v/>
      </c>
      <c r="DD62" s="55" t="str">
        <f t="shared" si="92"/>
        <v/>
      </c>
      <c r="DE62" s="55" t="str">
        <f t="shared" si="92"/>
        <v/>
      </c>
      <c r="DF62" s="55" t="str">
        <f t="shared" si="92"/>
        <v/>
      </c>
      <c r="DG62" s="55" t="str">
        <f t="shared" si="92"/>
        <v/>
      </c>
      <c r="DH62" s="55" t="str">
        <f t="shared" si="92"/>
        <v/>
      </c>
      <c r="DI62" s="55" t="str">
        <f t="shared" si="92"/>
        <v/>
      </c>
      <c r="DJ62" s="55" t="str">
        <f t="shared" si="92"/>
        <v/>
      </c>
      <c r="DK62" s="55" t="str">
        <f t="shared" si="92"/>
        <v/>
      </c>
      <c r="DL62" s="55" t="str">
        <f t="shared" si="92"/>
        <v/>
      </c>
      <c r="DM62" s="55" t="str">
        <f t="shared" si="92"/>
        <v/>
      </c>
      <c r="DN62" s="55" t="str">
        <f t="shared" si="92"/>
        <v/>
      </c>
      <c r="DO62" s="55" t="str">
        <f t="shared" si="92"/>
        <v/>
      </c>
      <c r="DP62" s="55" t="str">
        <f t="shared" ref="DP62:DT64" si="97">IF($B62=DP$12,$U62,"")</f>
        <v/>
      </c>
      <c r="DQ62" s="55" t="str">
        <f t="shared" si="97"/>
        <v/>
      </c>
      <c r="DR62" s="55" t="str">
        <f t="shared" si="97"/>
        <v/>
      </c>
      <c r="DS62" s="55" t="str">
        <f t="shared" si="97"/>
        <v/>
      </c>
      <c r="DT62" s="106" t="str">
        <f t="shared" si="97"/>
        <v/>
      </c>
      <c r="DU62" s="54"/>
      <c r="DV62" s="25"/>
      <c r="DW62" s="61" t="str">
        <f t="shared" si="93"/>
        <v/>
      </c>
      <c r="DX62" s="50" t="str">
        <f t="shared" si="93"/>
        <v/>
      </c>
      <c r="DY62" s="50" t="str">
        <f t="shared" si="93"/>
        <v/>
      </c>
      <c r="DZ62" s="50" t="str">
        <f t="shared" si="93"/>
        <v/>
      </c>
      <c r="EA62" s="50" t="str">
        <f t="shared" si="93"/>
        <v/>
      </c>
      <c r="EB62" s="50" t="str">
        <f t="shared" si="93"/>
        <v/>
      </c>
      <c r="EC62" s="50" t="str">
        <f t="shared" si="93"/>
        <v/>
      </c>
      <c r="ED62" s="50" t="str">
        <f t="shared" si="93"/>
        <v/>
      </c>
      <c r="EE62" s="50" t="str">
        <f t="shared" si="93"/>
        <v/>
      </c>
      <c r="EF62" s="50" t="str">
        <f t="shared" si="93"/>
        <v/>
      </c>
      <c r="EG62" s="50" t="str">
        <f t="shared" si="93"/>
        <v/>
      </c>
      <c r="EH62" s="50" t="str">
        <f t="shared" si="93"/>
        <v/>
      </c>
      <c r="EI62" s="50" t="str">
        <f t="shared" si="93"/>
        <v/>
      </c>
      <c r="EJ62" s="50" t="str">
        <f t="shared" si="93"/>
        <v/>
      </c>
      <c r="EK62" s="50" t="str">
        <f t="shared" si="93"/>
        <v/>
      </c>
      <c r="EL62" s="50" t="str">
        <f t="shared" si="93"/>
        <v/>
      </c>
      <c r="EM62" s="50" t="str">
        <f t="shared" si="94"/>
        <v/>
      </c>
      <c r="EN62" s="50" t="str">
        <f t="shared" si="94"/>
        <v/>
      </c>
      <c r="EO62" s="50" t="str">
        <f t="shared" si="94"/>
        <v/>
      </c>
      <c r="EP62" s="50" t="str">
        <f t="shared" si="94"/>
        <v/>
      </c>
      <c r="EQ62" s="50" t="str">
        <f t="shared" si="94"/>
        <v/>
      </c>
      <c r="ER62" s="50" t="str">
        <f t="shared" si="94"/>
        <v/>
      </c>
      <c r="ES62" s="50" t="str">
        <f t="shared" si="94"/>
        <v/>
      </c>
      <c r="ET62" s="50" t="str">
        <f t="shared" si="94"/>
        <v/>
      </c>
      <c r="EU62" s="50" t="str">
        <f t="shared" si="94"/>
        <v/>
      </c>
      <c r="EV62" s="50" t="str">
        <f t="shared" si="94"/>
        <v/>
      </c>
      <c r="EW62" s="50" t="str">
        <f t="shared" si="94"/>
        <v/>
      </c>
      <c r="EX62" s="50" t="str">
        <f t="shared" si="94"/>
        <v/>
      </c>
      <c r="EY62" s="50" t="str">
        <f t="shared" si="94"/>
        <v/>
      </c>
      <c r="EZ62" s="50" t="str">
        <f t="shared" si="94"/>
        <v/>
      </c>
      <c r="FA62" s="50" t="str">
        <f t="shared" si="94"/>
        <v/>
      </c>
      <c r="FB62" s="50" t="str">
        <f t="shared" si="94"/>
        <v/>
      </c>
      <c r="FC62" s="50" t="str">
        <f t="shared" si="95"/>
        <v/>
      </c>
      <c r="FD62" s="50" t="str">
        <f t="shared" si="95"/>
        <v/>
      </c>
      <c r="FE62" s="50" t="str">
        <f t="shared" si="95"/>
        <v/>
      </c>
      <c r="FF62" s="50" t="str">
        <f t="shared" si="95"/>
        <v/>
      </c>
      <c r="FG62" s="50" t="str">
        <f t="shared" si="95"/>
        <v/>
      </c>
      <c r="FH62" s="50" t="str">
        <f t="shared" si="95"/>
        <v/>
      </c>
      <c r="FI62" s="50" t="str">
        <f t="shared" si="95"/>
        <v/>
      </c>
      <c r="FJ62" s="50" t="str">
        <f t="shared" si="95"/>
        <v/>
      </c>
      <c r="FK62" s="50" t="str">
        <f t="shared" si="95"/>
        <v/>
      </c>
      <c r="FL62" s="50" t="str">
        <f t="shared" si="95"/>
        <v/>
      </c>
      <c r="FM62" s="50" t="str">
        <f t="shared" si="95"/>
        <v/>
      </c>
      <c r="FN62" s="50" t="str">
        <f t="shared" si="95"/>
        <v/>
      </c>
      <c r="FO62" s="50" t="str">
        <f t="shared" si="95"/>
        <v/>
      </c>
      <c r="FP62" s="50" t="str">
        <f t="shared" si="95"/>
        <v/>
      </c>
      <c r="FQ62" s="50" t="str">
        <f t="shared" si="95"/>
        <v/>
      </c>
      <c r="FR62" s="50" t="str">
        <f t="shared" si="95"/>
        <v/>
      </c>
      <c r="FS62" s="50" t="str">
        <f t="shared" si="96"/>
        <v/>
      </c>
      <c r="FT62" s="50" t="str">
        <f t="shared" si="96"/>
        <v/>
      </c>
      <c r="FU62" s="50" t="str">
        <f t="shared" si="96"/>
        <v/>
      </c>
      <c r="FV62" s="50" t="str">
        <f t="shared" si="96"/>
        <v/>
      </c>
      <c r="FW62" s="50" t="str">
        <f t="shared" si="96"/>
        <v/>
      </c>
      <c r="FX62" s="50" t="str">
        <f t="shared" si="96"/>
        <v/>
      </c>
      <c r="FY62" s="50" t="str">
        <f t="shared" si="96"/>
        <v/>
      </c>
      <c r="FZ62" s="50" t="str">
        <f t="shared" si="96"/>
        <v/>
      </c>
      <c r="GA62" s="50" t="str">
        <f t="shared" si="96"/>
        <v/>
      </c>
      <c r="GB62" s="50" t="str">
        <f t="shared" si="96"/>
        <v/>
      </c>
      <c r="GC62" s="50" t="str">
        <f t="shared" si="96"/>
        <v/>
      </c>
      <c r="GD62" s="50" t="str">
        <f t="shared" si="96"/>
        <v/>
      </c>
      <c r="GE62" s="50" t="str">
        <f t="shared" si="96"/>
        <v/>
      </c>
      <c r="GF62" s="50" t="str">
        <f t="shared" si="96"/>
        <v/>
      </c>
      <c r="GG62" s="50" t="str">
        <f t="shared" si="96"/>
        <v/>
      </c>
      <c r="GH62" s="50" t="str">
        <f t="shared" si="96"/>
        <v/>
      </c>
      <c r="GI62" s="50" t="str">
        <f t="shared" si="96"/>
        <v/>
      </c>
      <c r="GJ62" s="50" t="str">
        <f t="shared" si="96"/>
        <v/>
      </c>
      <c r="GK62" s="50" t="str">
        <f t="shared" si="96"/>
        <v/>
      </c>
      <c r="GL62" s="50" t="str">
        <f t="shared" si="96"/>
        <v/>
      </c>
      <c r="GM62" s="50" t="str">
        <f t="shared" si="96"/>
        <v/>
      </c>
      <c r="GN62" s="50" t="str">
        <f t="shared" si="96"/>
        <v/>
      </c>
      <c r="GO62" s="50" t="str">
        <f t="shared" si="96"/>
        <v/>
      </c>
      <c r="GP62" s="50" t="str">
        <f t="shared" si="96"/>
        <v/>
      </c>
      <c r="GQ62" s="50" t="str">
        <f t="shared" si="96"/>
        <v/>
      </c>
      <c r="GR62" s="50" t="str">
        <f t="shared" si="96"/>
        <v/>
      </c>
      <c r="GS62" s="50" t="str">
        <f t="shared" si="96"/>
        <v/>
      </c>
      <c r="GT62" s="50" t="str">
        <f t="shared" si="96"/>
        <v/>
      </c>
      <c r="GU62" s="50" t="str">
        <f t="shared" si="96"/>
        <v/>
      </c>
      <c r="GV62" s="50" t="str">
        <f t="shared" si="96"/>
        <v/>
      </c>
      <c r="GW62" s="50" t="str">
        <f t="shared" si="96"/>
        <v/>
      </c>
      <c r="GX62" s="50" t="str">
        <f t="shared" si="96"/>
        <v/>
      </c>
      <c r="GY62" s="50" t="str">
        <f t="shared" si="96"/>
        <v/>
      </c>
      <c r="GZ62" s="50" t="str">
        <f t="shared" si="96"/>
        <v/>
      </c>
      <c r="HA62" s="50" t="str">
        <f t="shared" si="96"/>
        <v/>
      </c>
      <c r="HB62" s="50" t="str">
        <f t="shared" si="96"/>
        <v/>
      </c>
      <c r="HC62" s="50" t="str">
        <f t="shared" si="96"/>
        <v/>
      </c>
      <c r="HD62" s="50" t="str">
        <f t="shared" si="96"/>
        <v/>
      </c>
      <c r="HE62" s="50" t="str">
        <f t="shared" si="96"/>
        <v/>
      </c>
      <c r="HF62" s="50" t="str">
        <f t="shared" si="96"/>
        <v/>
      </c>
      <c r="HG62" s="50" t="str">
        <f t="shared" si="96"/>
        <v/>
      </c>
      <c r="HH62" s="50" t="str">
        <f t="shared" si="96"/>
        <v/>
      </c>
      <c r="HI62" s="50" t="str">
        <f t="shared" si="96"/>
        <v/>
      </c>
      <c r="HJ62" s="50" t="str">
        <f t="shared" si="96"/>
        <v/>
      </c>
      <c r="HK62" s="50" t="str">
        <f t="shared" si="96"/>
        <v/>
      </c>
      <c r="HL62" s="50" t="str">
        <f t="shared" si="96"/>
        <v/>
      </c>
      <c r="HM62" s="50" t="str">
        <f t="shared" si="96"/>
        <v/>
      </c>
      <c r="HN62" s="50" t="str">
        <f t="shared" ref="HN62:HR64" si="98">IF($B62=HN$12,$O62,"")</f>
        <v/>
      </c>
      <c r="HO62" s="50" t="str">
        <f t="shared" si="98"/>
        <v/>
      </c>
      <c r="HP62" s="50" t="str">
        <f t="shared" si="98"/>
        <v/>
      </c>
      <c r="HQ62" s="50" t="str">
        <f t="shared" si="98"/>
        <v/>
      </c>
      <c r="HR62" s="112" t="str">
        <f t="shared" si="98"/>
        <v/>
      </c>
    </row>
    <row r="63" spans="1:226" ht="11.1" customHeight="1" x14ac:dyDescent="0.25">
      <c r="A63" s="26"/>
      <c r="B63" s="27"/>
      <c r="C63" s="28" t="str">
        <f>IF(A63=0,"",VLOOKUP(A63,[2]CO!$A$3:$F$5327,2,0))</f>
        <v/>
      </c>
      <c r="D63" s="29"/>
      <c r="E63" s="29"/>
      <c r="F63" s="101" t="str">
        <f t="shared" si="86"/>
        <v/>
      </c>
      <c r="G63" s="30" t="str">
        <f>IF(A63=0,"",VLOOKUP(A63,[2]CO!$A$3:$F$5327,3,0))</f>
        <v/>
      </c>
      <c r="H63" s="95"/>
      <c r="I63" s="31"/>
      <c r="J63" s="31"/>
      <c r="K63" s="31"/>
      <c r="L63" s="31"/>
      <c r="M63" s="32" t="str">
        <f t="shared" si="87"/>
        <v/>
      </c>
      <c r="N63" s="32" t="str">
        <f>IF(B63=0,"",IF(H63="M",HLOOKUP(B63,$Y$12:$DT$13,2),IF(A63=0,"",VLOOKUP(A63,[2]CO!$A$3:$F$5327,4,0))))</f>
        <v/>
      </c>
      <c r="O63" s="32" t="str">
        <f t="shared" si="7"/>
        <v/>
      </c>
      <c r="P63" s="33"/>
      <c r="Q63" s="34" t="str">
        <f t="shared" si="88"/>
        <v/>
      </c>
      <c r="R63" s="35"/>
      <c r="T63" s="53" t="str">
        <f>IF(A63=0,"",VLOOKUP(A63,[2]CO!$A$3:$F$5318,5,0))</f>
        <v/>
      </c>
      <c r="U63" s="54">
        <f t="shared" si="52"/>
        <v>0</v>
      </c>
      <c r="V63" s="24"/>
      <c r="W63" s="25"/>
      <c r="X63" s="25"/>
      <c r="Y63" s="64" t="str">
        <f t="shared" si="89"/>
        <v/>
      </c>
      <c r="Z63" s="55" t="str">
        <f t="shared" si="89"/>
        <v/>
      </c>
      <c r="AA63" s="55" t="str">
        <f t="shared" si="89"/>
        <v/>
      </c>
      <c r="AB63" s="55" t="str">
        <f t="shared" si="89"/>
        <v/>
      </c>
      <c r="AC63" s="55" t="str">
        <f t="shared" si="89"/>
        <v/>
      </c>
      <c r="AD63" s="55" t="str">
        <f t="shared" si="89"/>
        <v/>
      </c>
      <c r="AE63" s="55" t="str">
        <f t="shared" si="89"/>
        <v/>
      </c>
      <c r="AF63" s="55" t="str">
        <f t="shared" si="89"/>
        <v/>
      </c>
      <c r="AG63" s="55" t="str">
        <f t="shared" si="89"/>
        <v/>
      </c>
      <c r="AH63" s="55" t="str">
        <f t="shared" si="89"/>
        <v/>
      </c>
      <c r="AI63" s="55" t="str">
        <f t="shared" si="89"/>
        <v/>
      </c>
      <c r="AJ63" s="55" t="str">
        <f t="shared" si="89"/>
        <v/>
      </c>
      <c r="AK63" s="55" t="str">
        <f t="shared" si="89"/>
        <v/>
      </c>
      <c r="AL63" s="55" t="str">
        <f t="shared" si="89"/>
        <v/>
      </c>
      <c r="AM63" s="55" t="str">
        <f t="shared" si="89"/>
        <v/>
      </c>
      <c r="AN63" s="55" t="str">
        <f t="shared" si="89"/>
        <v/>
      </c>
      <c r="AO63" s="55" t="str">
        <f t="shared" si="90"/>
        <v/>
      </c>
      <c r="AP63" s="55" t="str">
        <f t="shared" si="90"/>
        <v/>
      </c>
      <c r="AQ63" s="55" t="str">
        <f t="shared" si="90"/>
        <v/>
      </c>
      <c r="AR63" s="55" t="str">
        <f t="shared" si="90"/>
        <v/>
      </c>
      <c r="AS63" s="55" t="str">
        <f t="shared" si="90"/>
        <v/>
      </c>
      <c r="AT63" s="55" t="str">
        <f t="shared" si="90"/>
        <v/>
      </c>
      <c r="AU63" s="55" t="str">
        <f t="shared" si="90"/>
        <v/>
      </c>
      <c r="AV63" s="55" t="str">
        <f t="shared" si="90"/>
        <v/>
      </c>
      <c r="AW63" s="55" t="str">
        <f t="shared" si="90"/>
        <v/>
      </c>
      <c r="AX63" s="55" t="str">
        <f t="shared" si="90"/>
        <v/>
      </c>
      <c r="AY63" s="55" t="str">
        <f t="shared" si="90"/>
        <v/>
      </c>
      <c r="AZ63" s="55" t="str">
        <f t="shared" si="90"/>
        <v/>
      </c>
      <c r="BA63" s="55" t="str">
        <f t="shared" si="90"/>
        <v/>
      </c>
      <c r="BB63" s="55" t="str">
        <f t="shared" si="90"/>
        <v/>
      </c>
      <c r="BC63" s="55" t="str">
        <f t="shared" si="90"/>
        <v/>
      </c>
      <c r="BD63" s="55" t="str">
        <f t="shared" si="90"/>
        <v/>
      </c>
      <c r="BE63" s="55" t="str">
        <f t="shared" si="91"/>
        <v/>
      </c>
      <c r="BF63" s="55" t="str">
        <f t="shared" si="91"/>
        <v/>
      </c>
      <c r="BG63" s="55" t="str">
        <f t="shared" si="91"/>
        <v/>
      </c>
      <c r="BH63" s="55" t="str">
        <f t="shared" si="91"/>
        <v/>
      </c>
      <c r="BI63" s="55" t="str">
        <f t="shared" si="91"/>
        <v/>
      </c>
      <c r="BJ63" s="55" t="str">
        <f t="shared" si="91"/>
        <v/>
      </c>
      <c r="BK63" s="55" t="str">
        <f t="shared" si="91"/>
        <v/>
      </c>
      <c r="BL63" s="55" t="str">
        <f t="shared" si="91"/>
        <v/>
      </c>
      <c r="BM63" s="55" t="str">
        <f t="shared" si="91"/>
        <v/>
      </c>
      <c r="BN63" s="55" t="str">
        <f t="shared" si="91"/>
        <v/>
      </c>
      <c r="BO63" s="55" t="str">
        <f t="shared" si="91"/>
        <v/>
      </c>
      <c r="BP63" s="55" t="str">
        <f t="shared" si="91"/>
        <v/>
      </c>
      <c r="BQ63" s="55" t="str">
        <f t="shared" si="91"/>
        <v/>
      </c>
      <c r="BR63" s="55" t="str">
        <f t="shared" si="91"/>
        <v/>
      </c>
      <c r="BS63" s="55" t="str">
        <f t="shared" si="91"/>
        <v/>
      </c>
      <c r="BT63" s="55" t="str">
        <f t="shared" si="91"/>
        <v/>
      </c>
      <c r="BU63" s="55" t="str">
        <f t="shared" ref="BU63:DP64" si="99">IF($B63=BU$12,$U63,"")</f>
        <v/>
      </c>
      <c r="BV63" s="55" t="str">
        <f t="shared" si="99"/>
        <v/>
      </c>
      <c r="BW63" s="55" t="str">
        <f t="shared" si="99"/>
        <v/>
      </c>
      <c r="BX63" s="55" t="str">
        <f t="shared" si="99"/>
        <v/>
      </c>
      <c r="BY63" s="55" t="str">
        <f t="shared" si="99"/>
        <v/>
      </c>
      <c r="BZ63" s="55" t="str">
        <f t="shared" si="99"/>
        <v/>
      </c>
      <c r="CA63" s="55" t="str">
        <f t="shared" si="99"/>
        <v/>
      </c>
      <c r="CB63" s="55" t="str">
        <f t="shared" si="99"/>
        <v/>
      </c>
      <c r="CC63" s="55" t="str">
        <f t="shared" si="99"/>
        <v/>
      </c>
      <c r="CD63" s="55" t="str">
        <f t="shared" si="99"/>
        <v/>
      </c>
      <c r="CE63" s="55" t="str">
        <f t="shared" si="99"/>
        <v/>
      </c>
      <c r="CF63" s="55" t="str">
        <f t="shared" si="99"/>
        <v/>
      </c>
      <c r="CG63" s="55" t="str">
        <f t="shared" si="99"/>
        <v/>
      </c>
      <c r="CH63" s="55" t="str">
        <f t="shared" si="99"/>
        <v/>
      </c>
      <c r="CI63" s="55" t="str">
        <f t="shared" si="99"/>
        <v/>
      </c>
      <c r="CJ63" s="55" t="str">
        <f t="shared" si="99"/>
        <v/>
      </c>
      <c r="CK63" s="55" t="str">
        <f t="shared" si="99"/>
        <v/>
      </c>
      <c r="CL63" s="55" t="str">
        <f t="shared" si="99"/>
        <v/>
      </c>
      <c r="CM63" s="55" t="str">
        <f t="shared" si="99"/>
        <v/>
      </c>
      <c r="CN63" s="55" t="str">
        <f t="shared" si="99"/>
        <v/>
      </c>
      <c r="CO63" s="55" t="str">
        <f t="shared" si="99"/>
        <v/>
      </c>
      <c r="CP63" s="55" t="str">
        <f t="shared" si="99"/>
        <v/>
      </c>
      <c r="CQ63" s="55" t="str">
        <f t="shared" si="99"/>
        <v/>
      </c>
      <c r="CR63" s="55" t="str">
        <f t="shared" si="99"/>
        <v/>
      </c>
      <c r="CS63" s="55" t="str">
        <f t="shared" si="99"/>
        <v/>
      </c>
      <c r="CT63" s="55" t="str">
        <f t="shared" si="99"/>
        <v/>
      </c>
      <c r="CU63" s="55" t="str">
        <f t="shared" si="99"/>
        <v/>
      </c>
      <c r="CV63" s="55" t="str">
        <f t="shared" si="99"/>
        <v/>
      </c>
      <c r="CW63" s="55" t="str">
        <f t="shared" si="99"/>
        <v/>
      </c>
      <c r="CX63" s="55" t="str">
        <f t="shared" si="99"/>
        <v/>
      </c>
      <c r="CY63" s="55" t="str">
        <f t="shared" si="99"/>
        <v/>
      </c>
      <c r="CZ63" s="55" t="str">
        <f t="shared" si="99"/>
        <v/>
      </c>
      <c r="DA63" s="55" t="str">
        <f t="shared" si="99"/>
        <v/>
      </c>
      <c r="DB63" s="55" t="str">
        <f t="shared" si="99"/>
        <v/>
      </c>
      <c r="DC63" s="55" t="str">
        <f t="shared" si="99"/>
        <v/>
      </c>
      <c r="DD63" s="55" t="str">
        <f t="shared" si="99"/>
        <v/>
      </c>
      <c r="DE63" s="55" t="str">
        <f t="shared" si="99"/>
        <v/>
      </c>
      <c r="DF63" s="55" t="str">
        <f t="shared" si="99"/>
        <v/>
      </c>
      <c r="DG63" s="55" t="str">
        <f t="shared" si="99"/>
        <v/>
      </c>
      <c r="DH63" s="55" t="str">
        <f t="shared" si="99"/>
        <v/>
      </c>
      <c r="DI63" s="55" t="str">
        <f t="shared" si="99"/>
        <v/>
      </c>
      <c r="DJ63" s="55" t="str">
        <f t="shared" si="99"/>
        <v/>
      </c>
      <c r="DK63" s="55" t="str">
        <f t="shared" si="99"/>
        <v/>
      </c>
      <c r="DL63" s="55" t="str">
        <f t="shared" si="99"/>
        <v/>
      </c>
      <c r="DM63" s="55" t="str">
        <f t="shared" si="99"/>
        <v/>
      </c>
      <c r="DN63" s="55" t="str">
        <f t="shared" si="99"/>
        <v/>
      </c>
      <c r="DO63" s="55" t="str">
        <f t="shared" si="99"/>
        <v/>
      </c>
      <c r="DP63" s="55" t="str">
        <f t="shared" si="97"/>
        <v/>
      </c>
      <c r="DQ63" s="55" t="str">
        <f t="shared" si="97"/>
        <v/>
      </c>
      <c r="DR63" s="55" t="str">
        <f t="shared" si="97"/>
        <v/>
      </c>
      <c r="DS63" s="55" t="str">
        <f t="shared" si="97"/>
        <v/>
      </c>
      <c r="DT63" s="106" t="str">
        <f t="shared" si="97"/>
        <v/>
      </c>
      <c r="DU63" s="54"/>
      <c r="DV63" s="25"/>
      <c r="DW63" s="61" t="str">
        <f t="shared" si="93"/>
        <v/>
      </c>
      <c r="DX63" s="50" t="str">
        <f t="shared" si="93"/>
        <v/>
      </c>
      <c r="DY63" s="50" t="str">
        <f t="shared" si="93"/>
        <v/>
      </c>
      <c r="DZ63" s="50" t="str">
        <f t="shared" si="93"/>
        <v/>
      </c>
      <c r="EA63" s="50" t="str">
        <f t="shared" si="93"/>
        <v/>
      </c>
      <c r="EB63" s="50" t="str">
        <f t="shared" si="93"/>
        <v/>
      </c>
      <c r="EC63" s="50" t="str">
        <f t="shared" si="93"/>
        <v/>
      </c>
      <c r="ED63" s="50" t="str">
        <f t="shared" si="93"/>
        <v/>
      </c>
      <c r="EE63" s="50" t="str">
        <f t="shared" si="93"/>
        <v/>
      </c>
      <c r="EF63" s="50" t="str">
        <f t="shared" si="93"/>
        <v/>
      </c>
      <c r="EG63" s="50" t="str">
        <f t="shared" si="93"/>
        <v/>
      </c>
      <c r="EH63" s="50" t="str">
        <f t="shared" si="93"/>
        <v/>
      </c>
      <c r="EI63" s="50" t="str">
        <f t="shared" si="93"/>
        <v/>
      </c>
      <c r="EJ63" s="50" t="str">
        <f t="shared" si="93"/>
        <v/>
      </c>
      <c r="EK63" s="50" t="str">
        <f t="shared" si="93"/>
        <v/>
      </c>
      <c r="EL63" s="50" t="str">
        <f t="shared" si="93"/>
        <v/>
      </c>
      <c r="EM63" s="50" t="str">
        <f t="shared" si="94"/>
        <v/>
      </c>
      <c r="EN63" s="50" t="str">
        <f t="shared" si="94"/>
        <v/>
      </c>
      <c r="EO63" s="50" t="str">
        <f t="shared" si="94"/>
        <v/>
      </c>
      <c r="EP63" s="50" t="str">
        <f t="shared" si="94"/>
        <v/>
      </c>
      <c r="EQ63" s="50" t="str">
        <f t="shared" si="94"/>
        <v/>
      </c>
      <c r="ER63" s="50" t="str">
        <f t="shared" si="94"/>
        <v/>
      </c>
      <c r="ES63" s="50" t="str">
        <f t="shared" si="94"/>
        <v/>
      </c>
      <c r="ET63" s="50" t="str">
        <f t="shared" si="94"/>
        <v/>
      </c>
      <c r="EU63" s="50" t="str">
        <f t="shared" si="94"/>
        <v/>
      </c>
      <c r="EV63" s="50" t="str">
        <f t="shared" si="94"/>
        <v/>
      </c>
      <c r="EW63" s="50" t="str">
        <f t="shared" si="94"/>
        <v/>
      </c>
      <c r="EX63" s="50" t="str">
        <f t="shared" si="94"/>
        <v/>
      </c>
      <c r="EY63" s="50" t="str">
        <f t="shared" si="94"/>
        <v/>
      </c>
      <c r="EZ63" s="50" t="str">
        <f t="shared" si="94"/>
        <v/>
      </c>
      <c r="FA63" s="50" t="str">
        <f t="shared" si="94"/>
        <v/>
      </c>
      <c r="FB63" s="50" t="str">
        <f t="shared" si="94"/>
        <v/>
      </c>
      <c r="FC63" s="50" t="str">
        <f t="shared" si="95"/>
        <v/>
      </c>
      <c r="FD63" s="50" t="str">
        <f t="shared" si="95"/>
        <v/>
      </c>
      <c r="FE63" s="50" t="str">
        <f t="shared" si="95"/>
        <v/>
      </c>
      <c r="FF63" s="50" t="str">
        <f t="shared" si="95"/>
        <v/>
      </c>
      <c r="FG63" s="50" t="str">
        <f t="shared" si="95"/>
        <v/>
      </c>
      <c r="FH63" s="50" t="str">
        <f t="shared" si="95"/>
        <v/>
      </c>
      <c r="FI63" s="50" t="str">
        <f t="shared" si="95"/>
        <v/>
      </c>
      <c r="FJ63" s="50" t="str">
        <f t="shared" si="95"/>
        <v/>
      </c>
      <c r="FK63" s="50" t="str">
        <f t="shared" si="95"/>
        <v/>
      </c>
      <c r="FL63" s="50" t="str">
        <f t="shared" si="95"/>
        <v/>
      </c>
      <c r="FM63" s="50" t="str">
        <f t="shared" si="95"/>
        <v/>
      </c>
      <c r="FN63" s="50" t="str">
        <f t="shared" si="95"/>
        <v/>
      </c>
      <c r="FO63" s="50" t="str">
        <f t="shared" si="95"/>
        <v/>
      </c>
      <c r="FP63" s="50" t="str">
        <f t="shared" si="95"/>
        <v/>
      </c>
      <c r="FQ63" s="50" t="str">
        <f t="shared" si="95"/>
        <v/>
      </c>
      <c r="FR63" s="50" t="str">
        <f t="shared" si="95"/>
        <v/>
      </c>
      <c r="FS63" s="50" t="str">
        <f t="shared" ref="FS63:HN64" si="100">IF($B63=FS$12,$O63,"")</f>
        <v/>
      </c>
      <c r="FT63" s="50" t="str">
        <f t="shared" si="100"/>
        <v/>
      </c>
      <c r="FU63" s="50" t="str">
        <f t="shared" si="100"/>
        <v/>
      </c>
      <c r="FV63" s="50" t="str">
        <f t="shared" si="100"/>
        <v/>
      </c>
      <c r="FW63" s="50" t="str">
        <f t="shared" si="100"/>
        <v/>
      </c>
      <c r="FX63" s="50" t="str">
        <f t="shared" si="100"/>
        <v/>
      </c>
      <c r="FY63" s="50" t="str">
        <f t="shared" si="100"/>
        <v/>
      </c>
      <c r="FZ63" s="50" t="str">
        <f t="shared" si="100"/>
        <v/>
      </c>
      <c r="GA63" s="50" t="str">
        <f t="shared" si="100"/>
        <v/>
      </c>
      <c r="GB63" s="50" t="str">
        <f t="shared" si="100"/>
        <v/>
      </c>
      <c r="GC63" s="50" t="str">
        <f t="shared" si="100"/>
        <v/>
      </c>
      <c r="GD63" s="50" t="str">
        <f t="shared" si="100"/>
        <v/>
      </c>
      <c r="GE63" s="50" t="str">
        <f t="shared" si="100"/>
        <v/>
      </c>
      <c r="GF63" s="50" t="str">
        <f t="shared" si="100"/>
        <v/>
      </c>
      <c r="GG63" s="50" t="str">
        <f t="shared" si="100"/>
        <v/>
      </c>
      <c r="GH63" s="50" t="str">
        <f t="shared" si="100"/>
        <v/>
      </c>
      <c r="GI63" s="50" t="str">
        <f t="shared" si="100"/>
        <v/>
      </c>
      <c r="GJ63" s="50" t="str">
        <f t="shared" si="100"/>
        <v/>
      </c>
      <c r="GK63" s="50" t="str">
        <f t="shared" si="100"/>
        <v/>
      </c>
      <c r="GL63" s="50" t="str">
        <f t="shared" si="100"/>
        <v/>
      </c>
      <c r="GM63" s="50" t="str">
        <f t="shared" si="100"/>
        <v/>
      </c>
      <c r="GN63" s="50" t="str">
        <f t="shared" si="100"/>
        <v/>
      </c>
      <c r="GO63" s="50" t="str">
        <f t="shared" si="100"/>
        <v/>
      </c>
      <c r="GP63" s="50" t="str">
        <f t="shared" si="100"/>
        <v/>
      </c>
      <c r="GQ63" s="50" t="str">
        <f t="shared" si="100"/>
        <v/>
      </c>
      <c r="GR63" s="50" t="str">
        <f t="shared" si="100"/>
        <v/>
      </c>
      <c r="GS63" s="50" t="str">
        <f t="shared" si="100"/>
        <v/>
      </c>
      <c r="GT63" s="50" t="str">
        <f t="shared" si="100"/>
        <v/>
      </c>
      <c r="GU63" s="50" t="str">
        <f t="shared" si="100"/>
        <v/>
      </c>
      <c r="GV63" s="50" t="str">
        <f t="shared" si="100"/>
        <v/>
      </c>
      <c r="GW63" s="50" t="str">
        <f t="shared" si="100"/>
        <v/>
      </c>
      <c r="GX63" s="50" t="str">
        <f t="shared" si="100"/>
        <v/>
      </c>
      <c r="GY63" s="50" t="str">
        <f t="shared" si="100"/>
        <v/>
      </c>
      <c r="GZ63" s="50" t="str">
        <f t="shared" si="100"/>
        <v/>
      </c>
      <c r="HA63" s="50" t="str">
        <f t="shared" si="100"/>
        <v/>
      </c>
      <c r="HB63" s="50" t="str">
        <f t="shared" si="100"/>
        <v/>
      </c>
      <c r="HC63" s="50" t="str">
        <f t="shared" si="100"/>
        <v/>
      </c>
      <c r="HD63" s="50" t="str">
        <f t="shared" si="100"/>
        <v/>
      </c>
      <c r="HE63" s="50" t="str">
        <f t="shared" si="100"/>
        <v/>
      </c>
      <c r="HF63" s="50" t="str">
        <f t="shared" si="100"/>
        <v/>
      </c>
      <c r="HG63" s="50" t="str">
        <f t="shared" si="100"/>
        <v/>
      </c>
      <c r="HH63" s="50" t="str">
        <f t="shared" si="100"/>
        <v/>
      </c>
      <c r="HI63" s="50" t="str">
        <f t="shared" si="100"/>
        <v/>
      </c>
      <c r="HJ63" s="50" t="str">
        <f t="shared" si="100"/>
        <v/>
      </c>
      <c r="HK63" s="50" t="str">
        <f t="shared" si="100"/>
        <v/>
      </c>
      <c r="HL63" s="50" t="str">
        <f t="shared" si="100"/>
        <v/>
      </c>
      <c r="HM63" s="50" t="str">
        <f t="shared" si="100"/>
        <v/>
      </c>
      <c r="HN63" s="50" t="str">
        <f t="shared" si="98"/>
        <v/>
      </c>
      <c r="HO63" s="50" t="str">
        <f t="shared" si="98"/>
        <v/>
      </c>
      <c r="HP63" s="50" t="str">
        <f t="shared" si="98"/>
        <v/>
      </c>
      <c r="HQ63" s="50" t="str">
        <f t="shared" si="98"/>
        <v/>
      </c>
      <c r="HR63" s="112" t="str">
        <f t="shared" si="98"/>
        <v/>
      </c>
    </row>
    <row r="64" spans="1:226" ht="11.1" customHeight="1" thickBot="1" x14ac:dyDescent="0.3">
      <c r="A64" s="36"/>
      <c r="B64" s="37"/>
      <c r="C64" s="38" t="str">
        <f>IF(A64=0,"",VLOOKUP(A64,[2]CO!$A$3:$F$5327,2,0))</f>
        <v/>
      </c>
      <c r="D64" s="39"/>
      <c r="E64" s="39"/>
      <c r="F64" s="103" t="str">
        <f t="shared" si="86"/>
        <v/>
      </c>
      <c r="G64" s="40" t="str">
        <f>IF(A64=0,"",VLOOKUP(A64,[2]CO!$A$3:$F$5327,3,0))</f>
        <v/>
      </c>
      <c r="H64" s="97"/>
      <c r="I64" s="41"/>
      <c r="J64" s="41"/>
      <c r="K64" s="41"/>
      <c r="L64" s="41"/>
      <c r="M64" s="42" t="str">
        <f>IF(L64=0,"",PRODUCT(I64:L64))</f>
        <v/>
      </c>
      <c r="N64" s="42" t="str">
        <f>IF(B64=0,"",IF(H64="M",HLOOKUP(B64,$Y$12:$DT$13,2),IF(A64=0,"",VLOOKUP(A64,[2]CO!$A$3:$F$5327,4,0))))</f>
        <v/>
      </c>
      <c r="O64" s="42" t="str">
        <f t="shared" si="7"/>
        <v/>
      </c>
      <c r="P64" s="37"/>
      <c r="Q64" s="43" t="str">
        <f t="shared" si="88"/>
        <v/>
      </c>
      <c r="R64" s="44"/>
      <c r="T64" s="53" t="str">
        <f>IF(A64=0,"",VLOOKUP(A64,[2]CO!$A$3:$F$5318,5,0))</f>
        <v/>
      </c>
      <c r="U64" s="54">
        <f t="shared" si="52"/>
        <v>0</v>
      </c>
      <c r="V64" s="24"/>
      <c r="W64" s="24"/>
      <c r="X64" s="24"/>
      <c r="Y64" s="76" t="str">
        <f t="shared" si="89"/>
        <v/>
      </c>
      <c r="Z64" s="77" t="str">
        <f t="shared" si="89"/>
        <v/>
      </c>
      <c r="AA64" s="77" t="str">
        <f t="shared" si="89"/>
        <v/>
      </c>
      <c r="AB64" s="77" t="str">
        <f t="shared" si="89"/>
        <v/>
      </c>
      <c r="AC64" s="77" t="str">
        <f t="shared" si="89"/>
        <v/>
      </c>
      <c r="AD64" s="77" t="str">
        <f t="shared" si="89"/>
        <v/>
      </c>
      <c r="AE64" s="77" t="str">
        <f t="shared" si="89"/>
        <v/>
      </c>
      <c r="AF64" s="77" t="str">
        <f t="shared" si="89"/>
        <v/>
      </c>
      <c r="AG64" s="77" t="str">
        <f t="shared" si="89"/>
        <v/>
      </c>
      <c r="AH64" s="77" t="str">
        <f t="shared" si="89"/>
        <v/>
      </c>
      <c r="AI64" s="77" t="str">
        <f t="shared" si="89"/>
        <v/>
      </c>
      <c r="AJ64" s="77" t="str">
        <f t="shared" si="89"/>
        <v/>
      </c>
      <c r="AK64" s="77" t="str">
        <f t="shared" si="89"/>
        <v/>
      </c>
      <c r="AL64" s="77" t="str">
        <f t="shared" si="89"/>
        <v/>
      </c>
      <c r="AM64" s="77" t="str">
        <f t="shared" si="89"/>
        <v/>
      </c>
      <c r="AN64" s="77" t="str">
        <f t="shared" si="89"/>
        <v/>
      </c>
      <c r="AO64" s="77" t="str">
        <f t="shared" si="90"/>
        <v/>
      </c>
      <c r="AP64" s="77" t="str">
        <f t="shared" si="90"/>
        <v/>
      </c>
      <c r="AQ64" s="77" t="str">
        <f t="shared" si="90"/>
        <v/>
      </c>
      <c r="AR64" s="77" t="str">
        <f t="shared" si="90"/>
        <v/>
      </c>
      <c r="AS64" s="77" t="str">
        <f t="shared" si="90"/>
        <v/>
      </c>
      <c r="AT64" s="77" t="str">
        <f t="shared" si="90"/>
        <v/>
      </c>
      <c r="AU64" s="77" t="str">
        <f t="shared" si="90"/>
        <v/>
      </c>
      <c r="AV64" s="77" t="str">
        <f t="shared" si="90"/>
        <v/>
      </c>
      <c r="AW64" s="77" t="str">
        <f t="shared" si="90"/>
        <v/>
      </c>
      <c r="AX64" s="77" t="str">
        <f t="shared" si="90"/>
        <v/>
      </c>
      <c r="AY64" s="77" t="str">
        <f t="shared" si="90"/>
        <v/>
      </c>
      <c r="AZ64" s="77" t="str">
        <f t="shared" si="90"/>
        <v/>
      </c>
      <c r="BA64" s="77" t="str">
        <f t="shared" si="90"/>
        <v/>
      </c>
      <c r="BB64" s="77" t="str">
        <f t="shared" si="90"/>
        <v/>
      </c>
      <c r="BC64" s="77" t="str">
        <f t="shared" si="90"/>
        <v/>
      </c>
      <c r="BD64" s="77" t="str">
        <f t="shared" si="90"/>
        <v/>
      </c>
      <c r="BE64" s="77" t="str">
        <f t="shared" si="91"/>
        <v/>
      </c>
      <c r="BF64" s="77" t="str">
        <f t="shared" si="91"/>
        <v/>
      </c>
      <c r="BG64" s="77" t="str">
        <f t="shared" si="91"/>
        <v/>
      </c>
      <c r="BH64" s="77" t="str">
        <f t="shared" si="91"/>
        <v/>
      </c>
      <c r="BI64" s="77" t="str">
        <f t="shared" si="91"/>
        <v/>
      </c>
      <c r="BJ64" s="77" t="str">
        <f t="shared" si="91"/>
        <v/>
      </c>
      <c r="BK64" s="77" t="str">
        <f t="shared" si="91"/>
        <v/>
      </c>
      <c r="BL64" s="77" t="str">
        <f t="shared" si="91"/>
        <v/>
      </c>
      <c r="BM64" s="77" t="str">
        <f t="shared" si="91"/>
        <v/>
      </c>
      <c r="BN64" s="77" t="str">
        <f t="shared" si="91"/>
        <v/>
      </c>
      <c r="BO64" s="77" t="str">
        <f t="shared" si="91"/>
        <v/>
      </c>
      <c r="BP64" s="77" t="str">
        <f t="shared" si="91"/>
        <v/>
      </c>
      <c r="BQ64" s="77" t="str">
        <f t="shared" si="91"/>
        <v/>
      </c>
      <c r="BR64" s="77" t="str">
        <f t="shared" si="91"/>
        <v/>
      </c>
      <c r="BS64" s="77" t="str">
        <f t="shared" si="91"/>
        <v/>
      </c>
      <c r="BT64" s="77" t="str">
        <f t="shared" si="91"/>
        <v/>
      </c>
      <c r="BU64" s="77" t="str">
        <f t="shared" si="99"/>
        <v/>
      </c>
      <c r="BV64" s="77" t="str">
        <f t="shared" si="99"/>
        <v/>
      </c>
      <c r="BW64" s="77" t="str">
        <f t="shared" si="99"/>
        <v/>
      </c>
      <c r="BX64" s="77" t="str">
        <f t="shared" si="99"/>
        <v/>
      </c>
      <c r="BY64" s="77" t="str">
        <f t="shared" si="99"/>
        <v/>
      </c>
      <c r="BZ64" s="77" t="str">
        <f t="shared" si="99"/>
        <v/>
      </c>
      <c r="CA64" s="77" t="str">
        <f t="shared" si="99"/>
        <v/>
      </c>
      <c r="CB64" s="77" t="str">
        <f t="shared" si="99"/>
        <v/>
      </c>
      <c r="CC64" s="77" t="str">
        <f t="shared" si="99"/>
        <v/>
      </c>
      <c r="CD64" s="77" t="str">
        <f t="shared" si="99"/>
        <v/>
      </c>
      <c r="CE64" s="77" t="str">
        <f t="shared" si="99"/>
        <v/>
      </c>
      <c r="CF64" s="77" t="str">
        <f t="shared" si="99"/>
        <v/>
      </c>
      <c r="CG64" s="77" t="str">
        <f t="shared" si="99"/>
        <v/>
      </c>
      <c r="CH64" s="77" t="str">
        <f t="shared" si="99"/>
        <v/>
      </c>
      <c r="CI64" s="77" t="str">
        <f t="shared" si="99"/>
        <v/>
      </c>
      <c r="CJ64" s="77" t="str">
        <f t="shared" si="99"/>
        <v/>
      </c>
      <c r="CK64" s="77" t="str">
        <f t="shared" si="99"/>
        <v/>
      </c>
      <c r="CL64" s="77" t="str">
        <f t="shared" si="99"/>
        <v/>
      </c>
      <c r="CM64" s="77" t="str">
        <f t="shared" si="99"/>
        <v/>
      </c>
      <c r="CN64" s="77" t="str">
        <f t="shared" si="99"/>
        <v/>
      </c>
      <c r="CO64" s="77" t="str">
        <f t="shared" si="99"/>
        <v/>
      </c>
      <c r="CP64" s="77" t="str">
        <f t="shared" si="99"/>
        <v/>
      </c>
      <c r="CQ64" s="77" t="str">
        <f t="shared" si="99"/>
        <v/>
      </c>
      <c r="CR64" s="77" t="str">
        <f t="shared" si="99"/>
        <v/>
      </c>
      <c r="CS64" s="77" t="str">
        <f t="shared" si="99"/>
        <v/>
      </c>
      <c r="CT64" s="77" t="str">
        <f t="shared" si="99"/>
        <v/>
      </c>
      <c r="CU64" s="77" t="str">
        <f t="shared" si="99"/>
        <v/>
      </c>
      <c r="CV64" s="77" t="str">
        <f t="shared" si="99"/>
        <v/>
      </c>
      <c r="CW64" s="77" t="str">
        <f t="shared" si="99"/>
        <v/>
      </c>
      <c r="CX64" s="77" t="str">
        <f t="shared" si="99"/>
        <v/>
      </c>
      <c r="CY64" s="77" t="str">
        <f t="shared" si="99"/>
        <v/>
      </c>
      <c r="CZ64" s="77" t="str">
        <f t="shared" si="99"/>
        <v/>
      </c>
      <c r="DA64" s="77" t="str">
        <f t="shared" si="99"/>
        <v/>
      </c>
      <c r="DB64" s="77" t="str">
        <f t="shared" si="99"/>
        <v/>
      </c>
      <c r="DC64" s="77" t="str">
        <f t="shared" si="99"/>
        <v/>
      </c>
      <c r="DD64" s="77" t="str">
        <f t="shared" si="99"/>
        <v/>
      </c>
      <c r="DE64" s="77" t="str">
        <f t="shared" si="99"/>
        <v/>
      </c>
      <c r="DF64" s="77" t="str">
        <f t="shared" si="99"/>
        <v/>
      </c>
      <c r="DG64" s="77" t="str">
        <f t="shared" si="99"/>
        <v/>
      </c>
      <c r="DH64" s="77" t="str">
        <f t="shared" si="99"/>
        <v/>
      </c>
      <c r="DI64" s="77" t="str">
        <f t="shared" si="99"/>
        <v/>
      </c>
      <c r="DJ64" s="77" t="str">
        <f t="shared" si="99"/>
        <v/>
      </c>
      <c r="DK64" s="77" t="str">
        <f t="shared" si="99"/>
        <v/>
      </c>
      <c r="DL64" s="77" t="str">
        <f t="shared" si="99"/>
        <v/>
      </c>
      <c r="DM64" s="77" t="str">
        <f t="shared" si="99"/>
        <v/>
      </c>
      <c r="DN64" s="77" t="str">
        <f t="shared" si="99"/>
        <v/>
      </c>
      <c r="DO64" s="77" t="str">
        <f t="shared" si="99"/>
        <v/>
      </c>
      <c r="DP64" s="77" t="str">
        <f t="shared" si="99"/>
        <v/>
      </c>
      <c r="DQ64" s="77" t="str">
        <f t="shared" si="97"/>
        <v/>
      </c>
      <c r="DR64" s="77" t="str">
        <f t="shared" si="97"/>
        <v/>
      </c>
      <c r="DS64" s="77" t="str">
        <f t="shared" si="97"/>
        <v/>
      </c>
      <c r="DT64" s="107" t="str">
        <f t="shared" si="97"/>
        <v/>
      </c>
      <c r="DU64" s="54"/>
      <c r="DV64" s="21"/>
      <c r="DW64" s="78" t="str">
        <f t="shared" si="93"/>
        <v/>
      </c>
      <c r="DX64" s="79" t="str">
        <f t="shared" si="93"/>
        <v/>
      </c>
      <c r="DY64" s="79" t="str">
        <f t="shared" si="93"/>
        <v/>
      </c>
      <c r="DZ64" s="79" t="str">
        <f t="shared" si="93"/>
        <v/>
      </c>
      <c r="EA64" s="79" t="str">
        <f t="shared" si="93"/>
        <v/>
      </c>
      <c r="EB64" s="79" t="str">
        <f t="shared" si="93"/>
        <v/>
      </c>
      <c r="EC64" s="79" t="str">
        <f t="shared" si="93"/>
        <v/>
      </c>
      <c r="ED64" s="79" t="str">
        <f t="shared" si="93"/>
        <v/>
      </c>
      <c r="EE64" s="79" t="str">
        <f t="shared" si="93"/>
        <v/>
      </c>
      <c r="EF64" s="79" t="str">
        <f t="shared" si="93"/>
        <v/>
      </c>
      <c r="EG64" s="79" t="str">
        <f t="shared" si="93"/>
        <v/>
      </c>
      <c r="EH64" s="79" t="str">
        <f t="shared" si="93"/>
        <v/>
      </c>
      <c r="EI64" s="79" t="str">
        <f t="shared" si="93"/>
        <v/>
      </c>
      <c r="EJ64" s="79" t="str">
        <f t="shared" si="93"/>
        <v/>
      </c>
      <c r="EK64" s="79" t="str">
        <f t="shared" si="93"/>
        <v/>
      </c>
      <c r="EL64" s="79" t="str">
        <f t="shared" si="93"/>
        <v/>
      </c>
      <c r="EM64" s="79" t="str">
        <f t="shared" si="94"/>
        <v/>
      </c>
      <c r="EN64" s="79" t="str">
        <f t="shared" si="94"/>
        <v/>
      </c>
      <c r="EO64" s="79" t="str">
        <f t="shared" si="94"/>
        <v/>
      </c>
      <c r="EP64" s="79" t="str">
        <f t="shared" si="94"/>
        <v/>
      </c>
      <c r="EQ64" s="79" t="str">
        <f t="shared" si="94"/>
        <v/>
      </c>
      <c r="ER64" s="79" t="str">
        <f t="shared" si="94"/>
        <v/>
      </c>
      <c r="ES64" s="79" t="str">
        <f t="shared" si="94"/>
        <v/>
      </c>
      <c r="ET64" s="79" t="str">
        <f t="shared" si="94"/>
        <v/>
      </c>
      <c r="EU64" s="79" t="str">
        <f t="shared" si="94"/>
        <v/>
      </c>
      <c r="EV64" s="79" t="str">
        <f t="shared" si="94"/>
        <v/>
      </c>
      <c r="EW64" s="79" t="str">
        <f t="shared" si="94"/>
        <v/>
      </c>
      <c r="EX64" s="79" t="str">
        <f t="shared" si="94"/>
        <v/>
      </c>
      <c r="EY64" s="79" t="str">
        <f t="shared" si="94"/>
        <v/>
      </c>
      <c r="EZ64" s="79" t="str">
        <f t="shared" si="94"/>
        <v/>
      </c>
      <c r="FA64" s="79" t="str">
        <f t="shared" si="94"/>
        <v/>
      </c>
      <c r="FB64" s="79" t="str">
        <f t="shared" si="94"/>
        <v/>
      </c>
      <c r="FC64" s="79" t="str">
        <f t="shared" si="95"/>
        <v/>
      </c>
      <c r="FD64" s="79" t="str">
        <f t="shared" si="95"/>
        <v/>
      </c>
      <c r="FE64" s="79" t="str">
        <f t="shared" si="95"/>
        <v/>
      </c>
      <c r="FF64" s="79" t="str">
        <f t="shared" si="95"/>
        <v/>
      </c>
      <c r="FG64" s="79" t="str">
        <f t="shared" si="95"/>
        <v/>
      </c>
      <c r="FH64" s="79" t="str">
        <f t="shared" si="95"/>
        <v/>
      </c>
      <c r="FI64" s="79" t="str">
        <f t="shared" si="95"/>
        <v/>
      </c>
      <c r="FJ64" s="79" t="str">
        <f t="shared" si="95"/>
        <v/>
      </c>
      <c r="FK64" s="79" t="str">
        <f t="shared" si="95"/>
        <v/>
      </c>
      <c r="FL64" s="79" t="str">
        <f t="shared" si="95"/>
        <v/>
      </c>
      <c r="FM64" s="79" t="str">
        <f t="shared" si="95"/>
        <v/>
      </c>
      <c r="FN64" s="79" t="str">
        <f t="shared" si="95"/>
        <v/>
      </c>
      <c r="FO64" s="79" t="str">
        <f t="shared" si="95"/>
        <v/>
      </c>
      <c r="FP64" s="79" t="str">
        <f t="shared" si="95"/>
        <v/>
      </c>
      <c r="FQ64" s="79" t="str">
        <f t="shared" si="95"/>
        <v/>
      </c>
      <c r="FR64" s="79" t="str">
        <f t="shared" si="95"/>
        <v/>
      </c>
      <c r="FS64" s="79" t="str">
        <f t="shared" si="100"/>
        <v/>
      </c>
      <c r="FT64" s="79" t="str">
        <f t="shared" si="100"/>
        <v/>
      </c>
      <c r="FU64" s="79" t="str">
        <f t="shared" si="100"/>
        <v/>
      </c>
      <c r="FV64" s="79" t="str">
        <f t="shared" si="100"/>
        <v/>
      </c>
      <c r="FW64" s="79" t="str">
        <f t="shared" si="100"/>
        <v/>
      </c>
      <c r="FX64" s="79" t="str">
        <f t="shared" si="100"/>
        <v/>
      </c>
      <c r="FY64" s="79" t="str">
        <f t="shared" si="100"/>
        <v/>
      </c>
      <c r="FZ64" s="79" t="str">
        <f t="shared" si="100"/>
        <v/>
      </c>
      <c r="GA64" s="79" t="str">
        <f t="shared" si="100"/>
        <v/>
      </c>
      <c r="GB64" s="79" t="str">
        <f t="shared" si="100"/>
        <v/>
      </c>
      <c r="GC64" s="79" t="str">
        <f t="shared" si="100"/>
        <v/>
      </c>
      <c r="GD64" s="79" t="str">
        <f t="shared" si="100"/>
        <v/>
      </c>
      <c r="GE64" s="79" t="str">
        <f t="shared" si="100"/>
        <v/>
      </c>
      <c r="GF64" s="79" t="str">
        <f t="shared" si="100"/>
        <v/>
      </c>
      <c r="GG64" s="79" t="str">
        <f t="shared" si="100"/>
        <v/>
      </c>
      <c r="GH64" s="79" t="str">
        <f t="shared" si="100"/>
        <v/>
      </c>
      <c r="GI64" s="79" t="str">
        <f t="shared" si="100"/>
        <v/>
      </c>
      <c r="GJ64" s="79" t="str">
        <f t="shared" si="100"/>
        <v/>
      </c>
      <c r="GK64" s="79" t="str">
        <f t="shared" si="100"/>
        <v/>
      </c>
      <c r="GL64" s="79" t="str">
        <f t="shared" si="100"/>
        <v/>
      </c>
      <c r="GM64" s="79" t="str">
        <f t="shared" si="100"/>
        <v/>
      </c>
      <c r="GN64" s="79" t="str">
        <f t="shared" si="100"/>
        <v/>
      </c>
      <c r="GO64" s="79" t="str">
        <f t="shared" si="100"/>
        <v/>
      </c>
      <c r="GP64" s="79" t="str">
        <f t="shared" si="100"/>
        <v/>
      </c>
      <c r="GQ64" s="79" t="str">
        <f t="shared" si="100"/>
        <v/>
      </c>
      <c r="GR64" s="79" t="str">
        <f t="shared" si="100"/>
        <v/>
      </c>
      <c r="GS64" s="79" t="str">
        <f t="shared" si="100"/>
        <v/>
      </c>
      <c r="GT64" s="79" t="str">
        <f t="shared" si="100"/>
        <v/>
      </c>
      <c r="GU64" s="79" t="str">
        <f t="shared" si="100"/>
        <v/>
      </c>
      <c r="GV64" s="79" t="str">
        <f t="shared" si="100"/>
        <v/>
      </c>
      <c r="GW64" s="79" t="str">
        <f t="shared" si="100"/>
        <v/>
      </c>
      <c r="GX64" s="79" t="str">
        <f t="shared" si="100"/>
        <v/>
      </c>
      <c r="GY64" s="79" t="str">
        <f t="shared" si="100"/>
        <v/>
      </c>
      <c r="GZ64" s="79" t="str">
        <f t="shared" si="100"/>
        <v/>
      </c>
      <c r="HA64" s="79" t="str">
        <f t="shared" si="100"/>
        <v/>
      </c>
      <c r="HB64" s="79" t="str">
        <f t="shared" si="100"/>
        <v/>
      </c>
      <c r="HC64" s="79" t="str">
        <f t="shared" si="100"/>
        <v/>
      </c>
      <c r="HD64" s="79" t="str">
        <f t="shared" si="100"/>
        <v/>
      </c>
      <c r="HE64" s="79" t="str">
        <f t="shared" si="100"/>
        <v/>
      </c>
      <c r="HF64" s="79" t="str">
        <f t="shared" si="100"/>
        <v/>
      </c>
      <c r="HG64" s="79" t="str">
        <f t="shared" si="100"/>
        <v/>
      </c>
      <c r="HH64" s="79" t="str">
        <f t="shared" si="100"/>
        <v/>
      </c>
      <c r="HI64" s="79" t="str">
        <f t="shared" si="100"/>
        <v/>
      </c>
      <c r="HJ64" s="79" t="str">
        <f t="shared" si="100"/>
        <v/>
      </c>
      <c r="HK64" s="79" t="str">
        <f t="shared" si="100"/>
        <v/>
      </c>
      <c r="HL64" s="79" t="str">
        <f t="shared" si="100"/>
        <v/>
      </c>
      <c r="HM64" s="79" t="str">
        <f t="shared" si="100"/>
        <v/>
      </c>
      <c r="HN64" s="79" t="str">
        <f t="shared" si="100"/>
        <v/>
      </c>
      <c r="HO64" s="79" t="str">
        <f t="shared" si="98"/>
        <v/>
      </c>
      <c r="HP64" s="79" t="str">
        <f t="shared" si="98"/>
        <v/>
      </c>
      <c r="HQ64" s="79" t="str">
        <f t="shared" si="98"/>
        <v/>
      </c>
      <c r="HR64" s="113" t="str">
        <f t="shared" si="98"/>
        <v/>
      </c>
    </row>
    <row r="65" spans="1:152" ht="10.199999999999999" customHeight="1" x14ac:dyDescent="0.25">
      <c r="A65" s="45"/>
      <c r="B65" s="23"/>
      <c r="C65" s="23" t="str">
        <f>IF(A65=0,"",VLOOKUP(A65,#REF!,2,0))</f>
        <v/>
      </c>
      <c r="D65" s="23"/>
      <c r="E65" s="23"/>
      <c r="F65" s="23"/>
      <c r="G65" s="23"/>
      <c r="H65" s="23"/>
      <c r="I65" s="46"/>
      <c r="J65" s="46"/>
      <c r="K65" s="46"/>
      <c r="L65" s="46"/>
      <c r="M65" s="47"/>
      <c r="N65" s="47"/>
      <c r="O65" s="47"/>
      <c r="P65" s="23"/>
      <c r="Q65" s="23"/>
      <c r="R65" s="23"/>
      <c r="T65" s="21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1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21"/>
      <c r="DS65" s="21"/>
      <c r="DT65" s="21"/>
      <c r="DU65" s="21"/>
      <c r="DV65" s="21"/>
      <c r="DW65" s="21"/>
      <c r="DX65" s="21"/>
      <c r="DY65" s="21"/>
      <c r="DZ65" s="21"/>
      <c r="EA65" s="21"/>
      <c r="EB65" s="21"/>
      <c r="EC65" s="21"/>
      <c r="ED65" s="21"/>
      <c r="EE65" s="21"/>
      <c r="EF65" s="21"/>
      <c r="EG65" s="21"/>
      <c r="EH65" s="21"/>
      <c r="EI65" s="21"/>
      <c r="EJ65" s="21"/>
      <c r="EK65" s="21"/>
      <c r="EL65" s="21"/>
      <c r="EM65" s="21"/>
      <c r="EN65" s="21"/>
      <c r="EO65" s="21"/>
      <c r="EP65" s="21"/>
      <c r="EQ65" s="21"/>
      <c r="ER65" s="21"/>
      <c r="ES65" s="21"/>
      <c r="ET65" s="22"/>
      <c r="EU65" s="22"/>
      <c r="EV65" s="22"/>
    </row>
    <row r="66" spans="1:152" x14ac:dyDescent="0.25">
      <c r="A66" s="45"/>
      <c r="B66" s="23"/>
      <c r="C66" s="23"/>
      <c r="D66" s="23"/>
      <c r="E66" s="23"/>
      <c r="F66" s="23"/>
      <c r="G66" s="23"/>
      <c r="H66" s="23"/>
      <c r="I66" s="46"/>
      <c r="J66" s="46"/>
      <c r="K66" s="46"/>
      <c r="L66" s="46"/>
      <c r="M66" s="47"/>
      <c r="N66" s="47"/>
      <c r="O66" s="48" t="s">
        <v>17</v>
      </c>
      <c r="P66" s="49"/>
      <c r="Q66" s="104">
        <f>SUM(Q58:Q64)</f>
        <v>1459.2151325070422</v>
      </c>
      <c r="R66" s="104">
        <f>SUM(R58:R64)</f>
        <v>0</v>
      </c>
      <c r="T66" s="21"/>
      <c r="U66" s="24"/>
      <c r="V66" s="24"/>
      <c r="W66" s="24"/>
      <c r="X66" s="24"/>
      <c r="EV66" s="22"/>
    </row>
    <row r="67" spans="1:152" x14ac:dyDescent="0.25">
      <c r="A67" s="45"/>
      <c r="B67" s="23"/>
      <c r="C67" s="23"/>
      <c r="D67" s="23"/>
      <c r="E67" s="23"/>
      <c r="F67" s="23"/>
      <c r="G67" s="23"/>
      <c r="H67" s="23"/>
      <c r="I67" s="46"/>
      <c r="J67" s="46"/>
      <c r="K67" s="46"/>
      <c r="L67" s="46"/>
      <c r="M67" s="47"/>
      <c r="N67" s="47"/>
      <c r="O67" s="47"/>
      <c r="P67" s="23"/>
      <c r="Q67" s="23"/>
      <c r="R67" s="23"/>
      <c r="T67" s="21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1"/>
      <c r="CY67" s="21"/>
      <c r="CZ67" s="21"/>
      <c r="DA67" s="21"/>
      <c r="DB67" s="21"/>
      <c r="DC67" s="2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1"/>
      <c r="DP67" s="21"/>
      <c r="DQ67" s="21"/>
      <c r="DR67" s="21"/>
      <c r="DS67" s="21"/>
      <c r="DT67" s="21"/>
      <c r="DU67" s="21"/>
      <c r="DV67" s="21"/>
      <c r="DW67" s="21"/>
      <c r="DX67" s="21"/>
      <c r="DY67" s="21"/>
      <c r="DZ67" s="21"/>
      <c r="EA67" s="21"/>
      <c r="EB67" s="21"/>
      <c r="EC67" s="21"/>
      <c r="ED67" s="21"/>
      <c r="EE67" s="21"/>
      <c r="EF67" s="21"/>
      <c r="EG67" s="21"/>
      <c r="EH67" s="21"/>
      <c r="EI67" s="21"/>
      <c r="EJ67" s="21"/>
      <c r="EK67" s="21"/>
      <c r="EL67" s="21"/>
      <c r="EM67" s="21"/>
      <c r="EN67" s="21"/>
      <c r="EO67" s="21"/>
      <c r="EP67" s="21"/>
      <c r="EQ67" s="21"/>
      <c r="ER67" s="21"/>
      <c r="ES67" s="21"/>
      <c r="ET67" s="22"/>
      <c r="EU67" s="22"/>
      <c r="EV67" s="22"/>
    </row>
    <row r="68" spans="1:152" x14ac:dyDescent="0.25">
      <c r="A68" s="45"/>
      <c r="B68" s="23"/>
      <c r="C68" s="23"/>
      <c r="D68" s="23"/>
      <c r="E68" s="23"/>
      <c r="F68" s="23"/>
      <c r="G68" s="23"/>
      <c r="H68" s="23"/>
      <c r="I68" s="46"/>
      <c r="J68" s="46"/>
      <c r="K68" s="46"/>
      <c r="L68" s="46"/>
      <c r="M68" s="47"/>
      <c r="N68" s="47"/>
      <c r="O68" s="48" t="s">
        <v>18</v>
      </c>
      <c r="P68" s="23"/>
      <c r="Q68" s="104">
        <f>Q36+Q54+Q66</f>
        <v>25410.226280901406</v>
      </c>
      <c r="R68" s="104"/>
      <c r="T68" s="21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1"/>
      <c r="CY68" s="21"/>
      <c r="CZ68" s="21"/>
      <c r="DA68" s="21"/>
      <c r="DB68" s="21"/>
      <c r="DC68" s="2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1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21"/>
      <c r="EH68" s="21"/>
      <c r="EI68" s="21"/>
      <c r="EJ68" s="21"/>
      <c r="EK68" s="21"/>
      <c r="EL68" s="21"/>
      <c r="EM68" s="21"/>
      <c r="EN68" s="21"/>
      <c r="EO68" s="21"/>
      <c r="EP68" s="21"/>
      <c r="EQ68" s="21"/>
      <c r="ER68" s="21"/>
      <c r="ES68" s="21"/>
      <c r="ET68" s="22"/>
      <c r="EU68" s="22"/>
      <c r="EV68" s="22"/>
    </row>
    <row r="69" spans="1:152" ht="10.199999999999999" customHeight="1" x14ac:dyDescent="0.25"/>
    <row r="70" spans="1:152" ht="10.199999999999999" customHeight="1" x14ac:dyDescent="0.25"/>
    <row r="71" spans="1:152" ht="10.199999999999999" customHeight="1" x14ac:dyDescent="0.25"/>
    <row r="1047601" spans="9:9" x14ac:dyDescent="0.25">
      <c r="I1047601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2026-06-23T21:41:59Z</dcterms:modified>
</cp:coreProperties>
</file>