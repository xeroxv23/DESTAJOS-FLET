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arlo\Desktop\DESTAJOS FLET\exportados\semana_25\"/>
    </mc:Choice>
  </mc:AlternateContent>
  <xr:revisionPtr revIDLastSave="0" documentId="13_ncr:1_{AAAD77C3-B01D-4476-BC9C-884EAA41B634}" xr6:coauthVersionLast="47" xr6:coauthVersionMax="47" xr10:uidLastSave="{00000000-0000-0000-0000-000000000000}"/>
  <bookViews>
    <workbookView xWindow="1920" yWindow="1920" windowWidth="17280" windowHeight="8880" xr2:uid="{00000000-000D-0000-FFFF-FFFF00000000}"/>
  </bookViews>
  <sheets>
    <sheet name="026" sheetId="491" r:id="rId1"/>
  </sheets>
  <functionGroups builtInGroupCount="19"/>
  <externalReferences>
    <externalReference r:id="rId2"/>
    <externalReference r:id="rId3"/>
  </externalReferences>
  <definedNames>
    <definedName name="Pagina">IF(ISNA(MATCH(ROW(), GET.DOCUMENT(64),1)),1, MATCH(ROW(), GET.DOCUMENT(64),1)+1)</definedName>
    <definedName name="PaginadePaginas">"Pagina" &amp; IF(ISNA(MATCH(ROW(), GET.DOCUMENT(64),1)),1,MATCH(ROW(), GET.DOCUMENT(64),1)+1) &amp; " de " &amp; GET.DOCUMENT(50) + 0*NOW()</definedName>
    <definedName name="Paginas">GET.DOCUMENT(50)</definedName>
    <definedName name="Print_Area" localSheetId="0">'026'!$A$1:$R$59</definedName>
    <definedName name="Print_Titles" localSheetId="0">'026'!$1:$14</definedName>
    <definedName name="Print_Titles_1" localSheetId="0">'026'!$1:$14</definedName>
    <definedName name="Print_Titles_2" localSheetId="0">'026'!$1:$14</definedName>
    <definedName name="Print_Titles_3" localSheetId="0">'026'!$1:$14</definedName>
    <definedName name="Print_Titles1" localSheetId="0">'026'!$1:$13</definedName>
    <definedName name="_xlnm.Print_Titles" localSheetId="0">'026'!$1:$14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R41" i="491" l="1"/>
  <c r="HQ41" i="491"/>
  <c r="HP41" i="491"/>
  <c r="HO41" i="491"/>
  <c r="HN41" i="491"/>
  <c r="HM41" i="491"/>
  <c r="HL41" i="491"/>
  <c r="HK41" i="491"/>
  <c r="HJ41" i="491"/>
  <c r="HI41" i="491"/>
  <c r="HH41" i="491"/>
  <c r="HG41" i="491"/>
  <c r="HF41" i="491"/>
  <c r="HE41" i="491"/>
  <c r="HD41" i="491"/>
  <c r="HC41" i="491"/>
  <c r="HB41" i="491"/>
  <c r="HA41" i="491"/>
  <c r="GZ41" i="491"/>
  <c r="GY41" i="491"/>
  <c r="GX41" i="491"/>
  <c r="GW41" i="491"/>
  <c r="GV41" i="491"/>
  <c r="GU41" i="491"/>
  <c r="GT41" i="491"/>
  <c r="GS41" i="491"/>
  <c r="GR41" i="491"/>
  <c r="GQ41" i="491"/>
  <c r="GP41" i="491"/>
  <c r="GO41" i="491"/>
  <c r="GN41" i="491"/>
  <c r="GM41" i="491"/>
  <c r="GL41" i="491"/>
  <c r="GK41" i="491"/>
  <c r="GJ41" i="491"/>
  <c r="GI41" i="491"/>
  <c r="GH41" i="491"/>
  <c r="GG41" i="491"/>
  <c r="GF41" i="491"/>
  <c r="GE41" i="491"/>
  <c r="GD41" i="491"/>
  <c r="GC41" i="491"/>
  <c r="GB41" i="491"/>
  <c r="GA41" i="491"/>
  <c r="FZ41" i="491"/>
  <c r="FY41" i="491"/>
  <c r="FX41" i="491"/>
  <c r="FW41" i="491"/>
  <c r="FV41" i="491"/>
  <c r="FU41" i="491"/>
  <c r="FT41" i="491"/>
  <c r="FS41" i="491"/>
  <c r="FR41" i="491"/>
  <c r="FQ41" i="491"/>
  <c r="FP41" i="491"/>
  <c r="FO41" i="491"/>
  <c r="FN41" i="491"/>
  <c r="FM41" i="491"/>
  <c r="FL41" i="491"/>
  <c r="FK41" i="491"/>
  <c r="FJ41" i="491"/>
  <c r="FI41" i="491"/>
  <c r="FH41" i="491"/>
  <c r="FG41" i="491"/>
  <c r="FF41" i="491"/>
  <c r="FE41" i="491"/>
  <c r="FD41" i="491"/>
  <c r="FC41" i="491"/>
  <c r="FB41" i="491"/>
  <c r="FA41" i="491"/>
  <c r="EZ41" i="491"/>
  <c r="EY41" i="491"/>
  <c r="EX41" i="491"/>
  <c r="EW41" i="491"/>
  <c r="EV41" i="491"/>
  <c r="EU41" i="491"/>
  <c r="ET41" i="491"/>
  <c r="ES41" i="491"/>
  <c r="ER41" i="491"/>
  <c r="EQ41" i="491"/>
  <c r="EP41" i="491"/>
  <c r="EO41" i="491"/>
  <c r="EN41" i="491"/>
  <c r="EM41" i="491"/>
  <c r="EL41" i="491"/>
  <c r="EK41" i="491"/>
  <c r="EJ41" i="491"/>
  <c r="EI41" i="491"/>
  <c r="EH41" i="491"/>
  <c r="EG41" i="491"/>
  <c r="EF41" i="491"/>
  <c r="EE41" i="491"/>
  <c r="ED41" i="491"/>
  <c r="EC41" i="491"/>
  <c r="EB41" i="491"/>
  <c r="EA41" i="491"/>
  <c r="DZ41" i="491"/>
  <c r="DY41" i="491"/>
  <c r="DX41" i="491"/>
  <c r="DW41" i="491"/>
  <c r="DT41" i="491"/>
  <c r="DS41" i="491"/>
  <c r="DR41" i="491"/>
  <c r="DQ41" i="491"/>
  <c r="DP41" i="491"/>
  <c r="DO41" i="491"/>
  <c r="DN41" i="491"/>
  <c r="DM41" i="491"/>
  <c r="DL41" i="491"/>
  <c r="DK41" i="491"/>
  <c r="DJ41" i="491"/>
  <c r="DI41" i="491"/>
  <c r="DH41" i="491"/>
  <c r="DG41" i="491"/>
  <c r="DF41" i="491"/>
  <c r="DE41" i="491"/>
  <c r="DD41" i="491"/>
  <c r="DC41" i="491"/>
  <c r="DB41" i="491"/>
  <c r="DA41" i="491"/>
  <c r="CZ41" i="491"/>
  <c r="CY41" i="491"/>
  <c r="CX41" i="491"/>
  <c r="CW41" i="491"/>
  <c r="CV41" i="491"/>
  <c r="CU41" i="491"/>
  <c r="CT41" i="491"/>
  <c r="CS41" i="491"/>
  <c r="CR41" i="491"/>
  <c r="CQ41" i="491"/>
  <c r="CP41" i="491"/>
  <c r="CO41" i="491"/>
  <c r="CN41" i="491"/>
  <c r="CM41" i="491"/>
  <c r="CL41" i="491"/>
  <c r="CK41" i="491"/>
  <c r="CJ41" i="491"/>
  <c r="CI41" i="491"/>
  <c r="CH41" i="491"/>
  <c r="CG41" i="491"/>
  <c r="CF41" i="491"/>
  <c r="CE41" i="491"/>
  <c r="CD41" i="491"/>
  <c r="CC41" i="491"/>
  <c r="CB41" i="491"/>
  <c r="CA41" i="491"/>
  <c r="BZ41" i="491"/>
  <c r="BY41" i="491"/>
  <c r="BX41" i="491"/>
  <c r="BW41" i="491"/>
  <c r="BV41" i="491"/>
  <c r="BU41" i="491"/>
  <c r="BT41" i="491"/>
  <c r="BS41" i="491"/>
  <c r="BR41" i="491"/>
  <c r="BQ41" i="491"/>
  <c r="BP41" i="491"/>
  <c r="BO41" i="491"/>
  <c r="BN41" i="491"/>
  <c r="BM41" i="491"/>
  <c r="BL41" i="491"/>
  <c r="BK41" i="491"/>
  <c r="BJ41" i="491"/>
  <c r="BI41" i="491"/>
  <c r="BH41" i="491"/>
  <c r="BG41" i="491"/>
  <c r="BF41" i="491"/>
  <c r="BE41" i="491"/>
  <c r="BD41" i="491"/>
  <c r="BC41" i="491"/>
  <c r="BB41" i="491"/>
  <c r="BA41" i="491"/>
  <c r="AZ41" i="491"/>
  <c r="AY41" i="491"/>
  <c r="AX41" i="491"/>
  <c r="AW41" i="491"/>
  <c r="AV41" i="491"/>
  <c r="AU41" i="491"/>
  <c r="AT41" i="491"/>
  <c r="AS41" i="491"/>
  <c r="AR41" i="491"/>
  <c r="AQ41" i="491"/>
  <c r="AP41" i="491"/>
  <c r="AO41" i="491"/>
  <c r="AN41" i="491"/>
  <c r="AM41" i="491"/>
  <c r="AL41" i="491"/>
  <c r="AK41" i="491"/>
  <c r="AJ41" i="491"/>
  <c r="AI41" i="491"/>
  <c r="AH41" i="491"/>
  <c r="AG41" i="491"/>
  <c r="AF41" i="491"/>
  <c r="AE41" i="491"/>
  <c r="AD41" i="491"/>
  <c r="AC41" i="491"/>
  <c r="AB41" i="491"/>
  <c r="AA41" i="491"/>
  <c r="Z41" i="491"/>
  <c r="Y41" i="491"/>
  <c r="T41" i="491"/>
  <c r="U41" i="491" s="1"/>
  <c r="R41" i="491"/>
  <c r="Q41" i="491"/>
  <c r="O41" i="491"/>
  <c r="N41" i="491"/>
  <c r="M41" i="491"/>
  <c r="G41" i="491"/>
  <c r="C41" i="491"/>
  <c r="HR40" i="491"/>
  <c r="HQ40" i="491"/>
  <c r="HP40" i="491"/>
  <c r="HO40" i="491"/>
  <c r="HN40" i="491"/>
  <c r="HM40" i="491"/>
  <c r="HL40" i="491"/>
  <c r="HK40" i="491"/>
  <c r="HJ40" i="491"/>
  <c r="HI40" i="491"/>
  <c r="HH40" i="491"/>
  <c r="HG40" i="491"/>
  <c r="HF40" i="491"/>
  <c r="HE40" i="491"/>
  <c r="HD40" i="491"/>
  <c r="HC40" i="491"/>
  <c r="HB40" i="491"/>
  <c r="HA40" i="491"/>
  <c r="GZ40" i="491"/>
  <c r="GY40" i="491"/>
  <c r="GX40" i="491"/>
  <c r="GW40" i="491"/>
  <c r="GV40" i="491"/>
  <c r="GU40" i="491"/>
  <c r="GT40" i="491"/>
  <c r="GS40" i="491"/>
  <c r="GR40" i="491"/>
  <c r="GQ40" i="491"/>
  <c r="GP40" i="491"/>
  <c r="GO40" i="491"/>
  <c r="GN40" i="491"/>
  <c r="GM40" i="491"/>
  <c r="GL40" i="491"/>
  <c r="GK40" i="491"/>
  <c r="GJ40" i="491"/>
  <c r="GI40" i="491"/>
  <c r="GH40" i="491"/>
  <c r="GG40" i="491"/>
  <c r="GF40" i="491"/>
  <c r="GE40" i="491"/>
  <c r="GD40" i="491"/>
  <c r="GC40" i="491"/>
  <c r="GB40" i="491"/>
  <c r="GA40" i="491"/>
  <c r="FZ40" i="491"/>
  <c r="FY40" i="491"/>
  <c r="FX40" i="491"/>
  <c r="FW40" i="491"/>
  <c r="FV40" i="491"/>
  <c r="FU40" i="491"/>
  <c r="FT40" i="491"/>
  <c r="FS40" i="491"/>
  <c r="FR40" i="491"/>
  <c r="FQ40" i="491"/>
  <c r="FP40" i="491"/>
  <c r="FO40" i="491"/>
  <c r="FN40" i="491"/>
  <c r="FM40" i="491"/>
  <c r="FL40" i="491"/>
  <c r="FK40" i="491"/>
  <c r="FJ40" i="491"/>
  <c r="FI40" i="491"/>
  <c r="FH40" i="491"/>
  <c r="FG40" i="491"/>
  <c r="FF40" i="491"/>
  <c r="FE40" i="491"/>
  <c r="FD40" i="491"/>
  <c r="FC40" i="491"/>
  <c r="FB40" i="491"/>
  <c r="FA40" i="491"/>
  <c r="EZ40" i="491"/>
  <c r="EY40" i="491"/>
  <c r="EX40" i="491"/>
  <c r="EW40" i="491"/>
  <c r="EV40" i="491"/>
  <c r="EU40" i="491"/>
  <c r="ET40" i="491"/>
  <c r="ES40" i="491"/>
  <c r="ER40" i="491"/>
  <c r="EQ40" i="491"/>
  <c r="EP40" i="491"/>
  <c r="EO40" i="491"/>
  <c r="EN40" i="491"/>
  <c r="EM40" i="491"/>
  <c r="EL40" i="491"/>
  <c r="EK40" i="491"/>
  <c r="EJ40" i="491"/>
  <c r="EI40" i="491"/>
  <c r="EH40" i="491"/>
  <c r="EG40" i="491"/>
  <c r="EF40" i="491"/>
  <c r="EE40" i="491"/>
  <c r="ED40" i="491"/>
  <c r="EC40" i="491"/>
  <c r="EB40" i="491"/>
  <c r="EA40" i="491"/>
  <c r="DZ40" i="491"/>
  <c r="DY40" i="491"/>
  <c r="DX40" i="491"/>
  <c r="DW40" i="491"/>
  <c r="DT40" i="491"/>
  <c r="DS40" i="491"/>
  <c r="DR40" i="491"/>
  <c r="DQ40" i="491"/>
  <c r="DP40" i="491"/>
  <c r="DO40" i="491"/>
  <c r="DN40" i="491"/>
  <c r="DM40" i="491"/>
  <c r="DL40" i="491"/>
  <c r="DK40" i="491"/>
  <c r="DJ40" i="491"/>
  <c r="DI40" i="491"/>
  <c r="DH40" i="491"/>
  <c r="DG40" i="491"/>
  <c r="DF40" i="491"/>
  <c r="DE40" i="491"/>
  <c r="DD40" i="491"/>
  <c r="DC40" i="491"/>
  <c r="DB40" i="491"/>
  <c r="DA40" i="491"/>
  <c r="CZ40" i="491"/>
  <c r="CY40" i="491"/>
  <c r="CX40" i="491"/>
  <c r="CW40" i="491"/>
  <c r="CV40" i="491"/>
  <c r="CU40" i="491"/>
  <c r="CT40" i="491"/>
  <c r="CS40" i="491"/>
  <c r="CR40" i="491"/>
  <c r="CQ40" i="491"/>
  <c r="CP40" i="491"/>
  <c r="CO40" i="491"/>
  <c r="CN40" i="491"/>
  <c r="CM40" i="491"/>
  <c r="CL40" i="491"/>
  <c r="CK40" i="491"/>
  <c r="CJ40" i="491"/>
  <c r="CI40" i="491"/>
  <c r="CH40" i="491"/>
  <c r="CG40" i="491"/>
  <c r="CF40" i="491"/>
  <c r="CE40" i="491"/>
  <c r="CD40" i="491"/>
  <c r="CC40" i="491"/>
  <c r="CB40" i="491"/>
  <c r="CA40" i="491"/>
  <c r="BZ40" i="491"/>
  <c r="BY40" i="491"/>
  <c r="BX40" i="491"/>
  <c r="BW40" i="491"/>
  <c r="BV40" i="491"/>
  <c r="BU40" i="491"/>
  <c r="BT40" i="491"/>
  <c r="BS40" i="491"/>
  <c r="BR40" i="491"/>
  <c r="BQ40" i="491"/>
  <c r="BP40" i="491"/>
  <c r="BO40" i="491"/>
  <c r="BN40" i="491"/>
  <c r="BM40" i="491"/>
  <c r="BL40" i="491"/>
  <c r="BK40" i="491"/>
  <c r="BJ40" i="491"/>
  <c r="BI40" i="491"/>
  <c r="BH40" i="491"/>
  <c r="BG40" i="491"/>
  <c r="BF40" i="491"/>
  <c r="BE40" i="491"/>
  <c r="BD40" i="491"/>
  <c r="BC40" i="491"/>
  <c r="BB40" i="491"/>
  <c r="BA40" i="491"/>
  <c r="AZ40" i="491"/>
  <c r="AY40" i="491"/>
  <c r="AX40" i="491"/>
  <c r="AW40" i="491"/>
  <c r="AV40" i="491"/>
  <c r="AU40" i="491"/>
  <c r="AT40" i="491"/>
  <c r="AS40" i="491"/>
  <c r="AR40" i="491"/>
  <c r="AQ40" i="491"/>
  <c r="AP40" i="491"/>
  <c r="AO40" i="491"/>
  <c r="AN40" i="491"/>
  <c r="AM40" i="491"/>
  <c r="AL40" i="491"/>
  <c r="AK40" i="491"/>
  <c r="AJ40" i="491"/>
  <c r="AI40" i="491"/>
  <c r="AH40" i="491"/>
  <c r="AG40" i="491"/>
  <c r="AF40" i="491"/>
  <c r="AE40" i="491"/>
  <c r="AD40" i="491"/>
  <c r="AC40" i="491"/>
  <c r="AB40" i="491"/>
  <c r="AA40" i="491"/>
  <c r="Z40" i="491"/>
  <c r="Y40" i="491"/>
  <c r="T40" i="491"/>
  <c r="U40" i="491" s="1"/>
  <c r="R40" i="491"/>
  <c r="Q40" i="491"/>
  <c r="O40" i="491"/>
  <c r="N40" i="491"/>
  <c r="M40" i="491"/>
  <c r="G40" i="491"/>
  <c r="C40" i="491"/>
  <c r="HR28" i="491"/>
  <c r="HQ28" i="491"/>
  <c r="HP28" i="491"/>
  <c r="HO28" i="491"/>
  <c r="HN28" i="491"/>
  <c r="HM28" i="491"/>
  <c r="HL28" i="491"/>
  <c r="HK28" i="491"/>
  <c r="HJ28" i="491"/>
  <c r="HI28" i="491"/>
  <c r="HH28" i="491"/>
  <c r="HG28" i="491"/>
  <c r="HF28" i="491"/>
  <c r="HE28" i="491"/>
  <c r="HD28" i="491"/>
  <c r="HC28" i="491"/>
  <c r="HB28" i="491"/>
  <c r="HA28" i="491"/>
  <c r="GZ28" i="491"/>
  <c r="GY28" i="491"/>
  <c r="GX28" i="491"/>
  <c r="GW28" i="491"/>
  <c r="GV28" i="491"/>
  <c r="GU28" i="491"/>
  <c r="GT28" i="491"/>
  <c r="GS28" i="491"/>
  <c r="GR28" i="491"/>
  <c r="GQ28" i="491"/>
  <c r="GP28" i="491"/>
  <c r="GO28" i="491"/>
  <c r="GN28" i="491"/>
  <c r="GM28" i="491"/>
  <c r="GL28" i="491"/>
  <c r="GK28" i="491"/>
  <c r="GJ28" i="491"/>
  <c r="GI28" i="491"/>
  <c r="GH28" i="491"/>
  <c r="GG28" i="491"/>
  <c r="GF28" i="491"/>
  <c r="GE28" i="491"/>
  <c r="GD28" i="491"/>
  <c r="GC28" i="491"/>
  <c r="GB28" i="491"/>
  <c r="GA28" i="491"/>
  <c r="FZ28" i="491"/>
  <c r="FY28" i="491"/>
  <c r="FX28" i="491"/>
  <c r="FW28" i="491"/>
  <c r="FV28" i="491"/>
  <c r="FU28" i="491"/>
  <c r="FT28" i="491"/>
  <c r="FS28" i="491"/>
  <c r="FR28" i="491"/>
  <c r="FQ28" i="491"/>
  <c r="FP28" i="491"/>
  <c r="FO28" i="491"/>
  <c r="FN28" i="491"/>
  <c r="FM28" i="491"/>
  <c r="FL28" i="491"/>
  <c r="FK28" i="491"/>
  <c r="FJ28" i="491"/>
  <c r="FI28" i="491"/>
  <c r="FH28" i="491"/>
  <c r="FG28" i="491"/>
  <c r="FF28" i="491"/>
  <c r="FE28" i="491"/>
  <c r="FD28" i="491"/>
  <c r="FC28" i="491"/>
  <c r="FB28" i="491"/>
  <c r="FA28" i="491"/>
  <c r="EZ28" i="491"/>
  <c r="EY28" i="491"/>
  <c r="EX28" i="491"/>
  <c r="EW28" i="491"/>
  <c r="EV28" i="491"/>
  <c r="EU28" i="491"/>
  <c r="ET28" i="491"/>
  <c r="ES28" i="491"/>
  <c r="ER28" i="491"/>
  <c r="EQ28" i="491"/>
  <c r="EP28" i="491"/>
  <c r="EO28" i="491"/>
  <c r="EN28" i="491"/>
  <c r="EM28" i="491"/>
  <c r="EL28" i="491"/>
  <c r="EK28" i="491"/>
  <c r="EJ28" i="491"/>
  <c r="EI28" i="491"/>
  <c r="EH28" i="491"/>
  <c r="EG28" i="491"/>
  <c r="EF28" i="491"/>
  <c r="EE28" i="491"/>
  <c r="ED28" i="491"/>
  <c r="EC28" i="491"/>
  <c r="EB28" i="491"/>
  <c r="EA28" i="491"/>
  <c r="DZ28" i="491"/>
  <c r="DY28" i="491"/>
  <c r="DX28" i="491"/>
  <c r="DW28" i="491"/>
  <c r="DT28" i="491"/>
  <c r="DS28" i="491"/>
  <c r="DR28" i="491"/>
  <c r="DQ28" i="491"/>
  <c r="DP28" i="491"/>
  <c r="DO28" i="491"/>
  <c r="DN28" i="491"/>
  <c r="DM28" i="491"/>
  <c r="DL28" i="491"/>
  <c r="DK28" i="491"/>
  <c r="DJ28" i="491"/>
  <c r="DI28" i="491"/>
  <c r="DH28" i="491"/>
  <c r="DG28" i="491"/>
  <c r="DF28" i="491"/>
  <c r="DE28" i="491"/>
  <c r="DD28" i="491"/>
  <c r="DC28" i="491"/>
  <c r="DB28" i="491"/>
  <c r="DA28" i="491"/>
  <c r="CZ28" i="491"/>
  <c r="CY28" i="491"/>
  <c r="CX28" i="491"/>
  <c r="CW28" i="491"/>
  <c r="CV28" i="491"/>
  <c r="CU28" i="491"/>
  <c r="CT28" i="491"/>
  <c r="CS28" i="491"/>
  <c r="CR28" i="491"/>
  <c r="CQ28" i="491"/>
  <c r="CP28" i="491"/>
  <c r="CO28" i="491"/>
  <c r="CN28" i="491"/>
  <c r="CM28" i="491"/>
  <c r="CL28" i="491"/>
  <c r="CK28" i="491"/>
  <c r="CJ28" i="491"/>
  <c r="CI28" i="491"/>
  <c r="CH28" i="491"/>
  <c r="CG28" i="491"/>
  <c r="CF28" i="491"/>
  <c r="CE28" i="491"/>
  <c r="CD28" i="491"/>
  <c r="CC28" i="491"/>
  <c r="CB28" i="491"/>
  <c r="CA28" i="491"/>
  <c r="BZ28" i="491"/>
  <c r="BY28" i="491"/>
  <c r="BX28" i="491"/>
  <c r="BW28" i="491"/>
  <c r="BV28" i="491"/>
  <c r="BU28" i="491"/>
  <c r="BT28" i="491"/>
  <c r="BS28" i="491"/>
  <c r="BR28" i="491"/>
  <c r="BQ28" i="491"/>
  <c r="BP28" i="491"/>
  <c r="BO28" i="491"/>
  <c r="BN28" i="491"/>
  <c r="BM28" i="491"/>
  <c r="BL28" i="491"/>
  <c r="BK28" i="491"/>
  <c r="BJ28" i="491"/>
  <c r="BI28" i="491"/>
  <c r="BH28" i="491"/>
  <c r="BG28" i="491"/>
  <c r="BF28" i="491"/>
  <c r="BE28" i="491"/>
  <c r="BD28" i="491"/>
  <c r="BC28" i="491"/>
  <c r="BB28" i="491"/>
  <c r="BA28" i="491"/>
  <c r="AZ28" i="491"/>
  <c r="AY28" i="491"/>
  <c r="AX28" i="491"/>
  <c r="AW28" i="491"/>
  <c r="AV28" i="491"/>
  <c r="AU28" i="491"/>
  <c r="AT28" i="491"/>
  <c r="AS28" i="491"/>
  <c r="AR28" i="491"/>
  <c r="AQ28" i="491"/>
  <c r="AP28" i="491"/>
  <c r="AO28" i="491"/>
  <c r="AN28" i="491"/>
  <c r="AM28" i="491"/>
  <c r="AL28" i="491"/>
  <c r="AK28" i="491"/>
  <c r="AJ28" i="491"/>
  <c r="AI28" i="491"/>
  <c r="AH28" i="491"/>
  <c r="AG28" i="491"/>
  <c r="AF28" i="491"/>
  <c r="AE28" i="491"/>
  <c r="AD28" i="491"/>
  <c r="AC28" i="491"/>
  <c r="AB28" i="491"/>
  <c r="AA28" i="491"/>
  <c r="Z28" i="491"/>
  <c r="Y28" i="491"/>
  <c r="T28" i="491"/>
  <c r="U28" i="491" s="1"/>
  <c r="R28" i="491"/>
  <c r="Q28" i="491"/>
  <c r="O28" i="491"/>
  <c r="N28" i="491"/>
  <c r="M28" i="491"/>
  <c r="G28" i="491"/>
  <c r="C28" i="491"/>
  <c r="HR27" i="491"/>
  <c r="HQ27" i="491"/>
  <c r="HP27" i="491"/>
  <c r="HO27" i="491"/>
  <c r="HN27" i="491"/>
  <c r="HM27" i="491"/>
  <c r="HL27" i="491"/>
  <c r="HK27" i="491"/>
  <c r="HJ27" i="491"/>
  <c r="HI27" i="491"/>
  <c r="HH27" i="491"/>
  <c r="HG27" i="491"/>
  <c r="HF27" i="491"/>
  <c r="HE27" i="491"/>
  <c r="HD27" i="491"/>
  <c r="HC27" i="491"/>
  <c r="HB27" i="491"/>
  <c r="HA27" i="491"/>
  <c r="GZ27" i="491"/>
  <c r="GY27" i="491"/>
  <c r="GX27" i="491"/>
  <c r="GW27" i="491"/>
  <c r="GV27" i="491"/>
  <c r="GU27" i="491"/>
  <c r="GT27" i="491"/>
  <c r="GS27" i="491"/>
  <c r="GR27" i="491"/>
  <c r="GQ27" i="491"/>
  <c r="GP27" i="491"/>
  <c r="GO27" i="491"/>
  <c r="GN27" i="491"/>
  <c r="GM27" i="491"/>
  <c r="GL27" i="491"/>
  <c r="GK27" i="491"/>
  <c r="GJ27" i="491"/>
  <c r="GI27" i="491"/>
  <c r="GH27" i="491"/>
  <c r="GG27" i="491"/>
  <c r="GF27" i="491"/>
  <c r="GE27" i="491"/>
  <c r="GD27" i="491"/>
  <c r="GC27" i="491"/>
  <c r="GB27" i="491"/>
  <c r="GA27" i="491"/>
  <c r="FZ27" i="491"/>
  <c r="FY27" i="491"/>
  <c r="FX27" i="491"/>
  <c r="FW27" i="491"/>
  <c r="FV27" i="491"/>
  <c r="FU27" i="491"/>
  <c r="FT27" i="491"/>
  <c r="FS27" i="491"/>
  <c r="FR27" i="491"/>
  <c r="FQ27" i="491"/>
  <c r="FP27" i="491"/>
  <c r="FO27" i="491"/>
  <c r="FN27" i="491"/>
  <c r="FM27" i="491"/>
  <c r="FL27" i="491"/>
  <c r="FK27" i="491"/>
  <c r="FJ27" i="491"/>
  <c r="FI27" i="491"/>
  <c r="FH27" i="491"/>
  <c r="FG27" i="491"/>
  <c r="FF27" i="491"/>
  <c r="FE27" i="491"/>
  <c r="FD27" i="491"/>
  <c r="FC27" i="491"/>
  <c r="FB27" i="491"/>
  <c r="FA27" i="491"/>
  <c r="EZ27" i="491"/>
  <c r="EY27" i="491"/>
  <c r="EX27" i="491"/>
  <c r="EW27" i="491"/>
  <c r="EV27" i="491"/>
  <c r="EU27" i="491"/>
  <c r="ET27" i="491"/>
  <c r="ES27" i="491"/>
  <c r="ER27" i="491"/>
  <c r="EQ27" i="491"/>
  <c r="EP27" i="491"/>
  <c r="EO27" i="491"/>
  <c r="EN27" i="491"/>
  <c r="EM27" i="491"/>
  <c r="EL27" i="491"/>
  <c r="EK27" i="491"/>
  <c r="EJ27" i="491"/>
  <c r="EI27" i="491"/>
  <c r="EH27" i="491"/>
  <c r="EG27" i="491"/>
  <c r="EF27" i="491"/>
  <c r="EE27" i="491"/>
  <c r="ED27" i="491"/>
  <c r="EC27" i="491"/>
  <c r="EB27" i="491"/>
  <c r="EA27" i="491"/>
  <c r="DZ27" i="491"/>
  <c r="DY27" i="491"/>
  <c r="DX27" i="491"/>
  <c r="DW27" i="491"/>
  <c r="DT27" i="491"/>
  <c r="DS27" i="491"/>
  <c r="DR27" i="491"/>
  <c r="DQ27" i="491"/>
  <c r="DP27" i="491"/>
  <c r="DO27" i="491"/>
  <c r="DN27" i="491"/>
  <c r="DM27" i="491"/>
  <c r="DL27" i="491"/>
  <c r="DK27" i="491"/>
  <c r="DJ27" i="491"/>
  <c r="DI27" i="491"/>
  <c r="DH27" i="491"/>
  <c r="DG27" i="491"/>
  <c r="DF27" i="491"/>
  <c r="DE27" i="491"/>
  <c r="DD27" i="491"/>
  <c r="DC27" i="491"/>
  <c r="DB27" i="491"/>
  <c r="DA27" i="491"/>
  <c r="CZ27" i="491"/>
  <c r="CY27" i="491"/>
  <c r="CX27" i="491"/>
  <c r="CW27" i="491"/>
  <c r="CV27" i="491"/>
  <c r="CU27" i="491"/>
  <c r="CT27" i="491"/>
  <c r="CS27" i="491"/>
  <c r="CR27" i="491"/>
  <c r="CQ27" i="491"/>
  <c r="CP27" i="491"/>
  <c r="CO27" i="491"/>
  <c r="CN27" i="491"/>
  <c r="CM27" i="491"/>
  <c r="CL27" i="491"/>
  <c r="CK27" i="491"/>
  <c r="CJ27" i="491"/>
  <c r="CI27" i="491"/>
  <c r="CH27" i="491"/>
  <c r="CG27" i="491"/>
  <c r="CF27" i="491"/>
  <c r="CE27" i="491"/>
  <c r="CD27" i="491"/>
  <c r="CC27" i="491"/>
  <c r="CB27" i="491"/>
  <c r="CA27" i="491"/>
  <c r="BZ27" i="491"/>
  <c r="BY27" i="491"/>
  <c r="BX27" i="491"/>
  <c r="BW27" i="491"/>
  <c r="BV27" i="491"/>
  <c r="BU27" i="491"/>
  <c r="BT27" i="491"/>
  <c r="BS27" i="491"/>
  <c r="BR27" i="491"/>
  <c r="BQ27" i="491"/>
  <c r="BP27" i="491"/>
  <c r="BO27" i="491"/>
  <c r="BN27" i="491"/>
  <c r="BM27" i="491"/>
  <c r="BL27" i="491"/>
  <c r="BK27" i="491"/>
  <c r="BJ27" i="491"/>
  <c r="BI27" i="491"/>
  <c r="BH27" i="491"/>
  <c r="BG27" i="491"/>
  <c r="BF27" i="491"/>
  <c r="BE27" i="491"/>
  <c r="BD27" i="491"/>
  <c r="BC27" i="491"/>
  <c r="BB27" i="491"/>
  <c r="BA27" i="491"/>
  <c r="AZ27" i="491"/>
  <c r="AY27" i="491"/>
  <c r="AX27" i="491"/>
  <c r="AW27" i="491"/>
  <c r="AV27" i="491"/>
  <c r="AU27" i="491"/>
  <c r="AT27" i="491"/>
  <c r="AS27" i="491"/>
  <c r="AR27" i="491"/>
  <c r="AQ27" i="491"/>
  <c r="AP27" i="491"/>
  <c r="AO27" i="491"/>
  <c r="AN27" i="491"/>
  <c r="AM27" i="491"/>
  <c r="AL27" i="491"/>
  <c r="AK27" i="491"/>
  <c r="AJ27" i="491"/>
  <c r="AI27" i="491"/>
  <c r="AH27" i="491"/>
  <c r="AG27" i="491"/>
  <c r="AF27" i="491"/>
  <c r="AE27" i="491"/>
  <c r="AD27" i="491"/>
  <c r="AC27" i="491"/>
  <c r="AB27" i="491"/>
  <c r="AA27" i="491"/>
  <c r="Z27" i="491"/>
  <c r="Y27" i="491"/>
  <c r="T27" i="491"/>
  <c r="U27" i="491" s="1"/>
  <c r="R27" i="491"/>
  <c r="Q27" i="491"/>
  <c r="O27" i="491"/>
  <c r="N27" i="491"/>
  <c r="M27" i="491"/>
  <c r="G27" i="491"/>
  <c r="C27" i="491"/>
  <c r="HR26" i="491"/>
  <c r="HQ26" i="491"/>
  <c r="HP26" i="491"/>
  <c r="HO26" i="491"/>
  <c r="HN26" i="491"/>
  <c r="HM26" i="491"/>
  <c r="HL26" i="491"/>
  <c r="HK26" i="491"/>
  <c r="HJ26" i="491"/>
  <c r="HI26" i="491"/>
  <c r="HH26" i="491"/>
  <c r="HG26" i="491"/>
  <c r="HF26" i="491"/>
  <c r="HE26" i="491"/>
  <c r="HD26" i="491"/>
  <c r="HC26" i="491"/>
  <c r="HB26" i="491"/>
  <c r="HA26" i="491"/>
  <c r="GZ26" i="491"/>
  <c r="GY26" i="491"/>
  <c r="GX26" i="491"/>
  <c r="GW26" i="491"/>
  <c r="GV26" i="491"/>
  <c r="GU26" i="491"/>
  <c r="GT26" i="491"/>
  <c r="GS26" i="491"/>
  <c r="GR26" i="491"/>
  <c r="GQ26" i="491"/>
  <c r="GP26" i="491"/>
  <c r="GO26" i="491"/>
  <c r="GN26" i="491"/>
  <c r="GM26" i="491"/>
  <c r="GL26" i="491"/>
  <c r="GK26" i="491"/>
  <c r="GJ26" i="491"/>
  <c r="GI26" i="491"/>
  <c r="GH26" i="491"/>
  <c r="GG26" i="491"/>
  <c r="GF26" i="491"/>
  <c r="GE26" i="491"/>
  <c r="GD26" i="491"/>
  <c r="GC26" i="491"/>
  <c r="GB26" i="491"/>
  <c r="GA26" i="491"/>
  <c r="FZ26" i="491"/>
  <c r="FY26" i="491"/>
  <c r="FX26" i="491"/>
  <c r="FW26" i="491"/>
  <c r="FV26" i="491"/>
  <c r="FU26" i="491"/>
  <c r="FT26" i="491"/>
  <c r="FS26" i="491"/>
  <c r="FR26" i="491"/>
  <c r="FQ26" i="491"/>
  <c r="FP26" i="491"/>
  <c r="FO26" i="491"/>
  <c r="FN26" i="491"/>
  <c r="FM26" i="491"/>
  <c r="FL26" i="491"/>
  <c r="FK26" i="491"/>
  <c r="FJ26" i="491"/>
  <c r="FI26" i="491"/>
  <c r="FH26" i="491"/>
  <c r="FG26" i="491"/>
  <c r="FF26" i="491"/>
  <c r="FE26" i="491"/>
  <c r="FD26" i="491"/>
  <c r="FC26" i="491"/>
  <c r="FB26" i="491"/>
  <c r="FA26" i="491"/>
  <c r="EZ26" i="491"/>
  <c r="EY26" i="491"/>
  <c r="EX26" i="491"/>
  <c r="EW26" i="491"/>
  <c r="EV26" i="491"/>
  <c r="EU26" i="491"/>
  <c r="ET26" i="491"/>
  <c r="ES26" i="491"/>
  <c r="ER26" i="491"/>
  <c r="EQ26" i="491"/>
  <c r="EP26" i="491"/>
  <c r="EO26" i="491"/>
  <c r="EN26" i="491"/>
  <c r="EM26" i="491"/>
  <c r="EL26" i="491"/>
  <c r="EK26" i="491"/>
  <c r="EJ26" i="491"/>
  <c r="EI26" i="491"/>
  <c r="EH26" i="491"/>
  <c r="EG26" i="491"/>
  <c r="EF26" i="491"/>
  <c r="EE26" i="491"/>
  <c r="ED26" i="491"/>
  <c r="EC26" i="491"/>
  <c r="EB26" i="491"/>
  <c r="EA26" i="491"/>
  <c r="DZ26" i="491"/>
  <c r="DY26" i="491"/>
  <c r="DX26" i="491"/>
  <c r="DT26" i="491"/>
  <c r="DS26" i="491"/>
  <c r="DR26" i="491"/>
  <c r="DQ26" i="491"/>
  <c r="DP26" i="491"/>
  <c r="DO26" i="491"/>
  <c r="DN26" i="491"/>
  <c r="DM26" i="491"/>
  <c r="DL26" i="491"/>
  <c r="DK26" i="491"/>
  <c r="DJ26" i="491"/>
  <c r="DI26" i="491"/>
  <c r="DH26" i="491"/>
  <c r="DG26" i="491"/>
  <c r="DF26" i="491"/>
  <c r="DE26" i="491"/>
  <c r="DD26" i="491"/>
  <c r="DC26" i="491"/>
  <c r="DB26" i="491"/>
  <c r="DA26" i="491"/>
  <c r="CZ26" i="491"/>
  <c r="CY26" i="491"/>
  <c r="CX26" i="491"/>
  <c r="CW26" i="491"/>
  <c r="CV26" i="491"/>
  <c r="CU26" i="491"/>
  <c r="CT26" i="491"/>
  <c r="CS26" i="491"/>
  <c r="CR26" i="491"/>
  <c r="CQ26" i="491"/>
  <c r="CP26" i="491"/>
  <c r="CO26" i="491"/>
  <c r="CN26" i="491"/>
  <c r="CM26" i="491"/>
  <c r="CL26" i="491"/>
  <c r="CK26" i="491"/>
  <c r="CJ26" i="491"/>
  <c r="CI26" i="491"/>
  <c r="CH26" i="491"/>
  <c r="CG26" i="491"/>
  <c r="CF26" i="491"/>
  <c r="CE26" i="491"/>
  <c r="CD26" i="491"/>
  <c r="CC26" i="491"/>
  <c r="CB26" i="491"/>
  <c r="CA26" i="491"/>
  <c r="BZ26" i="491"/>
  <c r="BY26" i="491"/>
  <c r="BX26" i="491"/>
  <c r="BW26" i="491"/>
  <c r="BV26" i="491"/>
  <c r="BU26" i="491"/>
  <c r="BT26" i="491"/>
  <c r="BS26" i="491"/>
  <c r="BR26" i="491"/>
  <c r="BQ26" i="491"/>
  <c r="BP26" i="491"/>
  <c r="BO26" i="491"/>
  <c r="BN26" i="491"/>
  <c r="BM26" i="491"/>
  <c r="BL26" i="491"/>
  <c r="BK26" i="491"/>
  <c r="BJ26" i="491"/>
  <c r="BI26" i="491"/>
  <c r="BH26" i="491"/>
  <c r="BG26" i="491"/>
  <c r="BF26" i="491"/>
  <c r="BE26" i="491"/>
  <c r="BD26" i="491"/>
  <c r="BC26" i="491"/>
  <c r="BB26" i="491"/>
  <c r="BA26" i="491"/>
  <c r="AZ26" i="491"/>
  <c r="AY26" i="491"/>
  <c r="AX26" i="491"/>
  <c r="AW26" i="491"/>
  <c r="AV26" i="491"/>
  <c r="AU26" i="491"/>
  <c r="AT26" i="491"/>
  <c r="AS26" i="491"/>
  <c r="AR26" i="491"/>
  <c r="AQ26" i="491"/>
  <c r="AP26" i="491"/>
  <c r="AO26" i="491"/>
  <c r="AN26" i="491"/>
  <c r="AM26" i="491"/>
  <c r="AL26" i="491"/>
  <c r="AK26" i="491"/>
  <c r="AJ26" i="491"/>
  <c r="AI26" i="491"/>
  <c r="AH26" i="491"/>
  <c r="AG26" i="491"/>
  <c r="AF26" i="491"/>
  <c r="AE26" i="491"/>
  <c r="AD26" i="491"/>
  <c r="AC26" i="491"/>
  <c r="AB26" i="491"/>
  <c r="AA26" i="491"/>
  <c r="Z26" i="491"/>
  <c r="T26" i="491"/>
  <c r="U26" i="491" s="1"/>
  <c r="Y26" i="491" s="1"/>
  <c r="R26" i="491"/>
  <c r="Q26" i="491"/>
  <c r="O26" i="491"/>
  <c r="DW26" i="491" s="1"/>
  <c r="N26" i="491"/>
  <c r="M26" i="491"/>
  <c r="G26" i="491"/>
  <c r="C26" i="491"/>
  <c r="R57" i="491"/>
  <c r="C56" i="491"/>
  <c r="HR55" i="491"/>
  <c r="HQ55" i="491"/>
  <c r="HP55" i="491"/>
  <c r="HO55" i="491"/>
  <c r="HN55" i="491"/>
  <c r="HM55" i="491"/>
  <c r="HL55" i="491"/>
  <c r="HK55" i="491"/>
  <c r="HJ55" i="491"/>
  <c r="HI55" i="491"/>
  <c r="HH55" i="491"/>
  <c r="HG55" i="491"/>
  <c r="HF55" i="491"/>
  <c r="HE55" i="491"/>
  <c r="HD55" i="491"/>
  <c r="HC55" i="491"/>
  <c r="HB55" i="491"/>
  <c r="HA55" i="491"/>
  <c r="GZ55" i="491"/>
  <c r="GY55" i="491"/>
  <c r="GX55" i="491"/>
  <c r="GW55" i="491"/>
  <c r="GV55" i="491"/>
  <c r="GU55" i="491"/>
  <c r="GT55" i="491"/>
  <c r="GS55" i="491"/>
  <c r="GR55" i="491"/>
  <c r="GQ55" i="491"/>
  <c r="GP55" i="491"/>
  <c r="GO55" i="491"/>
  <c r="GN55" i="491"/>
  <c r="GM55" i="491"/>
  <c r="GL55" i="491"/>
  <c r="GK55" i="491"/>
  <c r="GJ55" i="491"/>
  <c r="GI55" i="491"/>
  <c r="GH55" i="491"/>
  <c r="GG55" i="491"/>
  <c r="GF55" i="491"/>
  <c r="GE55" i="491"/>
  <c r="GD55" i="491"/>
  <c r="GC55" i="491"/>
  <c r="GB55" i="491"/>
  <c r="GA55" i="491"/>
  <c r="FZ55" i="491"/>
  <c r="FY55" i="491"/>
  <c r="FX55" i="491"/>
  <c r="FW55" i="491"/>
  <c r="FV55" i="491"/>
  <c r="FU55" i="491"/>
  <c r="FT55" i="491"/>
  <c r="FS55" i="491"/>
  <c r="FR55" i="491"/>
  <c r="FQ55" i="491"/>
  <c r="FP55" i="491"/>
  <c r="FO55" i="491"/>
  <c r="FN55" i="491"/>
  <c r="FM55" i="491"/>
  <c r="FL55" i="491"/>
  <c r="FK55" i="491"/>
  <c r="FJ55" i="491"/>
  <c r="FI55" i="491"/>
  <c r="FH55" i="491"/>
  <c r="FG55" i="491"/>
  <c r="FF55" i="491"/>
  <c r="FE55" i="491"/>
  <c r="FD55" i="491"/>
  <c r="FC55" i="491"/>
  <c r="FB55" i="491"/>
  <c r="FA55" i="491"/>
  <c r="EZ55" i="491"/>
  <c r="EY55" i="491"/>
  <c r="EX55" i="491"/>
  <c r="EW55" i="491"/>
  <c r="EV55" i="491"/>
  <c r="EU55" i="491"/>
  <c r="ET55" i="491"/>
  <c r="ES55" i="491"/>
  <c r="ER55" i="491"/>
  <c r="EQ55" i="491"/>
  <c r="EP55" i="491"/>
  <c r="EO55" i="491"/>
  <c r="EN55" i="491"/>
  <c r="EM55" i="491"/>
  <c r="EL55" i="491"/>
  <c r="EK55" i="491"/>
  <c r="EJ55" i="491"/>
  <c r="EI55" i="491"/>
  <c r="EH55" i="491"/>
  <c r="EG55" i="491"/>
  <c r="EF55" i="491"/>
  <c r="EE55" i="491"/>
  <c r="ED55" i="491"/>
  <c r="EC55" i="491"/>
  <c r="EB55" i="491"/>
  <c r="EA55" i="491"/>
  <c r="DZ55" i="491"/>
  <c r="DY55" i="491"/>
  <c r="DX55" i="491"/>
  <c r="DW55" i="491"/>
  <c r="DT55" i="491"/>
  <c r="DS55" i="491"/>
  <c r="DR55" i="491"/>
  <c r="DQ55" i="491"/>
  <c r="DP55" i="491"/>
  <c r="DO55" i="491"/>
  <c r="DN55" i="491"/>
  <c r="DM55" i="491"/>
  <c r="DL55" i="491"/>
  <c r="DK55" i="491"/>
  <c r="DJ55" i="491"/>
  <c r="DI55" i="491"/>
  <c r="DH55" i="491"/>
  <c r="DG55" i="491"/>
  <c r="DF55" i="491"/>
  <c r="DE55" i="491"/>
  <c r="DD55" i="491"/>
  <c r="DC55" i="491"/>
  <c r="DB55" i="491"/>
  <c r="DA55" i="491"/>
  <c r="CZ55" i="491"/>
  <c r="CY55" i="491"/>
  <c r="CX55" i="491"/>
  <c r="CW55" i="491"/>
  <c r="CV55" i="491"/>
  <c r="CU55" i="491"/>
  <c r="CT55" i="491"/>
  <c r="CS55" i="491"/>
  <c r="CR55" i="491"/>
  <c r="CQ55" i="491"/>
  <c r="CP55" i="491"/>
  <c r="CO55" i="491"/>
  <c r="CN55" i="491"/>
  <c r="CM55" i="491"/>
  <c r="CL55" i="491"/>
  <c r="CK55" i="491"/>
  <c r="CJ55" i="491"/>
  <c r="CI55" i="491"/>
  <c r="CH55" i="491"/>
  <c r="CG55" i="491"/>
  <c r="CF55" i="491"/>
  <c r="CE55" i="491"/>
  <c r="CD55" i="491"/>
  <c r="CC55" i="491"/>
  <c r="CB55" i="491"/>
  <c r="CA55" i="491"/>
  <c r="BZ55" i="491"/>
  <c r="BY55" i="491"/>
  <c r="BX55" i="491"/>
  <c r="BW55" i="491"/>
  <c r="BV55" i="491"/>
  <c r="BU55" i="491"/>
  <c r="BT55" i="491"/>
  <c r="BS55" i="491"/>
  <c r="BR55" i="491"/>
  <c r="BQ55" i="491"/>
  <c r="BP55" i="491"/>
  <c r="BO55" i="491"/>
  <c r="BN55" i="491"/>
  <c r="BM55" i="491"/>
  <c r="BL55" i="491"/>
  <c r="BK55" i="491"/>
  <c r="BJ55" i="491"/>
  <c r="BI55" i="491"/>
  <c r="BH55" i="491"/>
  <c r="BG55" i="491"/>
  <c r="BF55" i="491"/>
  <c r="BE55" i="491"/>
  <c r="BD55" i="491"/>
  <c r="BC55" i="491"/>
  <c r="BB55" i="491"/>
  <c r="BA55" i="491"/>
  <c r="AZ55" i="491"/>
  <c r="AY55" i="491"/>
  <c r="AX55" i="491"/>
  <c r="AW55" i="491"/>
  <c r="AV55" i="491"/>
  <c r="AU55" i="491"/>
  <c r="AT55" i="491"/>
  <c r="AS55" i="491"/>
  <c r="AR55" i="491"/>
  <c r="AQ55" i="491"/>
  <c r="AP55" i="491"/>
  <c r="AO55" i="491"/>
  <c r="AN55" i="491"/>
  <c r="AM55" i="491"/>
  <c r="AL55" i="491"/>
  <c r="AK55" i="491"/>
  <c r="AJ55" i="491"/>
  <c r="AI55" i="491"/>
  <c r="AH55" i="491"/>
  <c r="AG55" i="491"/>
  <c r="AF55" i="491"/>
  <c r="AE55" i="491"/>
  <c r="AD55" i="491"/>
  <c r="AC55" i="491"/>
  <c r="AB55" i="491"/>
  <c r="AA55" i="491"/>
  <c r="Z55" i="491"/>
  <c r="Y55" i="491"/>
  <c r="T55" i="491"/>
  <c r="U55" i="491" s="1"/>
  <c r="Q55" i="491"/>
  <c r="O55" i="491"/>
  <c r="N55" i="491"/>
  <c r="M55" i="491"/>
  <c r="G55" i="491"/>
  <c r="F55" i="491"/>
  <c r="C55" i="491"/>
  <c r="HR54" i="491"/>
  <c r="HQ54" i="491"/>
  <c r="HP54" i="491"/>
  <c r="HO54" i="491"/>
  <c r="HN54" i="491"/>
  <c r="HM54" i="491"/>
  <c r="HL54" i="491"/>
  <c r="HK54" i="491"/>
  <c r="HJ54" i="491"/>
  <c r="HI54" i="491"/>
  <c r="HH54" i="491"/>
  <c r="HG54" i="491"/>
  <c r="HF54" i="491"/>
  <c r="HE54" i="491"/>
  <c r="HD54" i="491"/>
  <c r="HC54" i="491"/>
  <c r="HB54" i="491"/>
  <c r="HA54" i="491"/>
  <c r="GZ54" i="491"/>
  <c r="GY54" i="491"/>
  <c r="GX54" i="491"/>
  <c r="GW54" i="491"/>
  <c r="GV54" i="491"/>
  <c r="GU54" i="491"/>
  <c r="GT54" i="491"/>
  <c r="GS54" i="491"/>
  <c r="GR54" i="491"/>
  <c r="GQ54" i="491"/>
  <c r="GP54" i="491"/>
  <c r="GO54" i="491"/>
  <c r="GN54" i="491"/>
  <c r="GM54" i="491"/>
  <c r="GL54" i="491"/>
  <c r="GK54" i="491"/>
  <c r="GJ54" i="491"/>
  <c r="GI54" i="491"/>
  <c r="GH54" i="491"/>
  <c r="GG54" i="491"/>
  <c r="GF54" i="491"/>
  <c r="GE54" i="491"/>
  <c r="GD54" i="491"/>
  <c r="GC54" i="491"/>
  <c r="GB54" i="491"/>
  <c r="GA54" i="491"/>
  <c r="FZ54" i="491"/>
  <c r="FY54" i="491"/>
  <c r="FX54" i="491"/>
  <c r="FW54" i="491"/>
  <c r="FV54" i="491"/>
  <c r="FU54" i="491"/>
  <c r="FT54" i="491"/>
  <c r="FS54" i="491"/>
  <c r="FR54" i="491"/>
  <c r="FQ54" i="491"/>
  <c r="FP54" i="491"/>
  <c r="FO54" i="491"/>
  <c r="FN54" i="491"/>
  <c r="FM54" i="491"/>
  <c r="FL54" i="491"/>
  <c r="FK54" i="491"/>
  <c r="FJ54" i="491"/>
  <c r="FI54" i="491"/>
  <c r="FH54" i="491"/>
  <c r="FG54" i="491"/>
  <c r="FF54" i="491"/>
  <c r="FE54" i="491"/>
  <c r="FD54" i="491"/>
  <c r="FC54" i="491"/>
  <c r="FB54" i="491"/>
  <c r="FA54" i="491"/>
  <c r="EZ54" i="491"/>
  <c r="EY54" i="491"/>
  <c r="EX54" i="491"/>
  <c r="EW54" i="491"/>
  <c r="EV54" i="491"/>
  <c r="EU54" i="491"/>
  <c r="ET54" i="491"/>
  <c r="ES54" i="491"/>
  <c r="ER54" i="491"/>
  <c r="EQ54" i="491"/>
  <c r="EP54" i="491"/>
  <c r="EO54" i="491"/>
  <c r="EN54" i="491"/>
  <c r="EM54" i="491"/>
  <c r="EL54" i="491"/>
  <c r="EK54" i="491"/>
  <c r="EJ54" i="491"/>
  <c r="EI54" i="491"/>
  <c r="EH54" i="491"/>
  <c r="EG54" i="491"/>
  <c r="EF54" i="491"/>
  <c r="EE54" i="491"/>
  <c r="ED54" i="491"/>
  <c r="EC54" i="491"/>
  <c r="EB54" i="491"/>
  <c r="EA54" i="491"/>
  <c r="DZ54" i="491"/>
  <c r="DY54" i="491"/>
  <c r="DX54" i="491"/>
  <c r="DW54" i="491"/>
  <c r="DT54" i="491"/>
  <c r="DS54" i="491"/>
  <c r="DR54" i="491"/>
  <c r="DQ54" i="491"/>
  <c r="DP54" i="491"/>
  <c r="DO54" i="491"/>
  <c r="DN54" i="491"/>
  <c r="DM54" i="491"/>
  <c r="DL54" i="491"/>
  <c r="DK54" i="491"/>
  <c r="DJ54" i="491"/>
  <c r="DI54" i="491"/>
  <c r="DH54" i="491"/>
  <c r="DG54" i="491"/>
  <c r="DF54" i="491"/>
  <c r="DE54" i="491"/>
  <c r="DD54" i="491"/>
  <c r="DC54" i="491"/>
  <c r="DB54" i="491"/>
  <c r="DA54" i="491"/>
  <c r="CZ54" i="491"/>
  <c r="CY54" i="491"/>
  <c r="CX54" i="491"/>
  <c r="CW54" i="491"/>
  <c r="CV54" i="491"/>
  <c r="CU54" i="491"/>
  <c r="CT54" i="491"/>
  <c r="CS54" i="491"/>
  <c r="CR54" i="491"/>
  <c r="CQ54" i="491"/>
  <c r="CP54" i="491"/>
  <c r="CO54" i="491"/>
  <c r="CN54" i="491"/>
  <c r="CM54" i="491"/>
  <c r="CL54" i="491"/>
  <c r="CK54" i="491"/>
  <c r="CJ54" i="491"/>
  <c r="CI54" i="491"/>
  <c r="CH54" i="491"/>
  <c r="CG54" i="491"/>
  <c r="CF54" i="491"/>
  <c r="CE54" i="491"/>
  <c r="CD54" i="491"/>
  <c r="CC54" i="491"/>
  <c r="CB54" i="491"/>
  <c r="CA54" i="491"/>
  <c r="BZ54" i="491"/>
  <c r="BY54" i="491"/>
  <c r="BX54" i="491"/>
  <c r="BW54" i="491"/>
  <c r="BV54" i="491"/>
  <c r="BU54" i="491"/>
  <c r="BT54" i="491"/>
  <c r="BS54" i="491"/>
  <c r="BR54" i="491"/>
  <c r="BQ54" i="491"/>
  <c r="BP54" i="491"/>
  <c r="BO54" i="491"/>
  <c r="BN54" i="491"/>
  <c r="BM54" i="491"/>
  <c r="BL54" i="491"/>
  <c r="BK54" i="491"/>
  <c r="BJ54" i="491"/>
  <c r="BI54" i="491"/>
  <c r="BH54" i="491"/>
  <c r="BG54" i="491"/>
  <c r="BF54" i="491"/>
  <c r="BE54" i="491"/>
  <c r="BD54" i="491"/>
  <c r="BC54" i="491"/>
  <c r="BB54" i="491"/>
  <c r="BA54" i="491"/>
  <c r="AZ54" i="491"/>
  <c r="AY54" i="491"/>
  <c r="AX54" i="491"/>
  <c r="AW54" i="491"/>
  <c r="AV54" i="491"/>
  <c r="AU54" i="491"/>
  <c r="AT54" i="491"/>
  <c r="AS54" i="491"/>
  <c r="AR54" i="491"/>
  <c r="AQ54" i="491"/>
  <c r="AP54" i="491"/>
  <c r="AO54" i="491"/>
  <c r="AN54" i="491"/>
  <c r="AM54" i="491"/>
  <c r="AL54" i="491"/>
  <c r="AK54" i="491"/>
  <c r="AJ54" i="491"/>
  <c r="AI54" i="491"/>
  <c r="AH54" i="491"/>
  <c r="AG54" i="491"/>
  <c r="AF54" i="491"/>
  <c r="AE54" i="491"/>
  <c r="AD54" i="491"/>
  <c r="AC54" i="491"/>
  <c r="AB54" i="491"/>
  <c r="AA54" i="491"/>
  <c r="Z54" i="491"/>
  <c r="Y54" i="491"/>
  <c r="T54" i="491"/>
  <c r="U54" i="491" s="1"/>
  <c r="Q54" i="491"/>
  <c r="O54" i="491"/>
  <c r="N54" i="491"/>
  <c r="M54" i="491"/>
  <c r="G54" i="491"/>
  <c r="F54" i="491"/>
  <c r="C54" i="491"/>
  <c r="HR53" i="491"/>
  <c r="HQ53" i="491"/>
  <c r="HP53" i="491"/>
  <c r="HO53" i="491"/>
  <c r="HN53" i="491"/>
  <c r="HM53" i="491"/>
  <c r="HL53" i="491"/>
  <c r="HK53" i="491"/>
  <c r="HJ53" i="491"/>
  <c r="HI53" i="491"/>
  <c r="HH53" i="491"/>
  <c r="HG53" i="491"/>
  <c r="HF53" i="491"/>
  <c r="HE53" i="491"/>
  <c r="HD53" i="491"/>
  <c r="HC53" i="491"/>
  <c r="HB53" i="491"/>
  <c r="HA53" i="491"/>
  <c r="GZ53" i="491"/>
  <c r="GY53" i="491"/>
  <c r="GX53" i="491"/>
  <c r="GW53" i="491"/>
  <c r="GV53" i="491"/>
  <c r="GU53" i="491"/>
  <c r="GT53" i="491"/>
  <c r="GS53" i="491"/>
  <c r="GR53" i="491"/>
  <c r="GQ53" i="491"/>
  <c r="GP53" i="491"/>
  <c r="GO53" i="491"/>
  <c r="GN53" i="491"/>
  <c r="GM53" i="491"/>
  <c r="GL53" i="491"/>
  <c r="GK53" i="491"/>
  <c r="GJ53" i="491"/>
  <c r="GI53" i="491"/>
  <c r="GH53" i="491"/>
  <c r="GG53" i="491"/>
  <c r="GF53" i="491"/>
  <c r="GE53" i="491"/>
  <c r="GD53" i="491"/>
  <c r="GC53" i="491"/>
  <c r="GB53" i="491"/>
  <c r="GA53" i="491"/>
  <c r="FZ53" i="491"/>
  <c r="FY53" i="491"/>
  <c r="FX53" i="491"/>
  <c r="FW53" i="491"/>
  <c r="FV53" i="491"/>
  <c r="FU53" i="491"/>
  <c r="FT53" i="491"/>
  <c r="FS53" i="491"/>
  <c r="FR53" i="491"/>
  <c r="FQ53" i="491"/>
  <c r="FP53" i="491"/>
  <c r="FO53" i="491"/>
  <c r="FN53" i="491"/>
  <c r="FM53" i="491"/>
  <c r="FL53" i="491"/>
  <c r="FK53" i="491"/>
  <c r="FJ53" i="491"/>
  <c r="FI53" i="491"/>
  <c r="FH53" i="491"/>
  <c r="FG53" i="491"/>
  <c r="FF53" i="491"/>
  <c r="FE53" i="491"/>
  <c r="FD53" i="491"/>
  <c r="FC53" i="491"/>
  <c r="FB53" i="491"/>
  <c r="FA53" i="491"/>
  <c r="EZ53" i="491"/>
  <c r="EY53" i="491"/>
  <c r="EX53" i="491"/>
  <c r="EW53" i="491"/>
  <c r="EV53" i="491"/>
  <c r="EU53" i="491"/>
  <c r="ET53" i="491"/>
  <c r="ES53" i="491"/>
  <c r="ER53" i="491"/>
  <c r="EQ53" i="491"/>
  <c r="EP53" i="491"/>
  <c r="EO53" i="491"/>
  <c r="EN53" i="491"/>
  <c r="EM53" i="491"/>
  <c r="EL53" i="491"/>
  <c r="EK53" i="491"/>
  <c r="EJ53" i="491"/>
  <c r="EI53" i="491"/>
  <c r="EH53" i="491"/>
  <c r="EG53" i="491"/>
  <c r="EF53" i="491"/>
  <c r="EE53" i="491"/>
  <c r="ED53" i="491"/>
  <c r="EC53" i="491"/>
  <c r="EB53" i="491"/>
  <c r="EA53" i="491"/>
  <c r="DZ53" i="491"/>
  <c r="DY53" i="491"/>
  <c r="DX53" i="491"/>
  <c r="DW53" i="491"/>
  <c r="DT53" i="491"/>
  <c r="DS53" i="491"/>
  <c r="DR53" i="491"/>
  <c r="DQ53" i="491"/>
  <c r="DP53" i="491"/>
  <c r="DO53" i="491"/>
  <c r="DN53" i="491"/>
  <c r="DM53" i="491"/>
  <c r="DL53" i="491"/>
  <c r="DK53" i="491"/>
  <c r="DJ53" i="491"/>
  <c r="DI53" i="491"/>
  <c r="DH53" i="491"/>
  <c r="DG53" i="491"/>
  <c r="DF53" i="491"/>
  <c r="DE53" i="491"/>
  <c r="DD53" i="491"/>
  <c r="DC53" i="491"/>
  <c r="DB53" i="491"/>
  <c r="DA53" i="491"/>
  <c r="CZ53" i="491"/>
  <c r="CY53" i="491"/>
  <c r="CX53" i="491"/>
  <c r="CW53" i="491"/>
  <c r="CV53" i="491"/>
  <c r="CU53" i="491"/>
  <c r="CT53" i="491"/>
  <c r="CS53" i="491"/>
  <c r="CR53" i="491"/>
  <c r="CQ53" i="491"/>
  <c r="CP53" i="491"/>
  <c r="CO53" i="491"/>
  <c r="CN53" i="491"/>
  <c r="CM53" i="491"/>
  <c r="CL53" i="491"/>
  <c r="CK53" i="491"/>
  <c r="CJ53" i="491"/>
  <c r="CI53" i="491"/>
  <c r="CH53" i="491"/>
  <c r="CG53" i="491"/>
  <c r="CF53" i="491"/>
  <c r="CE53" i="491"/>
  <c r="CD53" i="491"/>
  <c r="CC53" i="491"/>
  <c r="CB53" i="491"/>
  <c r="CA53" i="491"/>
  <c r="BZ53" i="491"/>
  <c r="BY53" i="491"/>
  <c r="BX53" i="491"/>
  <c r="BW53" i="491"/>
  <c r="BV53" i="491"/>
  <c r="BU53" i="491"/>
  <c r="BT53" i="491"/>
  <c r="BS53" i="491"/>
  <c r="BR53" i="491"/>
  <c r="BQ53" i="491"/>
  <c r="BP53" i="491"/>
  <c r="BO53" i="491"/>
  <c r="BN53" i="491"/>
  <c r="BM53" i="491"/>
  <c r="BL53" i="491"/>
  <c r="BK53" i="491"/>
  <c r="BJ53" i="491"/>
  <c r="BI53" i="491"/>
  <c r="BH53" i="491"/>
  <c r="BG53" i="491"/>
  <c r="BF53" i="491"/>
  <c r="BE53" i="491"/>
  <c r="BD53" i="491"/>
  <c r="BC53" i="491"/>
  <c r="BB53" i="491"/>
  <c r="BA53" i="491"/>
  <c r="AZ53" i="491"/>
  <c r="AY53" i="491"/>
  <c r="AX53" i="491"/>
  <c r="AW53" i="491"/>
  <c r="AV53" i="491"/>
  <c r="AU53" i="491"/>
  <c r="AT53" i="491"/>
  <c r="AS53" i="491"/>
  <c r="AR53" i="491"/>
  <c r="AQ53" i="491"/>
  <c r="AP53" i="491"/>
  <c r="AO53" i="491"/>
  <c r="AN53" i="491"/>
  <c r="AM53" i="491"/>
  <c r="AL53" i="491"/>
  <c r="AK53" i="491"/>
  <c r="AJ53" i="491"/>
  <c r="AI53" i="491"/>
  <c r="AH53" i="491"/>
  <c r="AG53" i="491"/>
  <c r="AF53" i="491"/>
  <c r="AE53" i="491"/>
  <c r="AD53" i="491"/>
  <c r="AC53" i="491"/>
  <c r="AB53" i="491"/>
  <c r="AA53" i="491"/>
  <c r="Z53" i="491"/>
  <c r="Y53" i="491"/>
  <c r="T53" i="491"/>
  <c r="U53" i="491" s="1"/>
  <c r="Q53" i="491"/>
  <c r="O53" i="491"/>
  <c r="N53" i="491"/>
  <c r="M53" i="491"/>
  <c r="G53" i="491"/>
  <c r="F53" i="491"/>
  <c r="C53" i="491"/>
  <c r="HR52" i="491"/>
  <c r="HQ52" i="491"/>
  <c r="HP52" i="491"/>
  <c r="HO52" i="491"/>
  <c r="HN52" i="491"/>
  <c r="HM52" i="491"/>
  <c r="HL52" i="491"/>
  <c r="HK52" i="491"/>
  <c r="HJ52" i="491"/>
  <c r="HI52" i="491"/>
  <c r="HH52" i="491"/>
  <c r="HG52" i="491"/>
  <c r="HF52" i="491"/>
  <c r="HE52" i="491"/>
  <c r="HD52" i="491"/>
  <c r="HC52" i="491"/>
  <c r="HB52" i="491"/>
  <c r="HA52" i="491"/>
  <c r="GZ52" i="491"/>
  <c r="GY52" i="491"/>
  <c r="GX52" i="491"/>
  <c r="GW52" i="491"/>
  <c r="GV52" i="491"/>
  <c r="GU52" i="491"/>
  <c r="GT52" i="491"/>
  <c r="GS52" i="491"/>
  <c r="GR52" i="491"/>
  <c r="GQ52" i="491"/>
  <c r="GP52" i="491"/>
  <c r="GO52" i="491"/>
  <c r="GN52" i="491"/>
  <c r="GM52" i="491"/>
  <c r="GL52" i="491"/>
  <c r="GK52" i="491"/>
  <c r="GJ52" i="491"/>
  <c r="GI52" i="491"/>
  <c r="GH52" i="491"/>
  <c r="GG52" i="491"/>
  <c r="GF52" i="491"/>
  <c r="GE52" i="491"/>
  <c r="GD52" i="491"/>
  <c r="GC52" i="491"/>
  <c r="GB52" i="491"/>
  <c r="GA52" i="491"/>
  <c r="FZ52" i="491"/>
  <c r="FY52" i="491"/>
  <c r="FX52" i="491"/>
  <c r="FW52" i="491"/>
  <c r="FV52" i="491"/>
  <c r="FU52" i="491"/>
  <c r="FT52" i="491"/>
  <c r="FS52" i="491"/>
  <c r="FR52" i="491"/>
  <c r="FQ52" i="491"/>
  <c r="FP52" i="491"/>
  <c r="FO52" i="491"/>
  <c r="FN52" i="491"/>
  <c r="FM52" i="491"/>
  <c r="FL52" i="491"/>
  <c r="FK52" i="491"/>
  <c r="FJ52" i="491"/>
  <c r="FI52" i="491"/>
  <c r="FH52" i="491"/>
  <c r="FG52" i="491"/>
  <c r="FF52" i="491"/>
  <c r="FE52" i="491"/>
  <c r="FD52" i="491"/>
  <c r="FC52" i="491"/>
  <c r="FB52" i="491"/>
  <c r="FA52" i="491"/>
  <c r="EZ52" i="491"/>
  <c r="EY52" i="491"/>
  <c r="EX52" i="491"/>
  <c r="EW52" i="491"/>
  <c r="EV52" i="491"/>
  <c r="EU52" i="491"/>
  <c r="ET52" i="491"/>
  <c r="ES52" i="491"/>
  <c r="ER52" i="491"/>
  <c r="EQ52" i="491"/>
  <c r="EP52" i="491"/>
  <c r="EO52" i="491"/>
  <c r="EN52" i="491"/>
  <c r="EM52" i="491"/>
  <c r="EL52" i="491"/>
  <c r="EK52" i="491"/>
  <c r="EJ52" i="491"/>
  <c r="EI52" i="491"/>
  <c r="EH52" i="491"/>
  <c r="EG52" i="491"/>
  <c r="EF52" i="491"/>
  <c r="EE52" i="491"/>
  <c r="ED52" i="491"/>
  <c r="EC52" i="491"/>
  <c r="EB52" i="491"/>
  <c r="EA52" i="491"/>
  <c r="DZ52" i="491"/>
  <c r="DY52" i="491"/>
  <c r="DX52" i="491"/>
  <c r="DW52" i="491"/>
  <c r="DT52" i="491"/>
  <c r="DS52" i="491"/>
  <c r="DR52" i="491"/>
  <c r="DQ52" i="491"/>
  <c r="DP52" i="491"/>
  <c r="DO52" i="491"/>
  <c r="DN52" i="491"/>
  <c r="DM52" i="491"/>
  <c r="DL52" i="491"/>
  <c r="DK52" i="491"/>
  <c r="DJ52" i="491"/>
  <c r="DI52" i="491"/>
  <c r="DH52" i="491"/>
  <c r="DG52" i="491"/>
  <c r="DF52" i="491"/>
  <c r="DE52" i="491"/>
  <c r="DD52" i="491"/>
  <c r="DC52" i="491"/>
  <c r="DB52" i="491"/>
  <c r="DA52" i="491"/>
  <c r="CZ52" i="491"/>
  <c r="CY52" i="491"/>
  <c r="CX52" i="491"/>
  <c r="CW52" i="491"/>
  <c r="CV52" i="491"/>
  <c r="CU52" i="491"/>
  <c r="CT52" i="491"/>
  <c r="CS52" i="491"/>
  <c r="CR52" i="491"/>
  <c r="CQ52" i="491"/>
  <c r="CP52" i="491"/>
  <c r="CO52" i="491"/>
  <c r="CN52" i="491"/>
  <c r="CM52" i="491"/>
  <c r="CL52" i="491"/>
  <c r="CK52" i="491"/>
  <c r="CJ52" i="491"/>
  <c r="CI52" i="491"/>
  <c r="CH52" i="491"/>
  <c r="CG52" i="491"/>
  <c r="CF52" i="491"/>
  <c r="CE52" i="491"/>
  <c r="CD52" i="491"/>
  <c r="CC52" i="491"/>
  <c r="CB52" i="491"/>
  <c r="CA52" i="491"/>
  <c r="BZ52" i="491"/>
  <c r="BY52" i="491"/>
  <c r="BX52" i="491"/>
  <c r="BW52" i="491"/>
  <c r="BV52" i="491"/>
  <c r="BU52" i="491"/>
  <c r="BT52" i="491"/>
  <c r="BS52" i="491"/>
  <c r="BR52" i="491"/>
  <c r="BQ52" i="491"/>
  <c r="BP52" i="491"/>
  <c r="BO52" i="491"/>
  <c r="BN52" i="491"/>
  <c r="BM52" i="491"/>
  <c r="BL52" i="491"/>
  <c r="BK52" i="491"/>
  <c r="BJ52" i="491"/>
  <c r="BI52" i="491"/>
  <c r="BH52" i="491"/>
  <c r="BG52" i="491"/>
  <c r="BF52" i="491"/>
  <c r="BE52" i="491"/>
  <c r="BD52" i="491"/>
  <c r="BC52" i="491"/>
  <c r="BB52" i="491"/>
  <c r="BA52" i="491"/>
  <c r="AZ52" i="491"/>
  <c r="AY52" i="491"/>
  <c r="AX52" i="491"/>
  <c r="AW52" i="491"/>
  <c r="AV52" i="491"/>
  <c r="AU52" i="491"/>
  <c r="AT52" i="491"/>
  <c r="AS52" i="491"/>
  <c r="AR52" i="491"/>
  <c r="AQ52" i="491"/>
  <c r="AP52" i="491"/>
  <c r="AO52" i="491"/>
  <c r="AN52" i="491"/>
  <c r="AM52" i="491"/>
  <c r="AL52" i="491"/>
  <c r="AK52" i="491"/>
  <c r="AJ52" i="491"/>
  <c r="AI52" i="491"/>
  <c r="AH52" i="491"/>
  <c r="AG52" i="491"/>
  <c r="AF52" i="491"/>
  <c r="AE52" i="491"/>
  <c r="AD52" i="491"/>
  <c r="AC52" i="491"/>
  <c r="AB52" i="491"/>
  <c r="AA52" i="491"/>
  <c r="Z52" i="491"/>
  <c r="Y52" i="491"/>
  <c r="T52" i="491"/>
  <c r="U52" i="491" s="1"/>
  <c r="Q52" i="491"/>
  <c r="O52" i="491"/>
  <c r="N52" i="491"/>
  <c r="M52" i="491"/>
  <c r="G52" i="491"/>
  <c r="F52" i="491"/>
  <c r="C52" i="491"/>
  <c r="HR51" i="491"/>
  <c r="HQ51" i="491"/>
  <c r="HP51" i="491"/>
  <c r="HO51" i="491"/>
  <c r="HN51" i="491"/>
  <c r="HM51" i="491"/>
  <c r="HL51" i="491"/>
  <c r="HK51" i="491"/>
  <c r="HJ51" i="491"/>
  <c r="HI51" i="491"/>
  <c r="HH51" i="491"/>
  <c r="HG51" i="491"/>
  <c r="HF51" i="491"/>
  <c r="HE51" i="491"/>
  <c r="HD51" i="491"/>
  <c r="HC51" i="491"/>
  <c r="HB51" i="491"/>
  <c r="HA51" i="491"/>
  <c r="GZ51" i="491"/>
  <c r="GY51" i="491"/>
  <c r="GX51" i="491"/>
  <c r="GW51" i="491"/>
  <c r="GV51" i="491"/>
  <c r="GU51" i="491"/>
  <c r="GT51" i="491"/>
  <c r="GS51" i="491"/>
  <c r="GR51" i="491"/>
  <c r="GQ51" i="491"/>
  <c r="GP51" i="491"/>
  <c r="GO51" i="491"/>
  <c r="GN51" i="491"/>
  <c r="GM51" i="491"/>
  <c r="GL51" i="491"/>
  <c r="GK51" i="491"/>
  <c r="GJ51" i="491"/>
  <c r="GI51" i="491"/>
  <c r="GH51" i="491"/>
  <c r="GG51" i="491"/>
  <c r="GF51" i="491"/>
  <c r="GE51" i="491"/>
  <c r="GD51" i="491"/>
  <c r="GC51" i="491"/>
  <c r="GB51" i="491"/>
  <c r="GA51" i="491"/>
  <c r="FZ51" i="491"/>
  <c r="FY51" i="491"/>
  <c r="FX51" i="491"/>
  <c r="FW51" i="491"/>
  <c r="FV51" i="491"/>
  <c r="FU51" i="491"/>
  <c r="FT51" i="491"/>
  <c r="FS51" i="491"/>
  <c r="FR51" i="491"/>
  <c r="FQ51" i="491"/>
  <c r="FP51" i="491"/>
  <c r="FO51" i="491"/>
  <c r="FN51" i="491"/>
  <c r="FM51" i="491"/>
  <c r="FL51" i="491"/>
  <c r="FK51" i="491"/>
  <c r="FJ51" i="491"/>
  <c r="FI51" i="491"/>
  <c r="FH51" i="491"/>
  <c r="FG51" i="491"/>
  <c r="FF51" i="491"/>
  <c r="FE51" i="491"/>
  <c r="FD51" i="491"/>
  <c r="FC51" i="491"/>
  <c r="FB51" i="491"/>
  <c r="FA51" i="491"/>
  <c r="EZ51" i="491"/>
  <c r="EY51" i="491"/>
  <c r="EX51" i="491"/>
  <c r="EW51" i="491"/>
  <c r="EV51" i="491"/>
  <c r="EU51" i="491"/>
  <c r="ET51" i="491"/>
  <c r="ES51" i="491"/>
  <c r="ER51" i="491"/>
  <c r="EQ51" i="491"/>
  <c r="EP51" i="491"/>
  <c r="EO51" i="491"/>
  <c r="EN51" i="491"/>
  <c r="EM51" i="491"/>
  <c r="EL51" i="491"/>
  <c r="EK51" i="491"/>
  <c r="EJ51" i="491"/>
  <c r="EI51" i="491"/>
  <c r="EH51" i="491"/>
  <c r="EG51" i="491"/>
  <c r="EF51" i="491"/>
  <c r="EE51" i="491"/>
  <c r="ED51" i="491"/>
  <c r="EC51" i="491"/>
  <c r="EB51" i="491"/>
  <c r="EA51" i="491"/>
  <c r="DZ51" i="491"/>
  <c r="DY51" i="491"/>
  <c r="DX51" i="491"/>
  <c r="DW51" i="491"/>
  <c r="DT51" i="491"/>
  <c r="DS51" i="491"/>
  <c r="DR51" i="491"/>
  <c r="DQ51" i="491"/>
  <c r="DP51" i="491"/>
  <c r="DO51" i="491"/>
  <c r="DN51" i="491"/>
  <c r="DM51" i="491"/>
  <c r="DL51" i="491"/>
  <c r="DK51" i="491"/>
  <c r="DJ51" i="491"/>
  <c r="DI51" i="491"/>
  <c r="DH51" i="491"/>
  <c r="DG51" i="491"/>
  <c r="DF51" i="491"/>
  <c r="DE51" i="491"/>
  <c r="DD51" i="491"/>
  <c r="DC51" i="491"/>
  <c r="DB51" i="491"/>
  <c r="DA51" i="491"/>
  <c r="CZ51" i="491"/>
  <c r="CY51" i="491"/>
  <c r="CX51" i="491"/>
  <c r="CW51" i="491"/>
  <c r="CV51" i="491"/>
  <c r="CU51" i="491"/>
  <c r="CT51" i="491"/>
  <c r="CS51" i="491"/>
  <c r="CR51" i="491"/>
  <c r="CQ51" i="491"/>
  <c r="CP51" i="491"/>
  <c r="CO51" i="491"/>
  <c r="CN51" i="491"/>
  <c r="CM51" i="491"/>
  <c r="CL51" i="491"/>
  <c r="CK51" i="491"/>
  <c r="CJ51" i="491"/>
  <c r="CI51" i="491"/>
  <c r="CH51" i="491"/>
  <c r="CG51" i="491"/>
  <c r="CF51" i="491"/>
  <c r="CE51" i="491"/>
  <c r="CD51" i="491"/>
  <c r="CC51" i="491"/>
  <c r="CB51" i="491"/>
  <c r="CA51" i="491"/>
  <c r="BZ51" i="491"/>
  <c r="BY51" i="491"/>
  <c r="BX51" i="491"/>
  <c r="BW51" i="491"/>
  <c r="BV51" i="491"/>
  <c r="BU51" i="491"/>
  <c r="BT51" i="491"/>
  <c r="BS51" i="491"/>
  <c r="BR51" i="491"/>
  <c r="BQ51" i="491"/>
  <c r="BP51" i="491"/>
  <c r="BO51" i="491"/>
  <c r="BN51" i="491"/>
  <c r="BM51" i="491"/>
  <c r="BL51" i="491"/>
  <c r="BK51" i="491"/>
  <c r="BJ51" i="491"/>
  <c r="BI51" i="491"/>
  <c r="BH51" i="491"/>
  <c r="BG51" i="491"/>
  <c r="BF51" i="491"/>
  <c r="BE51" i="491"/>
  <c r="BD51" i="491"/>
  <c r="BC51" i="491"/>
  <c r="BB51" i="491"/>
  <c r="BA51" i="491"/>
  <c r="AZ51" i="491"/>
  <c r="AY51" i="491"/>
  <c r="AX51" i="491"/>
  <c r="AW51" i="491"/>
  <c r="AV51" i="491"/>
  <c r="AU51" i="491"/>
  <c r="AT51" i="491"/>
  <c r="AS51" i="491"/>
  <c r="AR51" i="491"/>
  <c r="AQ51" i="491"/>
  <c r="AP51" i="491"/>
  <c r="AO51" i="491"/>
  <c r="AN51" i="491"/>
  <c r="AM51" i="491"/>
  <c r="AL51" i="491"/>
  <c r="AK51" i="491"/>
  <c r="AJ51" i="491"/>
  <c r="AI51" i="491"/>
  <c r="AH51" i="491"/>
  <c r="AG51" i="491"/>
  <c r="AF51" i="491"/>
  <c r="AE51" i="491"/>
  <c r="AD51" i="491"/>
  <c r="AC51" i="491"/>
  <c r="AB51" i="491"/>
  <c r="AA51" i="491"/>
  <c r="Z51" i="491"/>
  <c r="Y51" i="491"/>
  <c r="T51" i="491"/>
  <c r="U51" i="491" s="1"/>
  <c r="Q51" i="491"/>
  <c r="O51" i="491"/>
  <c r="N51" i="491"/>
  <c r="M51" i="491"/>
  <c r="G51" i="491"/>
  <c r="F51" i="491"/>
  <c r="C51" i="491"/>
  <c r="HR50" i="491"/>
  <c r="HQ50" i="491"/>
  <c r="HP50" i="491"/>
  <c r="HO50" i="491"/>
  <c r="HN50" i="491"/>
  <c r="HM50" i="491"/>
  <c r="HL50" i="491"/>
  <c r="HK50" i="491"/>
  <c r="HJ50" i="491"/>
  <c r="HI50" i="491"/>
  <c r="HH50" i="491"/>
  <c r="HG50" i="491"/>
  <c r="HF50" i="491"/>
  <c r="HE50" i="491"/>
  <c r="HD50" i="491"/>
  <c r="HC50" i="491"/>
  <c r="HB50" i="491"/>
  <c r="HA50" i="491"/>
  <c r="GZ50" i="491"/>
  <c r="GY50" i="491"/>
  <c r="GX50" i="491"/>
  <c r="GW50" i="491"/>
  <c r="GV50" i="491"/>
  <c r="GU50" i="491"/>
  <c r="GT50" i="491"/>
  <c r="GR50" i="491"/>
  <c r="GQ50" i="491"/>
  <c r="GP50" i="491"/>
  <c r="GO50" i="491"/>
  <c r="GN50" i="491"/>
  <c r="GM50" i="491"/>
  <c r="GL50" i="491"/>
  <c r="GK50" i="491"/>
  <c r="GJ50" i="491"/>
  <c r="GI50" i="491"/>
  <c r="GH50" i="491"/>
  <c r="GG50" i="491"/>
  <c r="GF50" i="491"/>
  <c r="GE50" i="491"/>
  <c r="GD50" i="491"/>
  <c r="GC50" i="491"/>
  <c r="GB50" i="491"/>
  <c r="GA50" i="491"/>
  <c r="FZ50" i="491"/>
  <c r="FY50" i="491"/>
  <c r="FX50" i="491"/>
  <c r="FW50" i="491"/>
  <c r="FV50" i="491"/>
  <c r="FU50" i="491"/>
  <c r="FT50" i="491"/>
  <c r="FS50" i="491"/>
  <c r="FR50" i="491"/>
  <c r="FQ50" i="491"/>
  <c r="FP50" i="491"/>
  <c r="FO50" i="491"/>
  <c r="FN50" i="491"/>
  <c r="FM50" i="491"/>
  <c r="FL50" i="491"/>
  <c r="FK50" i="491"/>
  <c r="FJ50" i="491"/>
  <c r="FI50" i="491"/>
  <c r="FH50" i="491"/>
  <c r="FG50" i="491"/>
  <c r="FF50" i="491"/>
  <c r="FE50" i="491"/>
  <c r="FD50" i="491"/>
  <c r="FC50" i="491"/>
  <c r="FB50" i="491"/>
  <c r="FA50" i="491"/>
  <c r="EZ50" i="491"/>
  <c r="EY50" i="491"/>
  <c r="EX50" i="491"/>
  <c r="EW50" i="491"/>
  <c r="EV50" i="491"/>
  <c r="EU50" i="491"/>
  <c r="ET50" i="491"/>
  <c r="ES50" i="491"/>
  <c r="ER50" i="491"/>
  <c r="EQ50" i="491"/>
  <c r="EP50" i="491"/>
  <c r="EO50" i="491"/>
  <c r="EN50" i="491"/>
  <c r="EM50" i="491"/>
  <c r="EL50" i="491"/>
  <c r="EK50" i="491"/>
  <c r="EJ50" i="491"/>
  <c r="EI50" i="491"/>
  <c r="EH50" i="491"/>
  <c r="EG50" i="491"/>
  <c r="EF50" i="491"/>
  <c r="EE50" i="491"/>
  <c r="ED50" i="491"/>
  <c r="EC50" i="491"/>
  <c r="EB50" i="491"/>
  <c r="EA50" i="491"/>
  <c r="DZ50" i="491"/>
  <c r="DY50" i="491"/>
  <c r="DX50" i="491"/>
  <c r="DW50" i="491"/>
  <c r="DT50" i="491"/>
  <c r="DS50" i="491"/>
  <c r="DR50" i="491"/>
  <c r="DQ50" i="491"/>
  <c r="DP50" i="491"/>
  <c r="DO50" i="491"/>
  <c r="DN50" i="491"/>
  <c r="DM50" i="491"/>
  <c r="DL50" i="491"/>
  <c r="DK50" i="491"/>
  <c r="DJ50" i="491"/>
  <c r="DI50" i="491"/>
  <c r="DH50" i="491"/>
  <c r="DG50" i="491"/>
  <c r="DF50" i="491"/>
  <c r="DE50" i="491"/>
  <c r="DD50" i="491"/>
  <c r="DC50" i="491"/>
  <c r="DB50" i="491"/>
  <c r="DA50" i="491"/>
  <c r="CZ50" i="491"/>
  <c r="CY50" i="491"/>
  <c r="CX50" i="491"/>
  <c r="CW50" i="491"/>
  <c r="CV50" i="491"/>
  <c r="CT50" i="491"/>
  <c r="CS50" i="491"/>
  <c r="CR50" i="491"/>
  <c r="CQ50" i="491"/>
  <c r="CP50" i="491"/>
  <c r="CO50" i="491"/>
  <c r="CN50" i="491"/>
  <c r="CM50" i="491"/>
  <c r="CL50" i="491"/>
  <c r="CK50" i="491"/>
  <c r="CJ50" i="491"/>
  <c r="CI50" i="491"/>
  <c r="CH50" i="491"/>
  <c r="CG50" i="491"/>
  <c r="CF50" i="491"/>
  <c r="CE50" i="491"/>
  <c r="CD50" i="491"/>
  <c r="CC50" i="491"/>
  <c r="CB50" i="491"/>
  <c r="CA50" i="491"/>
  <c r="BZ50" i="491"/>
  <c r="BY50" i="491"/>
  <c r="BX50" i="491"/>
  <c r="BW50" i="491"/>
  <c r="BV50" i="491"/>
  <c r="BU50" i="491"/>
  <c r="BT50" i="491"/>
  <c r="BS50" i="491"/>
  <c r="BR50" i="491"/>
  <c r="BQ50" i="491"/>
  <c r="BP50" i="491"/>
  <c r="BO50" i="491"/>
  <c r="BN50" i="491"/>
  <c r="BM50" i="491"/>
  <c r="BL50" i="491"/>
  <c r="BK50" i="491"/>
  <c r="BJ50" i="491"/>
  <c r="BI50" i="491"/>
  <c r="BH50" i="491"/>
  <c r="BG50" i="491"/>
  <c r="BF50" i="491"/>
  <c r="BE50" i="491"/>
  <c r="BD50" i="491"/>
  <c r="BC50" i="491"/>
  <c r="BB50" i="491"/>
  <c r="BA50" i="491"/>
  <c r="AZ50" i="491"/>
  <c r="AY50" i="491"/>
  <c r="AX50" i="491"/>
  <c r="AW50" i="491"/>
  <c r="AV50" i="491"/>
  <c r="AU50" i="491"/>
  <c r="AT50" i="491"/>
  <c r="AS50" i="491"/>
  <c r="AR50" i="491"/>
  <c r="AQ50" i="491"/>
  <c r="AP50" i="491"/>
  <c r="AO50" i="491"/>
  <c r="AN50" i="491"/>
  <c r="AM50" i="491"/>
  <c r="AL50" i="491"/>
  <c r="AK50" i="491"/>
  <c r="AJ50" i="491"/>
  <c r="AI50" i="491"/>
  <c r="AH50" i="491"/>
  <c r="AG50" i="491"/>
  <c r="AF50" i="491"/>
  <c r="AE50" i="491"/>
  <c r="AD50" i="491"/>
  <c r="AC50" i="491"/>
  <c r="AB50" i="491"/>
  <c r="AA50" i="491"/>
  <c r="Z50" i="491"/>
  <c r="Y50" i="491"/>
  <c r="T50" i="491"/>
  <c r="U50" i="491" s="1"/>
  <c r="CU50" i="491" s="1"/>
  <c r="N50" i="491"/>
  <c r="G50" i="491"/>
  <c r="C50" i="491"/>
  <c r="HR49" i="491"/>
  <c r="HQ49" i="491"/>
  <c r="HP49" i="491"/>
  <c r="HO49" i="491"/>
  <c r="HN49" i="491"/>
  <c r="HM49" i="491"/>
  <c r="HL49" i="491"/>
  <c r="HK49" i="491"/>
  <c r="HJ49" i="491"/>
  <c r="HI49" i="491"/>
  <c r="HH49" i="491"/>
  <c r="HG49" i="491"/>
  <c r="HF49" i="491"/>
  <c r="HE49" i="491"/>
  <c r="HD49" i="491"/>
  <c r="HC49" i="491"/>
  <c r="HB49" i="491"/>
  <c r="HA49" i="491"/>
  <c r="GZ49" i="491"/>
  <c r="GY49" i="491"/>
  <c r="GX49" i="491"/>
  <c r="GW49" i="491"/>
  <c r="GV49" i="491"/>
  <c r="GU49" i="491"/>
  <c r="GT49" i="491"/>
  <c r="GS49" i="491"/>
  <c r="GR49" i="491"/>
  <c r="GQ49" i="491"/>
  <c r="GP49" i="491"/>
  <c r="GO49" i="491"/>
  <c r="GN49" i="491"/>
  <c r="GM49" i="491"/>
  <c r="GL49" i="491"/>
  <c r="GK49" i="491"/>
  <c r="GJ49" i="491"/>
  <c r="GI49" i="491"/>
  <c r="GH49" i="491"/>
  <c r="GG49" i="491"/>
  <c r="GF49" i="491"/>
  <c r="GE49" i="491"/>
  <c r="GD49" i="491"/>
  <c r="GC49" i="491"/>
  <c r="GB49" i="491"/>
  <c r="GA49" i="491"/>
  <c r="FZ49" i="491"/>
  <c r="FY49" i="491"/>
  <c r="FX49" i="491"/>
  <c r="FW49" i="491"/>
  <c r="FV49" i="491"/>
  <c r="FU49" i="491"/>
  <c r="FT49" i="491"/>
  <c r="FS49" i="491"/>
  <c r="FR49" i="491"/>
  <c r="FQ49" i="491"/>
  <c r="FP49" i="491"/>
  <c r="FO49" i="491"/>
  <c r="FN49" i="491"/>
  <c r="FM49" i="491"/>
  <c r="FL49" i="491"/>
  <c r="FK49" i="491"/>
  <c r="FJ49" i="491"/>
  <c r="FI49" i="491"/>
  <c r="FH49" i="491"/>
  <c r="FG49" i="491"/>
  <c r="FF49" i="491"/>
  <c r="FE49" i="491"/>
  <c r="FD49" i="491"/>
  <c r="FC49" i="491"/>
  <c r="FB49" i="491"/>
  <c r="FA49" i="491"/>
  <c r="EZ49" i="491"/>
  <c r="EY49" i="491"/>
  <c r="EX49" i="491"/>
  <c r="EW49" i="491"/>
  <c r="EV49" i="491"/>
  <c r="EU49" i="491"/>
  <c r="ET49" i="491"/>
  <c r="ES49" i="491"/>
  <c r="ER49" i="491"/>
  <c r="EQ49" i="491"/>
  <c r="EP49" i="491"/>
  <c r="EO49" i="491"/>
  <c r="EN49" i="491"/>
  <c r="EM49" i="491"/>
  <c r="EL49" i="491"/>
  <c r="EK49" i="491"/>
  <c r="EJ49" i="491"/>
  <c r="EI49" i="491"/>
  <c r="EH49" i="491"/>
  <c r="EG49" i="491"/>
  <c r="EF49" i="491"/>
  <c r="EE49" i="491"/>
  <c r="ED49" i="491"/>
  <c r="EC49" i="491"/>
  <c r="EB49" i="491"/>
  <c r="EA49" i="491"/>
  <c r="DZ49" i="491"/>
  <c r="DY49" i="491"/>
  <c r="DX49" i="491"/>
  <c r="DW49" i="491"/>
  <c r="DT49" i="491"/>
  <c r="DS49" i="491"/>
  <c r="DR49" i="491"/>
  <c r="DQ49" i="491"/>
  <c r="DP49" i="491"/>
  <c r="DO49" i="491"/>
  <c r="DN49" i="491"/>
  <c r="DM49" i="491"/>
  <c r="DL49" i="491"/>
  <c r="DK49" i="491"/>
  <c r="DJ49" i="491"/>
  <c r="DI49" i="491"/>
  <c r="DH49" i="491"/>
  <c r="DG49" i="491"/>
  <c r="DF49" i="491"/>
  <c r="DE49" i="491"/>
  <c r="DD49" i="491"/>
  <c r="DC49" i="491"/>
  <c r="DB49" i="491"/>
  <c r="DA49" i="491"/>
  <c r="CZ49" i="491"/>
  <c r="CY49" i="491"/>
  <c r="CX49" i="491"/>
  <c r="CW49" i="491"/>
  <c r="CV49" i="491"/>
  <c r="CU49" i="491"/>
  <c r="CT49" i="491"/>
  <c r="CS49" i="491"/>
  <c r="CR49" i="491"/>
  <c r="CQ49" i="491"/>
  <c r="CP49" i="491"/>
  <c r="CO49" i="491"/>
  <c r="CN49" i="491"/>
  <c r="CM49" i="491"/>
  <c r="CL49" i="491"/>
  <c r="CK49" i="491"/>
  <c r="CJ49" i="491"/>
  <c r="CI49" i="491"/>
  <c r="CH49" i="491"/>
  <c r="CG49" i="491"/>
  <c r="CF49" i="491"/>
  <c r="CE49" i="491"/>
  <c r="CD49" i="491"/>
  <c r="CC49" i="491"/>
  <c r="CB49" i="491"/>
  <c r="CA49" i="491"/>
  <c r="BZ49" i="491"/>
  <c r="BY49" i="491"/>
  <c r="BX49" i="491"/>
  <c r="BW49" i="491"/>
  <c r="BV49" i="491"/>
  <c r="BU49" i="491"/>
  <c r="BT49" i="491"/>
  <c r="BS49" i="491"/>
  <c r="BR49" i="491"/>
  <c r="BQ49" i="491"/>
  <c r="BP49" i="491"/>
  <c r="BO49" i="491"/>
  <c r="BN49" i="491"/>
  <c r="BM49" i="491"/>
  <c r="BL49" i="491"/>
  <c r="BK49" i="491"/>
  <c r="BJ49" i="491"/>
  <c r="BI49" i="491"/>
  <c r="BH49" i="491"/>
  <c r="BG49" i="491"/>
  <c r="BF49" i="491"/>
  <c r="BE49" i="491"/>
  <c r="BD49" i="491"/>
  <c r="BC49" i="491"/>
  <c r="BB49" i="491"/>
  <c r="BA49" i="491"/>
  <c r="AZ49" i="491"/>
  <c r="AY49" i="491"/>
  <c r="AX49" i="491"/>
  <c r="AW49" i="491"/>
  <c r="AV49" i="491"/>
  <c r="AU49" i="491"/>
  <c r="AT49" i="491"/>
  <c r="AS49" i="491"/>
  <c r="AR49" i="491"/>
  <c r="AQ49" i="491"/>
  <c r="AP49" i="491"/>
  <c r="AO49" i="491"/>
  <c r="AN49" i="491"/>
  <c r="AM49" i="491"/>
  <c r="AL49" i="491"/>
  <c r="AK49" i="491"/>
  <c r="AJ49" i="491"/>
  <c r="AI49" i="491"/>
  <c r="AH49" i="491"/>
  <c r="AG49" i="491"/>
  <c r="AF49" i="491"/>
  <c r="AE49" i="491"/>
  <c r="AD49" i="491"/>
  <c r="AC49" i="491"/>
  <c r="AB49" i="491"/>
  <c r="AA49" i="491"/>
  <c r="Z49" i="491"/>
  <c r="Y49" i="491"/>
  <c r="T49" i="491"/>
  <c r="U49" i="491" s="1"/>
  <c r="Q49" i="491"/>
  <c r="O49" i="491"/>
  <c r="N49" i="491"/>
  <c r="M49" i="491"/>
  <c r="G49" i="491"/>
  <c r="F49" i="491"/>
  <c r="C49" i="491"/>
  <c r="HR43" i="491"/>
  <c r="HQ43" i="491"/>
  <c r="HP43" i="491"/>
  <c r="HO43" i="491"/>
  <c r="HN43" i="491"/>
  <c r="HM43" i="491"/>
  <c r="HL43" i="491"/>
  <c r="HK43" i="491"/>
  <c r="HJ43" i="491"/>
  <c r="HI43" i="491"/>
  <c r="HH43" i="491"/>
  <c r="HG43" i="491"/>
  <c r="HF43" i="491"/>
  <c r="HE43" i="491"/>
  <c r="HD43" i="491"/>
  <c r="HC43" i="491"/>
  <c r="HB43" i="491"/>
  <c r="HA43" i="491"/>
  <c r="GZ43" i="491"/>
  <c r="GY43" i="491"/>
  <c r="GX43" i="491"/>
  <c r="GW43" i="491"/>
  <c r="GV43" i="491"/>
  <c r="GU43" i="491"/>
  <c r="GT43" i="491"/>
  <c r="GS43" i="491"/>
  <c r="GR43" i="491"/>
  <c r="GQ43" i="491"/>
  <c r="GP43" i="491"/>
  <c r="GO43" i="491"/>
  <c r="GN43" i="491"/>
  <c r="GM43" i="491"/>
  <c r="GL43" i="491"/>
  <c r="GK43" i="491"/>
  <c r="GJ43" i="491"/>
  <c r="GI43" i="491"/>
  <c r="GH43" i="491"/>
  <c r="GG43" i="491"/>
  <c r="GF43" i="491"/>
  <c r="GE43" i="491"/>
  <c r="GD43" i="491"/>
  <c r="GC43" i="491"/>
  <c r="GB43" i="491"/>
  <c r="GA43" i="491"/>
  <c r="FZ43" i="491"/>
  <c r="FY43" i="491"/>
  <c r="FX43" i="491"/>
  <c r="FW43" i="491"/>
  <c r="FV43" i="491"/>
  <c r="FU43" i="491"/>
  <c r="FT43" i="491"/>
  <c r="FS43" i="491"/>
  <c r="FR43" i="491"/>
  <c r="FQ43" i="491"/>
  <c r="FP43" i="491"/>
  <c r="FO43" i="491"/>
  <c r="FN43" i="491"/>
  <c r="FM43" i="491"/>
  <c r="FL43" i="491"/>
  <c r="FK43" i="491"/>
  <c r="FJ43" i="491"/>
  <c r="FI43" i="491"/>
  <c r="FH43" i="491"/>
  <c r="FG43" i="491"/>
  <c r="FF43" i="491"/>
  <c r="FE43" i="491"/>
  <c r="FD43" i="491"/>
  <c r="FC43" i="491"/>
  <c r="FB43" i="491"/>
  <c r="FA43" i="491"/>
  <c r="EZ43" i="491"/>
  <c r="EY43" i="491"/>
  <c r="EX43" i="491"/>
  <c r="EW43" i="491"/>
  <c r="EV43" i="491"/>
  <c r="EU43" i="491"/>
  <c r="ET43" i="491"/>
  <c r="ES43" i="491"/>
  <c r="ER43" i="491"/>
  <c r="EQ43" i="491"/>
  <c r="EP43" i="491"/>
  <c r="EO43" i="491"/>
  <c r="EN43" i="491"/>
  <c r="EM43" i="491"/>
  <c r="EL43" i="491"/>
  <c r="EK43" i="491"/>
  <c r="EJ43" i="491"/>
  <c r="EI43" i="491"/>
  <c r="EH43" i="491"/>
  <c r="EG43" i="491"/>
  <c r="EF43" i="491"/>
  <c r="EE43" i="491"/>
  <c r="ED43" i="491"/>
  <c r="EC43" i="491"/>
  <c r="EB43" i="491"/>
  <c r="EA43" i="491"/>
  <c r="DZ43" i="491"/>
  <c r="DY43" i="491"/>
  <c r="DX43" i="491"/>
  <c r="DW43" i="491"/>
  <c r="DT43" i="491"/>
  <c r="DS43" i="491"/>
  <c r="DR43" i="491"/>
  <c r="DQ43" i="491"/>
  <c r="DP43" i="491"/>
  <c r="DO43" i="491"/>
  <c r="DN43" i="491"/>
  <c r="DM43" i="491"/>
  <c r="DL43" i="491"/>
  <c r="DK43" i="491"/>
  <c r="DJ43" i="491"/>
  <c r="DI43" i="491"/>
  <c r="DH43" i="491"/>
  <c r="DG43" i="491"/>
  <c r="DF43" i="491"/>
  <c r="DE43" i="491"/>
  <c r="DD43" i="491"/>
  <c r="DC43" i="491"/>
  <c r="DB43" i="491"/>
  <c r="DA43" i="491"/>
  <c r="CZ43" i="491"/>
  <c r="CY43" i="491"/>
  <c r="CX43" i="491"/>
  <c r="CW43" i="491"/>
  <c r="CV43" i="491"/>
  <c r="CU43" i="491"/>
  <c r="CT43" i="491"/>
  <c r="CS43" i="491"/>
  <c r="CR43" i="491"/>
  <c r="CQ43" i="491"/>
  <c r="CP43" i="491"/>
  <c r="CO43" i="491"/>
  <c r="CN43" i="491"/>
  <c r="CM43" i="491"/>
  <c r="CL43" i="491"/>
  <c r="CK43" i="491"/>
  <c r="CJ43" i="491"/>
  <c r="CI43" i="491"/>
  <c r="CH43" i="491"/>
  <c r="CG43" i="491"/>
  <c r="CF43" i="491"/>
  <c r="CE43" i="491"/>
  <c r="CD43" i="491"/>
  <c r="CC43" i="491"/>
  <c r="CB43" i="491"/>
  <c r="CA43" i="491"/>
  <c r="BZ43" i="491"/>
  <c r="BY43" i="491"/>
  <c r="BX43" i="491"/>
  <c r="BW43" i="491"/>
  <c r="BV43" i="491"/>
  <c r="BU43" i="491"/>
  <c r="BT43" i="491"/>
  <c r="BS43" i="491"/>
  <c r="BR43" i="491"/>
  <c r="BQ43" i="491"/>
  <c r="BP43" i="491"/>
  <c r="BO43" i="491"/>
  <c r="BN43" i="491"/>
  <c r="BM43" i="491"/>
  <c r="BL43" i="491"/>
  <c r="BK43" i="491"/>
  <c r="BJ43" i="491"/>
  <c r="BI43" i="491"/>
  <c r="BH43" i="491"/>
  <c r="BG43" i="491"/>
  <c r="BF43" i="491"/>
  <c r="BE43" i="491"/>
  <c r="BD43" i="491"/>
  <c r="BC43" i="491"/>
  <c r="BB43" i="491"/>
  <c r="BA43" i="491"/>
  <c r="AZ43" i="491"/>
  <c r="AY43" i="491"/>
  <c r="AX43" i="491"/>
  <c r="AW43" i="491"/>
  <c r="AV43" i="491"/>
  <c r="AU43" i="491"/>
  <c r="AT43" i="491"/>
  <c r="AS43" i="491"/>
  <c r="AR43" i="491"/>
  <c r="AQ43" i="491"/>
  <c r="AP43" i="491"/>
  <c r="AO43" i="491"/>
  <c r="AN43" i="491"/>
  <c r="AM43" i="491"/>
  <c r="AL43" i="491"/>
  <c r="AK43" i="491"/>
  <c r="AJ43" i="491"/>
  <c r="AI43" i="491"/>
  <c r="AH43" i="491"/>
  <c r="AG43" i="491"/>
  <c r="AF43" i="491"/>
  <c r="AE43" i="491"/>
  <c r="AD43" i="491"/>
  <c r="AC43" i="491"/>
  <c r="AB43" i="491"/>
  <c r="AA43" i="491"/>
  <c r="Z43" i="491"/>
  <c r="Y43" i="491"/>
  <c r="T43" i="491"/>
  <c r="U43" i="491" s="1"/>
  <c r="R43" i="491"/>
  <c r="Q43" i="491"/>
  <c r="O43" i="491"/>
  <c r="N43" i="491"/>
  <c r="M43" i="491"/>
  <c r="G43" i="491"/>
  <c r="C43" i="491"/>
  <c r="HR42" i="491"/>
  <c r="HQ42" i="491"/>
  <c r="HP42" i="491"/>
  <c r="HO42" i="491"/>
  <c r="HN42" i="491"/>
  <c r="HM42" i="491"/>
  <c r="HL42" i="491"/>
  <c r="HK42" i="491"/>
  <c r="HJ42" i="491"/>
  <c r="HI42" i="491"/>
  <c r="HH42" i="491"/>
  <c r="HG42" i="491"/>
  <c r="HF42" i="491"/>
  <c r="HE42" i="491"/>
  <c r="HD42" i="491"/>
  <c r="HC42" i="491"/>
  <c r="HB42" i="491"/>
  <c r="HA42" i="491"/>
  <c r="GZ42" i="491"/>
  <c r="GY42" i="491"/>
  <c r="GX42" i="491"/>
  <c r="GW42" i="491"/>
  <c r="GV42" i="491"/>
  <c r="GU42" i="491"/>
  <c r="GT42" i="491"/>
  <c r="GS42" i="491"/>
  <c r="GR42" i="491"/>
  <c r="GQ42" i="491"/>
  <c r="GP42" i="491"/>
  <c r="GO42" i="491"/>
  <c r="GN42" i="491"/>
  <c r="GM42" i="491"/>
  <c r="GL42" i="491"/>
  <c r="GK42" i="491"/>
  <c r="GJ42" i="491"/>
  <c r="GI42" i="491"/>
  <c r="GH42" i="491"/>
  <c r="GG42" i="491"/>
  <c r="GF42" i="491"/>
  <c r="GE42" i="491"/>
  <c r="GD42" i="491"/>
  <c r="GC42" i="491"/>
  <c r="GB42" i="491"/>
  <c r="GA42" i="491"/>
  <c r="FZ42" i="491"/>
  <c r="FY42" i="491"/>
  <c r="FX42" i="491"/>
  <c r="FW42" i="491"/>
  <c r="FV42" i="491"/>
  <c r="FU42" i="491"/>
  <c r="FT42" i="491"/>
  <c r="FS42" i="491"/>
  <c r="FR42" i="491"/>
  <c r="FQ42" i="491"/>
  <c r="FP42" i="491"/>
  <c r="FO42" i="491"/>
  <c r="FN42" i="491"/>
  <c r="FM42" i="491"/>
  <c r="FL42" i="491"/>
  <c r="FK42" i="491"/>
  <c r="FJ42" i="491"/>
  <c r="FI42" i="491"/>
  <c r="FH42" i="491"/>
  <c r="FG42" i="491"/>
  <c r="FF42" i="491"/>
  <c r="FE42" i="491"/>
  <c r="FD42" i="491"/>
  <c r="FC42" i="491"/>
  <c r="FB42" i="491"/>
  <c r="FA42" i="491"/>
  <c r="EZ42" i="491"/>
  <c r="EY42" i="491"/>
  <c r="EX42" i="491"/>
  <c r="EW42" i="491"/>
  <c r="EV42" i="491"/>
  <c r="EU42" i="491"/>
  <c r="ET42" i="491"/>
  <c r="ES42" i="491"/>
  <c r="ER42" i="491"/>
  <c r="EQ42" i="491"/>
  <c r="EP42" i="491"/>
  <c r="EO42" i="491"/>
  <c r="EN42" i="491"/>
  <c r="EM42" i="491"/>
  <c r="EL42" i="491"/>
  <c r="EK42" i="491"/>
  <c r="EJ42" i="491"/>
  <c r="EI42" i="491"/>
  <c r="EH42" i="491"/>
  <c r="EG42" i="491"/>
  <c r="EF42" i="491"/>
  <c r="EE42" i="491"/>
  <c r="ED42" i="491"/>
  <c r="EC42" i="491"/>
  <c r="EB42" i="491"/>
  <c r="EA42" i="491"/>
  <c r="DZ42" i="491"/>
  <c r="DY42" i="491"/>
  <c r="DX42" i="491"/>
  <c r="DW42" i="491"/>
  <c r="DT42" i="491"/>
  <c r="DS42" i="491"/>
  <c r="DR42" i="491"/>
  <c r="DQ42" i="491"/>
  <c r="DP42" i="491"/>
  <c r="DO42" i="491"/>
  <c r="DN42" i="491"/>
  <c r="DM42" i="491"/>
  <c r="DL42" i="491"/>
  <c r="DK42" i="491"/>
  <c r="DJ42" i="491"/>
  <c r="DI42" i="491"/>
  <c r="DH42" i="491"/>
  <c r="DG42" i="491"/>
  <c r="DF42" i="491"/>
  <c r="DE42" i="491"/>
  <c r="DD42" i="491"/>
  <c r="DC42" i="491"/>
  <c r="DB42" i="491"/>
  <c r="DA42" i="491"/>
  <c r="CZ42" i="491"/>
  <c r="CY42" i="491"/>
  <c r="CX42" i="491"/>
  <c r="CW42" i="491"/>
  <c r="CV42" i="491"/>
  <c r="CU42" i="491"/>
  <c r="CT42" i="491"/>
  <c r="CS42" i="491"/>
  <c r="CR42" i="491"/>
  <c r="CQ42" i="491"/>
  <c r="CP42" i="491"/>
  <c r="CO42" i="491"/>
  <c r="CN42" i="491"/>
  <c r="CM42" i="491"/>
  <c r="CL42" i="491"/>
  <c r="CK42" i="491"/>
  <c r="CJ42" i="491"/>
  <c r="CI42" i="491"/>
  <c r="CH42" i="491"/>
  <c r="CG42" i="491"/>
  <c r="CF42" i="491"/>
  <c r="CE42" i="491"/>
  <c r="CD42" i="491"/>
  <c r="CC42" i="491"/>
  <c r="CB42" i="491"/>
  <c r="CA42" i="491"/>
  <c r="BZ42" i="491"/>
  <c r="BY42" i="491"/>
  <c r="BX42" i="491"/>
  <c r="BW42" i="491"/>
  <c r="BV42" i="491"/>
  <c r="BU42" i="491"/>
  <c r="BT42" i="491"/>
  <c r="BS42" i="491"/>
  <c r="BR42" i="491"/>
  <c r="BQ42" i="491"/>
  <c r="BP42" i="491"/>
  <c r="BO42" i="491"/>
  <c r="BN42" i="491"/>
  <c r="BM42" i="491"/>
  <c r="BL42" i="491"/>
  <c r="BK42" i="491"/>
  <c r="BJ42" i="491"/>
  <c r="BI42" i="491"/>
  <c r="BH42" i="491"/>
  <c r="BG42" i="491"/>
  <c r="BF42" i="491"/>
  <c r="BE42" i="491"/>
  <c r="BD42" i="491"/>
  <c r="BC42" i="491"/>
  <c r="BB42" i="491"/>
  <c r="BA42" i="491"/>
  <c r="AZ42" i="491"/>
  <c r="AY42" i="491"/>
  <c r="AX42" i="491"/>
  <c r="AW42" i="491"/>
  <c r="AV42" i="491"/>
  <c r="AU42" i="491"/>
  <c r="AT42" i="491"/>
  <c r="AS42" i="491"/>
  <c r="AR42" i="491"/>
  <c r="AQ42" i="491"/>
  <c r="AP42" i="491"/>
  <c r="AO42" i="491"/>
  <c r="AN42" i="491"/>
  <c r="AM42" i="491"/>
  <c r="AL42" i="491"/>
  <c r="AK42" i="491"/>
  <c r="AJ42" i="491"/>
  <c r="AI42" i="491"/>
  <c r="AH42" i="491"/>
  <c r="AG42" i="491"/>
  <c r="AF42" i="491"/>
  <c r="AE42" i="491"/>
  <c r="AD42" i="491"/>
  <c r="AC42" i="491"/>
  <c r="AB42" i="491"/>
  <c r="AA42" i="491"/>
  <c r="Z42" i="491"/>
  <c r="Y42" i="491"/>
  <c r="T42" i="491"/>
  <c r="U42" i="491" s="1"/>
  <c r="R42" i="491"/>
  <c r="Q42" i="491"/>
  <c r="O42" i="491"/>
  <c r="N42" i="491"/>
  <c r="M42" i="491"/>
  <c r="G42" i="491"/>
  <c r="C42" i="491"/>
  <c r="HR39" i="491"/>
  <c r="HQ39" i="491"/>
  <c r="HP39" i="491"/>
  <c r="HO39" i="491"/>
  <c r="HN39" i="491"/>
  <c r="HM39" i="491"/>
  <c r="HL39" i="491"/>
  <c r="HK39" i="491"/>
  <c r="HJ39" i="491"/>
  <c r="HI39" i="491"/>
  <c r="HH39" i="491"/>
  <c r="HG39" i="491"/>
  <c r="HF39" i="491"/>
  <c r="HE39" i="491"/>
  <c r="HD39" i="491"/>
  <c r="HC39" i="491"/>
  <c r="HB39" i="491"/>
  <c r="HA39" i="491"/>
  <c r="GZ39" i="491"/>
  <c r="GY39" i="491"/>
  <c r="GX39" i="491"/>
  <c r="GW39" i="491"/>
  <c r="GV39" i="491"/>
  <c r="GU39" i="491"/>
  <c r="GT39" i="491"/>
  <c r="GS39" i="491"/>
  <c r="GR39" i="491"/>
  <c r="GQ39" i="491"/>
  <c r="GP39" i="491"/>
  <c r="GO39" i="491"/>
  <c r="GN39" i="491"/>
  <c r="GM39" i="491"/>
  <c r="GL39" i="491"/>
  <c r="GK39" i="491"/>
  <c r="GJ39" i="491"/>
  <c r="GI39" i="491"/>
  <c r="GH39" i="491"/>
  <c r="GG39" i="491"/>
  <c r="GF39" i="491"/>
  <c r="GE39" i="491"/>
  <c r="GD39" i="491"/>
  <c r="GC39" i="491"/>
  <c r="GB39" i="491"/>
  <c r="GA39" i="491"/>
  <c r="FZ39" i="491"/>
  <c r="FY39" i="491"/>
  <c r="FX39" i="491"/>
  <c r="FW39" i="491"/>
  <c r="FV39" i="491"/>
  <c r="FU39" i="491"/>
  <c r="FT39" i="491"/>
  <c r="FS39" i="491"/>
  <c r="FR39" i="491"/>
  <c r="FQ39" i="491"/>
  <c r="FP39" i="491"/>
  <c r="FO39" i="491"/>
  <c r="FN39" i="491"/>
  <c r="FM39" i="491"/>
  <c r="FL39" i="491"/>
  <c r="FK39" i="491"/>
  <c r="FJ39" i="491"/>
  <c r="FI39" i="491"/>
  <c r="FH39" i="491"/>
  <c r="FG39" i="491"/>
  <c r="FF39" i="491"/>
  <c r="FE39" i="491"/>
  <c r="FD39" i="491"/>
  <c r="FC39" i="491"/>
  <c r="FB39" i="491"/>
  <c r="FA39" i="491"/>
  <c r="EZ39" i="491"/>
  <c r="EY39" i="491"/>
  <c r="EX39" i="491"/>
  <c r="EW39" i="491"/>
  <c r="EV39" i="491"/>
  <c r="EU39" i="491"/>
  <c r="ET39" i="491"/>
  <c r="ES39" i="491"/>
  <c r="ER39" i="491"/>
  <c r="EQ39" i="491"/>
  <c r="EP39" i="491"/>
  <c r="EO39" i="491"/>
  <c r="EN39" i="491"/>
  <c r="EM39" i="491"/>
  <c r="EL39" i="491"/>
  <c r="EK39" i="491"/>
  <c r="EJ39" i="491"/>
  <c r="EI39" i="491"/>
  <c r="EH39" i="491"/>
  <c r="EG39" i="491"/>
  <c r="EF39" i="491"/>
  <c r="EE39" i="491"/>
  <c r="ED39" i="491"/>
  <c r="EC39" i="491"/>
  <c r="EB39" i="491"/>
  <c r="EA39" i="491"/>
  <c r="DZ39" i="491"/>
  <c r="DY39" i="491"/>
  <c r="DX39" i="491"/>
  <c r="DW39" i="491"/>
  <c r="DT39" i="491"/>
  <c r="DS39" i="491"/>
  <c r="DR39" i="491"/>
  <c r="DQ39" i="491"/>
  <c r="DP39" i="491"/>
  <c r="DO39" i="491"/>
  <c r="DN39" i="491"/>
  <c r="DM39" i="491"/>
  <c r="DL39" i="491"/>
  <c r="DK39" i="491"/>
  <c r="DJ39" i="491"/>
  <c r="DI39" i="491"/>
  <c r="DH39" i="491"/>
  <c r="DG39" i="491"/>
  <c r="DF39" i="491"/>
  <c r="DE39" i="491"/>
  <c r="DD39" i="491"/>
  <c r="DC39" i="491"/>
  <c r="DB39" i="491"/>
  <c r="DA39" i="491"/>
  <c r="CZ39" i="491"/>
  <c r="CY39" i="491"/>
  <c r="CX39" i="491"/>
  <c r="CW39" i="491"/>
  <c r="CV39" i="491"/>
  <c r="CU39" i="491"/>
  <c r="CT39" i="491"/>
  <c r="CS39" i="491"/>
  <c r="CR39" i="491"/>
  <c r="CQ39" i="491"/>
  <c r="CP39" i="491"/>
  <c r="CO39" i="491"/>
  <c r="CN39" i="491"/>
  <c r="CM39" i="491"/>
  <c r="CL39" i="491"/>
  <c r="CK39" i="491"/>
  <c r="CJ39" i="491"/>
  <c r="CI39" i="491"/>
  <c r="CH39" i="491"/>
  <c r="CG39" i="491"/>
  <c r="CF39" i="491"/>
  <c r="CE39" i="491"/>
  <c r="CD39" i="491"/>
  <c r="CC39" i="491"/>
  <c r="CB39" i="491"/>
  <c r="CA39" i="491"/>
  <c r="BZ39" i="491"/>
  <c r="BY39" i="491"/>
  <c r="BX39" i="491"/>
  <c r="BW39" i="491"/>
  <c r="BV39" i="491"/>
  <c r="BU39" i="491"/>
  <c r="BT39" i="491"/>
  <c r="BS39" i="491"/>
  <c r="BR39" i="491"/>
  <c r="BQ39" i="491"/>
  <c r="BP39" i="491"/>
  <c r="BO39" i="491"/>
  <c r="BN39" i="491"/>
  <c r="BM39" i="491"/>
  <c r="BL39" i="491"/>
  <c r="BK39" i="491"/>
  <c r="BJ39" i="491"/>
  <c r="BI39" i="491"/>
  <c r="BH39" i="491"/>
  <c r="BG39" i="491"/>
  <c r="BF39" i="491"/>
  <c r="BE39" i="491"/>
  <c r="BD39" i="491"/>
  <c r="BC39" i="491"/>
  <c r="BB39" i="491"/>
  <c r="BA39" i="491"/>
  <c r="AZ39" i="491"/>
  <c r="AY39" i="491"/>
  <c r="AX39" i="491"/>
  <c r="AW39" i="491"/>
  <c r="AV39" i="491"/>
  <c r="AU39" i="491"/>
  <c r="AT39" i="491"/>
  <c r="AS39" i="491"/>
  <c r="AR39" i="491"/>
  <c r="AQ39" i="491"/>
  <c r="AP39" i="491"/>
  <c r="AO39" i="491"/>
  <c r="AN39" i="491"/>
  <c r="AM39" i="491"/>
  <c r="AL39" i="491"/>
  <c r="AK39" i="491"/>
  <c r="AJ39" i="491"/>
  <c r="AI39" i="491"/>
  <c r="AH39" i="491"/>
  <c r="AG39" i="491"/>
  <c r="AF39" i="491"/>
  <c r="AE39" i="491"/>
  <c r="AD39" i="491"/>
  <c r="AC39" i="491"/>
  <c r="AB39" i="491"/>
  <c r="AA39" i="491"/>
  <c r="Z39" i="491"/>
  <c r="Y39" i="491"/>
  <c r="T39" i="491"/>
  <c r="U39" i="491" s="1"/>
  <c r="R39" i="491"/>
  <c r="Q39" i="491"/>
  <c r="O39" i="491"/>
  <c r="N39" i="491"/>
  <c r="M39" i="491"/>
  <c r="G39" i="491"/>
  <c r="C39" i="491"/>
  <c r="HR38" i="491"/>
  <c r="HQ38" i="491"/>
  <c r="HP38" i="491"/>
  <c r="HO38" i="491"/>
  <c r="HN38" i="491"/>
  <c r="HM38" i="491"/>
  <c r="HL38" i="491"/>
  <c r="HK38" i="491"/>
  <c r="HJ38" i="491"/>
  <c r="HI38" i="491"/>
  <c r="HH38" i="491"/>
  <c r="HG38" i="491"/>
  <c r="HF38" i="491"/>
  <c r="HE38" i="491"/>
  <c r="HD38" i="491"/>
  <c r="HC38" i="491"/>
  <c r="HB38" i="491"/>
  <c r="HA38" i="491"/>
  <c r="GZ38" i="491"/>
  <c r="GY38" i="491"/>
  <c r="GX38" i="491"/>
  <c r="GW38" i="491"/>
  <c r="GV38" i="491"/>
  <c r="GU38" i="491"/>
  <c r="GT38" i="491"/>
  <c r="GS38" i="491"/>
  <c r="GR38" i="491"/>
  <c r="GQ38" i="491"/>
  <c r="GP38" i="491"/>
  <c r="GO38" i="491"/>
  <c r="GN38" i="491"/>
  <c r="GM38" i="491"/>
  <c r="GL38" i="491"/>
  <c r="GK38" i="491"/>
  <c r="GJ38" i="491"/>
  <c r="GI38" i="491"/>
  <c r="GH38" i="491"/>
  <c r="GG38" i="491"/>
  <c r="GF38" i="491"/>
  <c r="GE38" i="491"/>
  <c r="GC38" i="491"/>
  <c r="GB38" i="491"/>
  <c r="GA38" i="491"/>
  <c r="FZ38" i="491"/>
  <c r="FY38" i="491"/>
  <c r="FX38" i="491"/>
  <c r="FW38" i="491"/>
  <c r="FV38" i="491"/>
  <c r="FU38" i="491"/>
  <c r="FT38" i="491"/>
  <c r="FS38" i="491"/>
  <c r="FR38" i="491"/>
  <c r="FQ38" i="491"/>
  <c r="FP38" i="491"/>
  <c r="FO38" i="491"/>
  <c r="FN38" i="491"/>
  <c r="FM38" i="491"/>
  <c r="FL38" i="491"/>
  <c r="FK38" i="491"/>
  <c r="FJ38" i="491"/>
  <c r="FI38" i="491"/>
  <c r="FH38" i="491"/>
  <c r="FG38" i="491"/>
  <c r="FF38" i="491"/>
  <c r="FE38" i="491"/>
  <c r="FD38" i="491"/>
  <c r="FC38" i="491"/>
  <c r="FB38" i="491"/>
  <c r="FA38" i="491"/>
  <c r="EZ38" i="491"/>
  <c r="EY38" i="491"/>
  <c r="EX38" i="491"/>
  <c r="EW38" i="491"/>
  <c r="EV38" i="491"/>
  <c r="EU38" i="491"/>
  <c r="ET38" i="491"/>
  <c r="ES38" i="491"/>
  <c r="ER38" i="491"/>
  <c r="EQ38" i="491"/>
  <c r="EP38" i="491"/>
  <c r="EO38" i="491"/>
  <c r="EN38" i="491"/>
  <c r="EM38" i="491"/>
  <c r="EL38" i="491"/>
  <c r="EK38" i="491"/>
  <c r="EJ38" i="491"/>
  <c r="EI38" i="491"/>
  <c r="EH38" i="491"/>
  <c r="EG38" i="491"/>
  <c r="EF38" i="491"/>
  <c r="EE38" i="491"/>
  <c r="ED38" i="491"/>
  <c r="EC38" i="491"/>
  <c r="EB38" i="491"/>
  <c r="EA38" i="491"/>
  <c r="DZ38" i="491"/>
  <c r="DY38" i="491"/>
  <c r="DX38" i="491"/>
  <c r="DW38" i="491"/>
  <c r="DT38" i="491"/>
  <c r="DS38" i="491"/>
  <c r="DR38" i="491"/>
  <c r="DQ38" i="491"/>
  <c r="DP38" i="491"/>
  <c r="DO38" i="491"/>
  <c r="DN38" i="491"/>
  <c r="DM38" i="491"/>
  <c r="DL38" i="491"/>
  <c r="DK38" i="491"/>
  <c r="DJ38" i="491"/>
  <c r="DI38" i="491"/>
  <c r="DH38" i="491"/>
  <c r="DG38" i="491"/>
  <c r="DF38" i="491"/>
  <c r="DE38" i="491"/>
  <c r="DD38" i="491"/>
  <c r="DC38" i="491"/>
  <c r="DB38" i="491"/>
  <c r="DA38" i="491"/>
  <c r="CZ38" i="491"/>
  <c r="CY38" i="491"/>
  <c r="CX38" i="491"/>
  <c r="CW38" i="491"/>
  <c r="CV38" i="491"/>
  <c r="CU38" i="491"/>
  <c r="CT38" i="491"/>
  <c r="CS38" i="491"/>
  <c r="CR38" i="491"/>
  <c r="CQ38" i="491"/>
  <c r="CP38" i="491"/>
  <c r="CO38" i="491"/>
  <c r="CN38" i="491"/>
  <c r="CM38" i="491"/>
  <c r="CL38" i="491"/>
  <c r="CK38" i="491"/>
  <c r="CJ38" i="491"/>
  <c r="CI38" i="491"/>
  <c r="CH38" i="491"/>
  <c r="CG38" i="491"/>
  <c r="CE38" i="491"/>
  <c r="CD38" i="491"/>
  <c r="CC38" i="491"/>
  <c r="CB38" i="491"/>
  <c r="CA38" i="491"/>
  <c r="BZ38" i="491"/>
  <c r="BY38" i="491"/>
  <c r="BX38" i="491"/>
  <c r="BW38" i="491"/>
  <c r="BV38" i="491"/>
  <c r="BU38" i="491"/>
  <c r="BT38" i="491"/>
  <c r="BS38" i="491"/>
  <c r="BR38" i="491"/>
  <c r="BQ38" i="491"/>
  <c r="BP38" i="491"/>
  <c r="BO38" i="491"/>
  <c r="BN38" i="491"/>
  <c r="BM38" i="491"/>
  <c r="BL38" i="491"/>
  <c r="BK38" i="491"/>
  <c r="BJ38" i="491"/>
  <c r="BI38" i="491"/>
  <c r="BH38" i="491"/>
  <c r="BG38" i="491"/>
  <c r="BF38" i="491"/>
  <c r="BE38" i="491"/>
  <c r="BD38" i="491"/>
  <c r="BC38" i="491"/>
  <c r="BB38" i="491"/>
  <c r="BA38" i="491"/>
  <c r="AZ38" i="491"/>
  <c r="AY38" i="491"/>
  <c r="AX38" i="491"/>
  <c r="AW38" i="491"/>
  <c r="AV38" i="491"/>
  <c r="AU38" i="491"/>
  <c r="AT38" i="491"/>
  <c r="AS38" i="491"/>
  <c r="AR38" i="491"/>
  <c r="AQ38" i="491"/>
  <c r="AP38" i="491"/>
  <c r="AO38" i="491"/>
  <c r="AN38" i="491"/>
  <c r="AM38" i="491"/>
  <c r="AL38" i="491"/>
  <c r="AK38" i="491"/>
  <c r="AJ38" i="491"/>
  <c r="AI38" i="491"/>
  <c r="AH38" i="491"/>
  <c r="AG38" i="491"/>
  <c r="AF38" i="491"/>
  <c r="AE38" i="491"/>
  <c r="AD38" i="491"/>
  <c r="AC38" i="491"/>
  <c r="AB38" i="491"/>
  <c r="AA38" i="491"/>
  <c r="Z38" i="491"/>
  <c r="Y38" i="491"/>
  <c r="T38" i="491"/>
  <c r="U38" i="491" s="1"/>
  <c r="CF38" i="491" s="1"/>
  <c r="R38" i="491"/>
  <c r="N38" i="491"/>
  <c r="G38" i="491"/>
  <c r="C38" i="491"/>
  <c r="HR37" i="491"/>
  <c r="HQ37" i="491"/>
  <c r="HP37" i="491"/>
  <c r="HO37" i="491"/>
  <c r="HN37" i="491"/>
  <c r="HM37" i="491"/>
  <c r="HL37" i="491"/>
  <c r="HK37" i="491"/>
  <c r="HJ37" i="491"/>
  <c r="HI37" i="491"/>
  <c r="HH37" i="491"/>
  <c r="HG37" i="491"/>
  <c r="HF37" i="491"/>
  <c r="HE37" i="491"/>
  <c r="HD37" i="491"/>
  <c r="HC37" i="491"/>
  <c r="HB37" i="491"/>
  <c r="HA37" i="491"/>
  <c r="GZ37" i="491"/>
  <c r="GY37" i="491"/>
  <c r="GX37" i="491"/>
  <c r="GW37" i="491"/>
  <c r="GV37" i="491"/>
  <c r="GU37" i="491"/>
  <c r="GT37" i="491"/>
  <c r="GS37" i="491"/>
  <c r="GR37" i="491"/>
  <c r="GQ37" i="491"/>
  <c r="GP37" i="491"/>
  <c r="GO37" i="491"/>
  <c r="GN37" i="491"/>
  <c r="GM37" i="491"/>
  <c r="GL37" i="491"/>
  <c r="GK37" i="491"/>
  <c r="GJ37" i="491"/>
  <c r="GI37" i="491"/>
  <c r="GH37" i="491"/>
  <c r="GG37" i="491"/>
  <c r="GF37" i="491"/>
  <c r="GE37" i="491"/>
  <c r="GC37" i="491"/>
  <c r="GB37" i="491"/>
  <c r="GA37" i="491"/>
  <c r="FZ37" i="491"/>
  <c r="FY37" i="491"/>
  <c r="FX37" i="491"/>
  <c r="FW37" i="491"/>
  <c r="FV37" i="491"/>
  <c r="FU37" i="491"/>
  <c r="FT37" i="491"/>
  <c r="FS37" i="491"/>
  <c r="FR37" i="491"/>
  <c r="FQ37" i="491"/>
  <c r="FP37" i="491"/>
  <c r="FO37" i="491"/>
  <c r="FN37" i="491"/>
  <c r="FM37" i="491"/>
  <c r="FL37" i="491"/>
  <c r="FK37" i="491"/>
  <c r="FJ37" i="491"/>
  <c r="FI37" i="491"/>
  <c r="FH37" i="491"/>
  <c r="FG37" i="491"/>
  <c r="FF37" i="491"/>
  <c r="FE37" i="491"/>
  <c r="FD37" i="491"/>
  <c r="FC37" i="491"/>
  <c r="FB37" i="491"/>
  <c r="FA37" i="491"/>
  <c r="EZ37" i="491"/>
  <c r="EY37" i="491"/>
  <c r="EX37" i="491"/>
  <c r="EW37" i="491"/>
  <c r="EV37" i="491"/>
  <c r="EU37" i="491"/>
  <c r="ET37" i="491"/>
  <c r="ES37" i="491"/>
  <c r="ER37" i="491"/>
  <c r="EQ37" i="491"/>
  <c r="EP37" i="491"/>
  <c r="EO37" i="491"/>
  <c r="EN37" i="491"/>
  <c r="EM37" i="491"/>
  <c r="EL37" i="491"/>
  <c r="EK37" i="491"/>
  <c r="EJ37" i="491"/>
  <c r="EI37" i="491"/>
  <c r="EH37" i="491"/>
  <c r="EG37" i="491"/>
  <c r="EF37" i="491"/>
  <c r="EE37" i="491"/>
  <c r="ED37" i="491"/>
  <c r="EC37" i="491"/>
  <c r="EB37" i="491"/>
  <c r="EA37" i="491"/>
  <c r="DZ37" i="491"/>
  <c r="DY37" i="491"/>
  <c r="DX37" i="491"/>
  <c r="DW37" i="491"/>
  <c r="DT37" i="491"/>
  <c r="DS37" i="491"/>
  <c r="DR37" i="491"/>
  <c r="DQ37" i="491"/>
  <c r="DP37" i="491"/>
  <c r="DO37" i="491"/>
  <c r="DN37" i="491"/>
  <c r="DM37" i="491"/>
  <c r="DL37" i="491"/>
  <c r="DK37" i="491"/>
  <c r="DJ37" i="491"/>
  <c r="DI37" i="491"/>
  <c r="DH37" i="491"/>
  <c r="DG37" i="491"/>
  <c r="DF37" i="491"/>
  <c r="DE37" i="491"/>
  <c r="DD37" i="491"/>
  <c r="DC37" i="491"/>
  <c r="DB37" i="491"/>
  <c r="DA37" i="491"/>
  <c r="CZ37" i="491"/>
  <c r="CY37" i="491"/>
  <c r="CX37" i="491"/>
  <c r="CW37" i="491"/>
  <c r="CV37" i="491"/>
  <c r="CU37" i="491"/>
  <c r="CT37" i="491"/>
  <c r="CS37" i="491"/>
  <c r="CR37" i="491"/>
  <c r="CQ37" i="491"/>
  <c r="CP37" i="491"/>
  <c r="CO37" i="491"/>
  <c r="CN37" i="491"/>
  <c r="CM37" i="491"/>
  <c r="CL37" i="491"/>
  <c r="CK37" i="491"/>
  <c r="CJ37" i="491"/>
  <c r="CI37" i="491"/>
  <c r="CH37" i="491"/>
  <c r="CG37" i="491"/>
  <c r="CE37" i="491"/>
  <c r="CD37" i="491"/>
  <c r="CC37" i="491"/>
  <c r="CB37" i="491"/>
  <c r="CA37" i="491"/>
  <c r="BZ37" i="491"/>
  <c r="BY37" i="491"/>
  <c r="BX37" i="491"/>
  <c r="BW37" i="491"/>
  <c r="BV37" i="491"/>
  <c r="BU37" i="491"/>
  <c r="BT37" i="491"/>
  <c r="BS37" i="491"/>
  <c r="BR37" i="491"/>
  <c r="BQ37" i="491"/>
  <c r="BP37" i="491"/>
  <c r="BO37" i="491"/>
  <c r="BN37" i="491"/>
  <c r="BM37" i="491"/>
  <c r="BL37" i="491"/>
  <c r="BK37" i="491"/>
  <c r="BJ37" i="491"/>
  <c r="BI37" i="491"/>
  <c r="BH37" i="491"/>
  <c r="BG37" i="491"/>
  <c r="BF37" i="491"/>
  <c r="BE37" i="491"/>
  <c r="BD37" i="491"/>
  <c r="BC37" i="491"/>
  <c r="BB37" i="491"/>
  <c r="BA37" i="491"/>
  <c r="AZ37" i="491"/>
  <c r="AY37" i="491"/>
  <c r="AX37" i="491"/>
  <c r="AW37" i="491"/>
  <c r="AV37" i="491"/>
  <c r="AU37" i="491"/>
  <c r="AT37" i="491"/>
  <c r="AS37" i="491"/>
  <c r="AR37" i="491"/>
  <c r="AQ37" i="491"/>
  <c r="AP37" i="491"/>
  <c r="AO37" i="491"/>
  <c r="AN37" i="491"/>
  <c r="AM37" i="491"/>
  <c r="AL37" i="491"/>
  <c r="AK37" i="491"/>
  <c r="AJ37" i="491"/>
  <c r="AI37" i="491"/>
  <c r="AH37" i="491"/>
  <c r="AG37" i="491"/>
  <c r="AF37" i="491"/>
  <c r="AE37" i="491"/>
  <c r="AD37" i="491"/>
  <c r="AC37" i="491"/>
  <c r="AB37" i="491"/>
  <c r="AA37" i="491"/>
  <c r="Z37" i="491"/>
  <c r="Y37" i="491"/>
  <c r="T37" i="491"/>
  <c r="U37" i="491" s="1"/>
  <c r="CF37" i="491" s="1"/>
  <c r="Q37" i="491"/>
  <c r="O37" i="491"/>
  <c r="GD37" i="491" s="1"/>
  <c r="N37" i="491"/>
  <c r="M37" i="491"/>
  <c r="G37" i="491"/>
  <c r="C37" i="491"/>
  <c r="HR36" i="491"/>
  <c r="HQ36" i="491"/>
  <c r="HP36" i="491"/>
  <c r="HO36" i="491"/>
  <c r="HN36" i="491"/>
  <c r="HM36" i="491"/>
  <c r="HL36" i="491"/>
  <c r="HK36" i="491"/>
  <c r="HJ36" i="491"/>
  <c r="HI36" i="491"/>
  <c r="HH36" i="491"/>
  <c r="HG36" i="491"/>
  <c r="HF36" i="491"/>
  <c r="HE36" i="491"/>
  <c r="HD36" i="491"/>
  <c r="HC36" i="491"/>
  <c r="HB36" i="491"/>
  <c r="HA36" i="491"/>
  <c r="GZ36" i="491"/>
  <c r="GY36" i="491"/>
  <c r="GX36" i="491"/>
  <c r="GW36" i="491"/>
  <c r="GV36" i="491"/>
  <c r="GU36" i="491"/>
  <c r="GT36" i="491"/>
  <c r="GS36" i="491"/>
  <c r="GR36" i="491"/>
  <c r="GQ36" i="491"/>
  <c r="GP36" i="491"/>
  <c r="GO36" i="491"/>
  <c r="GN36" i="491"/>
  <c r="GM36" i="491"/>
  <c r="GL36" i="491"/>
  <c r="GK36" i="491"/>
  <c r="GJ36" i="491"/>
  <c r="GI36" i="491"/>
  <c r="GH36" i="491"/>
  <c r="GG36" i="491"/>
  <c r="GF36" i="491"/>
  <c r="GE36" i="491"/>
  <c r="GD36" i="491"/>
  <c r="GC36" i="491"/>
  <c r="GB36" i="491"/>
  <c r="GA36" i="491"/>
  <c r="FZ36" i="491"/>
  <c r="FY36" i="491"/>
  <c r="FX36" i="491"/>
  <c r="FW36" i="491"/>
  <c r="FV36" i="491"/>
  <c r="FU36" i="491"/>
  <c r="FT36" i="491"/>
  <c r="FS36" i="491"/>
  <c r="FR36" i="491"/>
  <c r="FQ36" i="491"/>
  <c r="FP36" i="491"/>
  <c r="FO36" i="491"/>
  <c r="FN36" i="491"/>
  <c r="FM36" i="491"/>
  <c r="FL36" i="491"/>
  <c r="FK36" i="491"/>
  <c r="FJ36" i="491"/>
  <c r="FI36" i="491"/>
  <c r="FH36" i="491"/>
  <c r="FG36" i="491"/>
  <c r="FF36" i="491"/>
  <c r="FE36" i="491"/>
  <c r="FD36" i="491"/>
  <c r="FC36" i="491"/>
  <c r="FB36" i="491"/>
  <c r="FA36" i="491"/>
  <c r="EZ36" i="491"/>
  <c r="EY36" i="491"/>
  <c r="EX36" i="491"/>
  <c r="EW36" i="491"/>
  <c r="EV36" i="491"/>
  <c r="EU36" i="491"/>
  <c r="ET36" i="491"/>
  <c r="ES36" i="491"/>
  <c r="ER36" i="491"/>
  <c r="EQ36" i="491"/>
  <c r="EP36" i="491"/>
  <c r="EO36" i="491"/>
  <c r="EN36" i="491"/>
  <c r="EM36" i="491"/>
  <c r="EL36" i="491"/>
  <c r="EK36" i="491"/>
  <c r="EJ36" i="491"/>
  <c r="EI36" i="491"/>
  <c r="EH36" i="491"/>
  <c r="EG36" i="491"/>
  <c r="EF36" i="491"/>
  <c r="EE36" i="491"/>
  <c r="ED36" i="491"/>
  <c r="EC36" i="491"/>
  <c r="EB36" i="491"/>
  <c r="EA36" i="491"/>
  <c r="DZ36" i="491"/>
  <c r="DY36" i="491"/>
  <c r="DX36" i="491"/>
  <c r="DW36" i="491"/>
  <c r="DT36" i="491"/>
  <c r="DS36" i="491"/>
  <c r="DR36" i="491"/>
  <c r="DQ36" i="491"/>
  <c r="DP36" i="491"/>
  <c r="DO36" i="491"/>
  <c r="DN36" i="491"/>
  <c r="DM36" i="491"/>
  <c r="DL36" i="491"/>
  <c r="DK36" i="491"/>
  <c r="DJ36" i="491"/>
  <c r="DI36" i="491"/>
  <c r="DH36" i="491"/>
  <c r="DG36" i="491"/>
  <c r="DF36" i="491"/>
  <c r="DE36" i="491"/>
  <c r="DD36" i="491"/>
  <c r="DC36" i="491"/>
  <c r="DB36" i="491"/>
  <c r="DA36" i="491"/>
  <c r="CZ36" i="491"/>
  <c r="CY36" i="491"/>
  <c r="CX36" i="491"/>
  <c r="CW36" i="491"/>
  <c r="CV36" i="491"/>
  <c r="CU36" i="491"/>
  <c r="CT36" i="491"/>
  <c r="CS36" i="491"/>
  <c r="CR36" i="491"/>
  <c r="CQ36" i="491"/>
  <c r="CP36" i="491"/>
  <c r="CO36" i="491"/>
  <c r="CN36" i="491"/>
  <c r="CM36" i="491"/>
  <c r="CL36" i="491"/>
  <c r="CK36" i="491"/>
  <c r="CJ36" i="491"/>
  <c r="CI36" i="491"/>
  <c r="CH36" i="491"/>
  <c r="CG36" i="491"/>
  <c r="CF36" i="491"/>
  <c r="CE36" i="491"/>
  <c r="CD36" i="491"/>
  <c r="CC36" i="491"/>
  <c r="CB36" i="491"/>
  <c r="CA36" i="491"/>
  <c r="BZ36" i="491"/>
  <c r="BY36" i="491"/>
  <c r="BX36" i="491"/>
  <c r="BW36" i="491"/>
  <c r="BV36" i="491"/>
  <c r="BU36" i="491"/>
  <c r="BT36" i="491"/>
  <c r="BS36" i="491"/>
  <c r="BR36" i="491"/>
  <c r="BQ36" i="491"/>
  <c r="BP36" i="491"/>
  <c r="BO36" i="491"/>
  <c r="BN36" i="491"/>
  <c r="BM36" i="491"/>
  <c r="BL36" i="491"/>
  <c r="BK36" i="491"/>
  <c r="BJ36" i="491"/>
  <c r="BI36" i="491"/>
  <c r="BH36" i="491"/>
  <c r="BG36" i="491"/>
  <c r="BF36" i="491"/>
  <c r="BE36" i="491"/>
  <c r="BD36" i="491"/>
  <c r="BC36" i="491"/>
  <c r="BB36" i="491"/>
  <c r="BA36" i="491"/>
  <c r="AZ36" i="491"/>
  <c r="AY36" i="491"/>
  <c r="AX36" i="491"/>
  <c r="AW36" i="491"/>
  <c r="AV36" i="491"/>
  <c r="AU36" i="491"/>
  <c r="AT36" i="491"/>
  <c r="AS36" i="491"/>
  <c r="AR36" i="491"/>
  <c r="AQ36" i="491"/>
  <c r="AP36" i="491"/>
  <c r="AO36" i="491"/>
  <c r="AN36" i="491"/>
  <c r="AM36" i="491"/>
  <c r="AL36" i="491"/>
  <c r="AK36" i="491"/>
  <c r="AJ36" i="491"/>
  <c r="AI36" i="491"/>
  <c r="AH36" i="491"/>
  <c r="AG36" i="491"/>
  <c r="AF36" i="491"/>
  <c r="AE36" i="491"/>
  <c r="AD36" i="491"/>
  <c r="AC36" i="491"/>
  <c r="AB36" i="491"/>
  <c r="AA36" i="491"/>
  <c r="Z36" i="491"/>
  <c r="Y36" i="491"/>
  <c r="T36" i="491"/>
  <c r="U36" i="491" s="1"/>
  <c r="R36" i="491"/>
  <c r="Q36" i="491"/>
  <c r="O36" i="491"/>
  <c r="N36" i="491"/>
  <c r="M36" i="491"/>
  <c r="G36" i="491"/>
  <c r="C36" i="491"/>
  <c r="HR30" i="491"/>
  <c r="HQ30" i="491"/>
  <c r="HP30" i="491"/>
  <c r="HO30" i="491"/>
  <c r="HN30" i="491"/>
  <c r="HM30" i="491"/>
  <c r="HL30" i="491"/>
  <c r="HK30" i="491"/>
  <c r="HJ30" i="491"/>
  <c r="HI30" i="491"/>
  <c r="HH30" i="491"/>
  <c r="HG30" i="491"/>
  <c r="HF30" i="491"/>
  <c r="HE30" i="491"/>
  <c r="HD30" i="491"/>
  <c r="HC30" i="491"/>
  <c r="HB30" i="491"/>
  <c r="HA30" i="491"/>
  <c r="GZ30" i="491"/>
  <c r="GY30" i="491"/>
  <c r="GX30" i="491"/>
  <c r="GW30" i="491"/>
  <c r="GV30" i="491"/>
  <c r="GU30" i="491"/>
  <c r="GT30" i="491"/>
  <c r="GS30" i="491"/>
  <c r="GR30" i="491"/>
  <c r="GQ30" i="491"/>
  <c r="GP30" i="491"/>
  <c r="GO30" i="491"/>
  <c r="GN30" i="491"/>
  <c r="GM30" i="491"/>
  <c r="GL30" i="491"/>
  <c r="GK30" i="491"/>
  <c r="GJ30" i="491"/>
  <c r="GI30" i="491"/>
  <c r="GH30" i="491"/>
  <c r="GG30" i="491"/>
  <c r="GF30" i="491"/>
  <c r="GE30" i="491"/>
  <c r="GD30" i="491"/>
  <c r="GC30" i="491"/>
  <c r="GB30" i="491"/>
  <c r="GA30" i="491"/>
  <c r="FZ30" i="491"/>
  <c r="FY30" i="491"/>
  <c r="FX30" i="491"/>
  <c r="FW30" i="491"/>
  <c r="FV30" i="491"/>
  <c r="FU30" i="491"/>
  <c r="FT30" i="491"/>
  <c r="FS30" i="491"/>
  <c r="FR30" i="491"/>
  <c r="FQ30" i="491"/>
  <c r="FP30" i="491"/>
  <c r="FO30" i="491"/>
  <c r="FN30" i="491"/>
  <c r="FM30" i="491"/>
  <c r="FL30" i="491"/>
  <c r="FK30" i="491"/>
  <c r="FJ30" i="491"/>
  <c r="FI30" i="491"/>
  <c r="FH30" i="491"/>
  <c r="FG30" i="491"/>
  <c r="FF30" i="491"/>
  <c r="FE30" i="491"/>
  <c r="FD30" i="491"/>
  <c r="FC30" i="491"/>
  <c r="FB30" i="491"/>
  <c r="FA30" i="491"/>
  <c r="EZ30" i="491"/>
  <c r="EY30" i="491"/>
  <c r="EX30" i="491"/>
  <c r="EW30" i="491"/>
  <c r="EV30" i="491"/>
  <c r="EU30" i="491"/>
  <c r="ET30" i="491"/>
  <c r="ES30" i="491"/>
  <c r="ER30" i="491"/>
  <c r="EQ30" i="491"/>
  <c r="EP30" i="491"/>
  <c r="EO30" i="491"/>
  <c r="EN30" i="491"/>
  <c r="EM30" i="491"/>
  <c r="EL30" i="491"/>
  <c r="EK30" i="491"/>
  <c r="EJ30" i="491"/>
  <c r="EI30" i="491"/>
  <c r="EH30" i="491"/>
  <c r="EG30" i="491"/>
  <c r="EF30" i="491"/>
  <c r="EE30" i="491"/>
  <c r="ED30" i="491"/>
  <c r="EC30" i="491"/>
  <c r="EB30" i="491"/>
  <c r="EA30" i="491"/>
  <c r="DZ30" i="491"/>
  <c r="DY30" i="491"/>
  <c r="DX30" i="491"/>
  <c r="DW30" i="491"/>
  <c r="DT30" i="491"/>
  <c r="DS30" i="491"/>
  <c r="DR30" i="491"/>
  <c r="DQ30" i="491"/>
  <c r="DP30" i="491"/>
  <c r="DO30" i="491"/>
  <c r="DN30" i="491"/>
  <c r="DM30" i="491"/>
  <c r="DL30" i="491"/>
  <c r="DK30" i="491"/>
  <c r="DJ30" i="491"/>
  <c r="DI30" i="491"/>
  <c r="DH30" i="491"/>
  <c r="DG30" i="491"/>
  <c r="DF30" i="491"/>
  <c r="DE30" i="491"/>
  <c r="DD30" i="491"/>
  <c r="DC30" i="491"/>
  <c r="DB30" i="491"/>
  <c r="DA30" i="491"/>
  <c r="CZ30" i="491"/>
  <c r="CY30" i="491"/>
  <c r="CX30" i="491"/>
  <c r="CW30" i="491"/>
  <c r="CV30" i="491"/>
  <c r="CU30" i="491"/>
  <c r="CT30" i="491"/>
  <c r="CS30" i="491"/>
  <c r="CR30" i="491"/>
  <c r="CQ30" i="491"/>
  <c r="CP30" i="491"/>
  <c r="CO30" i="491"/>
  <c r="CN30" i="491"/>
  <c r="CM30" i="491"/>
  <c r="CL30" i="491"/>
  <c r="CK30" i="491"/>
  <c r="CJ30" i="491"/>
  <c r="CI30" i="491"/>
  <c r="CH30" i="491"/>
  <c r="CG30" i="491"/>
  <c r="CF30" i="491"/>
  <c r="CE30" i="491"/>
  <c r="CD30" i="491"/>
  <c r="CC30" i="491"/>
  <c r="CB30" i="491"/>
  <c r="CA30" i="491"/>
  <c r="BZ30" i="491"/>
  <c r="BY30" i="491"/>
  <c r="BX30" i="491"/>
  <c r="BW30" i="491"/>
  <c r="BV30" i="491"/>
  <c r="BU30" i="491"/>
  <c r="BT30" i="491"/>
  <c r="BS30" i="491"/>
  <c r="BR30" i="491"/>
  <c r="BQ30" i="491"/>
  <c r="BP30" i="491"/>
  <c r="BO30" i="491"/>
  <c r="BN30" i="491"/>
  <c r="BM30" i="491"/>
  <c r="BL30" i="491"/>
  <c r="BK30" i="491"/>
  <c r="BJ30" i="491"/>
  <c r="BI30" i="491"/>
  <c r="BH30" i="491"/>
  <c r="BG30" i="491"/>
  <c r="BF30" i="491"/>
  <c r="BE30" i="491"/>
  <c r="BD30" i="491"/>
  <c r="BC30" i="491"/>
  <c r="BB30" i="491"/>
  <c r="BA30" i="491"/>
  <c r="AZ30" i="491"/>
  <c r="AY30" i="491"/>
  <c r="AX30" i="491"/>
  <c r="AW30" i="491"/>
  <c r="AV30" i="491"/>
  <c r="AU30" i="491"/>
  <c r="AT30" i="491"/>
  <c r="AS30" i="491"/>
  <c r="AR30" i="491"/>
  <c r="AQ30" i="491"/>
  <c r="AP30" i="491"/>
  <c r="AO30" i="491"/>
  <c r="AN30" i="491"/>
  <c r="AM30" i="491"/>
  <c r="AL30" i="491"/>
  <c r="AK30" i="491"/>
  <c r="AJ30" i="491"/>
  <c r="AI30" i="491"/>
  <c r="AH30" i="491"/>
  <c r="AG30" i="491"/>
  <c r="AF30" i="491"/>
  <c r="AE30" i="491"/>
  <c r="AD30" i="491"/>
  <c r="AC30" i="491"/>
  <c r="AB30" i="491"/>
  <c r="AA30" i="491"/>
  <c r="Z30" i="491"/>
  <c r="Y30" i="491"/>
  <c r="T30" i="491"/>
  <c r="U30" i="491" s="1"/>
  <c r="R30" i="491"/>
  <c r="Q30" i="491"/>
  <c r="O30" i="491"/>
  <c r="N30" i="491"/>
  <c r="M30" i="491"/>
  <c r="G30" i="491"/>
  <c r="C30" i="491"/>
  <c r="HR29" i="491"/>
  <c r="HQ29" i="491"/>
  <c r="HP29" i="491"/>
  <c r="HO29" i="491"/>
  <c r="HN29" i="491"/>
  <c r="HM29" i="491"/>
  <c r="HL29" i="491"/>
  <c r="HK29" i="491"/>
  <c r="HJ29" i="491"/>
  <c r="HI29" i="491"/>
  <c r="HH29" i="491"/>
  <c r="HG29" i="491"/>
  <c r="HF29" i="491"/>
  <c r="HE29" i="491"/>
  <c r="HD29" i="491"/>
  <c r="HC29" i="491"/>
  <c r="HB29" i="491"/>
  <c r="HA29" i="491"/>
  <c r="GZ29" i="491"/>
  <c r="GY29" i="491"/>
  <c r="GX29" i="491"/>
  <c r="GW29" i="491"/>
  <c r="GV29" i="491"/>
  <c r="GU29" i="491"/>
  <c r="GT29" i="491"/>
  <c r="GS29" i="491"/>
  <c r="GR29" i="491"/>
  <c r="GQ29" i="491"/>
  <c r="GP29" i="491"/>
  <c r="GO29" i="491"/>
  <c r="GN29" i="491"/>
  <c r="GM29" i="491"/>
  <c r="GL29" i="491"/>
  <c r="GK29" i="491"/>
  <c r="GJ29" i="491"/>
  <c r="GI29" i="491"/>
  <c r="GH29" i="491"/>
  <c r="GG29" i="491"/>
  <c r="GF29" i="491"/>
  <c r="GE29" i="491"/>
  <c r="GD29" i="491"/>
  <c r="GC29" i="491"/>
  <c r="GB29" i="491"/>
  <c r="GA29" i="491"/>
  <c r="FZ29" i="491"/>
  <c r="FY29" i="491"/>
  <c r="FX29" i="491"/>
  <c r="FW29" i="491"/>
  <c r="FV29" i="491"/>
  <c r="FU29" i="491"/>
  <c r="FT29" i="491"/>
  <c r="FS29" i="491"/>
  <c r="FR29" i="491"/>
  <c r="FQ29" i="491"/>
  <c r="FP29" i="491"/>
  <c r="FO29" i="491"/>
  <c r="FN29" i="491"/>
  <c r="FM29" i="491"/>
  <c r="FL29" i="491"/>
  <c r="FK29" i="491"/>
  <c r="FJ29" i="491"/>
  <c r="FI29" i="491"/>
  <c r="FH29" i="491"/>
  <c r="FG29" i="491"/>
  <c r="FF29" i="491"/>
  <c r="FE29" i="491"/>
  <c r="FD29" i="491"/>
  <c r="FC29" i="491"/>
  <c r="FB29" i="491"/>
  <c r="FA29" i="491"/>
  <c r="EZ29" i="491"/>
  <c r="EY29" i="491"/>
  <c r="EX29" i="491"/>
  <c r="EW29" i="491"/>
  <c r="EV29" i="491"/>
  <c r="EU29" i="491"/>
  <c r="ET29" i="491"/>
  <c r="ES29" i="491"/>
  <c r="ER29" i="491"/>
  <c r="EQ29" i="491"/>
  <c r="EP29" i="491"/>
  <c r="EO29" i="491"/>
  <c r="EN29" i="491"/>
  <c r="EM29" i="491"/>
  <c r="EL29" i="491"/>
  <c r="EK29" i="491"/>
  <c r="EJ29" i="491"/>
  <c r="EI29" i="491"/>
  <c r="EH29" i="491"/>
  <c r="EG29" i="491"/>
  <c r="EF29" i="491"/>
  <c r="EE29" i="491"/>
  <c r="ED29" i="491"/>
  <c r="EC29" i="491"/>
  <c r="EB29" i="491"/>
  <c r="EA29" i="491"/>
  <c r="DZ29" i="491"/>
  <c r="DY29" i="491"/>
  <c r="DX29" i="491"/>
  <c r="DW29" i="491"/>
  <c r="DT29" i="491"/>
  <c r="DS29" i="491"/>
  <c r="DR29" i="491"/>
  <c r="DQ29" i="491"/>
  <c r="DP29" i="491"/>
  <c r="DO29" i="491"/>
  <c r="DN29" i="491"/>
  <c r="DM29" i="491"/>
  <c r="DL29" i="491"/>
  <c r="DK29" i="491"/>
  <c r="DJ29" i="491"/>
  <c r="DI29" i="491"/>
  <c r="DH29" i="491"/>
  <c r="DG29" i="491"/>
  <c r="DF29" i="491"/>
  <c r="DE29" i="491"/>
  <c r="DD29" i="491"/>
  <c r="DC29" i="491"/>
  <c r="DB29" i="491"/>
  <c r="DA29" i="491"/>
  <c r="CZ29" i="491"/>
  <c r="CY29" i="491"/>
  <c r="CX29" i="491"/>
  <c r="CW29" i="491"/>
  <c r="CV29" i="491"/>
  <c r="CU29" i="491"/>
  <c r="CT29" i="491"/>
  <c r="CS29" i="491"/>
  <c r="CR29" i="491"/>
  <c r="CQ29" i="491"/>
  <c r="CP29" i="491"/>
  <c r="CO29" i="491"/>
  <c r="CN29" i="491"/>
  <c r="CM29" i="491"/>
  <c r="CL29" i="491"/>
  <c r="CK29" i="491"/>
  <c r="CJ29" i="491"/>
  <c r="CI29" i="491"/>
  <c r="CH29" i="491"/>
  <c r="CG29" i="491"/>
  <c r="CF29" i="491"/>
  <c r="CE29" i="491"/>
  <c r="CD29" i="491"/>
  <c r="CC29" i="491"/>
  <c r="CB29" i="491"/>
  <c r="CA29" i="491"/>
  <c r="BZ29" i="491"/>
  <c r="BY29" i="491"/>
  <c r="BX29" i="491"/>
  <c r="BW29" i="491"/>
  <c r="BV29" i="491"/>
  <c r="BU29" i="491"/>
  <c r="BT29" i="491"/>
  <c r="BS29" i="491"/>
  <c r="BR29" i="491"/>
  <c r="BQ29" i="491"/>
  <c r="BP29" i="491"/>
  <c r="BO29" i="491"/>
  <c r="BN29" i="491"/>
  <c r="BM29" i="491"/>
  <c r="BL29" i="491"/>
  <c r="BK29" i="491"/>
  <c r="BJ29" i="491"/>
  <c r="BI29" i="491"/>
  <c r="BH29" i="491"/>
  <c r="BG29" i="491"/>
  <c r="BF29" i="491"/>
  <c r="BE29" i="491"/>
  <c r="BD29" i="491"/>
  <c r="BC29" i="491"/>
  <c r="BB29" i="491"/>
  <c r="BA29" i="491"/>
  <c r="AZ29" i="491"/>
  <c r="AY29" i="491"/>
  <c r="AX29" i="491"/>
  <c r="AW29" i="491"/>
  <c r="AV29" i="491"/>
  <c r="AU29" i="491"/>
  <c r="AT29" i="491"/>
  <c r="AS29" i="491"/>
  <c r="AR29" i="491"/>
  <c r="AQ29" i="491"/>
  <c r="AP29" i="491"/>
  <c r="AO29" i="491"/>
  <c r="AN29" i="491"/>
  <c r="AM29" i="491"/>
  <c r="AL29" i="491"/>
  <c r="AK29" i="491"/>
  <c r="AJ29" i="491"/>
  <c r="AI29" i="491"/>
  <c r="AH29" i="491"/>
  <c r="AG29" i="491"/>
  <c r="AF29" i="491"/>
  <c r="AE29" i="491"/>
  <c r="AD29" i="491"/>
  <c r="AC29" i="491"/>
  <c r="AB29" i="491"/>
  <c r="AA29" i="491"/>
  <c r="Z29" i="491"/>
  <c r="Y29" i="491"/>
  <c r="T29" i="491"/>
  <c r="U29" i="491" s="1"/>
  <c r="R29" i="491"/>
  <c r="Q29" i="491"/>
  <c r="O29" i="491"/>
  <c r="N29" i="491"/>
  <c r="M29" i="491"/>
  <c r="G29" i="491"/>
  <c r="C29" i="491"/>
  <c r="HR25" i="491"/>
  <c r="HQ25" i="491"/>
  <c r="HP25" i="491"/>
  <c r="HO25" i="491"/>
  <c r="HN25" i="491"/>
  <c r="HM25" i="491"/>
  <c r="HL25" i="491"/>
  <c r="HK25" i="491"/>
  <c r="HJ25" i="491"/>
  <c r="HI25" i="491"/>
  <c r="HH25" i="491"/>
  <c r="HG25" i="491"/>
  <c r="HF25" i="491"/>
  <c r="HE25" i="491"/>
  <c r="HD25" i="491"/>
  <c r="HC25" i="491"/>
  <c r="HB25" i="491"/>
  <c r="HA25" i="491"/>
  <c r="GZ25" i="491"/>
  <c r="GY25" i="491"/>
  <c r="GX25" i="491"/>
  <c r="GW25" i="491"/>
  <c r="GV25" i="491"/>
  <c r="GU25" i="491"/>
  <c r="GT25" i="491"/>
  <c r="GS25" i="491"/>
  <c r="GR25" i="491"/>
  <c r="GQ25" i="491"/>
  <c r="GP25" i="491"/>
  <c r="GO25" i="491"/>
  <c r="GN25" i="491"/>
  <c r="GM25" i="491"/>
  <c r="GL25" i="491"/>
  <c r="GK25" i="491"/>
  <c r="GJ25" i="491"/>
  <c r="GI25" i="491"/>
  <c r="GH25" i="491"/>
  <c r="GG25" i="491"/>
  <c r="GF25" i="491"/>
  <c r="GE25" i="491"/>
  <c r="GD25" i="491"/>
  <c r="GC25" i="491"/>
  <c r="GB25" i="491"/>
  <c r="GA25" i="491"/>
  <c r="FZ25" i="491"/>
  <c r="FY25" i="491"/>
  <c r="FX25" i="491"/>
  <c r="FW25" i="491"/>
  <c r="FV25" i="491"/>
  <c r="FU25" i="491"/>
  <c r="FT25" i="491"/>
  <c r="FS25" i="491"/>
  <c r="FR25" i="491"/>
  <c r="FQ25" i="491"/>
  <c r="FP25" i="491"/>
  <c r="FO25" i="491"/>
  <c r="FN25" i="491"/>
  <c r="FM25" i="491"/>
  <c r="FL25" i="491"/>
  <c r="FK25" i="491"/>
  <c r="FJ25" i="491"/>
  <c r="FI25" i="491"/>
  <c r="FH25" i="491"/>
  <c r="FG25" i="491"/>
  <c r="FF25" i="491"/>
  <c r="FE25" i="491"/>
  <c r="FD25" i="491"/>
  <c r="FC25" i="491"/>
  <c r="FB25" i="491"/>
  <c r="FA25" i="491"/>
  <c r="EZ25" i="491"/>
  <c r="EY25" i="491"/>
  <c r="EX25" i="491"/>
  <c r="EW25" i="491"/>
  <c r="EV25" i="491"/>
  <c r="EU25" i="491"/>
  <c r="ET25" i="491"/>
  <c r="ES25" i="491"/>
  <c r="ER25" i="491"/>
  <c r="EQ25" i="491"/>
  <c r="EP25" i="491"/>
  <c r="EO25" i="491"/>
  <c r="EN25" i="491"/>
  <c r="EM25" i="491"/>
  <c r="EL25" i="491"/>
  <c r="EK25" i="491"/>
  <c r="EJ25" i="491"/>
  <c r="EI25" i="491"/>
  <c r="EH25" i="491"/>
  <c r="EG25" i="491"/>
  <c r="EF25" i="491"/>
  <c r="EE25" i="491"/>
  <c r="ED25" i="491"/>
  <c r="EC25" i="491"/>
  <c r="EB25" i="491"/>
  <c r="EA25" i="491"/>
  <c r="DZ25" i="491"/>
  <c r="DY25" i="491"/>
  <c r="DX25" i="491"/>
  <c r="DW25" i="491"/>
  <c r="DT25" i="491"/>
  <c r="DS25" i="491"/>
  <c r="DR25" i="491"/>
  <c r="DQ25" i="491"/>
  <c r="DP25" i="491"/>
  <c r="DO25" i="491"/>
  <c r="DN25" i="491"/>
  <c r="DM25" i="491"/>
  <c r="DL25" i="491"/>
  <c r="DK25" i="491"/>
  <c r="DJ25" i="491"/>
  <c r="DI25" i="491"/>
  <c r="DH25" i="491"/>
  <c r="DG25" i="491"/>
  <c r="DF25" i="491"/>
  <c r="DE25" i="491"/>
  <c r="DD25" i="491"/>
  <c r="DC25" i="491"/>
  <c r="DB25" i="491"/>
  <c r="DA25" i="491"/>
  <c r="CZ25" i="491"/>
  <c r="CY25" i="491"/>
  <c r="CX25" i="491"/>
  <c r="CW25" i="491"/>
  <c r="CV25" i="491"/>
  <c r="CU25" i="491"/>
  <c r="CT25" i="491"/>
  <c r="CS25" i="491"/>
  <c r="CR25" i="491"/>
  <c r="CQ25" i="491"/>
  <c r="CP25" i="491"/>
  <c r="CO25" i="491"/>
  <c r="CN25" i="491"/>
  <c r="CM25" i="491"/>
  <c r="CL25" i="491"/>
  <c r="CK25" i="491"/>
  <c r="CJ25" i="491"/>
  <c r="CI25" i="491"/>
  <c r="CH25" i="491"/>
  <c r="CG25" i="491"/>
  <c r="CF25" i="491"/>
  <c r="CE25" i="491"/>
  <c r="CD25" i="491"/>
  <c r="CC25" i="491"/>
  <c r="CB25" i="491"/>
  <c r="CA25" i="491"/>
  <c r="BZ25" i="491"/>
  <c r="BY25" i="491"/>
  <c r="BX25" i="491"/>
  <c r="BW25" i="491"/>
  <c r="BV25" i="491"/>
  <c r="BU25" i="491"/>
  <c r="BT25" i="491"/>
  <c r="BS25" i="491"/>
  <c r="BR25" i="491"/>
  <c r="BQ25" i="491"/>
  <c r="BP25" i="491"/>
  <c r="BO25" i="491"/>
  <c r="BN25" i="491"/>
  <c r="BM25" i="491"/>
  <c r="BL25" i="491"/>
  <c r="BK25" i="491"/>
  <c r="BJ25" i="491"/>
  <c r="BI25" i="491"/>
  <c r="BH25" i="491"/>
  <c r="BG25" i="491"/>
  <c r="BF25" i="491"/>
  <c r="BE25" i="491"/>
  <c r="BD25" i="491"/>
  <c r="BC25" i="491"/>
  <c r="BB25" i="491"/>
  <c r="BA25" i="491"/>
  <c r="AZ25" i="491"/>
  <c r="AY25" i="491"/>
  <c r="AX25" i="491"/>
  <c r="AW25" i="491"/>
  <c r="AV25" i="491"/>
  <c r="AU25" i="491"/>
  <c r="AT25" i="491"/>
  <c r="AS25" i="491"/>
  <c r="AR25" i="491"/>
  <c r="AQ25" i="491"/>
  <c r="AP25" i="491"/>
  <c r="AO25" i="491"/>
  <c r="AN25" i="491"/>
  <c r="AM25" i="491"/>
  <c r="AL25" i="491"/>
  <c r="AK25" i="491"/>
  <c r="AJ25" i="491"/>
  <c r="AI25" i="491"/>
  <c r="AH25" i="491"/>
  <c r="AG25" i="491"/>
  <c r="AF25" i="491"/>
  <c r="AE25" i="491"/>
  <c r="AD25" i="491"/>
  <c r="AC25" i="491"/>
  <c r="AB25" i="491"/>
  <c r="AA25" i="491"/>
  <c r="Z25" i="491"/>
  <c r="T25" i="491"/>
  <c r="U25" i="491" s="1"/>
  <c r="Y25" i="491" s="1"/>
  <c r="R25" i="491"/>
  <c r="Q25" i="491"/>
  <c r="O25" i="491"/>
  <c r="N25" i="491"/>
  <c r="M25" i="491"/>
  <c r="G25" i="491"/>
  <c r="C25" i="491"/>
  <c r="HR24" i="491"/>
  <c r="HQ24" i="491"/>
  <c r="HP24" i="491"/>
  <c r="HO24" i="491"/>
  <c r="HN24" i="491"/>
  <c r="HM24" i="491"/>
  <c r="HL24" i="491"/>
  <c r="HK24" i="491"/>
  <c r="HJ24" i="491"/>
  <c r="HI24" i="491"/>
  <c r="HH24" i="491"/>
  <c r="HG24" i="491"/>
  <c r="HF24" i="491"/>
  <c r="HE24" i="491"/>
  <c r="HD24" i="491"/>
  <c r="HC24" i="491"/>
  <c r="HB24" i="491"/>
  <c r="HA24" i="491"/>
  <c r="GZ24" i="491"/>
  <c r="GY24" i="491"/>
  <c r="GX24" i="491"/>
  <c r="GW24" i="491"/>
  <c r="GV24" i="491"/>
  <c r="GU24" i="491"/>
  <c r="GT24" i="491"/>
  <c r="GS24" i="491"/>
  <c r="GR24" i="491"/>
  <c r="GQ24" i="491"/>
  <c r="GP24" i="491"/>
  <c r="GO24" i="491"/>
  <c r="GN24" i="491"/>
  <c r="GM24" i="491"/>
  <c r="GL24" i="491"/>
  <c r="GK24" i="491"/>
  <c r="GJ24" i="491"/>
  <c r="GI24" i="491"/>
  <c r="GH24" i="491"/>
  <c r="GG24" i="491"/>
  <c r="GF24" i="491"/>
  <c r="GE24" i="491"/>
  <c r="GD24" i="491"/>
  <c r="GC24" i="491"/>
  <c r="GB24" i="491"/>
  <c r="GA24" i="491"/>
  <c r="FZ24" i="491"/>
  <c r="FY24" i="491"/>
  <c r="FX24" i="491"/>
  <c r="FW24" i="491"/>
  <c r="FV24" i="491"/>
  <c r="FU24" i="491"/>
  <c r="FT24" i="491"/>
  <c r="FS24" i="491"/>
  <c r="FR24" i="491"/>
  <c r="FQ24" i="491"/>
  <c r="FP24" i="491"/>
  <c r="FO24" i="491"/>
  <c r="FN24" i="491"/>
  <c r="FM24" i="491"/>
  <c r="FL24" i="491"/>
  <c r="FK24" i="491"/>
  <c r="FJ24" i="491"/>
  <c r="FI24" i="491"/>
  <c r="FH24" i="491"/>
  <c r="FG24" i="491"/>
  <c r="FF24" i="491"/>
  <c r="FE24" i="491"/>
  <c r="FD24" i="491"/>
  <c r="FC24" i="491"/>
  <c r="FB24" i="491"/>
  <c r="FA24" i="491"/>
  <c r="EZ24" i="491"/>
  <c r="EY24" i="491"/>
  <c r="EX24" i="491"/>
  <c r="EW24" i="491"/>
  <c r="EV24" i="491"/>
  <c r="EU24" i="491"/>
  <c r="ET24" i="491"/>
  <c r="ES24" i="491"/>
  <c r="ER24" i="491"/>
  <c r="EQ24" i="491"/>
  <c r="EP24" i="491"/>
  <c r="EO24" i="491"/>
  <c r="EN24" i="491"/>
  <c r="EM24" i="491"/>
  <c r="EL24" i="491"/>
  <c r="EK24" i="491"/>
  <c r="EJ24" i="491"/>
  <c r="EI24" i="491"/>
  <c r="EH24" i="491"/>
  <c r="EG24" i="491"/>
  <c r="EF24" i="491"/>
  <c r="EE24" i="491"/>
  <c r="ED24" i="491"/>
  <c r="EC24" i="491"/>
  <c r="EB24" i="491"/>
  <c r="EA24" i="491"/>
  <c r="DZ24" i="491"/>
  <c r="DY24" i="491"/>
  <c r="DX24" i="491"/>
  <c r="DT24" i="491"/>
  <c r="DS24" i="491"/>
  <c r="DR24" i="491"/>
  <c r="DQ24" i="491"/>
  <c r="DP24" i="491"/>
  <c r="DO24" i="491"/>
  <c r="DN24" i="491"/>
  <c r="DM24" i="491"/>
  <c r="DL24" i="491"/>
  <c r="DK24" i="491"/>
  <c r="DJ24" i="491"/>
  <c r="DI24" i="491"/>
  <c r="DH24" i="491"/>
  <c r="DG24" i="491"/>
  <c r="DF24" i="491"/>
  <c r="DE24" i="491"/>
  <c r="DD24" i="491"/>
  <c r="DC24" i="491"/>
  <c r="DB24" i="491"/>
  <c r="DA24" i="491"/>
  <c r="CZ24" i="491"/>
  <c r="CY24" i="491"/>
  <c r="CX24" i="491"/>
  <c r="CW24" i="491"/>
  <c r="CV24" i="491"/>
  <c r="CU24" i="491"/>
  <c r="CT24" i="491"/>
  <c r="CS24" i="491"/>
  <c r="CR24" i="491"/>
  <c r="CQ24" i="491"/>
  <c r="CP24" i="491"/>
  <c r="CO24" i="491"/>
  <c r="CN24" i="491"/>
  <c r="CM24" i="491"/>
  <c r="CL24" i="491"/>
  <c r="CK24" i="491"/>
  <c r="CJ24" i="491"/>
  <c r="CI24" i="491"/>
  <c r="CH24" i="491"/>
  <c r="CG24" i="491"/>
  <c r="CF24" i="491"/>
  <c r="CE24" i="491"/>
  <c r="CD24" i="491"/>
  <c r="CC24" i="491"/>
  <c r="CB24" i="491"/>
  <c r="CA24" i="491"/>
  <c r="BZ24" i="491"/>
  <c r="BY24" i="491"/>
  <c r="BX24" i="491"/>
  <c r="BW24" i="491"/>
  <c r="BV24" i="491"/>
  <c r="BU24" i="491"/>
  <c r="BT24" i="491"/>
  <c r="BS24" i="491"/>
  <c r="BR24" i="491"/>
  <c r="BQ24" i="491"/>
  <c r="BP24" i="491"/>
  <c r="BO24" i="491"/>
  <c r="BN24" i="491"/>
  <c r="BM24" i="491"/>
  <c r="BL24" i="491"/>
  <c r="BK24" i="491"/>
  <c r="BJ24" i="491"/>
  <c r="BI24" i="491"/>
  <c r="BH24" i="491"/>
  <c r="BG24" i="491"/>
  <c r="BF24" i="491"/>
  <c r="BE24" i="491"/>
  <c r="BD24" i="491"/>
  <c r="BC24" i="491"/>
  <c r="BB24" i="491"/>
  <c r="BA24" i="491"/>
  <c r="AZ24" i="491"/>
  <c r="AY24" i="491"/>
  <c r="AX24" i="491"/>
  <c r="AW24" i="491"/>
  <c r="AV24" i="491"/>
  <c r="AU24" i="491"/>
  <c r="AT24" i="491"/>
  <c r="AS24" i="491"/>
  <c r="AR24" i="491"/>
  <c r="AQ24" i="491"/>
  <c r="AP24" i="491"/>
  <c r="AO24" i="491"/>
  <c r="AN24" i="491"/>
  <c r="AM24" i="491"/>
  <c r="AL24" i="491"/>
  <c r="AK24" i="491"/>
  <c r="AJ24" i="491"/>
  <c r="AI24" i="491"/>
  <c r="AH24" i="491"/>
  <c r="AG24" i="491"/>
  <c r="AF24" i="491"/>
  <c r="AE24" i="491"/>
  <c r="AD24" i="491"/>
  <c r="AC24" i="491"/>
  <c r="AB24" i="491"/>
  <c r="AA24" i="491"/>
  <c r="Z24" i="491"/>
  <c r="Y24" i="491"/>
  <c r="T24" i="491"/>
  <c r="U24" i="491" s="1"/>
  <c r="R24" i="491"/>
  <c r="Q24" i="491"/>
  <c r="N24" i="491"/>
  <c r="M24" i="491"/>
  <c r="O24" i="491" s="1"/>
  <c r="DW24" i="491" s="1"/>
  <c r="G24" i="491"/>
  <c r="C24" i="491"/>
  <c r="HR23" i="491"/>
  <c r="HQ23" i="491"/>
  <c r="HP23" i="491"/>
  <c r="HO23" i="491"/>
  <c r="HN23" i="491"/>
  <c r="HM23" i="491"/>
  <c r="HL23" i="491"/>
  <c r="HK23" i="491"/>
  <c r="HJ23" i="491"/>
  <c r="HI23" i="491"/>
  <c r="HH23" i="491"/>
  <c r="HG23" i="491"/>
  <c r="HF23" i="491"/>
  <c r="HE23" i="491"/>
  <c r="HD23" i="491"/>
  <c r="HC23" i="491"/>
  <c r="HB23" i="491"/>
  <c r="HA23" i="491"/>
  <c r="GZ23" i="491"/>
  <c r="GY23" i="491"/>
  <c r="GX23" i="491"/>
  <c r="GW23" i="491"/>
  <c r="GV23" i="491"/>
  <c r="GU23" i="491"/>
  <c r="GT23" i="491"/>
  <c r="GS23" i="491"/>
  <c r="GR23" i="491"/>
  <c r="GQ23" i="491"/>
  <c r="GP23" i="491"/>
  <c r="GO23" i="491"/>
  <c r="GN23" i="491"/>
  <c r="GM23" i="491"/>
  <c r="GL23" i="491"/>
  <c r="GK23" i="491"/>
  <c r="GJ23" i="491"/>
  <c r="GI23" i="491"/>
  <c r="GH23" i="491"/>
  <c r="GG23" i="491"/>
  <c r="GF23" i="491"/>
  <c r="GE23" i="491"/>
  <c r="GD23" i="491"/>
  <c r="GC23" i="491"/>
  <c r="GB23" i="491"/>
  <c r="GA23" i="491"/>
  <c r="FZ23" i="491"/>
  <c r="FY23" i="491"/>
  <c r="FX23" i="491"/>
  <c r="FW23" i="491"/>
  <c r="FV23" i="491"/>
  <c r="FU23" i="491"/>
  <c r="FT23" i="491"/>
  <c r="FS23" i="491"/>
  <c r="FR23" i="491"/>
  <c r="FQ23" i="491"/>
  <c r="FP23" i="491"/>
  <c r="FO23" i="491"/>
  <c r="FN23" i="491"/>
  <c r="FM23" i="491"/>
  <c r="FL23" i="491"/>
  <c r="FK23" i="491"/>
  <c r="FJ23" i="491"/>
  <c r="FI23" i="491"/>
  <c r="FH23" i="491"/>
  <c r="FG23" i="491"/>
  <c r="FF23" i="491"/>
  <c r="FE23" i="491"/>
  <c r="FD23" i="491"/>
  <c r="FC23" i="491"/>
  <c r="FB23" i="491"/>
  <c r="FA23" i="491"/>
  <c r="EZ23" i="491"/>
  <c r="EY23" i="491"/>
  <c r="EX23" i="491"/>
  <c r="EW23" i="491"/>
  <c r="EV23" i="491"/>
  <c r="EU23" i="491"/>
  <c r="ET23" i="491"/>
  <c r="ES23" i="491"/>
  <c r="ER23" i="491"/>
  <c r="EQ23" i="491"/>
  <c r="EP23" i="491"/>
  <c r="EO23" i="491"/>
  <c r="EN23" i="491"/>
  <c r="EM23" i="491"/>
  <c r="EL23" i="491"/>
  <c r="EK23" i="491"/>
  <c r="EJ23" i="491"/>
  <c r="EI23" i="491"/>
  <c r="EH23" i="491"/>
  <c r="EG23" i="491"/>
  <c r="EF23" i="491"/>
  <c r="EE23" i="491"/>
  <c r="ED23" i="491"/>
  <c r="EC23" i="491"/>
  <c r="EB23" i="491"/>
  <c r="EA23" i="491"/>
  <c r="DZ23" i="491"/>
  <c r="DX23" i="491"/>
  <c r="DT23" i="491"/>
  <c r="DS23" i="491"/>
  <c r="DR23" i="491"/>
  <c r="DQ23" i="491"/>
  <c r="DP23" i="491"/>
  <c r="DO23" i="491"/>
  <c r="DN23" i="491"/>
  <c r="DM23" i="491"/>
  <c r="DL23" i="491"/>
  <c r="DK23" i="491"/>
  <c r="DJ23" i="491"/>
  <c r="DI23" i="491"/>
  <c r="DH23" i="491"/>
  <c r="DG23" i="491"/>
  <c r="DF23" i="491"/>
  <c r="DE23" i="491"/>
  <c r="DD23" i="491"/>
  <c r="DC23" i="491"/>
  <c r="DB23" i="491"/>
  <c r="DA23" i="491"/>
  <c r="CZ23" i="491"/>
  <c r="CY23" i="491"/>
  <c r="CX23" i="491"/>
  <c r="CW23" i="491"/>
  <c r="CV23" i="491"/>
  <c r="CU23" i="491"/>
  <c r="CT23" i="491"/>
  <c r="CS23" i="491"/>
  <c r="CR23" i="491"/>
  <c r="CQ23" i="491"/>
  <c r="CP23" i="491"/>
  <c r="CO23" i="491"/>
  <c r="CN23" i="491"/>
  <c r="CM23" i="491"/>
  <c r="CL23" i="491"/>
  <c r="CK23" i="491"/>
  <c r="CJ23" i="491"/>
  <c r="CI23" i="491"/>
  <c r="CH23" i="491"/>
  <c r="CG23" i="491"/>
  <c r="CF23" i="491"/>
  <c r="CE23" i="491"/>
  <c r="CD23" i="491"/>
  <c r="CC23" i="491"/>
  <c r="CB23" i="491"/>
  <c r="CA23" i="491"/>
  <c r="BZ23" i="491"/>
  <c r="BY23" i="491"/>
  <c r="BX23" i="491"/>
  <c r="BW23" i="491"/>
  <c r="BV23" i="491"/>
  <c r="BU23" i="491"/>
  <c r="BT23" i="491"/>
  <c r="BS23" i="491"/>
  <c r="BR23" i="491"/>
  <c r="BQ23" i="491"/>
  <c r="BP23" i="491"/>
  <c r="BO23" i="491"/>
  <c r="BN23" i="491"/>
  <c r="BM23" i="491"/>
  <c r="BL23" i="491"/>
  <c r="BK23" i="491"/>
  <c r="BJ23" i="491"/>
  <c r="BI23" i="491"/>
  <c r="BH23" i="491"/>
  <c r="BG23" i="491"/>
  <c r="BF23" i="491"/>
  <c r="BE23" i="491"/>
  <c r="BD23" i="491"/>
  <c r="BC23" i="491"/>
  <c r="BB23" i="491"/>
  <c r="BA23" i="491"/>
  <c r="AZ23" i="491"/>
  <c r="AY23" i="491"/>
  <c r="AX23" i="491"/>
  <c r="AW23" i="491"/>
  <c r="AV23" i="491"/>
  <c r="AU23" i="491"/>
  <c r="AT23" i="491"/>
  <c r="AS23" i="491"/>
  <c r="AR23" i="491"/>
  <c r="AQ23" i="491"/>
  <c r="AP23" i="491"/>
  <c r="AO23" i="491"/>
  <c r="AN23" i="491"/>
  <c r="AM23" i="491"/>
  <c r="AL23" i="491"/>
  <c r="AK23" i="491"/>
  <c r="AJ23" i="491"/>
  <c r="AI23" i="491"/>
  <c r="AH23" i="491"/>
  <c r="AG23" i="491"/>
  <c r="AF23" i="491"/>
  <c r="AE23" i="491"/>
  <c r="AD23" i="491"/>
  <c r="AC23" i="491"/>
  <c r="AB23" i="491"/>
  <c r="Z23" i="491"/>
  <c r="T23" i="491"/>
  <c r="U23" i="491" s="1"/>
  <c r="Y23" i="491" s="1"/>
  <c r="N23" i="491"/>
  <c r="M23" i="491"/>
  <c r="G23" i="491"/>
  <c r="C23" i="491"/>
  <c r="HR22" i="491"/>
  <c r="HQ22" i="491"/>
  <c r="HP22" i="491"/>
  <c r="HO22" i="491"/>
  <c r="HN22" i="491"/>
  <c r="HM22" i="491"/>
  <c r="HL22" i="491"/>
  <c r="HK22" i="491"/>
  <c r="HJ22" i="491"/>
  <c r="HI22" i="491"/>
  <c r="HH22" i="491"/>
  <c r="HG22" i="491"/>
  <c r="HF22" i="491"/>
  <c r="HE22" i="491"/>
  <c r="HD22" i="491"/>
  <c r="HC22" i="491"/>
  <c r="HB22" i="491"/>
  <c r="HA22" i="491"/>
  <c r="GZ22" i="491"/>
  <c r="GY22" i="491"/>
  <c r="GX22" i="491"/>
  <c r="GW22" i="491"/>
  <c r="GV22" i="491"/>
  <c r="GU22" i="491"/>
  <c r="GT22" i="491"/>
  <c r="GS22" i="491"/>
  <c r="GR22" i="491"/>
  <c r="GQ22" i="491"/>
  <c r="GP22" i="491"/>
  <c r="GO22" i="491"/>
  <c r="GN22" i="491"/>
  <c r="GM22" i="491"/>
  <c r="GL22" i="491"/>
  <c r="GK22" i="491"/>
  <c r="GJ22" i="491"/>
  <c r="GI22" i="491"/>
  <c r="GH22" i="491"/>
  <c r="GG22" i="491"/>
  <c r="GF22" i="491"/>
  <c r="GE22" i="491"/>
  <c r="GD22" i="491"/>
  <c r="GC22" i="491"/>
  <c r="GB22" i="491"/>
  <c r="GA22" i="491"/>
  <c r="FZ22" i="491"/>
  <c r="FY22" i="491"/>
  <c r="FX22" i="491"/>
  <c r="FW22" i="491"/>
  <c r="FV22" i="491"/>
  <c r="FU22" i="491"/>
  <c r="FT22" i="491"/>
  <c r="FS22" i="491"/>
  <c r="FR22" i="491"/>
  <c r="FQ22" i="491"/>
  <c r="FP22" i="491"/>
  <c r="FO22" i="491"/>
  <c r="FN22" i="491"/>
  <c r="FM22" i="491"/>
  <c r="FL22" i="491"/>
  <c r="FK22" i="491"/>
  <c r="FJ22" i="491"/>
  <c r="FI22" i="491"/>
  <c r="FH22" i="491"/>
  <c r="FG22" i="491"/>
  <c r="FF22" i="491"/>
  <c r="FE22" i="491"/>
  <c r="FD22" i="491"/>
  <c r="FC22" i="491"/>
  <c r="FB22" i="491"/>
  <c r="FA22" i="491"/>
  <c r="EZ22" i="491"/>
  <c r="EY22" i="491"/>
  <c r="EX22" i="491"/>
  <c r="EW22" i="491"/>
  <c r="EV22" i="491"/>
  <c r="EU22" i="491"/>
  <c r="ET22" i="491"/>
  <c r="ES22" i="491"/>
  <c r="ER22" i="491"/>
  <c r="EQ22" i="491"/>
  <c r="EP22" i="491"/>
  <c r="EO22" i="491"/>
  <c r="EN22" i="491"/>
  <c r="EM22" i="491"/>
  <c r="EL22" i="491"/>
  <c r="EK22" i="491"/>
  <c r="EJ22" i="491"/>
  <c r="EI22" i="491"/>
  <c r="EH22" i="491"/>
  <c r="EG22" i="491"/>
  <c r="EF22" i="491"/>
  <c r="EE22" i="491"/>
  <c r="ED22" i="491"/>
  <c r="EC22" i="491"/>
  <c r="EB22" i="491"/>
  <c r="EA22" i="491"/>
  <c r="DZ22" i="491"/>
  <c r="DY22" i="491"/>
  <c r="DX22" i="491"/>
  <c r="DT22" i="491"/>
  <c r="DS22" i="491"/>
  <c r="DR22" i="491"/>
  <c r="DQ22" i="491"/>
  <c r="DP22" i="491"/>
  <c r="DO22" i="491"/>
  <c r="DN22" i="491"/>
  <c r="DM22" i="491"/>
  <c r="DL22" i="491"/>
  <c r="DK22" i="491"/>
  <c r="DJ22" i="491"/>
  <c r="DI22" i="491"/>
  <c r="DH22" i="491"/>
  <c r="DG22" i="491"/>
  <c r="DF22" i="491"/>
  <c r="DE22" i="491"/>
  <c r="DD22" i="491"/>
  <c r="DC22" i="491"/>
  <c r="DB22" i="491"/>
  <c r="DA22" i="491"/>
  <c r="CZ22" i="491"/>
  <c r="CY22" i="491"/>
  <c r="CX22" i="491"/>
  <c r="CW22" i="491"/>
  <c r="CV22" i="491"/>
  <c r="CU22" i="491"/>
  <c r="CT22" i="491"/>
  <c r="CS22" i="491"/>
  <c r="CR22" i="491"/>
  <c r="CQ22" i="491"/>
  <c r="CP22" i="491"/>
  <c r="CO22" i="491"/>
  <c r="CN22" i="491"/>
  <c r="CM22" i="491"/>
  <c r="CL22" i="491"/>
  <c r="CK22" i="491"/>
  <c r="CJ22" i="491"/>
  <c r="CI22" i="491"/>
  <c r="CH22" i="491"/>
  <c r="CG22" i="491"/>
  <c r="CF22" i="491"/>
  <c r="CE22" i="491"/>
  <c r="CD22" i="491"/>
  <c r="CC22" i="491"/>
  <c r="CB22" i="491"/>
  <c r="CA22" i="491"/>
  <c r="BZ22" i="491"/>
  <c r="BY22" i="491"/>
  <c r="BX22" i="491"/>
  <c r="BW22" i="491"/>
  <c r="BV22" i="491"/>
  <c r="BU22" i="491"/>
  <c r="BT22" i="491"/>
  <c r="BS22" i="491"/>
  <c r="BR22" i="491"/>
  <c r="BQ22" i="491"/>
  <c r="BP22" i="491"/>
  <c r="BO22" i="491"/>
  <c r="BN22" i="491"/>
  <c r="BM22" i="491"/>
  <c r="BL22" i="491"/>
  <c r="BK22" i="491"/>
  <c r="BJ22" i="491"/>
  <c r="BI22" i="491"/>
  <c r="BH22" i="491"/>
  <c r="BG22" i="491"/>
  <c r="BF22" i="491"/>
  <c r="BE22" i="491"/>
  <c r="BD22" i="491"/>
  <c r="BC22" i="491"/>
  <c r="BB22" i="491"/>
  <c r="BA22" i="491"/>
  <c r="AZ22" i="491"/>
  <c r="AY22" i="491"/>
  <c r="AX22" i="491"/>
  <c r="AW22" i="491"/>
  <c r="AV22" i="491"/>
  <c r="AU22" i="491"/>
  <c r="AT22" i="491"/>
  <c r="AS22" i="491"/>
  <c r="AR22" i="491"/>
  <c r="AQ22" i="491"/>
  <c r="AP22" i="491"/>
  <c r="AO22" i="491"/>
  <c r="AN22" i="491"/>
  <c r="AM22" i="491"/>
  <c r="AL22" i="491"/>
  <c r="AK22" i="491"/>
  <c r="AJ22" i="491"/>
  <c r="AI22" i="491"/>
  <c r="AH22" i="491"/>
  <c r="AG22" i="491"/>
  <c r="AF22" i="491"/>
  <c r="AE22" i="491"/>
  <c r="AD22" i="491"/>
  <c r="AC22" i="491"/>
  <c r="AB22" i="491"/>
  <c r="AA22" i="491"/>
  <c r="Z22" i="491"/>
  <c r="T22" i="491"/>
  <c r="U22" i="491" s="1"/>
  <c r="Y22" i="491" s="1"/>
  <c r="R22" i="491"/>
  <c r="Q22" i="491"/>
  <c r="O22" i="491"/>
  <c r="DW22" i="491" s="1"/>
  <c r="N22" i="491"/>
  <c r="M22" i="491"/>
  <c r="G22" i="491"/>
  <c r="C22" i="491"/>
  <c r="HR21" i="491"/>
  <c r="HQ21" i="491"/>
  <c r="HP21" i="491"/>
  <c r="HO21" i="491"/>
  <c r="HN21" i="491"/>
  <c r="HM21" i="491"/>
  <c r="HL21" i="491"/>
  <c r="HK21" i="491"/>
  <c r="HJ21" i="491"/>
  <c r="HI21" i="491"/>
  <c r="HH21" i="491"/>
  <c r="HG21" i="491"/>
  <c r="HF21" i="491"/>
  <c r="HE21" i="491"/>
  <c r="HD21" i="491"/>
  <c r="HC21" i="491"/>
  <c r="HB21" i="491"/>
  <c r="HA21" i="491"/>
  <c r="GZ21" i="491"/>
  <c r="GY21" i="491"/>
  <c r="GX21" i="491"/>
  <c r="GW21" i="491"/>
  <c r="GV21" i="491"/>
  <c r="GU21" i="491"/>
  <c r="GT21" i="491"/>
  <c r="GS21" i="491"/>
  <c r="GR21" i="491"/>
  <c r="GQ21" i="491"/>
  <c r="GP21" i="491"/>
  <c r="GO21" i="491"/>
  <c r="GN21" i="491"/>
  <c r="GM21" i="491"/>
  <c r="GL21" i="491"/>
  <c r="GK21" i="491"/>
  <c r="GJ21" i="491"/>
  <c r="GI21" i="491"/>
  <c r="GH21" i="491"/>
  <c r="GG21" i="491"/>
  <c r="GF21" i="491"/>
  <c r="GE21" i="491"/>
  <c r="GD21" i="491"/>
  <c r="GC21" i="491"/>
  <c r="GB21" i="491"/>
  <c r="GA21" i="491"/>
  <c r="FZ21" i="491"/>
  <c r="FY21" i="491"/>
  <c r="FX21" i="491"/>
  <c r="FW21" i="491"/>
  <c r="FV21" i="491"/>
  <c r="FU21" i="491"/>
  <c r="FT21" i="491"/>
  <c r="FS21" i="491"/>
  <c r="FR21" i="491"/>
  <c r="FQ21" i="491"/>
  <c r="FP21" i="491"/>
  <c r="FO21" i="491"/>
  <c r="FN21" i="491"/>
  <c r="FM21" i="491"/>
  <c r="FL21" i="491"/>
  <c r="FK21" i="491"/>
  <c r="FJ21" i="491"/>
  <c r="FI21" i="491"/>
  <c r="FH21" i="491"/>
  <c r="FG21" i="491"/>
  <c r="FF21" i="491"/>
  <c r="FE21" i="491"/>
  <c r="FD21" i="491"/>
  <c r="FC21" i="491"/>
  <c r="FB21" i="491"/>
  <c r="FA21" i="491"/>
  <c r="EZ21" i="491"/>
  <c r="EY21" i="491"/>
  <c r="EX21" i="491"/>
  <c r="EW21" i="491"/>
  <c r="EV21" i="491"/>
  <c r="EU21" i="491"/>
  <c r="ET21" i="491"/>
  <c r="ES21" i="491"/>
  <c r="ER21" i="491"/>
  <c r="EQ21" i="491"/>
  <c r="EP21" i="491"/>
  <c r="EO21" i="491"/>
  <c r="EN21" i="491"/>
  <c r="EM21" i="491"/>
  <c r="EL21" i="491"/>
  <c r="EK21" i="491"/>
  <c r="EJ21" i="491"/>
  <c r="EI21" i="491"/>
  <c r="EH21" i="491"/>
  <c r="EG21" i="491"/>
  <c r="EF21" i="491"/>
  <c r="EE21" i="491"/>
  <c r="ED21" i="491"/>
  <c r="EC21" i="491"/>
  <c r="EB21" i="491"/>
  <c r="EA21" i="491"/>
  <c r="DZ21" i="491"/>
  <c r="DY21" i="491"/>
  <c r="DX21" i="491"/>
  <c r="DT21" i="491"/>
  <c r="DS21" i="491"/>
  <c r="DR21" i="491"/>
  <c r="DQ21" i="491"/>
  <c r="DP21" i="491"/>
  <c r="DO21" i="491"/>
  <c r="DN21" i="491"/>
  <c r="DM21" i="491"/>
  <c r="DL21" i="491"/>
  <c r="DK21" i="491"/>
  <c r="DJ21" i="491"/>
  <c r="DI21" i="491"/>
  <c r="DH21" i="491"/>
  <c r="DG21" i="491"/>
  <c r="DF21" i="491"/>
  <c r="DE21" i="491"/>
  <c r="DD21" i="491"/>
  <c r="DC21" i="491"/>
  <c r="DB21" i="491"/>
  <c r="DA21" i="491"/>
  <c r="CZ21" i="491"/>
  <c r="CY21" i="491"/>
  <c r="CX21" i="491"/>
  <c r="CW21" i="491"/>
  <c r="CV21" i="491"/>
  <c r="CU21" i="491"/>
  <c r="CT21" i="491"/>
  <c r="CS21" i="491"/>
  <c r="CR21" i="491"/>
  <c r="CQ21" i="491"/>
  <c r="CP21" i="491"/>
  <c r="CO21" i="491"/>
  <c r="CN21" i="491"/>
  <c r="CM21" i="491"/>
  <c r="CL21" i="491"/>
  <c r="CK21" i="491"/>
  <c r="CJ21" i="491"/>
  <c r="CI21" i="491"/>
  <c r="CH21" i="491"/>
  <c r="CG21" i="491"/>
  <c r="CF21" i="491"/>
  <c r="CE21" i="491"/>
  <c r="CD21" i="491"/>
  <c r="CC21" i="491"/>
  <c r="CB21" i="491"/>
  <c r="CA21" i="491"/>
  <c r="BZ21" i="491"/>
  <c r="BY21" i="491"/>
  <c r="BX21" i="491"/>
  <c r="BW21" i="491"/>
  <c r="BV21" i="491"/>
  <c r="BU21" i="491"/>
  <c r="BT21" i="491"/>
  <c r="BS21" i="491"/>
  <c r="BR21" i="491"/>
  <c r="BQ21" i="491"/>
  <c r="BP21" i="491"/>
  <c r="BO21" i="491"/>
  <c r="BN21" i="491"/>
  <c r="BM21" i="491"/>
  <c r="BL21" i="491"/>
  <c r="BK21" i="491"/>
  <c r="BJ21" i="491"/>
  <c r="BI21" i="491"/>
  <c r="BH21" i="491"/>
  <c r="BG21" i="491"/>
  <c r="BF21" i="491"/>
  <c r="BE21" i="491"/>
  <c r="BD21" i="491"/>
  <c r="BC21" i="491"/>
  <c r="BB21" i="491"/>
  <c r="BA21" i="491"/>
  <c r="AZ21" i="491"/>
  <c r="AY21" i="491"/>
  <c r="AX21" i="491"/>
  <c r="AW21" i="491"/>
  <c r="AV21" i="491"/>
  <c r="AU21" i="491"/>
  <c r="AT21" i="491"/>
  <c r="AS21" i="491"/>
  <c r="AR21" i="491"/>
  <c r="AQ21" i="491"/>
  <c r="AP21" i="491"/>
  <c r="AO21" i="491"/>
  <c r="AN21" i="491"/>
  <c r="AM21" i="491"/>
  <c r="AL21" i="491"/>
  <c r="AK21" i="491"/>
  <c r="AJ21" i="491"/>
  <c r="AI21" i="491"/>
  <c r="AH21" i="491"/>
  <c r="AG21" i="491"/>
  <c r="AF21" i="491"/>
  <c r="AE21" i="491"/>
  <c r="AD21" i="491"/>
  <c r="AC21" i="491"/>
  <c r="AB21" i="491"/>
  <c r="AA21" i="491"/>
  <c r="Z21" i="491"/>
  <c r="T21" i="491"/>
  <c r="U21" i="491" s="1"/>
  <c r="Y21" i="491" s="1"/>
  <c r="R21" i="491"/>
  <c r="Q21" i="491"/>
  <c r="N21" i="491"/>
  <c r="M21" i="491"/>
  <c r="O21" i="491" s="1"/>
  <c r="DW21" i="491" s="1"/>
  <c r="G21" i="491"/>
  <c r="C21" i="491"/>
  <c r="HR20" i="491"/>
  <c r="HQ20" i="491"/>
  <c r="HP20" i="491"/>
  <c r="HO20" i="491"/>
  <c r="HN20" i="491"/>
  <c r="HM20" i="491"/>
  <c r="HL20" i="491"/>
  <c r="HK20" i="491"/>
  <c r="HJ20" i="491"/>
  <c r="HI20" i="491"/>
  <c r="HH20" i="491"/>
  <c r="HG20" i="491"/>
  <c r="HF20" i="491"/>
  <c r="HE20" i="491"/>
  <c r="HD20" i="491"/>
  <c r="HC20" i="491"/>
  <c r="HB20" i="491"/>
  <c r="HA20" i="491"/>
  <c r="GZ20" i="491"/>
  <c r="GY20" i="491"/>
  <c r="GX20" i="491"/>
  <c r="GW20" i="491"/>
  <c r="GV20" i="491"/>
  <c r="GU20" i="491"/>
  <c r="GT20" i="491"/>
  <c r="GS20" i="491"/>
  <c r="GR20" i="491"/>
  <c r="GQ20" i="491"/>
  <c r="GP20" i="491"/>
  <c r="GO20" i="491"/>
  <c r="GN20" i="491"/>
  <c r="GM20" i="491"/>
  <c r="GL20" i="491"/>
  <c r="GK20" i="491"/>
  <c r="GJ20" i="491"/>
  <c r="GI20" i="491"/>
  <c r="GH20" i="491"/>
  <c r="GG20" i="491"/>
  <c r="GF20" i="491"/>
  <c r="GE20" i="491"/>
  <c r="GD20" i="491"/>
  <c r="GC20" i="491"/>
  <c r="GB20" i="491"/>
  <c r="GA20" i="491"/>
  <c r="FZ20" i="491"/>
  <c r="FY20" i="491"/>
  <c r="FX20" i="491"/>
  <c r="FW20" i="491"/>
  <c r="FV20" i="491"/>
  <c r="FU20" i="491"/>
  <c r="FT20" i="491"/>
  <c r="FS20" i="491"/>
  <c r="FR20" i="491"/>
  <c r="FQ20" i="491"/>
  <c r="FP20" i="491"/>
  <c r="FO20" i="491"/>
  <c r="FN20" i="491"/>
  <c r="FM20" i="491"/>
  <c r="FL20" i="491"/>
  <c r="FK20" i="491"/>
  <c r="FJ20" i="491"/>
  <c r="FI20" i="491"/>
  <c r="FH20" i="491"/>
  <c r="FG20" i="491"/>
  <c r="FF20" i="491"/>
  <c r="FE20" i="491"/>
  <c r="FD20" i="491"/>
  <c r="FC20" i="491"/>
  <c r="FB20" i="491"/>
  <c r="FA20" i="491"/>
  <c r="EZ20" i="491"/>
  <c r="EY20" i="491"/>
  <c r="EX20" i="491"/>
  <c r="EW20" i="491"/>
  <c r="EV20" i="491"/>
  <c r="EU20" i="491"/>
  <c r="ET20" i="491"/>
  <c r="ES20" i="491"/>
  <c r="ER20" i="491"/>
  <c r="EQ20" i="491"/>
  <c r="EP20" i="491"/>
  <c r="EO20" i="491"/>
  <c r="EN20" i="491"/>
  <c r="EM20" i="491"/>
  <c r="EL20" i="491"/>
  <c r="EK20" i="491"/>
  <c r="EJ20" i="491"/>
  <c r="EI20" i="491"/>
  <c r="EH20" i="491"/>
  <c r="EG20" i="491"/>
  <c r="EF20" i="491"/>
  <c r="EE20" i="491"/>
  <c r="ED20" i="491"/>
  <c r="EC20" i="491"/>
  <c r="EB20" i="491"/>
  <c r="EA20" i="491"/>
  <c r="DZ20" i="491"/>
  <c r="DY20" i="491"/>
  <c r="DX20" i="491"/>
  <c r="DT20" i="491"/>
  <c r="DS20" i="491"/>
  <c r="DR20" i="491"/>
  <c r="DQ20" i="491"/>
  <c r="DP20" i="491"/>
  <c r="DO20" i="491"/>
  <c r="DN20" i="491"/>
  <c r="DM20" i="491"/>
  <c r="DL20" i="491"/>
  <c r="DK20" i="491"/>
  <c r="DJ20" i="491"/>
  <c r="DI20" i="491"/>
  <c r="DH20" i="491"/>
  <c r="DG20" i="491"/>
  <c r="DF20" i="491"/>
  <c r="DE20" i="491"/>
  <c r="DD20" i="491"/>
  <c r="DC20" i="491"/>
  <c r="DB20" i="491"/>
  <c r="DA20" i="491"/>
  <c r="CZ20" i="491"/>
  <c r="CY20" i="491"/>
  <c r="CX20" i="491"/>
  <c r="CW20" i="491"/>
  <c r="CV20" i="491"/>
  <c r="CU20" i="491"/>
  <c r="CT20" i="491"/>
  <c r="CS20" i="491"/>
  <c r="CR20" i="491"/>
  <c r="CQ20" i="491"/>
  <c r="CP20" i="491"/>
  <c r="CO20" i="491"/>
  <c r="CN20" i="491"/>
  <c r="CM20" i="491"/>
  <c r="CL20" i="491"/>
  <c r="CK20" i="491"/>
  <c r="CJ20" i="491"/>
  <c r="CI20" i="491"/>
  <c r="CH20" i="491"/>
  <c r="CG20" i="491"/>
  <c r="CF20" i="491"/>
  <c r="CE20" i="491"/>
  <c r="CD20" i="491"/>
  <c r="CC20" i="491"/>
  <c r="CB20" i="491"/>
  <c r="CA20" i="491"/>
  <c r="BZ20" i="491"/>
  <c r="BY20" i="491"/>
  <c r="BX20" i="491"/>
  <c r="BW20" i="491"/>
  <c r="BV20" i="491"/>
  <c r="BU20" i="491"/>
  <c r="BT20" i="491"/>
  <c r="BS20" i="491"/>
  <c r="BR20" i="491"/>
  <c r="BQ20" i="491"/>
  <c r="BP20" i="491"/>
  <c r="BO20" i="491"/>
  <c r="BN20" i="491"/>
  <c r="BM20" i="491"/>
  <c r="BL20" i="491"/>
  <c r="BK20" i="491"/>
  <c r="BJ20" i="491"/>
  <c r="BI20" i="491"/>
  <c r="BH20" i="491"/>
  <c r="BG20" i="491"/>
  <c r="BF20" i="491"/>
  <c r="BE20" i="491"/>
  <c r="BD20" i="491"/>
  <c r="BC20" i="491"/>
  <c r="BB20" i="491"/>
  <c r="BA20" i="491"/>
  <c r="AZ20" i="491"/>
  <c r="AY20" i="491"/>
  <c r="AX20" i="491"/>
  <c r="AW20" i="491"/>
  <c r="AV20" i="491"/>
  <c r="AU20" i="491"/>
  <c r="AT20" i="491"/>
  <c r="AS20" i="491"/>
  <c r="AR20" i="491"/>
  <c r="AQ20" i="491"/>
  <c r="AP20" i="491"/>
  <c r="AO20" i="491"/>
  <c r="AN20" i="491"/>
  <c r="AM20" i="491"/>
  <c r="AL20" i="491"/>
  <c r="AK20" i="491"/>
  <c r="AJ20" i="491"/>
  <c r="AI20" i="491"/>
  <c r="AH20" i="491"/>
  <c r="AG20" i="491"/>
  <c r="AF20" i="491"/>
  <c r="AE20" i="491"/>
  <c r="AD20" i="491"/>
  <c r="AC20" i="491"/>
  <c r="AB20" i="491"/>
  <c r="AA20" i="491"/>
  <c r="Z20" i="491"/>
  <c r="T20" i="491"/>
  <c r="U20" i="491" s="1"/>
  <c r="Y20" i="491" s="1"/>
  <c r="R20" i="491"/>
  <c r="Q20" i="491"/>
  <c r="N20" i="491"/>
  <c r="M20" i="491"/>
  <c r="O20" i="491" s="1"/>
  <c r="DW20" i="491" s="1"/>
  <c r="G20" i="491"/>
  <c r="C20" i="491"/>
  <c r="HR19" i="491"/>
  <c r="HQ19" i="491"/>
  <c r="HP19" i="491"/>
  <c r="HO19" i="491"/>
  <c r="HN19" i="491"/>
  <c r="HM19" i="491"/>
  <c r="HL19" i="491"/>
  <c r="HK19" i="491"/>
  <c r="HJ19" i="491"/>
  <c r="HI19" i="491"/>
  <c r="HH19" i="491"/>
  <c r="HG19" i="491"/>
  <c r="HF19" i="491"/>
  <c r="HE19" i="491"/>
  <c r="HD19" i="491"/>
  <c r="HC19" i="491"/>
  <c r="HB19" i="491"/>
  <c r="HA19" i="491"/>
  <c r="GZ19" i="491"/>
  <c r="GY19" i="491"/>
  <c r="GX19" i="491"/>
  <c r="GW19" i="491"/>
  <c r="GV19" i="491"/>
  <c r="GU19" i="491"/>
  <c r="GT19" i="491"/>
  <c r="GS19" i="491"/>
  <c r="GR19" i="491"/>
  <c r="GQ19" i="491"/>
  <c r="GP19" i="491"/>
  <c r="GO19" i="491"/>
  <c r="GN19" i="491"/>
  <c r="GM19" i="491"/>
  <c r="GL19" i="491"/>
  <c r="GK19" i="491"/>
  <c r="GJ19" i="491"/>
  <c r="GI19" i="491"/>
  <c r="GH19" i="491"/>
  <c r="GG19" i="491"/>
  <c r="GF19" i="491"/>
  <c r="GE19" i="491"/>
  <c r="GD19" i="491"/>
  <c r="GC19" i="491"/>
  <c r="GB19" i="491"/>
  <c r="GA19" i="491"/>
  <c r="FZ19" i="491"/>
  <c r="FY19" i="491"/>
  <c r="FX19" i="491"/>
  <c r="FW19" i="491"/>
  <c r="FV19" i="491"/>
  <c r="FU19" i="491"/>
  <c r="FT19" i="491"/>
  <c r="FS19" i="491"/>
  <c r="FR19" i="491"/>
  <c r="FQ19" i="491"/>
  <c r="FP19" i="491"/>
  <c r="FO19" i="491"/>
  <c r="FN19" i="491"/>
  <c r="FM19" i="491"/>
  <c r="FL19" i="491"/>
  <c r="FK19" i="491"/>
  <c r="FJ19" i="491"/>
  <c r="FI19" i="491"/>
  <c r="FH19" i="491"/>
  <c r="FG19" i="491"/>
  <c r="FF19" i="491"/>
  <c r="FE19" i="491"/>
  <c r="FD19" i="491"/>
  <c r="FC19" i="491"/>
  <c r="FB19" i="491"/>
  <c r="FA19" i="491"/>
  <c r="EZ19" i="491"/>
  <c r="EY19" i="491"/>
  <c r="EX19" i="491"/>
  <c r="EW19" i="491"/>
  <c r="EV19" i="491"/>
  <c r="EU19" i="491"/>
  <c r="ET19" i="491"/>
  <c r="ES19" i="491"/>
  <c r="ER19" i="491"/>
  <c r="EQ19" i="491"/>
  <c r="EP19" i="491"/>
  <c r="EO19" i="491"/>
  <c r="EN19" i="491"/>
  <c r="EM19" i="491"/>
  <c r="EL19" i="491"/>
  <c r="EK19" i="491"/>
  <c r="EJ19" i="491"/>
  <c r="EI19" i="491"/>
  <c r="EH19" i="491"/>
  <c r="EG19" i="491"/>
  <c r="EF19" i="491"/>
  <c r="EE19" i="491"/>
  <c r="ED19" i="491"/>
  <c r="EC19" i="491"/>
  <c r="EB19" i="491"/>
  <c r="EA19" i="491"/>
  <c r="DZ19" i="491"/>
  <c r="DY19" i="491"/>
  <c r="DT19" i="491"/>
  <c r="DS19" i="491"/>
  <c r="DR19" i="491"/>
  <c r="DQ19" i="491"/>
  <c r="DP19" i="491"/>
  <c r="DO19" i="491"/>
  <c r="DN19" i="491"/>
  <c r="DM19" i="491"/>
  <c r="DL19" i="491"/>
  <c r="DK19" i="491"/>
  <c r="DJ19" i="491"/>
  <c r="DI19" i="491"/>
  <c r="DH19" i="491"/>
  <c r="DG19" i="491"/>
  <c r="DF19" i="491"/>
  <c r="DE19" i="491"/>
  <c r="DD19" i="491"/>
  <c r="DC19" i="491"/>
  <c r="DB19" i="491"/>
  <c r="DA19" i="491"/>
  <c r="CZ19" i="491"/>
  <c r="CY19" i="491"/>
  <c r="CX19" i="491"/>
  <c r="CW19" i="491"/>
  <c r="CV19" i="491"/>
  <c r="CU19" i="491"/>
  <c r="CT19" i="491"/>
  <c r="CS19" i="491"/>
  <c r="CR19" i="491"/>
  <c r="CQ19" i="491"/>
  <c r="CP19" i="491"/>
  <c r="CO19" i="491"/>
  <c r="CN19" i="491"/>
  <c r="CM19" i="491"/>
  <c r="CL19" i="491"/>
  <c r="CK19" i="491"/>
  <c r="CJ19" i="491"/>
  <c r="CI19" i="491"/>
  <c r="CH19" i="491"/>
  <c r="CG19" i="491"/>
  <c r="CF19" i="491"/>
  <c r="CE19" i="491"/>
  <c r="CD19" i="491"/>
  <c r="CC19" i="491"/>
  <c r="CB19" i="491"/>
  <c r="CA19" i="491"/>
  <c r="BZ19" i="491"/>
  <c r="BY19" i="491"/>
  <c r="BX19" i="491"/>
  <c r="BW19" i="491"/>
  <c r="BV19" i="491"/>
  <c r="BU19" i="491"/>
  <c r="BT19" i="491"/>
  <c r="BS19" i="491"/>
  <c r="BR19" i="491"/>
  <c r="BQ19" i="491"/>
  <c r="BP19" i="491"/>
  <c r="BO19" i="491"/>
  <c r="BN19" i="491"/>
  <c r="BM19" i="491"/>
  <c r="BL19" i="491"/>
  <c r="BK19" i="491"/>
  <c r="BJ19" i="491"/>
  <c r="BI19" i="491"/>
  <c r="BH19" i="491"/>
  <c r="BG19" i="491"/>
  <c r="BF19" i="491"/>
  <c r="BE19" i="491"/>
  <c r="BD19" i="491"/>
  <c r="BC19" i="491"/>
  <c r="BB19" i="491"/>
  <c r="BA19" i="491"/>
  <c r="AZ19" i="491"/>
  <c r="AY19" i="491"/>
  <c r="AX19" i="491"/>
  <c r="AW19" i="491"/>
  <c r="AV19" i="491"/>
  <c r="AU19" i="491"/>
  <c r="AT19" i="491"/>
  <c r="AS19" i="491"/>
  <c r="AR19" i="491"/>
  <c r="AQ19" i="491"/>
  <c r="AP19" i="491"/>
  <c r="AO19" i="491"/>
  <c r="AN19" i="491"/>
  <c r="AM19" i="491"/>
  <c r="AL19" i="491"/>
  <c r="AK19" i="491"/>
  <c r="AJ19" i="491"/>
  <c r="AI19" i="491"/>
  <c r="AH19" i="491"/>
  <c r="AG19" i="491"/>
  <c r="AF19" i="491"/>
  <c r="AE19" i="491"/>
  <c r="AD19" i="491"/>
  <c r="AC19" i="491"/>
  <c r="AB19" i="491"/>
  <c r="AA19" i="491"/>
  <c r="T19" i="491"/>
  <c r="U19" i="491" s="1"/>
  <c r="Y19" i="491" s="1"/>
  <c r="N19" i="491"/>
  <c r="M19" i="491"/>
  <c r="G19" i="491"/>
  <c r="C19" i="491"/>
  <c r="HR18" i="491"/>
  <c r="HQ18" i="491"/>
  <c r="HP18" i="491"/>
  <c r="HO18" i="491"/>
  <c r="HN18" i="491"/>
  <c r="HM18" i="491"/>
  <c r="HL18" i="491"/>
  <c r="HK18" i="491"/>
  <c r="HJ18" i="491"/>
  <c r="HI18" i="491"/>
  <c r="HH18" i="491"/>
  <c r="HG18" i="491"/>
  <c r="HF18" i="491"/>
  <c r="HE18" i="491"/>
  <c r="HD18" i="491"/>
  <c r="HC18" i="491"/>
  <c r="HB18" i="491"/>
  <c r="HA18" i="491"/>
  <c r="GZ18" i="491"/>
  <c r="GY18" i="491"/>
  <c r="GX18" i="491"/>
  <c r="GW18" i="491"/>
  <c r="GV18" i="491"/>
  <c r="GU18" i="491"/>
  <c r="GT18" i="491"/>
  <c r="GS18" i="491"/>
  <c r="GR18" i="491"/>
  <c r="GQ18" i="491"/>
  <c r="GP18" i="491"/>
  <c r="GO18" i="491"/>
  <c r="GN18" i="491"/>
  <c r="GM18" i="491"/>
  <c r="GL18" i="491"/>
  <c r="GK18" i="491"/>
  <c r="GJ18" i="491"/>
  <c r="GI18" i="491"/>
  <c r="GH18" i="491"/>
  <c r="GG18" i="491"/>
  <c r="GF18" i="491"/>
  <c r="GE18" i="491"/>
  <c r="GD18" i="491"/>
  <c r="GC18" i="491"/>
  <c r="GB18" i="491"/>
  <c r="GA18" i="491"/>
  <c r="FZ18" i="491"/>
  <c r="FY18" i="491"/>
  <c r="FX18" i="491"/>
  <c r="FW18" i="491"/>
  <c r="FV18" i="491"/>
  <c r="FU18" i="491"/>
  <c r="FT18" i="491"/>
  <c r="FS18" i="491"/>
  <c r="FR18" i="491"/>
  <c r="FQ18" i="491"/>
  <c r="FP18" i="491"/>
  <c r="FO18" i="491"/>
  <c r="FN18" i="491"/>
  <c r="FM18" i="491"/>
  <c r="FL18" i="491"/>
  <c r="FK18" i="491"/>
  <c r="FJ18" i="491"/>
  <c r="FI18" i="491"/>
  <c r="FH18" i="491"/>
  <c r="FG18" i="491"/>
  <c r="FF18" i="491"/>
  <c r="FE18" i="491"/>
  <c r="FD18" i="491"/>
  <c r="FC18" i="491"/>
  <c r="FB18" i="491"/>
  <c r="FA18" i="491"/>
  <c r="EZ18" i="491"/>
  <c r="EY18" i="491"/>
  <c r="EX18" i="491"/>
  <c r="EW18" i="491"/>
  <c r="EV18" i="491"/>
  <c r="EU18" i="491"/>
  <c r="ET18" i="491"/>
  <c r="ES18" i="491"/>
  <c r="ER18" i="491"/>
  <c r="EQ18" i="491"/>
  <c r="EP18" i="491"/>
  <c r="EO18" i="491"/>
  <c r="EN18" i="491"/>
  <c r="EM18" i="491"/>
  <c r="EL18" i="491"/>
  <c r="EK18" i="491"/>
  <c r="EJ18" i="491"/>
  <c r="EI18" i="491"/>
  <c r="EH18" i="491"/>
  <c r="EG18" i="491"/>
  <c r="EF18" i="491"/>
  <c r="EE18" i="491"/>
  <c r="ED18" i="491"/>
  <c r="EC18" i="491"/>
  <c r="EB18" i="491"/>
  <c r="EA18" i="491"/>
  <c r="DZ18" i="491"/>
  <c r="DY18" i="491"/>
  <c r="DX18" i="491"/>
  <c r="DW18" i="491"/>
  <c r="DT18" i="491"/>
  <c r="DS18" i="491"/>
  <c r="DR18" i="491"/>
  <c r="DQ18" i="491"/>
  <c r="DP18" i="491"/>
  <c r="DO18" i="491"/>
  <c r="DN18" i="491"/>
  <c r="DM18" i="491"/>
  <c r="DL18" i="491"/>
  <c r="DK18" i="491"/>
  <c r="DJ18" i="491"/>
  <c r="DI18" i="491"/>
  <c r="DH18" i="491"/>
  <c r="DG18" i="491"/>
  <c r="DF18" i="491"/>
  <c r="DE18" i="491"/>
  <c r="DD18" i="491"/>
  <c r="DC18" i="491"/>
  <c r="DB18" i="491"/>
  <c r="DA18" i="491"/>
  <c r="CZ18" i="491"/>
  <c r="CY18" i="491"/>
  <c r="CX18" i="491"/>
  <c r="CW18" i="491"/>
  <c r="CV18" i="491"/>
  <c r="CU18" i="491"/>
  <c r="CT18" i="491"/>
  <c r="CS18" i="491"/>
  <c r="CR18" i="491"/>
  <c r="CQ18" i="491"/>
  <c r="CP18" i="491"/>
  <c r="CO18" i="491"/>
  <c r="CN18" i="491"/>
  <c r="CM18" i="491"/>
  <c r="CL18" i="491"/>
  <c r="CK18" i="491"/>
  <c r="CJ18" i="491"/>
  <c r="CI18" i="491"/>
  <c r="CH18" i="491"/>
  <c r="CG18" i="491"/>
  <c r="CF18" i="491"/>
  <c r="CE18" i="491"/>
  <c r="CD18" i="491"/>
  <c r="CC18" i="491"/>
  <c r="CB18" i="491"/>
  <c r="CA18" i="491"/>
  <c r="BZ18" i="491"/>
  <c r="BY18" i="491"/>
  <c r="BX18" i="491"/>
  <c r="BW18" i="491"/>
  <c r="BV18" i="491"/>
  <c r="BU18" i="491"/>
  <c r="BT18" i="491"/>
  <c r="BS18" i="491"/>
  <c r="BR18" i="491"/>
  <c r="BQ18" i="491"/>
  <c r="BP18" i="491"/>
  <c r="BO18" i="491"/>
  <c r="BN18" i="491"/>
  <c r="BM18" i="491"/>
  <c r="BL18" i="491"/>
  <c r="BK18" i="491"/>
  <c r="BJ18" i="491"/>
  <c r="BI18" i="491"/>
  <c r="BH18" i="491"/>
  <c r="BG18" i="491"/>
  <c r="BF18" i="491"/>
  <c r="BE18" i="491"/>
  <c r="BD18" i="491"/>
  <c r="BC18" i="491"/>
  <c r="BB18" i="491"/>
  <c r="BA18" i="491"/>
  <c r="AZ18" i="491"/>
  <c r="AY18" i="491"/>
  <c r="AX18" i="491"/>
  <c r="AW18" i="491"/>
  <c r="AV18" i="491"/>
  <c r="AU18" i="491"/>
  <c r="AT18" i="491"/>
  <c r="AS18" i="491"/>
  <c r="AR18" i="491"/>
  <c r="AQ18" i="491"/>
  <c r="AP18" i="491"/>
  <c r="AO18" i="491"/>
  <c r="AN18" i="491"/>
  <c r="AM18" i="491"/>
  <c r="AL18" i="491"/>
  <c r="AK18" i="491"/>
  <c r="AJ18" i="491"/>
  <c r="AI18" i="491"/>
  <c r="AH18" i="491"/>
  <c r="AG18" i="491"/>
  <c r="AF18" i="491"/>
  <c r="AE18" i="491"/>
  <c r="AD18" i="491"/>
  <c r="AC18" i="491"/>
  <c r="AB18" i="491"/>
  <c r="AA18" i="491"/>
  <c r="Z18" i="491"/>
  <c r="Y18" i="491"/>
  <c r="T18" i="491"/>
  <c r="U18" i="491" s="1"/>
  <c r="R18" i="491"/>
  <c r="Q18" i="491"/>
  <c r="O18" i="491"/>
  <c r="N18" i="491"/>
  <c r="M18" i="491"/>
  <c r="G18" i="491"/>
  <c r="C18" i="491"/>
  <c r="HR17" i="491"/>
  <c r="HQ17" i="491"/>
  <c r="HP17" i="491"/>
  <c r="HO17" i="491"/>
  <c r="HN17" i="491"/>
  <c r="HM17" i="491"/>
  <c r="HL17" i="491"/>
  <c r="HK17" i="491"/>
  <c r="HJ17" i="491"/>
  <c r="HI17" i="491"/>
  <c r="HH17" i="491"/>
  <c r="HG17" i="491"/>
  <c r="HF17" i="491"/>
  <c r="HE17" i="491"/>
  <c r="HD17" i="491"/>
  <c r="HC17" i="491"/>
  <c r="HB17" i="491"/>
  <c r="HA17" i="491"/>
  <c r="GZ17" i="491"/>
  <c r="GY17" i="491"/>
  <c r="GX17" i="491"/>
  <c r="GW17" i="491"/>
  <c r="GV17" i="491"/>
  <c r="GU17" i="491"/>
  <c r="GT17" i="491"/>
  <c r="GS17" i="491"/>
  <c r="GR17" i="491"/>
  <c r="GQ17" i="491"/>
  <c r="GP17" i="491"/>
  <c r="GO17" i="491"/>
  <c r="GN17" i="491"/>
  <c r="GM17" i="491"/>
  <c r="GL17" i="491"/>
  <c r="GK17" i="491"/>
  <c r="GJ17" i="491"/>
  <c r="GI17" i="491"/>
  <c r="GH17" i="491"/>
  <c r="GG17" i="491"/>
  <c r="GF17" i="491"/>
  <c r="GE17" i="491"/>
  <c r="GD17" i="491"/>
  <c r="GC17" i="491"/>
  <c r="GB17" i="491"/>
  <c r="GA17" i="491"/>
  <c r="FZ17" i="491"/>
  <c r="FY17" i="491"/>
  <c r="FX17" i="491"/>
  <c r="FW17" i="491"/>
  <c r="FV17" i="491"/>
  <c r="FU17" i="491"/>
  <c r="FT17" i="491"/>
  <c r="FS17" i="491"/>
  <c r="FR17" i="491"/>
  <c r="FQ17" i="491"/>
  <c r="FP17" i="491"/>
  <c r="FO17" i="491"/>
  <c r="FN17" i="491"/>
  <c r="FM17" i="491"/>
  <c r="FL17" i="491"/>
  <c r="FK17" i="491"/>
  <c r="FJ17" i="491"/>
  <c r="FI17" i="491"/>
  <c r="FH17" i="491"/>
  <c r="FG17" i="491"/>
  <c r="FF17" i="491"/>
  <c r="FE17" i="491"/>
  <c r="FD17" i="491"/>
  <c r="FC17" i="491"/>
  <c r="FB17" i="491"/>
  <c r="FA17" i="491"/>
  <c r="EZ17" i="491"/>
  <c r="EY17" i="491"/>
  <c r="EX17" i="491"/>
  <c r="EW17" i="491"/>
  <c r="EV17" i="491"/>
  <c r="EU17" i="491"/>
  <c r="ET17" i="491"/>
  <c r="ES17" i="491"/>
  <c r="ER17" i="491"/>
  <c r="EQ17" i="491"/>
  <c r="EP17" i="491"/>
  <c r="EO17" i="491"/>
  <c r="EN17" i="491"/>
  <c r="EM17" i="491"/>
  <c r="EL17" i="491"/>
  <c r="EK17" i="491"/>
  <c r="EJ17" i="491"/>
  <c r="EI17" i="491"/>
  <c r="EH17" i="491"/>
  <c r="EG17" i="491"/>
  <c r="EF17" i="491"/>
  <c r="EE17" i="491"/>
  <c r="ED17" i="491"/>
  <c r="EC17" i="491"/>
  <c r="EB17" i="491"/>
  <c r="EA17" i="491"/>
  <c r="DZ17" i="491"/>
  <c r="DY17" i="491"/>
  <c r="DX17" i="491"/>
  <c r="DT17" i="491"/>
  <c r="DS17" i="491"/>
  <c r="DR17" i="491"/>
  <c r="DQ17" i="491"/>
  <c r="DP17" i="491"/>
  <c r="DO17" i="491"/>
  <c r="DN17" i="491"/>
  <c r="DM17" i="491"/>
  <c r="DL17" i="491"/>
  <c r="DK17" i="491"/>
  <c r="DJ17" i="491"/>
  <c r="DI17" i="491"/>
  <c r="DH17" i="491"/>
  <c r="DG17" i="491"/>
  <c r="DF17" i="491"/>
  <c r="DE17" i="491"/>
  <c r="DD17" i="491"/>
  <c r="DC17" i="491"/>
  <c r="DB17" i="491"/>
  <c r="DA17" i="491"/>
  <c r="CZ17" i="491"/>
  <c r="CY17" i="491"/>
  <c r="CX17" i="491"/>
  <c r="CW17" i="491"/>
  <c r="CV17" i="491"/>
  <c r="CU17" i="491"/>
  <c r="CT17" i="491"/>
  <c r="CS17" i="491"/>
  <c r="CR17" i="491"/>
  <c r="CQ17" i="491"/>
  <c r="CP17" i="491"/>
  <c r="CO17" i="491"/>
  <c r="CN17" i="491"/>
  <c r="CM17" i="491"/>
  <c r="CL17" i="491"/>
  <c r="CK17" i="491"/>
  <c r="CJ17" i="491"/>
  <c r="CI17" i="491"/>
  <c r="CH17" i="491"/>
  <c r="CG17" i="491"/>
  <c r="CF17" i="491"/>
  <c r="CE17" i="491"/>
  <c r="CD17" i="491"/>
  <c r="CC17" i="491"/>
  <c r="CB17" i="491"/>
  <c r="CA17" i="491"/>
  <c r="BZ17" i="491"/>
  <c r="BY17" i="491"/>
  <c r="BX17" i="491"/>
  <c r="BW17" i="491"/>
  <c r="BV17" i="491"/>
  <c r="BU17" i="491"/>
  <c r="BT17" i="491"/>
  <c r="BS17" i="491"/>
  <c r="BR17" i="491"/>
  <c r="BQ17" i="491"/>
  <c r="BP17" i="491"/>
  <c r="BO17" i="491"/>
  <c r="BN17" i="491"/>
  <c r="BM17" i="491"/>
  <c r="BL17" i="491"/>
  <c r="BK17" i="491"/>
  <c r="BJ17" i="491"/>
  <c r="BI17" i="491"/>
  <c r="BH17" i="491"/>
  <c r="BG17" i="491"/>
  <c r="BF17" i="491"/>
  <c r="BE17" i="491"/>
  <c r="BD17" i="491"/>
  <c r="BC17" i="491"/>
  <c r="BB17" i="491"/>
  <c r="BA17" i="491"/>
  <c r="AZ17" i="491"/>
  <c r="AY17" i="491"/>
  <c r="AX17" i="491"/>
  <c r="AW17" i="491"/>
  <c r="AV17" i="491"/>
  <c r="AU17" i="491"/>
  <c r="AT17" i="491"/>
  <c r="AS17" i="491"/>
  <c r="AR17" i="491"/>
  <c r="AQ17" i="491"/>
  <c r="AP17" i="491"/>
  <c r="AO17" i="491"/>
  <c r="AN17" i="491"/>
  <c r="AM17" i="491"/>
  <c r="AL17" i="491"/>
  <c r="AK17" i="491"/>
  <c r="AJ17" i="491"/>
  <c r="AI17" i="491"/>
  <c r="AH17" i="491"/>
  <c r="AG17" i="491"/>
  <c r="AF17" i="491"/>
  <c r="AE17" i="491"/>
  <c r="AD17" i="491"/>
  <c r="AC17" i="491"/>
  <c r="AB17" i="491"/>
  <c r="AA17" i="491"/>
  <c r="Z17" i="491"/>
  <c r="T17" i="491"/>
  <c r="U17" i="491" s="1"/>
  <c r="Y17" i="491" s="1"/>
  <c r="Q17" i="491"/>
  <c r="O17" i="491"/>
  <c r="DW17" i="491" s="1"/>
  <c r="N17" i="491"/>
  <c r="M17" i="491"/>
  <c r="G17" i="491"/>
  <c r="C17" i="491"/>
  <c r="HR16" i="491"/>
  <c r="HQ16" i="491"/>
  <c r="HP16" i="491"/>
  <c r="HO16" i="491"/>
  <c r="HN16" i="491"/>
  <c r="HM16" i="491"/>
  <c r="HL16" i="491"/>
  <c r="HK16" i="491"/>
  <c r="HJ16" i="491"/>
  <c r="HI16" i="491"/>
  <c r="HH16" i="491"/>
  <c r="HG16" i="491"/>
  <c r="HF16" i="491"/>
  <c r="HE16" i="491"/>
  <c r="HD16" i="491"/>
  <c r="HC16" i="491"/>
  <c r="HB16" i="491"/>
  <c r="HA16" i="491"/>
  <c r="GZ16" i="491"/>
  <c r="GY16" i="491"/>
  <c r="GX16" i="491"/>
  <c r="GW16" i="491"/>
  <c r="GV16" i="491"/>
  <c r="GU16" i="491"/>
  <c r="GT16" i="491"/>
  <c r="GS16" i="491"/>
  <c r="GR16" i="491"/>
  <c r="GQ16" i="491"/>
  <c r="GP16" i="491"/>
  <c r="GO16" i="491"/>
  <c r="GN16" i="491"/>
  <c r="GM16" i="491"/>
  <c r="GL16" i="491"/>
  <c r="GK16" i="491"/>
  <c r="GJ16" i="491"/>
  <c r="GI16" i="491"/>
  <c r="GH16" i="491"/>
  <c r="GG16" i="491"/>
  <c r="GF16" i="491"/>
  <c r="GE16" i="491"/>
  <c r="GD16" i="491"/>
  <c r="GC16" i="491"/>
  <c r="GB16" i="491"/>
  <c r="GA16" i="491"/>
  <c r="FZ16" i="491"/>
  <c r="FY16" i="491"/>
  <c r="FX16" i="491"/>
  <c r="FW16" i="491"/>
  <c r="FV16" i="491"/>
  <c r="FU16" i="491"/>
  <c r="FT16" i="491"/>
  <c r="FS16" i="491"/>
  <c r="FR16" i="491"/>
  <c r="FQ16" i="491"/>
  <c r="FP16" i="491"/>
  <c r="FO16" i="491"/>
  <c r="FN16" i="491"/>
  <c r="FM16" i="491"/>
  <c r="FL16" i="491"/>
  <c r="FK16" i="491"/>
  <c r="FJ16" i="491"/>
  <c r="FI16" i="491"/>
  <c r="FH16" i="491"/>
  <c r="FG16" i="491"/>
  <c r="FF16" i="491"/>
  <c r="FE16" i="491"/>
  <c r="FD16" i="491"/>
  <c r="FC16" i="491"/>
  <c r="FB16" i="491"/>
  <c r="FA16" i="491"/>
  <c r="EZ16" i="491"/>
  <c r="EY16" i="491"/>
  <c r="EX16" i="491"/>
  <c r="EW16" i="491"/>
  <c r="EV16" i="491"/>
  <c r="EU16" i="491"/>
  <c r="ET16" i="491"/>
  <c r="ES16" i="491"/>
  <c r="ER16" i="491"/>
  <c r="EQ16" i="491"/>
  <c r="EP16" i="491"/>
  <c r="EO16" i="491"/>
  <c r="EN16" i="491"/>
  <c r="EM16" i="491"/>
  <c r="EL16" i="491"/>
  <c r="EK16" i="491"/>
  <c r="EJ16" i="491"/>
  <c r="EI16" i="491"/>
  <c r="EH16" i="491"/>
  <c r="EG16" i="491"/>
  <c r="EF16" i="491"/>
  <c r="EE16" i="491"/>
  <c r="ED16" i="491"/>
  <c r="EC16" i="491"/>
  <c r="EB16" i="491"/>
  <c r="EA16" i="491"/>
  <c r="DZ16" i="491"/>
  <c r="DY16" i="491"/>
  <c r="DX16" i="491"/>
  <c r="DT16" i="491"/>
  <c r="DS16" i="491"/>
  <c r="DR16" i="491"/>
  <c r="DQ16" i="491"/>
  <c r="DP16" i="491"/>
  <c r="DO16" i="491"/>
  <c r="DN16" i="491"/>
  <c r="DM16" i="491"/>
  <c r="DL16" i="491"/>
  <c r="DK16" i="491"/>
  <c r="DJ16" i="491"/>
  <c r="DI16" i="491"/>
  <c r="DH16" i="491"/>
  <c r="DG16" i="491"/>
  <c r="DF16" i="491"/>
  <c r="DE16" i="491"/>
  <c r="DD16" i="491"/>
  <c r="DC16" i="491"/>
  <c r="DB16" i="491"/>
  <c r="DA16" i="491"/>
  <c r="CZ16" i="491"/>
  <c r="CY16" i="491"/>
  <c r="CX16" i="491"/>
  <c r="CW16" i="491"/>
  <c r="CV16" i="491"/>
  <c r="CU16" i="491"/>
  <c r="CT16" i="491"/>
  <c r="CS16" i="491"/>
  <c r="CR16" i="491"/>
  <c r="CQ16" i="491"/>
  <c r="CP16" i="491"/>
  <c r="CO16" i="491"/>
  <c r="CN16" i="491"/>
  <c r="CM16" i="491"/>
  <c r="CL16" i="491"/>
  <c r="CK16" i="491"/>
  <c r="CJ16" i="491"/>
  <c r="CI16" i="491"/>
  <c r="CH16" i="491"/>
  <c r="CG16" i="491"/>
  <c r="CF16" i="491"/>
  <c r="CE16" i="491"/>
  <c r="CD16" i="491"/>
  <c r="CC16" i="491"/>
  <c r="CB16" i="491"/>
  <c r="CA16" i="491"/>
  <c r="BZ16" i="491"/>
  <c r="BY16" i="491"/>
  <c r="BX16" i="491"/>
  <c r="BW16" i="491"/>
  <c r="BV16" i="491"/>
  <c r="BU16" i="491"/>
  <c r="BT16" i="491"/>
  <c r="BS16" i="491"/>
  <c r="BR16" i="491"/>
  <c r="BQ16" i="491"/>
  <c r="BP16" i="491"/>
  <c r="BO16" i="491"/>
  <c r="BN16" i="491"/>
  <c r="BM16" i="491"/>
  <c r="BL16" i="491"/>
  <c r="BK16" i="491"/>
  <c r="BJ16" i="491"/>
  <c r="BI16" i="491"/>
  <c r="BH16" i="491"/>
  <c r="BG16" i="491"/>
  <c r="BF16" i="491"/>
  <c r="BE16" i="491"/>
  <c r="BD16" i="491"/>
  <c r="BC16" i="491"/>
  <c r="BB16" i="491"/>
  <c r="BA16" i="491"/>
  <c r="AZ16" i="491"/>
  <c r="AY16" i="491"/>
  <c r="AX16" i="491"/>
  <c r="AW16" i="491"/>
  <c r="AV16" i="491"/>
  <c r="AU16" i="491"/>
  <c r="AT16" i="491"/>
  <c r="AS16" i="491"/>
  <c r="AR16" i="491"/>
  <c r="AQ16" i="491"/>
  <c r="AP16" i="491"/>
  <c r="AO16" i="491"/>
  <c r="AN16" i="491"/>
  <c r="AM16" i="491"/>
  <c r="AL16" i="491"/>
  <c r="AK16" i="491"/>
  <c r="AJ16" i="491"/>
  <c r="AI16" i="491"/>
  <c r="AH16" i="491"/>
  <c r="AG16" i="491"/>
  <c r="AF16" i="491"/>
  <c r="AE16" i="491"/>
  <c r="AD16" i="491"/>
  <c r="AC16" i="491"/>
  <c r="AB16" i="491"/>
  <c r="AA16" i="491"/>
  <c r="Z16" i="491"/>
  <c r="T16" i="491"/>
  <c r="U16" i="491" s="1"/>
  <c r="Y16" i="491" s="1"/>
  <c r="Q16" i="491"/>
  <c r="O16" i="491"/>
  <c r="DW16" i="491" s="1"/>
  <c r="N16" i="491"/>
  <c r="M16" i="491"/>
  <c r="G16" i="491"/>
  <c r="C16" i="491"/>
  <c r="HR15" i="491"/>
  <c r="HQ15" i="491"/>
  <c r="HP15" i="491"/>
  <c r="HO15" i="491"/>
  <c r="HN15" i="491"/>
  <c r="HM15" i="491"/>
  <c r="HL15" i="491"/>
  <c r="HK15" i="491"/>
  <c r="HJ15" i="491"/>
  <c r="HI15" i="491"/>
  <c r="HH15" i="491"/>
  <c r="HG15" i="491"/>
  <c r="HF15" i="491"/>
  <c r="HE15" i="491"/>
  <c r="HD15" i="491"/>
  <c r="HC15" i="491"/>
  <c r="HB15" i="491"/>
  <c r="HA15" i="491"/>
  <c r="GZ15" i="491"/>
  <c r="GY15" i="491"/>
  <c r="GX15" i="491"/>
  <c r="GW15" i="491"/>
  <c r="GV15" i="491"/>
  <c r="GU15" i="491"/>
  <c r="GT15" i="491"/>
  <c r="GS15" i="491"/>
  <c r="GR15" i="491"/>
  <c r="GQ15" i="491"/>
  <c r="GP15" i="491"/>
  <c r="GO15" i="491"/>
  <c r="GN15" i="491"/>
  <c r="GM15" i="491"/>
  <c r="GL15" i="491"/>
  <c r="GK15" i="491"/>
  <c r="GJ15" i="491"/>
  <c r="GI15" i="491"/>
  <c r="GH15" i="491"/>
  <c r="GG15" i="491"/>
  <c r="GF15" i="491"/>
  <c r="GE15" i="491"/>
  <c r="GD15" i="491"/>
  <c r="GC15" i="491"/>
  <c r="GB15" i="491"/>
  <c r="GA15" i="491"/>
  <c r="FZ15" i="491"/>
  <c r="FY15" i="491"/>
  <c r="FX15" i="491"/>
  <c r="FW15" i="491"/>
  <c r="FV15" i="491"/>
  <c r="FU15" i="491"/>
  <c r="FT15" i="491"/>
  <c r="FS15" i="491"/>
  <c r="FR15" i="491"/>
  <c r="FQ15" i="491"/>
  <c r="FP15" i="491"/>
  <c r="FO15" i="491"/>
  <c r="FN15" i="491"/>
  <c r="FM15" i="491"/>
  <c r="FL15" i="491"/>
  <c r="FK15" i="491"/>
  <c r="FJ15" i="491"/>
  <c r="FI15" i="491"/>
  <c r="FH15" i="491"/>
  <c r="FG15" i="491"/>
  <c r="FF15" i="491"/>
  <c r="FE15" i="491"/>
  <c r="FD15" i="491"/>
  <c r="FC15" i="491"/>
  <c r="FB15" i="491"/>
  <c r="FA15" i="491"/>
  <c r="EZ15" i="491"/>
  <c r="EY15" i="491"/>
  <c r="EX15" i="491"/>
  <c r="EW15" i="491"/>
  <c r="EV15" i="491"/>
  <c r="EU15" i="491"/>
  <c r="ET15" i="491"/>
  <c r="ES15" i="491"/>
  <c r="ER15" i="491"/>
  <c r="EQ15" i="491"/>
  <c r="EP15" i="491"/>
  <c r="EO15" i="491"/>
  <c r="EN15" i="491"/>
  <c r="EM15" i="491"/>
  <c r="EL15" i="491"/>
  <c r="EK15" i="491"/>
  <c r="EJ15" i="491"/>
  <c r="EI15" i="491"/>
  <c r="EH15" i="491"/>
  <c r="EG15" i="491"/>
  <c r="EF15" i="491"/>
  <c r="EE15" i="491"/>
  <c r="ED15" i="491"/>
  <c r="EC15" i="491"/>
  <c r="EB15" i="491"/>
  <c r="EA15" i="491"/>
  <c r="DZ15" i="491"/>
  <c r="DY15" i="491"/>
  <c r="DX15" i="491"/>
  <c r="DT15" i="491"/>
  <c r="DS15" i="491"/>
  <c r="DR15" i="491"/>
  <c r="DQ15" i="491"/>
  <c r="DP15" i="491"/>
  <c r="DO15" i="491"/>
  <c r="DN15" i="491"/>
  <c r="DM15" i="491"/>
  <c r="DL15" i="491"/>
  <c r="DK15" i="491"/>
  <c r="DJ15" i="491"/>
  <c r="DI15" i="491"/>
  <c r="DH15" i="491"/>
  <c r="DG15" i="491"/>
  <c r="DF15" i="491"/>
  <c r="DE15" i="491"/>
  <c r="DD15" i="491"/>
  <c r="DC15" i="491"/>
  <c r="DB15" i="491"/>
  <c r="DA15" i="491"/>
  <c r="CZ15" i="491"/>
  <c r="CY15" i="491"/>
  <c r="CX15" i="491"/>
  <c r="CW15" i="491"/>
  <c r="CV15" i="491"/>
  <c r="CU15" i="491"/>
  <c r="CT15" i="491"/>
  <c r="CS15" i="491"/>
  <c r="CR15" i="491"/>
  <c r="CQ15" i="491"/>
  <c r="CP15" i="491"/>
  <c r="CO15" i="491"/>
  <c r="CN15" i="491"/>
  <c r="CM15" i="491"/>
  <c r="CL15" i="491"/>
  <c r="CK15" i="491"/>
  <c r="CJ15" i="491"/>
  <c r="CI15" i="491"/>
  <c r="CH15" i="491"/>
  <c r="CG15" i="491"/>
  <c r="CF15" i="491"/>
  <c r="CE15" i="491"/>
  <c r="CD15" i="491"/>
  <c r="CC15" i="491"/>
  <c r="CB15" i="491"/>
  <c r="CA15" i="491"/>
  <c r="BZ15" i="491"/>
  <c r="BY15" i="491"/>
  <c r="BX15" i="491"/>
  <c r="BW15" i="491"/>
  <c r="BV15" i="491"/>
  <c r="BU15" i="491"/>
  <c r="BT15" i="491"/>
  <c r="BS15" i="491"/>
  <c r="BR15" i="491"/>
  <c r="BQ15" i="491"/>
  <c r="BP15" i="491"/>
  <c r="BO15" i="491"/>
  <c r="BN15" i="491"/>
  <c r="BM15" i="491"/>
  <c r="BL15" i="491"/>
  <c r="BK15" i="491"/>
  <c r="BJ15" i="491"/>
  <c r="BI15" i="491"/>
  <c r="BH15" i="491"/>
  <c r="BG15" i="491"/>
  <c r="BF15" i="491"/>
  <c r="BE15" i="491"/>
  <c r="BD15" i="491"/>
  <c r="BC15" i="491"/>
  <c r="BB15" i="491"/>
  <c r="BA15" i="491"/>
  <c r="AZ15" i="491"/>
  <c r="AY15" i="491"/>
  <c r="AX15" i="491"/>
  <c r="AW15" i="491"/>
  <c r="AV15" i="491"/>
  <c r="AU15" i="491"/>
  <c r="AT15" i="491"/>
  <c r="AS15" i="491"/>
  <c r="AR15" i="491"/>
  <c r="AQ15" i="491"/>
  <c r="AP15" i="491"/>
  <c r="AO15" i="491"/>
  <c r="AN15" i="491"/>
  <c r="AM15" i="491"/>
  <c r="AL15" i="491"/>
  <c r="AK15" i="491"/>
  <c r="AJ15" i="491"/>
  <c r="AI15" i="491"/>
  <c r="AH15" i="491"/>
  <c r="AG15" i="491"/>
  <c r="AF15" i="491"/>
  <c r="AE15" i="491"/>
  <c r="AD15" i="491"/>
  <c r="AC15" i="491"/>
  <c r="AB15" i="491"/>
  <c r="AA15" i="491"/>
  <c r="Z15" i="491"/>
  <c r="T15" i="491"/>
  <c r="U15" i="491" s="1"/>
  <c r="Y15" i="491" s="1"/>
  <c r="N15" i="491"/>
  <c r="M15" i="491"/>
  <c r="G15" i="491"/>
  <c r="C15" i="491"/>
  <c r="HR14" i="491"/>
  <c r="HQ14" i="491"/>
  <c r="HP14" i="491"/>
  <c r="HO14" i="491"/>
  <c r="HN14" i="491"/>
  <c r="HM14" i="491"/>
  <c r="HL14" i="491"/>
  <c r="HK14" i="491"/>
  <c r="HJ14" i="491"/>
  <c r="HI14" i="491"/>
  <c r="HH14" i="491"/>
  <c r="HG14" i="491"/>
  <c r="HF14" i="491"/>
  <c r="HE14" i="491"/>
  <c r="HD14" i="491"/>
  <c r="HC14" i="491"/>
  <c r="HB14" i="491"/>
  <c r="HA14" i="491"/>
  <c r="GZ14" i="491"/>
  <c r="GY14" i="491"/>
  <c r="GX14" i="491"/>
  <c r="GW14" i="491"/>
  <c r="GV14" i="491"/>
  <c r="GU14" i="491"/>
  <c r="GT14" i="491"/>
  <c r="GS14" i="491"/>
  <c r="GR14" i="491"/>
  <c r="GQ14" i="491"/>
  <c r="GP14" i="491"/>
  <c r="GO14" i="491"/>
  <c r="GN14" i="491"/>
  <c r="GM14" i="491"/>
  <c r="GL14" i="491"/>
  <c r="GK14" i="491"/>
  <c r="GJ14" i="491"/>
  <c r="GI14" i="491"/>
  <c r="GH14" i="491"/>
  <c r="GG14" i="491"/>
  <c r="GF14" i="491"/>
  <c r="GE14" i="491"/>
  <c r="GD14" i="491"/>
  <c r="GC14" i="491"/>
  <c r="GB14" i="491"/>
  <c r="GA14" i="491"/>
  <c r="FZ14" i="491"/>
  <c r="FY14" i="491"/>
  <c r="FX14" i="491"/>
  <c r="FW14" i="491"/>
  <c r="FV14" i="491"/>
  <c r="FU14" i="491"/>
  <c r="FT14" i="491"/>
  <c r="FS14" i="491"/>
  <c r="FR14" i="491"/>
  <c r="FQ14" i="491"/>
  <c r="FP14" i="491"/>
  <c r="FO14" i="491"/>
  <c r="FN14" i="491"/>
  <c r="FM14" i="491"/>
  <c r="FL14" i="491"/>
  <c r="FK14" i="491"/>
  <c r="FJ14" i="491"/>
  <c r="FI14" i="491"/>
  <c r="FH14" i="491"/>
  <c r="FG14" i="491"/>
  <c r="FF14" i="491"/>
  <c r="FE14" i="491"/>
  <c r="FD14" i="491"/>
  <c r="FC14" i="491"/>
  <c r="FB14" i="491"/>
  <c r="FA14" i="491"/>
  <c r="EZ14" i="491"/>
  <c r="EY14" i="491"/>
  <c r="EX14" i="491"/>
  <c r="EW14" i="491"/>
  <c r="EV14" i="491"/>
  <c r="EU14" i="491"/>
  <c r="ET14" i="491"/>
  <c r="ES14" i="491"/>
  <c r="ER14" i="491"/>
  <c r="EQ14" i="491"/>
  <c r="EP14" i="491"/>
  <c r="EO14" i="491"/>
  <c r="EN14" i="491"/>
  <c r="EM14" i="491"/>
  <c r="EL14" i="491"/>
  <c r="EK14" i="491"/>
  <c r="EJ14" i="491"/>
  <c r="EI14" i="491"/>
  <c r="EH14" i="491"/>
  <c r="EG14" i="491"/>
  <c r="EF14" i="491"/>
  <c r="EE14" i="491"/>
  <c r="ED14" i="491"/>
  <c r="EC14" i="491"/>
  <c r="EB14" i="491"/>
  <c r="EA14" i="491"/>
  <c r="DZ14" i="491"/>
  <c r="DY14" i="491"/>
  <c r="DX14" i="491"/>
  <c r="DW14" i="491"/>
  <c r="DT14" i="491"/>
  <c r="DS14" i="491"/>
  <c r="DR14" i="491"/>
  <c r="DQ14" i="491"/>
  <c r="DP14" i="491"/>
  <c r="DO14" i="491"/>
  <c r="DN14" i="491"/>
  <c r="DM14" i="491"/>
  <c r="DL14" i="491"/>
  <c r="DK14" i="491"/>
  <c r="DJ14" i="491"/>
  <c r="DI14" i="491"/>
  <c r="DH14" i="491"/>
  <c r="DG14" i="491"/>
  <c r="DF14" i="491"/>
  <c r="DE14" i="491"/>
  <c r="DD14" i="491"/>
  <c r="DC14" i="491"/>
  <c r="DB14" i="491"/>
  <c r="DA14" i="491"/>
  <c r="CZ14" i="491"/>
  <c r="CY14" i="491"/>
  <c r="CX14" i="491"/>
  <c r="CW14" i="491"/>
  <c r="CV14" i="491"/>
  <c r="CU14" i="491"/>
  <c r="CT14" i="491"/>
  <c r="CS14" i="491"/>
  <c r="CR14" i="491"/>
  <c r="CQ14" i="491"/>
  <c r="CP14" i="491"/>
  <c r="CO14" i="491"/>
  <c r="CN14" i="491"/>
  <c r="CM14" i="491"/>
  <c r="CL14" i="491"/>
  <c r="CK14" i="491"/>
  <c r="CJ14" i="491"/>
  <c r="CI14" i="491"/>
  <c r="CH14" i="491"/>
  <c r="CG14" i="491"/>
  <c r="CF14" i="491"/>
  <c r="CE14" i="491"/>
  <c r="CD14" i="491"/>
  <c r="CC14" i="491"/>
  <c r="CB14" i="491"/>
  <c r="CA14" i="491"/>
  <c r="BZ14" i="491"/>
  <c r="BY14" i="491"/>
  <c r="BX14" i="491"/>
  <c r="BW14" i="491"/>
  <c r="BV14" i="491"/>
  <c r="BU14" i="491"/>
  <c r="BT14" i="491"/>
  <c r="BS14" i="491"/>
  <c r="BR14" i="491"/>
  <c r="BQ14" i="491"/>
  <c r="BP14" i="491"/>
  <c r="BO14" i="491"/>
  <c r="BN14" i="491"/>
  <c r="BM14" i="491"/>
  <c r="BL14" i="491"/>
  <c r="BK14" i="491"/>
  <c r="BJ14" i="491"/>
  <c r="BI14" i="491"/>
  <c r="BH14" i="491"/>
  <c r="BG14" i="491"/>
  <c r="BF14" i="491"/>
  <c r="BE14" i="491"/>
  <c r="BD14" i="491"/>
  <c r="BC14" i="491"/>
  <c r="BB14" i="491"/>
  <c r="BA14" i="491"/>
  <c r="AZ14" i="491"/>
  <c r="AY14" i="491"/>
  <c r="AX14" i="491"/>
  <c r="AW14" i="491"/>
  <c r="AV14" i="491"/>
  <c r="AU14" i="491"/>
  <c r="AT14" i="491"/>
  <c r="AS14" i="491"/>
  <c r="AR14" i="491"/>
  <c r="AQ14" i="491"/>
  <c r="AP14" i="491"/>
  <c r="AO14" i="491"/>
  <c r="AN14" i="491"/>
  <c r="AM14" i="491"/>
  <c r="AL14" i="491"/>
  <c r="AK14" i="491"/>
  <c r="AJ14" i="491"/>
  <c r="AI14" i="491"/>
  <c r="AH14" i="491"/>
  <c r="AG14" i="491"/>
  <c r="AF14" i="491"/>
  <c r="AE14" i="491"/>
  <c r="AD14" i="491"/>
  <c r="AC14" i="491"/>
  <c r="AB14" i="491"/>
  <c r="AA14" i="491"/>
  <c r="Z14" i="491"/>
  <c r="Y14" i="491"/>
  <c r="T14" i="491"/>
  <c r="U14" i="491" s="1"/>
  <c r="R14" i="491"/>
  <c r="Q14" i="491"/>
  <c r="O14" i="491"/>
  <c r="N14" i="491"/>
  <c r="M14" i="491"/>
  <c r="G14" i="491"/>
  <c r="C14" i="491"/>
  <c r="D7" i="491"/>
  <c r="S6" i="491"/>
  <c r="R4" i="491"/>
  <c r="R3" i="491"/>
  <c r="O23" i="491" l="1"/>
  <c r="DW23" i="491" s="1"/>
  <c r="AA23" i="491"/>
  <c r="DY23" i="491"/>
  <c r="O19" i="491"/>
  <c r="Z19" i="491"/>
  <c r="O15" i="491"/>
  <c r="DW15" i="491" s="1"/>
  <c r="CL13" i="491"/>
  <c r="FP13" i="491"/>
  <c r="BV13" i="491"/>
  <c r="AL13" i="491"/>
  <c r="AX13" i="491"/>
  <c r="BJ13" i="491"/>
  <c r="DF13" i="491"/>
  <c r="DR13" i="491"/>
  <c r="AD13" i="491"/>
  <c r="AP13" i="491"/>
  <c r="BB13" i="491"/>
  <c r="BZ13" i="491"/>
  <c r="CX13" i="491"/>
  <c r="DJ13" i="491"/>
  <c r="EJ13" i="491"/>
  <c r="EV13" i="491"/>
  <c r="GF13" i="491"/>
  <c r="GR13" i="491"/>
  <c r="HD13" i="491"/>
  <c r="HP13" i="491"/>
  <c r="EF13" i="491"/>
  <c r="ER13" i="491"/>
  <c r="FD13" i="491"/>
  <c r="GB13" i="491"/>
  <c r="GN13" i="491"/>
  <c r="GZ13" i="491"/>
  <c r="HL13" i="491"/>
  <c r="FT13" i="491"/>
  <c r="AB13" i="491"/>
  <c r="AN13" i="491"/>
  <c r="AZ13" i="491"/>
  <c r="BL13" i="491"/>
  <c r="BX13" i="491"/>
  <c r="CJ13" i="491"/>
  <c r="CV13" i="491"/>
  <c r="DH13" i="491"/>
  <c r="DT13" i="491"/>
  <c r="CH13" i="491"/>
  <c r="CT13" i="491"/>
  <c r="BN13" i="491"/>
  <c r="FH13" i="491"/>
  <c r="AA13" i="491"/>
  <c r="AM13" i="491"/>
  <c r="AY13" i="491"/>
  <c r="BK13" i="491"/>
  <c r="BW13" i="491"/>
  <c r="CI13" i="491"/>
  <c r="CU13" i="491"/>
  <c r="DG13" i="491"/>
  <c r="DS13" i="491"/>
  <c r="EH13" i="491"/>
  <c r="ET13" i="491"/>
  <c r="FF13" i="491"/>
  <c r="FR13" i="491"/>
  <c r="GP13" i="491"/>
  <c r="HB13" i="491"/>
  <c r="HN13" i="491"/>
  <c r="AS13" i="491"/>
  <c r="CC13" i="491"/>
  <c r="FW13" i="491"/>
  <c r="GG13" i="491"/>
  <c r="CO13" i="491"/>
  <c r="FK13" i="491"/>
  <c r="EK13" i="491"/>
  <c r="HQ13" i="491"/>
  <c r="EX13" i="491"/>
  <c r="HR13" i="491"/>
  <c r="AH13" i="491"/>
  <c r="AT13" i="491"/>
  <c r="BF13" i="491"/>
  <c r="BR13" i="491"/>
  <c r="CD13" i="491"/>
  <c r="CP13" i="491"/>
  <c r="DB13" i="491"/>
  <c r="DN13" i="491"/>
  <c r="EB13" i="491"/>
  <c r="EN13" i="491"/>
  <c r="EZ13" i="491"/>
  <c r="FL13" i="491"/>
  <c r="FX13" i="491"/>
  <c r="GV13" i="491"/>
  <c r="HH13" i="491"/>
  <c r="AE13" i="491"/>
  <c r="AQ13" i="491"/>
  <c r="BC13" i="491"/>
  <c r="BO13" i="491"/>
  <c r="CA13" i="491"/>
  <c r="CM13" i="491"/>
  <c r="CY13" i="491"/>
  <c r="DK13" i="491"/>
  <c r="AR13" i="491"/>
  <c r="BD13" i="491"/>
  <c r="BP13" i="491"/>
  <c r="CB13" i="491"/>
  <c r="CN13" i="491"/>
  <c r="CZ13" i="491"/>
  <c r="DL13" i="491"/>
  <c r="AF13" i="491"/>
  <c r="EM13" i="491"/>
  <c r="HG13" i="491"/>
  <c r="FI13" i="491"/>
  <c r="DZ13" i="491"/>
  <c r="FV13" i="491"/>
  <c r="GJ13" i="491"/>
  <c r="AI13" i="491"/>
  <c r="AU13" i="491"/>
  <c r="BG13" i="491"/>
  <c r="BS13" i="491"/>
  <c r="CE13" i="491"/>
  <c r="CQ13" i="491"/>
  <c r="DC13" i="491"/>
  <c r="DO13" i="491"/>
  <c r="EC13" i="491"/>
  <c r="EO13" i="491"/>
  <c r="FA13" i="491"/>
  <c r="FM13" i="491"/>
  <c r="FY13" i="491"/>
  <c r="GK13" i="491"/>
  <c r="GW13" i="491"/>
  <c r="HI13" i="491"/>
  <c r="AJ13" i="491"/>
  <c r="AV13" i="491"/>
  <c r="BH13" i="491"/>
  <c r="BT13" i="491"/>
  <c r="CF13" i="491"/>
  <c r="CR13" i="491"/>
  <c r="DD13" i="491"/>
  <c r="DP13" i="491"/>
  <c r="ED13" i="491"/>
  <c r="EP13" i="491"/>
  <c r="FB13" i="491"/>
  <c r="FN13" i="491"/>
  <c r="FZ13" i="491"/>
  <c r="GL13" i="491"/>
  <c r="GX13" i="491"/>
  <c r="HJ13" i="491"/>
  <c r="BE13" i="491"/>
  <c r="DA13" i="491"/>
  <c r="EY13" i="491"/>
  <c r="EW13" i="491"/>
  <c r="EL13" i="491"/>
  <c r="GH13" i="491"/>
  <c r="BQ13" i="491"/>
  <c r="DM13" i="491"/>
  <c r="GU13" i="491"/>
  <c r="FU13" i="491"/>
  <c r="GT13" i="491"/>
  <c r="AK13" i="491"/>
  <c r="AW13" i="491"/>
  <c r="BI13" i="491"/>
  <c r="BU13" i="491"/>
  <c r="CG13" i="491"/>
  <c r="CS13" i="491"/>
  <c r="DE13" i="491"/>
  <c r="DQ13" i="491"/>
  <c r="EE13" i="491"/>
  <c r="EQ13" i="491"/>
  <c r="FC13" i="491"/>
  <c r="FO13" i="491"/>
  <c r="GA13" i="491"/>
  <c r="GM13" i="491"/>
  <c r="GY13" i="491"/>
  <c r="HK13" i="491"/>
  <c r="AG13" i="491"/>
  <c r="EA13" i="491"/>
  <c r="GI13" i="491"/>
  <c r="DY13" i="491"/>
  <c r="HE13" i="491"/>
  <c r="FJ13" i="491"/>
  <c r="HF13" i="491"/>
  <c r="AC13" i="491"/>
  <c r="AO13" i="491"/>
  <c r="BA13" i="491"/>
  <c r="BM13" i="491"/>
  <c r="BY13" i="491"/>
  <c r="CK13" i="491"/>
  <c r="CW13" i="491"/>
  <c r="DI13" i="491"/>
  <c r="EI13" i="491"/>
  <c r="EU13" i="491"/>
  <c r="FG13" i="491"/>
  <c r="FS13" i="491"/>
  <c r="GQ13" i="491"/>
  <c r="HC13" i="491"/>
  <c r="HO13" i="491"/>
  <c r="EG13" i="491"/>
  <c r="ES13" i="491"/>
  <c r="FE13" i="491"/>
  <c r="FQ13" i="491"/>
  <c r="GC13" i="491"/>
  <c r="GO13" i="491"/>
  <c r="HA13" i="491"/>
  <c r="HM13" i="491"/>
  <c r="GE13" i="491"/>
  <c r="Q23" i="491" l="1"/>
  <c r="R23" i="491" s="1"/>
  <c r="DW19" i="491"/>
  <c r="DX19" i="491"/>
  <c r="DX13" i="491"/>
  <c r="Y13" i="491"/>
  <c r="DW13" i="491" s="1"/>
  <c r="Z13" i="491"/>
  <c r="Q19" i="491" l="1"/>
  <c r="R19" i="491" s="1"/>
  <c r="R16" i="491"/>
  <c r="Q15" i="491"/>
  <c r="Q32" i="491" s="1"/>
  <c r="M38" i="491" s="1"/>
  <c r="O38" i="491" s="1"/>
  <c r="GD38" i="491" s="1"/>
  <c r="GD13" i="491" s="1"/>
  <c r="Q38" i="491" s="1"/>
  <c r="R15" i="491"/>
  <c r="R17" i="491"/>
  <c r="F50" i="491"/>
  <c r="M50" i="491" l="1"/>
  <c r="O50" i="491" s="1"/>
  <c r="GS50" i="491" s="1"/>
  <c r="GS13" i="491" s="1"/>
  <c r="Q50" i="491" s="1"/>
  <c r="Q57" i="491" s="1"/>
  <c r="R32" i="491"/>
  <c r="R37" i="491"/>
  <c r="R45" i="491" s="1"/>
  <c r="Q45" i="491"/>
  <c r="Q59" i="491" l="1"/>
</calcChain>
</file>

<file path=xl/sharedStrings.xml><?xml version="1.0" encoding="utf-8"?>
<sst xmlns="http://schemas.openxmlformats.org/spreadsheetml/2006/main" count="44" uniqueCount="34">
  <si>
    <t>GRUPO CONSTRUCTOR Y PROMOTOR INDUSTRIAL, S.A. DE C.V.</t>
  </si>
  <si>
    <t>CLAVE</t>
  </si>
  <si>
    <t>OBRA:</t>
  </si>
  <si>
    <t>SEMANA</t>
  </si>
  <si>
    <t>CONCEPTO</t>
  </si>
  <si>
    <t>U</t>
  </si>
  <si>
    <t>%</t>
  </si>
  <si>
    <t>largo</t>
  </si>
  <si>
    <t>ancho</t>
  </si>
  <si>
    <t>alto</t>
  </si>
  <si>
    <t>pza</t>
  </si>
  <si>
    <t>CANT.</t>
  </si>
  <si>
    <t>P.U. $</t>
  </si>
  <si>
    <t>IMPORTE $</t>
  </si>
  <si>
    <t>TOTAL</t>
  </si>
  <si>
    <t>PAGAR $</t>
  </si>
  <si>
    <t>∑ =</t>
  </si>
  <si>
    <t>SUBTOTAL</t>
  </si>
  <si>
    <t>TOTAL DESTAJO</t>
  </si>
  <si>
    <t>MANDOS INTERMEDIOS</t>
  </si>
  <si>
    <t>RESIDENTES, SUPERVISORES Y DESTAJISTAS DE OBRA</t>
  </si>
  <si>
    <t>UNIDAD NACIONAL 94, CONJUNTO RESIDENCIAL PATRIA, ZAPOPAN, JALISCO CP 45160</t>
  </si>
  <si>
    <t>Tels. 33-36-15-36-94</t>
  </si>
  <si>
    <t>C:\Users\rvidal.GCPI.002\Documents\Programa gallo\Destajos\AcuGen GCPI 2026.xlsm</t>
  </si>
  <si>
    <t>PERIODO 2026</t>
  </si>
  <si>
    <t>SEMANA 026</t>
  </si>
  <si>
    <t>A-002B</t>
  </si>
  <si>
    <t>AV. ESPAÑA #1840 COL. MODERNA</t>
  </si>
  <si>
    <t>22/06/26</t>
  </si>
  <si>
    <t>28/06/26</t>
  </si>
  <si>
    <t>GENERALES</t>
  </si>
  <si>
    <t>Limpieza general</t>
  </si>
  <si>
    <t>destaj</t>
  </si>
  <si>
    <t>lote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</si>
</sst>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&quot;$&quot;* #,##0.00_);_(&quot;$&quot;* \(#,##0.00\);_(&quot;$&quot;* &quot;-&quot;??_);_(@_)"/>
    <numFmt numFmtId="165" formatCode="&quot;$&quot;#,##0.00"/>
    <numFmt numFmtId="166" formatCode="#,##0.0"/>
    <numFmt numFmtId="167" formatCode="#,##0;[Red]\-#,##0;;"/>
    <numFmt numFmtId="168" formatCode="#,##0.00;[Red]\-#,##0.00;;"/>
  </numFmts>
  <fonts count="20" x14ac:knownFonts="1">
    <font>
      <sz val="10"/>
      <name val="Arial"/>
    </font>
    <font>
      <b/>
      <sz val="12"/>
      <name val="Arial"/>
      <family val="2"/>
    </font>
    <font>
      <b/>
      <sz val="8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sz val="10"/>
      <name val="Arial"/>
      <family val="2"/>
    </font>
    <font>
      <sz val="8"/>
      <name val="Arial"/>
      <family val="2"/>
    </font>
    <font>
      <sz val="8"/>
      <name val="Calibri"/>
      <family val="2"/>
    </font>
    <font>
      <sz val="10"/>
      <color theme="0"/>
      <name val="Arial"/>
      <family val="2"/>
    </font>
    <font>
      <b/>
      <sz val="11"/>
      <color rgb="FF000000"/>
      <name val="Arial Black"/>
      <family val="2"/>
    </font>
    <font>
      <sz val="10"/>
      <name val="Arial"/>
      <family val="2"/>
    </font>
    <font>
      <b/>
      <i/>
      <sz val="10"/>
      <name val="Arial"/>
      <family val="2"/>
    </font>
    <font>
      <sz val="10"/>
      <color rgb="FF000000"/>
      <name val="Arial"/>
      <family val="2"/>
    </font>
    <font>
      <sz val="5"/>
      <name val="Arial"/>
      <family val="2"/>
    </font>
    <font>
      <u/>
      <sz val="10"/>
      <name val="Arial"/>
      <family val="2"/>
    </font>
    <font>
      <sz val="8"/>
      <name val="Arial"/>
      <family val="2"/>
      <charset val="1"/>
    </font>
    <font>
      <b/>
      <sz val="22"/>
      <name val="Arial"/>
      <family val="2"/>
    </font>
    <font>
      <b/>
      <sz val="11"/>
      <name val="Arial"/>
      <family val="2"/>
    </font>
    <font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</fills>
  <borders count="65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indexed="22"/>
      </top>
      <bottom style="thick">
        <color auto="1"/>
      </bottom>
      <diagonal/>
    </border>
    <border>
      <left style="thin">
        <color auto="1"/>
      </left>
      <right/>
      <top style="thin">
        <color indexed="22"/>
      </top>
      <bottom style="thick">
        <color auto="1"/>
      </bottom>
      <diagonal/>
    </border>
    <border>
      <left/>
      <right/>
      <top style="thin">
        <color indexed="22"/>
      </top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/>
      <right style="medium">
        <color auto="1"/>
      </right>
      <top/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auto="1"/>
      </left>
      <right/>
      <top style="thick">
        <color auto="1"/>
      </top>
      <bottom/>
      <diagonal/>
    </border>
    <border>
      <left/>
      <right style="thin">
        <color auto="1"/>
      </right>
      <top style="thick">
        <color auto="1"/>
      </top>
      <bottom style="thin">
        <color indexed="22"/>
      </bottom>
      <diagonal/>
    </border>
    <border>
      <left style="thin">
        <color auto="1"/>
      </left>
      <right/>
      <top style="thick">
        <color auto="1"/>
      </top>
      <bottom style="thin">
        <color indexed="22"/>
      </bottom>
      <diagonal/>
    </border>
    <border>
      <left/>
      <right/>
      <top style="thick">
        <color auto="1"/>
      </top>
      <bottom style="thin">
        <color indexed="22"/>
      </bottom>
      <diagonal/>
    </border>
    <border>
      <left/>
      <right style="thin">
        <color auto="1"/>
      </right>
      <top style="thick">
        <color auto="1"/>
      </top>
      <bottom/>
      <diagonal/>
    </border>
    <border>
      <left/>
      <right style="medium">
        <color auto="1"/>
      </right>
      <top style="thick">
        <color auto="1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n">
        <color auto="1"/>
      </right>
      <top style="thin">
        <color rgb="FFC0C0C0"/>
      </top>
      <bottom style="thin">
        <color rgb="FFC0C0C0"/>
      </bottom>
      <diagonal/>
    </border>
    <border>
      <left/>
      <right/>
      <top style="thin">
        <color rgb="FFC0C0C0"/>
      </top>
      <bottom style="thin">
        <color rgb="FFC0C0C0"/>
      </bottom>
      <diagonal/>
    </border>
  </borders>
  <cellStyleXfs count="7">
    <xf numFmtId="0" fontId="0" fillId="0" borderId="0"/>
    <xf numFmtId="0" fontId="6" fillId="0" borderId="0"/>
    <xf numFmtId="0" fontId="6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6" fillId="0" borderId="0" applyFont="0" applyFill="0" applyBorder="0" applyAlignment="0" applyProtection="0"/>
    <xf numFmtId="164" fontId="6" fillId="0" borderId="0" applyFont="0" applyFill="0" applyBorder="0" applyAlignment="0" applyProtection="0"/>
  </cellStyleXfs>
  <cellXfs count="178">
    <xf numFmtId="0" fontId="0" fillId="0" borderId="0" xfId="0"/>
    <xf numFmtId="0" fontId="0" fillId="0" borderId="1" xfId="0" applyBorder="1" applyProtection="1"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0" xfId="0" applyProtection="1">
      <protection locked="0"/>
    </xf>
    <xf numFmtId="0" fontId="2" fillId="0" borderId="7" xfId="0" applyFont="1" applyBorder="1" applyAlignment="1" applyProtection="1">
      <alignment horizontal="center"/>
      <protection locked="0"/>
    </xf>
    <xf numFmtId="0" fontId="0" fillId="0" borderId="11" xfId="0" applyBorder="1" applyProtection="1">
      <protection locked="0"/>
    </xf>
    <xf numFmtId="0" fontId="0" fillId="0" borderId="8" xfId="0" applyBorder="1" applyProtection="1">
      <protection locked="0"/>
    </xf>
    <xf numFmtId="0" fontId="0" fillId="0" borderId="9" xfId="0" applyBorder="1" applyProtection="1">
      <protection locked="0"/>
    </xf>
    <xf numFmtId="0" fontId="0" fillId="0" borderId="13" xfId="0" applyBorder="1" applyProtection="1">
      <protection locked="0"/>
    </xf>
    <xf numFmtId="0" fontId="0" fillId="0" borderId="14" xfId="0" applyBorder="1" applyProtection="1">
      <protection locked="0"/>
    </xf>
    <xf numFmtId="0" fontId="0" fillId="0" borderId="15" xfId="0" applyBorder="1" applyProtection="1">
      <protection locked="0"/>
    </xf>
    <xf numFmtId="0" fontId="0" fillId="0" borderId="16" xfId="0" applyBorder="1" applyProtection="1">
      <protection locked="0"/>
    </xf>
    <xf numFmtId="0" fontId="0" fillId="0" borderId="17" xfId="0" applyBorder="1" applyProtection="1">
      <protection locked="0"/>
    </xf>
    <xf numFmtId="0" fontId="0" fillId="0" borderId="18" xfId="0" applyBorder="1" applyProtection="1">
      <protection locked="0"/>
    </xf>
    <xf numFmtId="0" fontId="2" fillId="2" borderId="25" xfId="0" applyFont="1" applyFill="1" applyBorder="1" applyAlignment="1" applyProtection="1">
      <alignment horizontal="center" vertical="center"/>
      <protection locked="0"/>
    </xf>
    <xf numFmtId="0" fontId="2" fillId="2" borderId="26" xfId="0" applyFont="1" applyFill="1" applyBorder="1" applyAlignment="1" applyProtection="1">
      <alignment horizontal="center" vertical="center"/>
      <protection locked="0"/>
    </xf>
    <xf numFmtId="0" fontId="2" fillId="2" borderId="26" xfId="0" applyFont="1" applyFill="1" applyBorder="1" applyAlignment="1" applyProtection="1">
      <alignment vertical="center"/>
      <protection locked="0"/>
    </xf>
    <xf numFmtId="0" fontId="7" fillId="2" borderId="26" xfId="0" applyFont="1" applyFill="1" applyBorder="1" applyAlignment="1" applyProtection="1">
      <alignment vertical="center"/>
      <protection locked="0"/>
    </xf>
    <xf numFmtId="0" fontId="2" fillId="2" borderId="27" xfId="0" applyFont="1" applyFill="1" applyBorder="1" applyAlignment="1" applyProtection="1">
      <alignment horizontal="center" vertical="center"/>
      <protection locked="0"/>
    </xf>
    <xf numFmtId="0" fontId="2" fillId="2" borderId="28" xfId="0" applyFont="1" applyFill="1" applyBorder="1" applyAlignment="1" applyProtection="1">
      <alignment horizontal="center"/>
      <protection locked="0"/>
    </xf>
    <xf numFmtId="0" fontId="7" fillId="0" borderId="0" xfId="0" applyFont="1" applyProtection="1">
      <protection hidden="1"/>
    </xf>
    <xf numFmtId="0" fontId="0" fillId="0" borderId="0" xfId="0" applyProtection="1">
      <protection hidden="1"/>
    </xf>
    <xf numFmtId="0" fontId="7" fillId="0" borderId="0" xfId="0" applyFont="1" applyProtection="1">
      <protection locked="0"/>
    </xf>
    <xf numFmtId="4" fontId="7" fillId="0" borderId="0" xfId="0" applyNumberFormat="1" applyFont="1" applyProtection="1">
      <protection hidden="1"/>
    </xf>
    <xf numFmtId="3" fontId="7" fillId="0" borderId="0" xfId="0" applyNumberFormat="1" applyFont="1" applyProtection="1">
      <protection hidden="1"/>
    </xf>
    <xf numFmtId="0" fontId="7" fillId="0" borderId="10" xfId="0" applyFont="1" applyBorder="1" applyAlignment="1" applyProtection="1">
      <alignment horizontal="center"/>
      <protection locked="0"/>
    </xf>
    <xf numFmtId="0" fontId="7" fillId="0" borderId="29" xfId="0" applyFont="1" applyBorder="1" applyProtection="1">
      <protection locked="0"/>
    </xf>
    <xf numFmtId="0" fontId="7" fillId="0" borderId="30" xfId="0" applyFont="1" applyBorder="1" applyProtection="1">
      <protection hidden="1"/>
    </xf>
    <xf numFmtId="0" fontId="7" fillId="0" borderId="31" xfId="0" applyFont="1" applyBorder="1" applyProtection="1">
      <protection locked="0"/>
    </xf>
    <xf numFmtId="0" fontId="7" fillId="0" borderId="31" xfId="0" applyFont="1" applyBorder="1" applyProtection="1">
      <protection hidden="1"/>
    </xf>
    <xf numFmtId="4" fontId="7" fillId="0" borderId="31" xfId="0" applyNumberFormat="1" applyFont="1" applyBorder="1" applyProtection="1">
      <protection locked="0"/>
    </xf>
    <xf numFmtId="4" fontId="7" fillId="0" borderId="31" xfId="0" applyNumberFormat="1" applyFont="1" applyBorder="1" applyProtection="1">
      <protection hidden="1"/>
    </xf>
    <xf numFmtId="0" fontId="7" fillId="0" borderId="9" xfId="0" applyFont="1" applyBorder="1" applyProtection="1">
      <protection locked="0"/>
    </xf>
    <xf numFmtId="165" fontId="7" fillId="0" borderId="9" xfId="0" applyNumberFormat="1" applyFont="1" applyBorder="1" applyProtection="1">
      <protection hidden="1"/>
    </xf>
    <xf numFmtId="165" fontId="2" fillId="0" borderId="20" xfId="0" applyNumberFormat="1" applyFont="1" applyBorder="1" applyProtection="1">
      <protection hidden="1"/>
    </xf>
    <xf numFmtId="0" fontId="7" fillId="0" borderId="16" xfId="0" applyFont="1" applyBorder="1" applyAlignment="1" applyProtection="1">
      <alignment horizontal="center"/>
      <protection locked="0"/>
    </xf>
    <xf numFmtId="0" fontId="7" fillId="0" borderId="18" xfId="0" applyFont="1" applyBorder="1" applyProtection="1">
      <protection locked="0"/>
    </xf>
    <xf numFmtId="0" fontId="7" fillId="0" borderId="32" xfId="0" applyFont="1" applyBorder="1" applyProtection="1">
      <protection hidden="1"/>
    </xf>
    <xf numFmtId="0" fontId="7" fillId="0" borderId="17" xfId="0" applyFont="1" applyBorder="1" applyProtection="1">
      <protection locked="0"/>
    </xf>
    <xf numFmtId="0" fontId="7" fillId="0" borderId="17" xfId="0" applyFont="1" applyBorder="1" applyProtection="1">
      <protection hidden="1"/>
    </xf>
    <xf numFmtId="4" fontId="7" fillId="0" borderId="17" xfId="0" applyNumberFormat="1" applyFont="1" applyBorder="1" applyProtection="1">
      <protection locked="0"/>
    </xf>
    <xf numFmtId="4" fontId="7" fillId="0" borderId="17" xfId="0" applyNumberFormat="1" applyFont="1" applyBorder="1" applyProtection="1">
      <protection hidden="1"/>
    </xf>
    <xf numFmtId="165" fontId="7" fillId="0" borderId="18" xfId="0" applyNumberFormat="1" applyFont="1" applyBorder="1" applyProtection="1">
      <protection hidden="1"/>
    </xf>
    <xf numFmtId="165" fontId="2" fillId="0" borderId="21" xfId="0" applyNumberFormat="1" applyFont="1" applyBorder="1" applyProtection="1">
      <protection hidden="1"/>
    </xf>
    <xf numFmtId="0" fontId="7" fillId="0" borderId="0" xfId="0" applyFont="1" applyAlignment="1" applyProtection="1">
      <alignment horizontal="center"/>
      <protection locked="0"/>
    </xf>
    <xf numFmtId="166" fontId="7" fillId="0" borderId="0" xfId="0" applyNumberFormat="1" applyFont="1" applyProtection="1">
      <protection locked="0"/>
    </xf>
    <xf numFmtId="4" fontId="7" fillId="0" borderId="0" xfId="0" applyNumberFormat="1" applyFont="1" applyProtection="1">
      <protection locked="0"/>
    </xf>
    <xf numFmtId="4" fontId="5" fillId="0" borderId="0" xfId="0" applyNumberFormat="1" applyFont="1" applyProtection="1">
      <protection locked="0"/>
    </xf>
    <xf numFmtId="0" fontId="5" fillId="0" borderId="0" xfId="0" applyFont="1" applyProtection="1">
      <protection locked="0"/>
    </xf>
    <xf numFmtId="4" fontId="7" fillId="0" borderId="33" xfId="0" applyNumberFormat="1" applyFont="1" applyBorder="1" applyProtection="1">
      <protection hidden="1"/>
    </xf>
    <xf numFmtId="0" fontId="7" fillId="0" borderId="34" xfId="0" applyFont="1" applyBorder="1" applyProtection="1">
      <protection hidden="1"/>
    </xf>
    <xf numFmtId="0" fontId="7" fillId="0" borderId="35" xfId="0" applyFont="1" applyBorder="1" applyProtection="1">
      <protection hidden="1"/>
    </xf>
    <xf numFmtId="167" fontId="7" fillId="0" borderId="0" xfId="0" applyNumberFormat="1" applyFont="1" applyProtection="1">
      <protection hidden="1"/>
    </xf>
    <xf numFmtId="168" fontId="7" fillId="0" borderId="0" xfId="0" applyNumberFormat="1" applyFont="1" applyProtection="1">
      <protection hidden="1"/>
    </xf>
    <xf numFmtId="168" fontId="7" fillId="0" borderId="33" xfId="0" applyNumberFormat="1" applyFont="1" applyBorder="1" applyProtection="1">
      <protection hidden="1"/>
    </xf>
    <xf numFmtId="168" fontId="7" fillId="0" borderId="34" xfId="0" applyNumberFormat="1" applyFont="1" applyBorder="1" applyProtection="1">
      <protection hidden="1"/>
    </xf>
    <xf numFmtId="168" fontId="7" fillId="0" borderId="35" xfId="0" applyNumberFormat="1" applyFont="1" applyBorder="1" applyProtection="1">
      <protection hidden="1"/>
    </xf>
    <xf numFmtId="0" fontId="8" fillId="0" borderId="0" xfId="0" applyFont="1" applyAlignment="1" applyProtection="1">
      <alignment horizontal="center"/>
      <protection hidden="1"/>
    </xf>
    <xf numFmtId="4" fontId="7" fillId="0" borderId="36" xfId="0" applyNumberFormat="1" applyFont="1" applyBorder="1" applyProtection="1">
      <protection hidden="1"/>
    </xf>
    <xf numFmtId="4" fontId="7" fillId="0" borderId="39" xfId="0" applyNumberFormat="1" applyFont="1" applyBorder="1" applyProtection="1">
      <protection hidden="1"/>
    </xf>
    <xf numFmtId="4" fontId="7" fillId="0" borderId="37" xfId="0" applyNumberFormat="1" applyFont="1" applyBorder="1" applyProtection="1">
      <protection hidden="1"/>
    </xf>
    <xf numFmtId="168" fontId="7" fillId="0" borderId="36" xfId="0" applyNumberFormat="1" applyFont="1" applyBorder="1" applyProtection="1">
      <protection hidden="1"/>
    </xf>
    <xf numFmtId="168" fontId="7" fillId="0" borderId="39" xfId="0" applyNumberFormat="1" applyFont="1" applyBorder="1" applyProtection="1">
      <protection hidden="1"/>
    </xf>
    <xf numFmtId="168" fontId="7" fillId="0" borderId="37" xfId="0" applyNumberFormat="1" applyFont="1" applyBorder="1" applyProtection="1">
      <protection hidden="1"/>
    </xf>
    <xf numFmtId="0" fontId="9" fillId="0" borderId="0" xfId="0" applyFont="1" applyProtection="1">
      <protection locked="0"/>
    </xf>
    <xf numFmtId="0" fontId="7" fillId="0" borderId="40" xfId="0" applyFont="1" applyBorder="1" applyAlignment="1" applyProtection="1">
      <alignment horizontal="center"/>
      <protection locked="0"/>
    </xf>
    <xf numFmtId="0" fontId="7" fillId="0" borderId="41" xfId="0" applyFont="1" applyBorder="1" applyProtection="1">
      <protection locked="0"/>
    </xf>
    <xf numFmtId="0" fontId="7" fillId="0" borderId="42" xfId="0" applyFont="1" applyBorder="1" applyProtection="1">
      <protection hidden="1"/>
    </xf>
    <xf numFmtId="0" fontId="7" fillId="0" borderId="43" xfId="0" applyFont="1" applyBorder="1" applyProtection="1">
      <protection locked="0"/>
    </xf>
    <xf numFmtId="0" fontId="7" fillId="0" borderId="43" xfId="0" applyFont="1" applyBorder="1" applyProtection="1">
      <protection hidden="1"/>
    </xf>
    <xf numFmtId="4" fontId="7" fillId="0" borderId="43" xfId="0" applyNumberFormat="1" applyFont="1" applyBorder="1" applyProtection="1">
      <protection locked="0"/>
    </xf>
    <xf numFmtId="4" fontId="7" fillId="0" borderId="43" xfId="0" applyNumberFormat="1" applyFont="1" applyBorder="1" applyProtection="1">
      <protection hidden="1"/>
    </xf>
    <xf numFmtId="0" fontId="7" fillId="0" borderId="44" xfId="0" applyFont="1" applyBorder="1" applyProtection="1">
      <protection locked="0"/>
    </xf>
    <xf numFmtId="165" fontId="7" fillId="0" borderId="44" xfId="0" applyNumberFormat="1" applyFont="1" applyBorder="1" applyProtection="1">
      <protection hidden="1"/>
    </xf>
    <xf numFmtId="165" fontId="2" fillId="0" borderId="45" xfId="0" applyNumberFormat="1" applyFont="1" applyBorder="1" applyProtection="1">
      <protection hidden="1"/>
    </xf>
    <xf numFmtId="168" fontId="7" fillId="0" borderId="46" xfId="0" applyNumberFormat="1" applyFont="1" applyBorder="1" applyProtection="1">
      <protection hidden="1"/>
    </xf>
    <xf numFmtId="168" fontId="7" fillId="0" borderId="47" xfId="0" applyNumberFormat="1" applyFont="1" applyBorder="1" applyProtection="1">
      <protection hidden="1"/>
    </xf>
    <xf numFmtId="4" fontId="7" fillId="0" borderId="46" xfId="0" applyNumberFormat="1" applyFont="1" applyBorder="1" applyProtection="1">
      <protection hidden="1"/>
    </xf>
    <xf numFmtId="4" fontId="7" fillId="0" borderId="47" xfId="0" applyNumberFormat="1" applyFont="1" applyBorder="1" applyProtection="1">
      <protection hidden="1"/>
    </xf>
    <xf numFmtId="0" fontId="7" fillId="0" borderId="48" xfId="0" applyFont="1" applyBorder="1" applyAlignment="1" applyProtection="1">
      <alignment horizontal="center"/>
      <protection locked="0"/>
    </xf>
    <xf numFmtId="0" fontId="7" fillId="0" borderId="49" xfId="0" applyFont="1" applyBorder="1" applyProtection="1">
      <protection locked="0"/>
    </xf>
    <xf numFmtId="0" fontId="7" fillId="0" borderId="50" xfId="0" applyFont="1" applyBorder="1" applyProtection="1">
      <protection hidden="1"/>
    </xf>
    <xf numFmtId="0" fontId="7" fillId="0" borderId="51" xfId="0" applyFont="1" applyBorder="1" applyProtection="1">
      <protection locked="0"/>
    </xf>
    <xf numFmtId="0" fontId="7" fillId="0" borderId="51" xfId="0" applyFont="1" applyBorder="1" applyProtection="1">
      <protection hidden="1"/>
    </xf>
    <xf numFmtId="4" fontId="7" fillId="0" borderId="51" xfId="0" applyNumberFormat="1" applyFont="1" applyBorder="1" applyProtection="1">
      <protection locked="0"/>
    </xf>
    <xf numFmtId="4" fontId="7" fillId="0" borderId="51" xfId="0" applyNumberFormat="1" applyFont="1" applyBorder="1" applyProtection="1">
      <protection hidden="1"/>
    </xf>
    <xf numFmtId="0" fontId="7" fillId="0" borderId="52" xfId="0" applyFont="1" applyBorder="1" applyProtection="1">
      <protection locked="0"/>
    </xf>
    <xf numFmtId="165" fontId="7" fillId="0" borderId="52" xfId="0" applyNumberFormat="1" applyFont="1" applyBorder="1" applyProtection="1">
      <protection hidden="1"/>
    </xf>
    <xf numFmtId="165" fontId="2" fillId="0" borderId="53" xfId="0" applyNumberFormat="1" applyFont="1" applyBorder="1" applyProtection="1">
      <protection hidden="1"/>
    </xf>
    <xf numFmtId="168" fontId="7" fillId="0" borderId="54" xfId="0" applyNumberFormat="1" applyFont="1" applyBorder="1" applyProtection="1">
      <protection hidden="1"/>
    </xf>
    <xf numFmtId="168" fontId="7" fillId="0" borderId="55" xfId="0" applyNumberFormat="1" applyFont="1" applyBorder="1" applyProtection="1">
      <protection hidden="1"/>
    </xf>
    <xf numFmtId="4" fontId="7" fillId="0" borderId="54" xfId="0" applyNumberFormat="1" applyFont="1" applyBorder="1" applyProtection="1">
      <protection hidden="1"/>
    </xf>
    <xf numFmtId="4" fontId="7" fillId="0" borderId="55" xfId="0" applyNumberFormat="1" applyFont="1" applyBorder="1" applyProtection="1">
      <protection hidden="1"/>
    </xf>
    <xf numFmtId="9" fontId="7" fillId="0" borderId="51" xfId="4" applyFont="1" applyBorder="1" applyProtection="1">
      <protection locked="0"/>
    </xf>
    <xf numFmtId="9" fontId="7" fillId="0" borderId="31" xfId="4" applyFont="1" applyBorder="1" applyProtection="1">
      <protection locked="0"/>
    </xf>
    <xf numFmtId="9" fontId="7" fillId="0" borderId="43" xfId="4" applyFont="1" applyBorder="1" applyProtection="1">
      <protection locked="0"/>
    </xf>
    <xf numFmtId="9" fontId="7" fillId="0" borderId="17" xfId="4" applyFont="1" applyBorder="1" applyProtection="1">
      <protection locked="0"/>
    </xf>
    <xf numFmtId="9" fontId="7" fillId="0" borderId="0" xfId="4" applyFont="1" applyProtection="1">
      <protection locked="0"/>
    </xf>
    <xf numFmtId="0" fontId="1" fillId="2" borderId="26" xfId="0" applyFont="1" applyFill="1" applyBorder="1" applyAlignment="1" applyProtection="1">
      <alignment vertical="center"/>
      <protection locked="0"/>
    </xf>
    <xf numFmtId="0" fontId="1" fillId="2" borderId="27" xfId="0" applyFont="1" applyFill="1" applyBorder="1" applyAlignment="1" applyProtection="1">
      <alignment vertical="center"/>
      <protection locked="0"/>
    </xf>
    <xf numFmtId="0" fontId="7" fillId="0" borderId="31" xfId="0" applyFont="1" applyBorder="1"/>
    <xf numFmtId="0" fontId="7" fillId="0" borderId="51" xfId="0" applyFont="1" applyBorder="1"/>
    <xf numFmtId="0" fontId="7" fillId="0" borderId="17" xfId="0" applyFont="1" applyBorder="1"/>
    <xf numFmtId="164" fontId="5" fillId="0" borderId="0" xfId="3" applyFont="1" applyProtection="1"/>
    <xf numFmtId="168" fontId="7" fillId="0" borderId="56" xfId="0" applyNumberFormat="1" applyFont="1" applyBorder="1" applyProtection="1">
      <protection hidden="1"/>
    </xf>
    <xf numFmtId="168" fontId="7" fillId="0" borderId="57" xfId="0" applyNumberFormat="1" applyFont="1" applyBorder="1" applyProtection="1">
      <protection hidden="1"/>
    </xf>
    <xf numFmtId="168" fontId="7" fillId="0" borderId="58" xfId="0" applyNumberFormat="1" applyFont="1" applyBorder="1" applyProtection="1">
      <protection hidden="1"/>
    </xf>
    <xf numFmtId="0" fontId="7" fillId="0" borderId="59" xfId="0" applyFont="1" applyBorder="1" applyProtection="1">
      <protection hidden="1"/>
    </xf>
    <xf numFmtId="168" fontId="7" fillId="0" borderId="59" xfId="0" applyNumberFormat="1" applyFont="1" applyBorder="1" applyProtection="1">
      <protection hidden="1"/>
    </xf>
    <xf numFmtId="168" fontId="7" fillId="0" borderId="60" xfId="0" applyNumberFormat="1" applyFont="1" applyBorder="1" applyProtection="1">
      <protection hidden="1"/>
    </xf>
    <xf numFmtId="4" fontId="7" fillId="0" borderId="56" xfId="0" applyNumberFormat="1" applyFont="1" applyBorder="1" applyProtection="1">
      <protection hidden="1"/>
    </xf>
    <xf numFmtId="4" fontId="7" fillId="0" borderId="57" xfId="0" applyNumberFormat="1" applyFont="1" applyBorder="1" applyProtection="1">
      <protection hidden="1"/>
    </xf>
    <xf numFmtId="4" fontId="7" fillId="0" borderId="58" xfId="0" applyNumberFormat="1" applyFont="1" applyBorder="1" applyProtection="1">
      <protection hidden="1"/>
    </xf>
    <xf numFmtId="4" fontId="7" fillId="0" borderId="60" xfId="0" applyNumberFormat="1" applyFont="1" applyBorder="1" applyProtection="1">
      <protection hidden="1"/>
    </xf>
    <xf numFmtId="0" fontId="1" fillId="0" borderId="12" xfId="0" applyFont="1" applyBorder="1" applyAlignment="1">
      <alignment horizontal="center"/>
    </xf>
    <xf numFmtId="0" fontId="1" fillId="0" borderId="38" xfId="0" applyFont="1" applyBorder="1" applyAlignment="1">
      <alignment horizontal="center"/>
    </xf>
    <xf numFmtId="0" fontId="14" fillId="0" borderId="0" xfId="0" applyFont="1" applyProtection="1">
      <protection locked="0"/>
    </xf>
    <xf numFmtId="10" fontId="7" fillId="0" borderId="0" xfId="4" applyNumberFormat="1" applyFont="1" applyProtection="1">
      <protection locked="0"/>
    </xf>
    <xf numFmtId="0" fontId="15" fillId="0" borderId="0" xfId="0" applyFont="1"/>
    <xf numFmtId="0" fontId="7" fillId="0" borderId="61" xfId="0" applyFont="1" applyBorder="1" applyProtection="1">
      <protection hidden="1"/>
    </xf>
    <xf numFmtId="0" fontId="7" fillId="0" borderId="62" xfId="0" applyFont="1" applyBorder="1" applyProtection="1">
      <protection locked="0"/>
    </xf>
    <xf numFmtId="0" fontId="7" fillId="0" borderId="62" xfId="0" applyFont="1" applyBorder="1" applyProtection="1">
      <protection hidden="1"/>
    </xf>
    <xf numFmtId="4" fontId="7" fillId="0" borderId="62" xfId="0" applyNumberFormat="1" applyFont="1" applyBorder="1" applyProtection="1">
      <protection locked="0"/>
    </xf>
    <xf numFmtId="4" fontId="7" fillId="0" borderId="62" xfId="0" applyNumberFormat="1" applyFont="1" applyBorder="1" applyProtection="1">
      <protection hidden="1"/>
    </xf>
    <xf numFmtId="0" fontId="1" fillId="2" borderId="26" xfId="0" applyFont="1" applyFill="1" applyBorder="1" applyAlignment="1" applyProtection="1">
      <alignment horizontal="center" vertical="center"/>
      <protection locked="0"/>
    </xf>
    <xf numFmtId="9" fontId="7" fillId="0" borderId="31" xfId="5" applyFont="1" applyBorder="1" applyProtection="1">
      <protection locked="0"/>
    </xf>
    <xf numFmtId="10" fontId="7" fillId="0" borderId="0" xfId="5" applyNumberFormat="1" applyFont="1" applyProtection="1">
      <protection locked="0"/>
    </xf>
    <xf numFmtId="0" fontId="0" fillId="3" borderId="19" xfId="0" applyFill="1" applyBorder="1" applyAlignment="1" applyProtection="1">
      <alignment vertical="center"/>
      <protection locked="0"/>
    </xf>
    <xf numFmtId="0" fontId="0" fillId="3" borderId="20" xfId="0" applyFill="1" applyBorder="1" applyProtection="1">
      <protection locked="0"/>
    </xf>
    <xf numFmtId="0" fontId="0" fillId="3" borderId="16" xfId="0" applyFill="1" applyBorder="1" applyProtection="1">
      <protection locked="0"/>
    </xf>
    <xf numFmtId="0" fontId="0" fillId="3" borderId="17" xfId="0" applyFill="1" applyBorder="1" applyProtection="1">
      <protection locked="0"/>
    </xf>
    <xf numFmtId="0" fontId="0" fillId="3" borderId="21" xfId="0" applyFill="1" applyBorder="1" applyProtection="1">
      <protection locked="0"/>
    </xf>
    <xf numFmtId="0" fontId="2" fillId="3" borderId="22" xfId="0" applyFont="1" applyFill="1" applyBorder="1" applyAlignment="1" applyProtection="1">
      <alignment horizontal="left" vertical="center"/>
      <protection locked="0"/>
    </xf>
    <xf numFmtId="0" fontId="2" fillId="3" borderId="23" xfId="0" applyFont="1" applyFill="1" applyBorder="1" applyAlignment="1" applyProtection="1">
      <alignment vertical="center"/>
      <protection locked="0"/>
    </xf>
    <xf numFmtId="15" fontId="4" fillId="3" borderId="23" xfId="0" applyNumberFormat="1" applyFont="1" applyFill="1" applyBorder="1" applyAlignment="1" applyProtection="1">
      <alignment horizontal="center" vertical="center"/>
      <protection locked="0"/>
    </xf>
    <xf numFmtId="15" fontId="4" fillId="3" borderId="23" xfId="0" applyNumberFormat="1" applyFont="1" applyFill="1" applyBorder="1" applyAlignment="1" applyProtection="1">
      <alignment horizontal="center" vertical="center"/>
      <protection hidden="1"/>
    </xf>
    <xf numFmtId="15" fontId="5" fillId="3" borderId="23" xfId="0" applyNumberFormat="1" applyFont="1" applyFill="1" applyBorder="1" applyAlignment="1" applyProtection="1">
      <alignment vertical="center"/>
      <protection locked="0"/>
    </xf>
    <xf numFmtId="0" fontId="0" fillId="3" borderId="23" xfId="0" applyFill="1" applyBorder="1" applyAlignment="1" applyProtection="1">
      <alignment vertical="center"/>
      <protection locked="0"/>
    </xf>
    <xf numFmtId="0" fontId="6" fillId="3" borderId="23" xfId="0" applyFont="1" applyFill="1" applyBorder="1" applyAlignment="1" applyProtection="1">
      <alignment horizontal="center" vertical="center"/>
      <protection locked="0"/>
    </xf>
    <xf numFmtId="0" fontId="2" fillId="3" borderId="23" xfId="0" applyFont="1" applyFill="1" applyBorder="1" applyAlignment="1" applyProtection="1">
      <alignment horizontal="center" vertical="center"/>
      <protection hidden="1"/>
    </xf>
    <xf numFmtId="0" fontId="6" fillId="3" borderId="24" xfId="0" applyFont="1" applyFill="1" applyBorder="1" applyAlignment="1" applyProtection="1">
      <alignment horizontal="center" vertical="center"/>
      <protection locked="0"/>
    </xf>
    <xf numFmtId="0" fontId="16" fillId="0" borderId="64" xfId="0" applyFont="1" applyBorder="1" applyProtection="1">
      <protection locked="0"/>
    </xf>
    <xf numFmtId="4" fontId="16" fillId="0" borderId="64" xfId="0" applyNumberFormat="1" applyFont="1" applyBorder="1" applyProtection="1">
      <protection locked="0"/>
    </xf>
    <xf numFmtId="0" fontId="7" fillId="0" borderId="63" xfId="0" applyFont="1" applyBorder="1" applyProtection="1">
      <protection locked="0"/>
    </xf>
    <xf numFmtId="0" fontId="6" fillId="0" borderId="0" xfId="0" applyFont="1"/>
    <xf numFmtId="0" fontId="19" fillId="2" borderId="25" xfId="0" applyFont="1" applyFill="1" applyBorder="1" applyAlignment="1" applyProtection="1">
      <alignment vertical="center"/>
      <protection locked="0"/>
    </xf>
    <xf numFmtId="0" fontId="19" fillId="2" borderId="26" xfId="0" applyFont="1" applyFill="1" applyBorder="1" applyAlignment="1" applyProtection="1">
      <alignment vertical="center"/>
      <protection locked="0"/>
    </xf>
    <xf numFmtId="0" fontId="7" fillId="0" borderId="64" xfId="0" applyFont="1" applyBorder="1" applyProtection="1">
      <protection locked="0"/>
    </xf>
    <xf numFmtId="0" fontId="18" fillId="3" borderId="17" xfId="0" applyFont="1" applyFill="1" applyBorder="1" applyAlignment="1">
      <alignment horizontal="center"/>
    </xf>
    <xf numFmtId="0" fontId="3" fillId="0" borderId="4" xfId="0" applyFont="1" applyBorder="1" applyAlignment="1" applyProtection="1">
      <alignment horizontal="center"/>
      <protection locked="0"/>
    </xf>
    <xf numFmtId="0" fontId="3" fillId="0" borderId="5" xfId="0" applyFont="1" applyBorder="1" applyAlignment="1" applyProtection="1">
      <alignment horizontal="center"/>
      <protection locked="0"/>
    </xf>
    <xf numFmtId="0" fontId="3" fillId="0" borderId="6" xfId="0" applyFont="1" applyBorder="1" applyAlignment="1" applyProtection="1">
      <alignment horizontal="center"/>
      <protection locked="0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  <protection locked="0"/>
    </xf>
    <xf numFmtId="0" fontId="3" fillId="0" borderId="9" xfId="0" applyFont="1" applyBorder="1" applyAlignment="1" applyProtection="1">
      <alignment horizontal="center"/>
      <protection locked="0"/>
    </xf>
    <xf numFmtId="0" fontId="6" fillId="0" borderId="10" xfId="0" applyFon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4" fillId="3" borderId="4" xfId="0" applyFont="1" applyFill="1" applyBorder="1" applyAlignment="1" applyProtection="1">
      <alignment horizontal="center" vertical="center"/>
      <protection locked="0"/>
    </xf>
    <xf numFmtId="0" fontId="4" fillId="3" borderId="5" xfId="0" applyFont="1" applyFill="1" applyBorder="1" applyAlignment="1" applyProtection="1">
      <alignment horizontal="center" vertical="center"/>
      <protection locked="0"/>
    </xf>
    <xf numFmtId="0" fontId="4" fillId="3" borderId="19" xfId="0" applyFont="1" applyFill="1" applyBorder="1" applyAlignment="1" applyProtection="1">
      <alignment horizontal="center" vertical="center"/>
      <protection locked="0"/>
    </xf>
    <xf numFmtId="0" fontId="4" fillId="3" borderId="10" xfId="0" applyFont="1" applyFill="1" applyBorder="1" applyAlignment="1" applyProtection="1">
      <alignment horizontal="center" vertical="center"/>
      <protection locked="0"/>
    </xf>
    <xf numFmtId="0" fontId="4" fillId="3" borderId="0" xfId="0" applyFont="1" applyFill="1" applyAlignment="1" applyProtection="1">
      <alignment horizontal="center" vertical="center"/>
      <protection locked="0"/>
    </xf>
    <xf numFmtId="0" fontId="4" fillId="3" borderId="20" xfId="0" applyFont="1" applyFill="1" applyBorder="1" applyAlignment="1" applyProtection="1">
      <alignment horizontal="center" vertical="center"/>
      <protection locked="0"/>
    </xf>
    <xf numFmtId="0" fontId="4" fillId="3" borderId="16" xfId="0" applyFont="1" applyFill="1" applyBorder="1" applyAlignment="1" applyProtection="1">
      <alignment horizontal="center" vertical="center"/>
      <protection locked="0"/>
    </xf>
    <xf numFmtId="0" fontId="4" fillId="3" borderId="17" xfId="0" applyFont="1" applyFill="1" applyBorder="1" applyAlignment="1" applyProtection="1">
      <alignment horizontal="center" vertical="center"/>
      <protection locked="0"/>
    </xf>
    <xf numFmtId="0" fontId="4" fillId="3" borderId="21" xfId="0" applyFont="1" applyFill="1" applyBorder="1" applyAlignment="1" applyProtection="1">
      <alignment horizontal="center" vertical="center"/>
      <protection locked="0"/>
    </xf>
    <xf numFmtId="0" fontId="4" fillId="3" borderId="28" xfId="0" applyFont="1" applyFill="1" applyBorder="1" applyAlignment="1" applyProtection="1">
      <alignment horizontal="center" vertical="center"/>
      <protection locked="0"/>
    </xf>
    <xf numFmtId="0" fontId="1" fillId="3" borderId="5" xfId="0" applyFont="1" applyFill="1" applyBorder="1" applyAlignment="1" applyProtection="1">
      <alignment horizontal="center" vertical="center"/>
      <protection locked="0"/>
    </xf>
    <xf numFmtId="0" fontId="12" fillId="3" borderId="4" xfId="0" applyFont="1" applyFill="1" applyBorder="1" applyAlignment="1" applyProtection="1">
      <alignment horizontal="center" vertical="center"/>
      <protection locked="0"/>
    </xf>
    <xf numFmtId="0" fontId="12" fillId="3" borderId="5" xfId="0" applyFont="1" applyFill="1" applyBorder="1" applyAlignment="1" applyProtection="1">
      <alignment horizontal="center" vertical="center"/>
      <protection locked="0"/>
    </xf>
    <xf numFmtId="0" fontId="17" fillId="3" borderId="4" xfId="0" applyFont="1" applyFill="1" applyBorder="1" applyAlignment="1">
      <alignment horizontal="center"/>
    </xf>
    <xf numFmtId="0" fontId="17" fillId="3" borderId="5" xfId="0" applyFont="1" applyFill="1" applyBorder="1" applyAlignment="1">
      <alignment horizontal="center"/>
    </xf>
    <xf numFmtId="0" fontId="17" fillId="3" borderId="0" xfId="0" applyFont="1" applyFill="1" applyAlignment="1">
      <alignment horizontal="center"/>
    </xf>
    <xf numFmtId="0" fontId="12" fillId="3" borderId="10" xfId="0" applyFont="1" applyFill="1" applyBorder="1" applyAlignment="1" applyProtection="1">
      <alignment horizontal="center"/>
      <protection locked="0"/>
    </xf>
    <xf numFmtId="0" fontId="12" fillId="3" borderId="0" xfId="0" applyFont="1" applyFill="1" applyAlignment="1" applyProtection="1">
      <alignment horizontal="center"/>
      <protection locked="0"/>
    </xf>
    <xf numFmtId="0" fontId="2" fillId="0" borderId="64" xfId="0" applyFont="1" applyBorder="1" applyProtection="1">
      <protection locked="0"/>
    </xf>
  </cellXfs>
  <cellStyles count="7">
    <cellStyle name="Moneda" xfId="3" builtinId="4"/>
    <cellStyle name="Moneda 2" xfId="6" xr:uid="{316C77D3-DF9D-402D-9D26-4453607E04F9}"/>
    <cellStyle name="Normal" xfId="0" builtinId="0"/>
    <cellStyle name="Normal 2" xfId="1" xr:uid="{00000000-0005-0000-0000-000002000000}"/>
    <cellStyle name="Normal 2 2" xfId="2" xr:uid="{00000000-0005-0000-0000-000003000000}"/>
    <cellStyle name="Porcentaje" xfId="4" builtinId="5"/>
    <cellStyle name="Porcentaje 2" xfId="5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19050</xdr:rowOff>
    </xdr:from>
    <xdr:to>
      <xdr:col>3</xdr:col>
      <xdr:colOff>0</xdr:colOff>
      <xdr:row>4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152AB5D-06AE-474D-A09C-CE69EDBE0D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grayscl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9050"/>
          <a:ext cx="782955" cy="836295"/>
        </a:xfrm>
        <a:prstGeom prst="rect">
          <a:avLst/>
        </a:prstGeom>
        <a:solidFill>
          <a:srgbClr val="FFFF00">
            <a:alpha val="50195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906780</xdr:colOff>
          <xdr:row>5</xdr:row>
          <xdr:rowOff>38100</xdr:rowOff>
        </xdr:from>
        <xdr:to>
          <xdr:col>17</xdr:col>
          <xdr:colOff>220980</xdr:colOff>
          <xdr:row>5</xdr:row>
          <xdr:rowOff>220980</xdr:rowOff>
        </xdr:to>
        <xdr:sp macro="" textlink="">
          <xdr:nvSpPr>
            <xdr:cNvPr id="502785" name="Button 1" hidden="1">
              <a:extLst>
                <a:ext uri="{63B3BB69-23CF-44E3-9099-C40C66FF867C}">
                  <a14:compatExt spid="_x0000_s502785"/>
                </a:ext>
                <a:ext uri="{FF2B5EF4-FFF2-40B4-BE49-F238E27FC236}">
                  <a16:creationId xmlns:a16="http://schemas.microsoft.com/office/drawing/2014/main" id="{00000000-0008-0000-0000-000001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000000"/>
                  </a:solidFill>
                  <a:latin typeface="Arial Black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22860</xdr:rowOff>
        </xdr:from>
        <xdr:to>
          <xdr:col>8</xdr:col>
          <xdr:colOff>373380</xdr:colOff>
          <xdr:row>9</xdr:row>
          <xdr:rowOff>251460</xdr:rowOff>
        </xdr:to>
        <xdr:sp macro="" textlink="">
          <xdr:nvSpPr>
            <xdr:cNvPr id="502786" name="Button 2" hidden="1">
              <a:extLst>
                <a:ext uri="{63B3BB69-23CF-44E3-9099-C40C66FF867C}">
                  <a14:compatExt spid="_x0000_s502786"/>
                </a:ext>
                <a:ext uri="{FF2B5EF4-FFF2-40B4-BE49-F238E27FC236}">
                  <a16:creationId xmlns:a16="http://schemas.microsoft.com/office/drawing/2014/main" id="{00000000-0008-0000-0000-000002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906780</xdr:colOff>
          <xdr:row>9</xdr:row>
          <xdr:rowOff>22860</xdr:rowOff>
        </xdr:from>
        <xdr:to>
          <xdr:col>17</xdr:col>
          <xdr:colOff>716280</xdr:colOff>
          <xdr:row>9</xdr:row>
          <xdr:rowOff>251460</xdr:rowOff>
        </xdr:to>
        <xdr:sp macro="" textlink="">
          <xdr:nvSpPr>
            <xdr:cNvPr id="502787" name="Button 3" hidden="1">
              <a:extLst>
                <a:ext uri="{63B3BB69-23CF-44E3-9099-C40C66FF867C}">
                  <a14:compatExt spid="_x0000_s502787"/>
                </a:ext>
                <a:ext uri="{FF2B5EF4-FFF2-40B4-BE49-F238E27FC236}">
                  <a16:creationId xmlns:a16="http://schemas.microsoft.com/office/drawing/2014/main" id="{00000000-0008-0000-0000-000003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</a:t>
              </a:r>
            </a:p>
            <a:p>
              <a:pPr algn="ctr" rtl="0">
                <a:defRPr sz="1000"/>
              </a:pPr>
              <a:endParaRPr lang="es-MX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906780</xdr:colOff>
          <xdr:row>5</xdr:row>
          <xdr:rowOff>228600</xdr:rowOff>
        </xdr:from>
        <xdr:to>
          <xdr:col>17</xdr:col>
          <xdr:colOff>708660</xdr:colOff>
          <xdr:row>7</xdr:row>
          <xdr:rowOff>190500</xdr:rowOff>
        </xdr:to>
        <xdr:sp macro="" textlink="">
          <xdr:nvSpPr>
            <xdr:cNvPr id="502788" name="Button 4" hidden="1">
              <a:extLst>
                <a:ext uri="{63B3BB69-23CF-44E3-9099-C40C66FF867C}">
                  <a14:compatExt spid="_x0000_s502788"/>
                </a:ext>
                <a:ext uri="{FF2B5EF4-FFF2-40B4-BE49-F238E27FC236}">
                  <a16:creationId xmlns:a16="http://schemas.microsoft.com/office/drawing/2014/main" id="{00000000-0008-0000-0000-000004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Regen Links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9</xdr:row>
          <xdr:rowOff>22860</xdr:rowOff>
        </xdr:from>
        <xdr:to>
          <xdr:col>16</xdr:col>
          <xdr:colOff>876300</xdr:colOff>
          <xdr:row>9</xdr:row>
          <xdr:rowOff>251460</xdr:rowOff>
        </xdr:to>
        <xdr:sp macro="" textlink="">
          <xdr:nvSpPr>
            <xdr:cNvPr id="502789" name="Button 5" hidden="1">
              <a:extLst>
                <a:ext uri="{63B3BB69-23CF-44E3-9099-C40C66FF867C}">
                  <a14:compatExt spid="_x0000_s502789"/>
                </a:ext>
                <a:ext uri="{FF2B5EF4-FFF2-40B4-BE49-F238E27FC236}">
                  <a16:creationId xmlns:a16="http://schemas.microsoft.com/office/drawing/2014/main" id="{00000000-0008-0000-0000-000005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Desactualizar</a:t>
              </a:r>
            </a:p>
            <a:p>
              <a:pPr algn="ctr" rtl="0">
                <a:defRPr sz="1000"/>
              </a:pPr>
              <a:endParaRPr lang="es-MX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9</xdr:row>
          <xdr:rowOff>38100</xdr:rowOff>
        </xdr:from>
        <xdr:to>
          <xdr:col>12</xdr:col>
          <xdr:colOff>449580</xdr:colOff>
          <xdr:row>9</xdr:row>
          <xdr:rowOff>251460</xdr:rowOff>
        </xdr:to>
        <xdr:sp macro="" textlink="">
          <xdr:nvSpPr>
            <xdr:cNvPr id="502790" name="Button 6" hidden="1">
              <a:extLst>
                <a:ext uri="{63B3BB69-23CF-44E3-9099-C40C66FF867C}">
                  <a14:compatExt spid="_x0000_s502790"/>
                </a:ext>
                <a:ext uri="{FF2B5EF4-FFF2-40B4-BE49-F238E27FC236}">
                  <a16:creationId xmlns:a16="http://schemas.microsoft.com/office/drawing/2014/main" id="{00000000-0008-0000-0000-000006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Agregar Renglones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480060</xdr:colOff>
          <xdr:row>9</xdr:row>
          <xdr:rowOff>30480</xdr:rowOff>
        </xdr:from>
        <xdr:to>
          <xdr:col>14</xdr:col>
          <xdr:colOff>952500</xdr:colOff>
          <xdr:row>9</xdr:row>
          <xdr:rowOff>251460</xdr:rowOff>
        </xdr:to>
        <xdr:sp macro="" textlink="">
          <xdr:nvSpPr>
            <xdr:cNvPr id="502791" name="Button 7" hidden="1">
              <a:extLst>
                <a:ext uri="{63B3BB69-23CF-44E3-9099-C40C66FF867C}">
                  <a14:compatExt spid="_x0000_s502791"/>
                </a:ext>
                <a:ext uri="{FF2B5EF4-FFF2-40B4-BE49-F238E27FC236}">
                  <a16:creationId xmlns:a16="http://schemas.microsoft.com/office/drawing/2014/main" id="{00000000-0008-0000-0000-000007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Movilizar / Inmovilizar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16</xdr:col>
          <xdr:colOff>449580</xdr:colOff>
          <xdr:row>7</xdr:row>
          <xdr:rowOff>190500</xdr:rowOff>
        </xdr:to>
        <xdr:sp macro="" textlink="">
          <xdr:nvSpPr>
            <xdr:cNvPr id="502792" name="Button 8" hidden="1">
              <a:extLst>
                <a:ext uri="{63B3BB69-23CF-44E3-9099-C40C66FF867C}">
                  <a14:compatExt spid="_x0000_s502792"/>
                </a:ext>
                <a:ext uri="{FF2B5EF4-FFF2-40B4-BE49-F238E27FC236}">
                  <a16:creationId xmlns:a16="http://schemas.microsoft.com/office/drawing/2014/main" id="{00000000-0008-0000-0000-000008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Mandos Intermedios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</xdr:row>
          <xdr:rowOff>0</xdr:rowOff>
        </xdr:from>
        <xdr:to>
          <xdr:col>6</xdr:col>
          <xdr:colOff>449580</xdr:colOff>
          <xdr:row>9</xdr:row>
          <xdr:rowOff>190500</xdr:rowOff>
        </xdr:to>
        <xdr:sp macro="" textlink="">
          <xdr:nvSpPr>
            <xdr:cNvPr id="502793" name="Button 9" hidden="1">
              <a:extLst>
                <a:ext uri="{63B3BB69-23CF-44E3-9099-C40C66FF867C}">
                  <a14:compatExt spid="_x0000_s502793"/>
                </a:ext>
                <a:ext uri="{FF2B5EF4-FFF2-40B4-BE49-F238E27FC236}">
                  <a16:creationId xmlns:a16="http://schemas.microsoft.com/office/drawing/2014/main" id="{00000000-0008-0000-0000-000009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Cap 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0</xdr:rowOff>
        </xdr:from>
        <xdr:to>
          <xdr:col>10</xdr:col>
          <xdr:colOff>22860</xdr:colOff>
          <xdr:row>9</xdr:row>
          <xdr:rowOff>182880</xdr:rowOff>
        </xdr:to>
        <xdr:sp macro="" textlink="">
          <xdr:nvSpPr>
            <xdr:cNvPr id="502794" name="Button 10" hidden="1">
              <a:extLst>
                <a:ext uri="{63B3BB69-23CF-44E3-9099-C40C66FF867C}">
                  <a14:compatExt spid="_x0000_s502794"/>
                </a:ext>
                <a:ext uri="{FF2B5EF4-FFF2-40B4-BE49-F238E27FC236}">
                  <a16:creationId xmlns:a16="http://schemas.microsoft.com/office/drawing/2014/main" id="{00000000-0008-0000-0000-00000A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Bodeg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.shortcut-targets-by-id\0Bw9byDl25H49eHZ3YjlhTXRRQzQ\GCPI%20-%20TRABAJO\Programa%20gallo\Bases%20de%20Datos\Listado%20de%20Obras.xlsx" TargetMode="External"/><Relationship Id="rId1" Type="http://schemas.openxmlformats.org/officeDocument/2006/relationships/externalLinkPath" Target="file:///G:\.shortcut-targets-by-id\0Bw9byDl25H49eHZ3YjlhTXRRQzQ\GCPI%20-%20TRABAJO\Programa%20gallo\Bases%20de%20Datos\Listado%20de%20Obras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.shortcut-targets-by-id\0Bw9byDl25H49eHZ3YjlhTXRRQzQ\GCPI%20-%20TRABAJO\Programa%20gallo\Bases%20de%20Datos\Base%20de%20Datos.xlsx" TargetMode="External"/><Relationship Id="rId1" Type="http://schemas.openxmlformats.org/officeDocument/2006/relationships/externalLinkPath" Target="file:///G:\.shortcut-targets-by-id\0Bw9byDl25H49eHZ3YjlhTXRRQzQ\GCPI%20-%20TRABAJO\Programa%20gallo\Bases%20de%20Datos\Base%20de%20Dato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B"/>
      <sheetName val="OB_TOTALES"/>
      <sheetName val="Listado de Obras"/>
    </sheetNames>
    <sheetDataSet>
      <sheetData sheetId="0">
        <row r="2">
          <cell r="A2" t="str">
            <v>A-001</v>
          </cell>
          <cell r="B2" t="str">
            <v>GP</v>
          </cell>
          <cell r="C2" t="str">
            <v>CALLE 6 # 2694, ZONA INDUSTRIAL</v>
          </cell>
          <cell r="D2" t="str">
            <v>MANTENIMIENTO CALLE 7 #1308 ZONA INDUSTRIAL - inmediato -</v>
          </cell>
          <cell r="E2"/>
          <cell r="F2" t="str">
            <v>R</v>
          </cell>
          <cell r="G2" t="str">
            <v>FAVOR DE NO ENTREGAR MATERIALES DE 1:00 A 2:00 PM ESTARA CERRADO</v>
          </cell>
          <cell r="H2" t="str">
            <v>LP</v>
          </cell>
          <cell r="I2">
            <v>65095702</v>
          </cell>
        </row>
        <row r="3">
          <cell r="A3" t="str">
            <v>A-001-02</v>
          </cell>
          <cell r="B3" t="str">
            <v>GP</v>
          </cell>
          <cell r="C3" t="str">
            <v>CALLE 6 # 2694, ZONA INDUSTRIAL</v>
          </cell>
          <cell r="D3" t="str">
            <v>MANTENIMIENTO CALLE 7 #1308 ZONA INDUSTRIAL - correctivo mantto -</v>
          </cell>
          <cell r="E3"/>
          <cell r="F3" t="str">
            <v>R</v>
          </cell>
          <cell r="G3" t="str">
            <v>FAVOR DE NO ENTREGAR MATERIALES DE 1:00 A 2:00 PM ESTARA CERRADO</v>
          </cell>
          <cell r="H3" t="str">
            <v>LP</v>
          </cell>
          <cell r="I3">
            <v>65095702</v>
          </cell>
        </row>
        <row r="4">
          <cell r="A4" t="str">
            <v>A-001-03</v>
          </cell>
          <cell r="B4" t="str">
            <v>GP</v>
          </cell>
          <cell r="C4" t="str">
            <v>CALLE 6 # 2694, ZONA INDUSTRIAL</v>
          </cell>
          <cell r="D4" t="str">
            <v>MANTENIMIENTO CALLE 7 #1308 ZONA INDUSTRIAL - almacen de materiales -</v>
          </cell>
          <cell r="E4"/>
          <cell r="F4" t="str">
            <v>R</v>
          </cell>
          <cell r="G4" t="str">
            <v>FAVOR DE NO ENTREGAR MATERIALES DE 1:00 A 2:00 PM ESTARA CERRADO</v>
          </cell>
          <cell r="H4" t="str">
            <v>LP</v>
          </cell>
          <cell r="I4">
            <v>65095702</v>
          </cell>
        </row>
        <row r="5">
          <cell r="A5" t="str">
            <v>A-001-06</v>
          </cell>
          <cell r="B5" t="str">
            <v>GP</v>
          </cell>
          <cell r="C5" t="str">
            <v>CALLE 6 # 2694, ZONA INDUSTRIAL</v>
          </cell>
          <cell r="D5" t="str">
            <v>MANTENIMIENTO CALLE 7 #1308 ZONA INDUSTRIAL - pasillo soluciones oticas -</v>
          </cell>
          <cell r="E5"/>
          <cell r="F5"/>
          <cell r="G5"/>
          <cell r="H5"/>
          <cell r="I5"/>
        </row>
        <row r="6">
          <cell r="A6" t="str">
            <v>A-001-07</v>
          </cell>
          <cell r="B6" t="str">
            <v>GP</v>
          </cell>
          <cell r="C6" t="str">
            <v>CALLE 6 # 2694, ZONA INDUSTRIAL</v>
          </cell>
          <cell r="D6" t="str">
            <v>MANTENIMIENTO CALLE 7 #1308 ZONA INDUSTRIAL - correctivo mantto -</v>
          </cell>
          <cell r="E6"/>
          <cell r="F6"/>
          <cell r="G6"/>
          <cell r="H6"/>
          <cell r="I6"/>
        </row>
        <row r="7">
          <cell r="A7" t="str">
            <v>A-001-08</v>
          </cell>
          <cell r="B7" t="str">
            <v>GP</v>
          </cell>
          <cell r="C7" t="str">
            <v>CALLE 6 # 2694, ZONA INDUSTRIAL</v>
          </cell>
          <cell r="D7" t="str">
            <v>MANTENIMIENTO CALLE 7 #1308 ZONA INDUSTRIAL - correctivo biotecnologicos -</v>
          </cell>
          <cell r="E7"/>
          <cell r="F7"/>
          <cell r="G7"/>
          <cell r="H7"/>
          <cell r="I7"/>
        </row>
        <row r="8">
          <cell r="A8" t="str">
            <v>A-001-09</v>
          </cell>
          <cell r="B8" t="str">
            <v>GP</v>
          </cell>
          <cell r="C8" t="str">
            <v>CALLE 6 # 2694, ZONA INDUSTRIAL</v>
          </cell>
          <cell r="D8" t="str">
            <v>MANTENIMIENTO CALLE 7 #1308 ZONA INDUSTRIAL - correctivo planta piloto -</v>
          </cell>
          <cell r="E8"/>
          <cell r="F8"/>
          <cell r="G8"/>
          <cell r="H8"/>
          <cell r="I8"/>
        </row>
        <row r="9">
          <cell r="A9" t="str">
            <v>A-001-10</v>
          </cell>
          <cell r="B9" t="str">
            <v>GP</v>
          </cell>
          <cell r="C9" t="str">
            <v>CALLE 6 # 2694, ZONA INDUSTRIAL</v>
          </cell>
          <cell r="D9" t="str">
            <v>MANTENIMIENTO CALLE 7 #1308 ZONA INDUSTRIAL - correctivo cefalos -</v>
          </cell>
          <cell r="E9"/>
          <cell r="F9"/>
          <cell r="G9"/>
          <cell r="H9"/>
          <cell r="I9"/>
        </row>
        <row r="10">
          <cell r="A10" t="str">
            <v>A-001-11</v>
          </cell>
          <cell r="B10" t="str">
            <v>GP</v>
          </cell>
          <cell r="C10" t="str">
            <v>CALLE 6 # 2694, ZONA INDUSTRIAL</v>
          </cell>
          <cell r="D10" t="str">
            <v>MANTENIMIENTO CALLE 7 #1308 ZONA INDUSTRIAL - penicilínico</v>
          </cell>
          <cell r="E10"/>
          <cell r="F10"/>
          <cell r="G10"/>
          <cell r="H10"/>
          <cell r="I10"/>
        </row>
        <row r="11">
          <cell r="A11" t="str">
            <v>A-001-12</v>
          </cell>
          <cell r="B11" t="str">
            <v>GP</v>
          </cell>
          <cell r="C11" t="str">
            <v>CALLE 6 # 2694, ZONA INDUSTRIAL</v>
          </cell>
          <cell r="D11" t="str">
            <v>MANTENIMIENTO CALLE 7 #1308 ZONA INDUSTRIAL - almacén de materiales-</v>
          </cell>
          <cell r="E11"/>
          <cell r="F11"/>
          <cell r="G11"/>
          <cell r="H11"/>
          <cell r="I11"/>
        </row>
        <row r="12">
          <cell r="A12" t="str">
            <v>A-001-13</v>
          </cell>
          <cell r="B12" t="str">
            <v>GP</v>
          </cell>
          <cell r="C12" t="str">
            <v>CALLE 6 # 2694, ZONA INDUSTRIAL</v>
          </cell>
          <cell r="D12" t="str">
            <v>MANTENIMIENTO CALLE 7 #1308 ZONA INDUSTRIAL - pasillo mecano -</v>
          </cell>
          <cell r="E12"/>
          <cell r="F12"/>
          <cell r="G12"/>
          <cell r="H12"/>
          <cell r="I12"/>
        </row>
        <row r="13">
          <cell r="A13" t="str">
            <v>A-001-14</v>
          </cell>
          <cell r="B13" t="str">
            <v>GP</v>
          </cell>
          <cell r="C13" t="str">
            <v>CALLE 6 # 2694, ZONA INDUSTRIAL</v>
          </cell>
          <cell r="D13" t="str">
            <v>MANTENIMIENTO CALLE 7 #1308 ZONA INDUSTRIAL - area de silos -</v>
          </cell>
          <cell r="E13"/>
          <cell r="F13"/>
          <cell r="G13"/>
          <cell r="H13"/>
          <cell r="I13"/>
        </row>
        <row r="14">
          <cell r="A14" t="str">
            <v>A-001-15</v>
          </cell>
          <cell r="B14" t="str">
            <v>GP</v>
          </cell>
          <cell r="C14" t="str">
            <v>CALLE 6 # 2694, ZONA INDUSTRIAL</v>
          </cell>
          <cell r="D14" t="str">
            <v>MANTENIMIENTO CALLE 7 #1308 ZONA INDUSTRIAL - bioterio -</v>
          </cell>
          <cell r="E14"/>
          <cell r="F14"/>
          <cell r="G14"/>
          <cell r="H14"/>
          <cell r="I14"/>
        </row>
        <row r="15">
          <cell r="A15" t="str">
            <v>A-001-16</v>
          </cell>
          <cell r="B15" t="str">
            <v>GP</v>
          </cell>
          <cell r="C15" t="str">
            <v>CALLE 6 # 2694, ZONA INDUSTRIAL</v>
          </cell>
          <cell r="D15" t="str">
            <v>MANTENIMIENTO CALLE 7 #1308 ZONA INDUSTRIAL - estabilidades -</v>
          </cell>
          <cell r="E15"/>
          <cell r="F15"/>
          <cell r="G15"/>
          <cell r="H15"/>
          <cell r="I15"/>
        </row>
        <row r="16">
          <cell r="A16" t="str">
            <v>A-001-17</v>
          </cell>
          <cell r="B16" t="str">
            <v>GP</v>
          </cell>
          <cell r="C16" t="str">
            <v>CALLE 6 # 2694, ZONA INDUSTRIAL</v>
          </cell>
          <cell r="D16" t="str">
            <v>MANTENIMIENTO CALLE 7 #1308 ZONA INDUSTRIAL - silos -</v>
          </cell>
          <cell r="E16"/>
          <cell r="F16"/>
          <cell r="G16"/>
          <cell r="H16"/>
          <cell r="I16"/>
        </row>
        <row r="17">
          <cell r="A17" t="str">
            <v>A-001-18</v>
          </cell>
          <cell r="B17" t="str">
            <v>GP</v>
          </cell>
          <cell r="C17" t="str">
            <v>CALLE 6 # 2694, ZONA INDUSTRIAL</v>
          </cell>
          <cell r="D17" t="str">
            <v>MANTENIMIENTO CALLE 7 #1308 ZONA INDUSTRIAL - estacionamiento calle 4 -</v>
          </cell>
          <cell r="E17"/>
          <cell r="F17"/>
          <cell r="G17"/>
          <cell r="H17"/>
          <cell r="I17"/>
        </row>
        <row r="18">
          <cell r="A18" t="str">
            <v>A-001-19</v>
          </cell>
          <cell r="B18" t="str">
            <v>GP</v>
          </cell>
          <cell r="C18" t="str">
            <v>CALLE 6 # 2694, ZONA INDUSTRIAL</v>
          </cell>
          <cell r="D18" t="str">
            <v>MANTENIMIENTO CALLE 7 #1308 ZONA INDUSTRIAL - mantenimiento base equipo PENICILÍNICOS-</v>
          </cell>
          <cell r="E18"/>
          <cell r="F18"/>
          <cell r="G18"/>
          <cell r="H18"/>
          <cell r="I18"/>
        </row>
        <row r="19">
          <cell r="A19" t="str">
            <v>A-001-21</v>
          </cell>
          <cell r="B19" t="str">
            <v>GP</v>
          </cell>
          <cell r="C19" t="str">
            <v>CALLE 6 # 2694, ZONA INDUSTRIAL</v>
          </cell>
          <cell r="D19" t="str">
            <v>MANTENIMIENTO CALLE 7 #1308 ZONA INDUSTRIAL - mantenimiento base equipo CEFALOSPORINAS-</v>
          </cell>
          <cell r="E19"/>
          <cell r="F19"/>
          <cell r="G19"/>
          <cell r="H19"/>
          <cell r="I19"/>
        </row>
        <row r="20">
          <cell r="A20" t="str">
            <v>A-001A</v>
          </cell>
          <cell r="B20" t="str">
            <v>GP</v>
          </cell>
          <cell r="C20" t="str">
            <v>CALLE 6 # 2694, ZONA INDUSTRIAL</v>
          </cell>
          <cell r="D20" t="str">
            <v>MANTENIMIENTO CALLE 7 #1308 ZONA INDUSTRIAL</v>
          </cell>
          <cell r="E20"/>
          <cell r="F20" t="str">
            <v>R</v>
          </cell>
          <cell r="G20"/>
          <cell r="H20"/>
          <cell r="I20"/>
        </row>
        <row r="21">
          <cell r="A21" t="str">
            <v>A-002</v>
          </cell>
          <cell r="B21" t="str">
            <v>GP</v>
          </cell>
          <cell r="C21" t="str">
            <v>AV. ESPAÑA #1840 COL. MODERNA</v>
          </cell>
          <cell r="D21" t="str">
            <v>MANTENIMIENTO AV ESPAÑA #1840</v>
          </cell>
          <cell r="E21"/>
          <cell r="F21" t="str">
            <v>JP</v>
          </cell>
          <cell r="G21"/>
          <cell r="H21" t="str">
            <v>LP</v>
          </cell>
          <cell r="I21">
            <v>65224565</v>
          </cell>
        </row>
        <row r="22">
          <cell r="A22" t="str">
            <v>A-002B</v>
          </cell>
          <cell r="B22" t="str">
            <v>GP</v>
          </cell>
          <cell r="C22" t="str">
            <v>AV. ESPAÑA #1840 COL. MODERNA</v>
          </cell>
          <cell r="D22" t="str">
            <v>MANTENIMIENTO DE APOYO VICKY AV ESPAÑA #1840</v>
          </cell>
          <cell r="E22"/>
          <cell r="F22" t="str">
            <v>JP</v>
          </cell>
          <cell r="G22"/>
          <cell r="H22" t="str">
            <v>LP</v>
          </cell>
          <cell r="I22">
            <v>65224565</v>
          </cell>
        </row>
        <row r="23">
          <cell r="A23" t="str">
            <v>A-003</v>
          </cell>
          <cell r="B23" t="str">
            <v>GP</v>
          </cell>
          <cell r="C23" t="str">
            <v>ANTIGUA CARRETERA A CHAPALA O JUAN DE LA BARRERA # 3609-2</v>
          </cell>
          <cell r="D23" t="str">
            <v>CENTRO NACIONAL DE DISTRIBUCION</v>
          </cell>
          <cell r="E23"/>
          <cell r="F23" t="str">
            <v>JP</v>
          </cell>
          <cell r="G23"/>
          <cell r="H23" t="str">
            <v>LP</v>
          </cell>
          <cell r="I23">
            <v>65095701</v>
          </cell>
        </row>
        <row r="24">
          <cell r="A24" t="str">
            <v>A-004</v>
          </cell>
          <cell r="B24" t="str">
            <v>GP</v>
          </cell>
          <cell r="C24" t="str">
            <v>ANTIGUA CARRETERA A CHAPALA O JUAN DE LA BARRERA # 3609-2</v>
          </cell>
          <cell r="D24" t="str">
            <v>PLASTICOS Y MATERIAS PRIMAS SA DE CV</v>
          </cell>
          <cell r="E24"/>
          <cell r="F24" t="str">
            <v>JP</v>
          </cell>
          <cell r="G24"/>
          <cell r="H24" t="str">
            <v>PM</v>
          </cell>
          <cell r="I24">
            <v>65095701</v>
          </cell>
        </row>
        <row r="25">
          <cell r="A25" t="str">
            <v>A-038</v>
          </cell>
          <cell r="B25" t="str">
            <v>GP</v>
          </cell>
          <cell r="C25" t="str">
            <v>PASEOS DEL BOSQUE #298, COL. COLINAS DE SAN JAVIER</v>
          </cell>
          <cell r="D25" t="str">
            <v>PB</v>
          </cell>
          <cell r="E25"/>
          <cell r="F25" t="str">
            <v>JP</v>
          </cell>
          <cell r="G25"/>
          <cell r="H25" t="str">
            <v>LP</v>
          </cell>
          <cell r="I25"/>
        </row>
        <row r="26">
          <cell r="A26" t="str">
            <v>A-047</v>
          </cell>
          <cell r="B26" t="str">
            <v>GP</v>
          </cell>
          <cell r="C26" t="str">
            <v>KM 7 CARRETERA A SAN ISIDRO MAZATEPEC EN TLAJOMULCO DE ZUÑIGA JAL.</v>
          </cell>
          <cell r="D26" t="str">
            <v>RANCHO SAN ISIDRO</v>
          </cell>
          <cell r="E26"/>
          <cell r="F26" t="str">
            <v>JP</v>
          </cell>
          <cell r="G26"/>
          <cell r="H26" t="str">
            <v>IP</v>
          </cell>
          <cell r="I26"/>
        </row>
        <row r="27">
          <cell r="A27" t="str">
            <v>A-288</v>
          </cell>
          <cell r="B27" t="str">
            <v>GP</v>
          </cell>
          <cell r="C27" t="str">
            <v>FLAMINGOS No.58 EN EL COTO ANDALUCIA PTA DE HIERRO</v>
          </cell>
          <cell r="D27" t="str">
            <v>FLAMINGOS No.58 ANDALUCÍA</v>
          </cell>
          <cell r="E27"/>
          <cell r="F27" t="str">
            <v>JP</v>
          </cell>
          <cell r="G27"/>
          <cell r="H27" t="str">
            <v>LP</v>
          </cell>
          <cell r="I27">
            <v>65631524</v>
          </cell>
        </row>
        <row r="28">
          <cell r="A28" t="str">
            <v>A-425</v>
          </cell>
          <cell r="B28" t="str">
            <v>GP</v>
          </cell>
          <cell r="C28" t="str">
            <v>CASA SANTIAGO TPP</v>
          </cell>
          <cell r="D28" t="str">
            <v>SAV TTP</v>
          </cell>
          <cell r="E28"/>
          <cell r="F28" t="str">
            <v>ARQ</v>
          </cell>
          <cell r="G28"/>
          <cell r="H28" t="str">
            <v>LP</v>
          </cell>
          <cell r="I28" t="str">
            <v>SUSTITUYE A-410</v>
          </cell>
        </row>
        <row r="29">
          <cell r="A29" t="str">
            <v>A-426</v>
          </cell>
          <cell r="B29"/>
          <cell r="C29"/>
          <cell r="D29" t="str">
            <v>STELLA MARIS SJA</v>
          </cell>
          <cell r="E29"/>
          <cell r="F29"/>
          <cell r="G29"/>
          <cell r="H29"/>
          <cell r="I29"/>
        </row>
        <row r="30">
          <cell r="A30" t="str">
            <v>A-499</v>
          </cell>
          <cell r="B30" t="str">
            <v>GP</v>
          </cell>
          <cell r="C30" t="str">
            <v>HIDALGO 206, CENTRO, TAPALPA, JALISCO</v>
          </cell>
          <cell r="D30" t="str">
            <v>CASA ING CARLOS ALVAREZ BERMEJILLO</v>
          </cell>
          <cell r="E30"/>
          <cell r="F30" t="str">
            <v>N/A</v>
          </cell>
          <cell r="G30"/>
          <cell r="H30"/>
          <cell r="I30"/>
        </row>
        <row r="31">
          <cell r="A31" t="str">
            <v>A-628</v>
          </cell>
          <cell r="B31" t="str">
            <v>GP</v>
          </cell>
          <cell r="C31" t="str">
            <v>HACIENDA DE SAN FRANCISCO TAPALPA JAL.</v>
          </cell>
          <cell r="D31" t="str">
            <v>STELLA Y VIVIANA ALVAREZ VEGA</v>
          </cell>
          <cell r="E31"/>
          <cell r="F31"/>
          <cell r="G31"/>
          <cell r="H31"/>
          <cell r="I31"/>
        </row>
        <row r="32">
          <cell r="A32" t="str">
            <v>A-732</v>
          </cell>
          <cell r="B32" t="str">
            <v>GP</v>
          </cell>
          <cell r="C32" t="str">
            <v>S/D</v>
          </cell>
          <cell r="D32" t="str">
            <v>PONTO QUITO</v>
          </cell>
          <cell r="E32"/>
          <cell r="F32" t="str">
            <v>N/A</v>
          </cell>
          <cell r="G32"/>
          <cell r="H32"/>
          <cell r="I32"/>
        </row>
        <row r="33">
          <cell r="A33" t="str">
            <v>A-775</v>
          </cell>
          <cell r="B33" t="str">
            <v>GP</v>
          </cell>
          <cell r="C33" t="str">
            <v>AV. LAS PALMAS No300 LOTE 18 FRACCIONAMIENTO LOS JALES HASTA EL FONDO</v>
          </cell>
          <cell r="D33" t="str">
            <v>LOS JALES  ( ESTEBAN ALVAREZ )</v>
          </cell>
          <cell r="E33"/>
          <cell r="F33" t="str">
            <v>N/A</v>
          </cell>
          <cell r="G33"/>
          <cell r="H33"/>
          <cell r="I33">
            <v>65759459</v>
          </cell>
        </row>
        <row r="34">
          <cell r="A34" t="str">
            <v>A-800</v>
          </cell>
          <cell r="B34" t="str">
            <v>GP</v>
          </cell>
          <cell r="C34" t="str">
            <v>S/D</v>
          </cell>
          <cell r="D34" t="str">
            <v>EAV TTP</v>
          </cell>
          <cell r="E34"/>
          <cell r="F34" t="str">
            <v>N/A</v>
          </cell>
          <cell r="G34"/>
          <cell r="H34"/>
          <cell r="I34"/>
        </row>
        <row r="35">
          <cell r="A35" t="str">
            <v>B-026</v>
          </cell>
          <cell r="B35" t="str">
            <v>VJL29</v>
          </cell>
          <cell r="C35" t="str">
            <v>AV. LAS PALMAS No. 100 LOTE 29 FRACC. VILLA MAGNA ZAPOPAN JAL.</v>
          </cell>
          <cell r="D35" t="str">
            <v>CASA LIC JAIME LOPEZ HIDALGO ( LOTE 29 )</v>
          </cell>
          <cell r="E35"/>
          <cell r="F35" t="str">
            <v>JP</v>
          </cell>
          <cell r="G35" t="str">
            <v>NO ENTREGAR EN EL HORARIO DE 2 A 4 DE LA TARDE ESTARA CERRADO</v>
          </cell>
          <cell r="H35" t="str">
            <v>ARQ</v>
          </cell>
          <cell r="I35"/>
        </row>
        <row r="36">
          <cell r="A36" t="str">
            <v>B-040</v>
          </cell>
          <cell r="B36" t="str">
            <v>GP</v>
          </cell>
          <cell r="C36" t="str">
            <v>COTO ANDALUCIA CALLE FLAMINGOS No.62  PUERTA DE HIERRO</v>
          </cell>
          <cell r="D36" t="str">
            <v>CASA SRA. VIVIANA</v>
          </cell>
          <cell r="E36"/>
          <cell r="F36" t="str">
            <v>JP</v>
          </cell>
          <cell r="G36" t="str">
            <v>SRA VIVIANA ALVAREZ</v>
          </cell>
          <cell r="H36" t="str">
            <v>ARQ</v>
          </cell>
          <cell r="I36"/>
        </row>
        <row r="37">
          <cell r="A37" t="str">
            <v>B-054</v>
          </cell>
          <cell r="B37" t="str">
            <v>GP</v>
          </cell>
          <cell r="C37" t="str">
            <v>NACIONES UNIDAS</v>
          </cell>
          <cell r="D37" t="str">
            <v>CASA IGNACIO RODRIGUEZ</v>
          </cell>
          <cell r="E37"/>
          <cell r="F37" t="str">
            <v>JP</v>
          </cell>
          <cell r="G37"/>
          <cell r="H37" t="str">
            <v>JP</v>
          </cell>
          <cell r="I37"/>
        </row>
        <row r="38">
          <cell r="A38" t="str">
            <v>B-061</v>
          </cell>
          <cell r="B38" t="str">
            <v>GP</v>
          </cell>
          <cell r="C38" t="str">
            <v>TAPALPA</v>
          </cell>
          <cell r="D38" t="str">
            <v>STELLA Y VIVIANA ALVAREZ VEGA</v>
          </cell>
          <cell r="E38"/>
          <cell r="F38"/>
          <cell r="G38"/>
          <cell r="H38"/>
          <cell r="I38"/>
        </row>
        <row r="39">
          <cell r="A39" t="str">
            <v>B-080</v>
          </cell>
          <cell r="B39" t="str">
            <v>GP</v>
          </cell>
          <cell r="C39" t="str">
            <v>CAMINO AL RINCON S/N VILLA LUCERNA CASA 19 AJIJIC JALISCO</v>
          </cell>
          <cell r="D39" t="str">
            <v>VILLA LUCERNA</v>
          </cell>
          <cell r="E39"/>
          <cell r="F39"/>
          <cell r="G39"/>
          <cell r="H39"/>
          <cell r="I39"/>
        </row>
        <row r="40">
          <cell r="A40" t="str">
            <v>B-128</v>
          </cell>
          <cell r="B40" t="str">
            <v>GP</v>
          </cell>
          <cell r="C40" t="str">
            <v>AV. LAS PALMAS No300 LOTE 28 FRACCIONAMIENTO LOS JALES HASTA EL FONDO</v>
          </cell>
          <cell r="D40" t="str">
            <v>JAVIER ALVAREZ BERMEJILLO</v>
          </cell>
          <cell r="E40"/>
          <cell r="F40" t="str">
            <v>N/A</v>
          </cell>
          <cell r="G40"/>
          <cell r="H40"/>
          <cell r="I40"/>
        </row>
        <row r="41">
          <cell r="A41" t="str">
            <v>B-199</v>
          </cell>
          <cell r="B41" t="str">
            <v>GP</v>
          </cell>
          <cell r="C41" t="str">
            <v>AV. LAS PALMAS No. 100 FRACC. VILLA MAGNA ZAPOPAN JAL.</v>
          </cell>
          <cell r="D41" t="str">
            <v>VILLA MAGNA LOTE 58 (ALFONSO ALVAREZ)</v>
          </cell>
          <cell r="E41"/>
          <cell r="F41" t="str">
            <v>N/A</v>
          </cell>
          <cell r="G41"/>
          <cell r="H41"/>
          <cell r="I41"/>
        </row>
        <row r="42">
          <cell r="A42" t="str">
            <v>B-351</v>
          </cell>
          <cell r="B42" t="str">
            <v>GP</v>
          </cell>
          <cell r="C42" t="str">
            <v>KM 7 CARRETERA A SAN ISIDRO MAZATEPEC EN TLAJOMULCO DE ZUÑIGA JAL.</v>
          </cell>
          <cell r="D42" t="str">
            <v>KIOSKO CDN</v>
          </cell>
          <cell r="E42"/>
          <cell r="F42" t="str">
            <v>N/A</v>
          </cell>
          <cell r="G42"/>
          <cell r="H42"/>
          <cell r="I42"/>
        </row>
        <row r="43">
          <cell r="A43" t="str">
            <v>B-382</v>
          </cell>
          <cell r="B43"/>
          <cell r="C43"/>
          <cell r="D43" t="str">
            <v>JUAN CARLOS ALVAREZ SJA</v>
          </cell>
          <cell r="E43"/>
          <cell r="F43"/>
          <cell r="G43"/>
          <cell r="H43"/>
          <cell r="I43"/>
        </row>
        <row r="44">
          <cell r="A44" t="str">
            <v>B-390</v>
          </cell>
          <cell r="B44" t="str">
            <v>GP</v>
          </cell>
          <cell r="C44" t="str">
            <v>S/D</v>
          </cell>
          <cell r="D44" t="str">
            <v xml:space="preserve">TRABAJOS DE MANTENIMIENTO  EN INSTALACIONES INDUSTRIALES </v>
          </cell>
          <cell r="E44"/>
          <cell r="F44" t="str">
            <v>N/A</v>
          </cell>
          <cell r="G44"/>
          <cell r="H44"/>
          <cell r="I44"/>
        </row>
        <row r="45">
          <cell r="A45" t="str">
            <v>B-409</v>
          </cell>
          <cell r="B45"/>
          <cell r="C45"/>
          <cell r="D45" t="str">
            <v>JCAV J2</v>
          </cell>
          <cell r="E45"/>
          <cell r="F45"/>
          <cell r="G45"/>
          <cell r="H45"/>
          <cell r="I45"/>
        </row>
        <row r="46">
          <cell r="A46" t="str">
            <v>B-445</v>
          </cell>
          <cell r="B46"/>
          <cell r="C46"/>
          <cell r="D46" t="str">
            <v>JALES3 SAV</v>
          </cell>
          <cell r="E46"/>
          <cell r="F46"/>
          <cell r="G46"/>
          <cell r="H46"/>
          <cell r="I46"/>
        </row>
        <row r="47">
          <cell r="A47" t="str">
            <v>B-452</v>
          </cell>
          <cell r="B47"/>
          <cell r="C47"/>
          <cell r="D47" t="str">
            <v>CASA PABLO</v>
          </cell>
          <cell r="E47"/>
          <cell r="F47"/>
          <cell r="G47"/>
          <cell r="H47"/>
          <cell r="I47"/>
        </row>
        <row r="48">
          <cell r="A48" t="str">
            <v>B-457</v>
          </cell>
          <cell r="B48"/>
          <cell r="C48"/>
          <cell r="D48" t="str">
            <v>BODYLOGIC TLAJOMULCO</v>
          </cell>
          <cell r="E48"/>
          <cell r="F48"/>
          <cell r="G48"/>
          <cell r="H48"/>
          <cell r="I48"/>
        </row>
        <row r="49">
          <cell r="A49" t="str">
            <v>B-468</v>
          </cell>
          <cell r="B49"/>
          <cell r="C49"/>
          <cell r="D49" t="str">
            <v>BODEGA GCPI</v>
          </cell>
          <cell r="E49"/>
          <cell r="F49"/>
          <cell r="G49"/>
          <cell r="H49"/>
          <cell r="I49"/>
        </row>
        <row r="50">
          <cell r="A50" t="str">
            <v>B-471</v>
          </cell>
          <cell r="B50"/>
          <cell r="C50"/>
          <cell r="D50" t="str">
            <v>LOS REFLEJOS LOTE R8</v>
          </cell>
          <cell r="E50"/>
          <cell r="F50"/>
          <cell r="G50"/>
          <cell r="H50"/>
          <cell r="I50"/>
        </row>
        <row r="51">
          <cell r="A51" t="str">
            <v>B-479</v>
          </cell>
          <cell r="B51"/>
          <cell r="C51"/>
          <cell r="D51" t="str">
            <v>CASA MARCO CORTÉS</v>
          </cell>
          <cell r="E51"/>
          <cell r="F51"/>
          <cell r="G51"/>
          <cell r="H51"/>
          <cell r="I51"/>
        </row>
        <row r="52">
          <cell r="A52" t="str">
            <v>B-486</v>
          </cell>
          <cell r="B52"/>
          <cell r="C52"/>
          <cell r="D52" t="str">
            <v>LA CABAÑA COAHUILA</v>
          </cell>
          <cell r="E52"/>
          <cell r="F52"/>
          <cell r="G52"/>
          <cell r="H52"/>
          <cell r="I52"/>
        </row>
        <row r="53">
          <cell r="A53" t="str">
            <v>B-531</v>
          </cell>
          <cell r="B53"/>
          <cell r="C53"/>
          <cell r="D53" t="str">
            <v>TRABAJOS DE MANTENIMIENTO Y REPARACION DE INSTALACIONES EDIFICIO F CDN</v>
          </cell>
          <cell r="E53"/>
          <cell r="F53"/>
          <cell r="G53"/>
          <cell r="H53"/>
          <cell r="I53"/>
        </row>
        <row r="54">
          <cell r="A54" t="str">
            <v>B-540</v>
          </cell>
          <cell r="B54"/>
          <cell r="C54"/>
          <cell r="D54" t="str">
            <v>GENERALES COAHUILA</v>
          </cell>
          <cell r="E54"/>
          <cell r="F54"/>
          <cell r="G54"/>
          <cell r="H54"/>
          <cell r="I54"/>
        </row>
        <row r="55">
          <cell r="A55" t="str">
            <v>B-577</v>
          </cell>
          <cell r="B55"/>
          <cell r="C55" t="str">
            <v>SANTA ANITA</v>
          </cell>
          <cell r="D55" t="str">
            <v>CASA HERIBERTO CASTAÑEDA</v>
          </cell>
          <cell r="E55"/>
          <cell r="F55"/>
          <cell r="G55"/>
          <cell r="H55"/>
          <cell r="I55"/>
        </row>
        <row r="56">
          <cell r="A56" t="str">
            <v>B-592</v>
          </cell>
          <cell r="B56"/>
          <cell r="C56"/>
          <cell r="D56" t="str">
            <v>MANTENIMIENTO ALMACÉN COLÓN</v>
          </cell>
          <cell r="E56"/>
          <cell r="F56"/>
          <cell r="G56"/>
          <cell r="H56"/>
          <cell r="I56"/>
        </row>
        <row r="57">
          <cell r="A57" t="str">
            <v>B-596</v>
          </cell>
          <cell r="B57"/>
          <cell r="C57"/>
          <cell r="D57" t="str">
            <v>EDUARDO VÁZQUEZ COAHUILA</v>
          </cell>
          <cell r="E57"/>
          <cell r="F57"/>
          <cell r="G57"/>
          <cell r="H57"/>
          <cell r="I57"/>
        </row>
        <row r="58">
          <cell r="A58" t="str">
            <v>B-616</v>
          </cell>
          <cell r="B58"/>
          <cell r="C58"/>
          <cell r="D58" t="str">
            <v>LOCAL PLAZA OTTAWA</v>
          </cell>
          <cell r="E58"/>
          <cell r="F58"/>
          <cell r="G58"/>
          <cell r="H58"/>
          <cell r="I58"/>
        </row>
        <row r="59">
          <cell r="A59" t="str">
            <v>B-619</v>
          </cell>
          <cell r="B59"/>
          <cell r="C59"/>
          <cell r="D59" t="str">
            <v>CASA OCHOA</v>
          </cell>
          <cell r="E59"/>
          <cell r="F59"/>
          <cell r="G59"/>
          <cell r="H59"/>
          <cell r="I59"/>
        </row>
        <row r="60">
          <cell r="A60" t="str">
            <v>B-656</v>
          </cell>
          <cell r="B60"/>
          <cell r="C60"/>
          <cell r="D60" t="str">
            <v>RTN BLOQUE 2 2DA ETAPA</v>
          </cell>
          <cell r="E60"/>
          <cell r="F60"/>
          <cell r="G60"/>
          <cell r="H60"/>
          <cell r="I60"/>
        </row>
        <row r="61">
          <cell r="A61" t="str">
            <v>B-664</v>
          </cell>
          <cell r="B61"/>
          <cell r="C61" t="str">
            <v>TERRENO LA MOJONERA FERNANDO ALVAREZ RAMON CORONA 4601</v>
          </cell>
          <cell r="D61" t="str">
            <v>MANTENIMIENTO GALBER</v>
          </cell>
          <cell r="E61"/>
          <cell r="F61"/>
          <cell r="G61"/>
          <cell r="H61"/>
          <cell r="I61"/>
        </row>
        <row r="62">
          <cell r="A62" t="str">
            <v>B-712</v>
          </cell>
          <cell r="B62"/>
          <cell r="C62" t="str">
            <v>TLAJOMULCO</v>
          </cell>
          <cell r="D62" t="str">
            <v>TRABAJOS DE MANTENIMIENTO TALLER VEHICULAR TRANSLIMA</v>
          </cell>
          <cell r="E62"/>
          <cell r="F62"/>
          <cell r="G62"/>
          <cell r="H62"/>
          <cell r="I62"/>
        </row>
        <row r="63">
          <cell r="A63" t="str">
            <v>B-715</v>
          </cell>
          <cell r="B63"/>
          <cell r="C63" t="str">
            <v>TLAJOMULCO</v>
          </cell>
          <cell r="D63" t="str">
            <v>PROYECTO DE AMPLIACION OFICINAS EDIFICIO E</v>
          </cell>
          <cell r="E63"/>
          <cell r="F63"/>
          <cell r="G63"/>
          <cell r="H63"/>
          <cell r="I63"/>
        </row>
        <row r="64">
          <cell r="A64" t="str">
            <v>B-745</v>
          </cell>
          <cell r="B64"/>
          <cell r="C64" t="str">
            <v>EL CIELO COUNTRY CLUB</v>
          </cell>
          <cell r="D64" t="str">
            <v>CASA HABITACION SR ALEJANDRO TROYA</v>
          </cell>
          <cell r="E64"/>
          <cell r="F64"/>
          <cell r="G64"/>
          <cell r="H64"/>
          <cell r="I64"/>
        </row>
        <row r="65">
          <cell r="A65" t="str">
            <v>B-768</v>
          </cell>
          <cell r="B65"/>
          <cell r="C65" t="str">
            <v>SAN MIGUEL DE LA CAÑADA</v>
          </cell>
          <cell r="D65" t="str">
            <v>REMODELACIÓN CASA 11</v>
          </cell>
          <cell r="E65"/>
          <cell r="F65"/>
          <cell r="G65"/>
          <cell r="H65"/>
          <cell r="I65"/>
        </row>
        <row r="66">
          <cell r="A66" t="str">
            <v>B-769</v>
          </cell>
          <cell r="B66"/>
          <cell r="C66" t="str">
            <v>TLAJOMULCO</v>
          </cell>
          <cell r="D66" t="str">
            <v>FORMAS SOLIDAS 3</v>
          </cell>
          <cell r="E66"/>
          <cell r="F66"/>
          <cell r="G66"/>
          <cell r="H66"/>
          <cell r="I66"/>
        </row>
        <row r="67">
          <cell r="A67" t="str">
            <v>B-769A</v>
          </cell>
          <cell r="B67"/>
          <cell r="C67" t="str">
            <v>TLAJOMULCO</v>
          </cell>
          <cell r="D67" t="str">
            <v>NAVE DE SERVICIOS EN EDIFICIO B</v>
          </cell>
          <cell r="E67"/>
          <cell r="F67"/>
          <cell r="G67"/>
          <cell r="H67"/>
          <cell r="I67"/>
        </row>
        <row r="68">
          <cell r="A68" t="str">
            <v>B-790</v>
          </cell>
          <cell r="B68"/>
          <cell r="C68" t="str">
            <v>TEJABANES</v>
          </cell>
          <cell r="D68" t="str">
            <v>PARQUE CAB LAS JUNTAS</v>
          </cell>
          <cell r="E68"/>
          <cell r="F68"/>
          <cell r="G68"/>
          <cell r="H68"/>
          <cell r="I68"/>
        </row>
        <row r="69">
          <cell r="A69" t="str">
            <v>B-790A</v>
          </cell>
          <cell r="B69"/>
          <cell r="C69" t="str">
            <v>TEJABANES</v>
          </cell>
          <cell r="D69" t="str">
            <v>PARQUE CAB LAS JUNTAS MANZANA 1</v>
          </cell>
          <cell r="E69"/>
          <cell r="F69"/>
          <cell r="G69"/>
          <cell r="H69"/>
          <cell r="I69"/>
        </row>
        <row r="70">
          <cell r="A70" t="str">
            <v>B-790B</v>
          </cell>
          <cell r="B70"/>
          <cell r="C70" t="str">
            <v>TEJABANES</v>
          </cell>
          <cell r="D70" t="str">
            <v>PARQUE CAB LAS JUNTAS MANZANA 2</v>
          </cell>
          <cell r="E70"/>
          <cell r="F70"/>
          <cell r="G70"/>
          <cell r="H70"/>
          <cell r="I70"/>
        </row>
        <row r="71">
          <cell r="A71" t="str">
            <v>B-790C</v>
          </cell>
          <cell r="B71"/>
          <cell r="C71" t="str">
            <v>TEJABANES</v>
          </cell>
          <cell r="D71" t="str">
            <v>PARQUE CAB LAS JUNTAS MANZANA 3</v>
          </cell>
          <cell r="E71"/>
          <cell r="F71"/>
          <cell r="G71"/>
          <cell r="H71"/>
          <cell r="I71"/>
        </row>
        <row r="72">
          <cell r="A72" t="str">
            <v>B-790D</v>
          </cell>
          <cell r="B72"/>
          <cell r="C72" t="str">
            <v>TEJABANES</v>
          </cell>
          <cell r="D72" t="str">
            <v>PARQUE CAB LAS JUNTAS MANZANA 4</v>
          </cell>
          <cell r="E72"/>
          <cell r="F72"/>
          <cell r="G72"/>
          <cell r="H72"/>
          <cell r="I72"/>
        </row>
        <row r="73">
          <cell r="A73" t="str">
            <v>B-792</v>
          </cell>
          <cell r="B73"/>
          <cell r="C73" t="str">
            <v>SAN ISIDRO</v>
          </cell>
          <cell r="D73" t="str">
            <v>BODEGAS GCPI ING JPCA y ARQ JLJCA</v>
          </cell>
          <cell r="E73"/>
          <cell r="F73"/>
          <cell r="G73"/>
          <cell r="H73"/>
          <cell r="I73"/>
        </row>
        <row r="74">
          <cell r="A74" t="str">
            <v>B-795</v>
          </cell>
          <cell r="B74"/>
          <cell r="C74" t="str">
            <v>GUADALAJARA</v>
          </cell>
          <cell r="D74" t="str">
            <v>NERIUM</v>
          </cell>
          <cell r="E74"/>
          <cell r="F74"/>
          <cell r="G74"/>
          <cell r="H74"/>
          <cell r="I74"/>
        </row>
        <row r="75">
          <cell r="A75" t="str">
            <v>B-802</v>
          </cell>
          <cell r="B75"/>
          <cell r="C75" t="str">
            <v>TAPALPA</v>
          </cell>
          <cell r="D75" t="str">
            <v>CASA GODOY TAPALPA</v>
          </cell>
          <cell r="E75"/>
          <cell r="F75"/>
          <cell r="G75"/>
          <cell r="H75"/>
          <cell r="I75"/>
        </row>
        <row r="76">
          <cell r="A76" t="str">
            <v>B-809</v>
          </cell>
          <cell r="B76"/>
          <cell r="C76" t="str">
            <v>COTO COLINAS CASA 4</v>
          </cell>
          <cell r="D76" t="str">
            <v>CASA GODOY COTO COLINAS</v>
          </cell>
          <cell r="E76"/>
          <cell r="F76"/>
          <cell r="G76"/>
          <cell r="H76"/>
          <cell r="I76"/>
        </row>
        <row r="77">
          <cell r="A77" t="str">
            <v>B-861</v>
          </cell>
          <cell r="B77"/>
          <cell r="C77" t="str">
            <v>ZAPOPAN</v>
          </cell>
          <cell r="D77" t="str">
            <v>AMPLIACION DE OFICINAS PAT</v>
          </cell>
          <cell r="E77"/>
          <cell r="F77"/>
          <cell r="G77"/>
          <cell r="H77"/>
          <cell r="I77"/>
        </row>
        <row r="78">
          <cell r="A78" t="str">
            <v>B-878</v>
          </cell>
          <cell r="B78"/>
          <cell r="C78" t="str">
            <v>TLAJOMULCO</v>
          </cell>
          <cell r="D78" t="str">
            <v>MANTENIMIENTO EDIFICIO B FORMAS SÓLIDAS</v>
          </cell>
          <cell r="E78"/>
          <cell r="F78"/>
          <cell r="G78"/>
          <cell r="H78"/>
          <cell r="I78"/>
        </row>
        <row r="79">
          <cell r="A79" t="str">
            <v>B-898</v>
          </cell>
          <cell r="B79"/>
          <cell r="C79" t="str">
            <v>PRADERAS DEL NOGAL TAPALPA</v>
          </cell>
          <cell r="D79" t="str">
            <v>MANTENIMIENTO EN RANCHO PRADERAS DEL NOGAL</v>
          </cell>
          <cell r="E79"/>
          <cell r="F79"/>
          <cell r="G79"/>
          <cell r="H79"/>
          <cell r="I79"/>
        </row>
        <row r="80">
          <cell r="A80" t="str">
            <v>B-899</v>
          </cell>
          <cell r="B80"/>
          <cell r="C80" t="str">
            <v>MAR EGEO 1310-4 EL COUNTRY</v>
          </cell>
          <cell r="D80" t="str">
            <v>TERE ROBLES</v>
          </cell>
          <cell r="E80"/>
          <cell r="F80"/>
          <cell r="G80"/>
          <cell r="H80"/>
          <cell r="I80"/>
        </row>
        <row r="81">
          <cell r="A81" t="str">
            <v>B-905</v>
          </cell>
          <cell r="B81"/>
          <cell r="C81" t="str">
            <v>TEJABANES</v>
          </cell>
          <cell r="D81" t="str">
            <v>OFICINAS SUMITOMO</v>
          </cell>
          <cell r="E81"/>
          <cell r="F81"/>
          <cell r="G81"/>
          <cell r="H81"/>
          <cell r="I81"/>
        </row>
        <row r="82">
          <cell r="A82" t="str">
            <v>B-911</v>
          </cell>
          <cell r="B82"/>
          <cell r="C82" t="str">
            <v>ZAPOPAN, PASEO DE LAS GALEANAS</v>
          </cell>
          <cell r="D82" t="str">
            <v>CASA CHÁVEZ MARTÍNEZ</v>
          </cell>
          <cell r="E82"/>
          <cell r="F82"/>
          <cell r="G82"/>
          <cell r="H82"/>
          <cell r="I82"/>
        </row>
        <row r="83">
          <cell r="A83" t="str">
            <v>B-920</v>
          </cell>
          <cell r="B83"/>
          <cell r="C83" t="str">
            <v>ZAPOPAN</v>
          </cell>
          <cell r="D83" t="str">
            <v>SAN PASCUAL 1676 FRACCIONAMIENTO SANTA ISABEL</v>
          </cell>
          <cell r="E83"/>
          <cell r="F83"/>
          <cell r="G83"/>
          <cell r="H83"/>
          <cell r="I83"/>
        </row>
        <row r="84">
          <cell r="A84" t="str">
            <v>B-970</v>
          </cell>
          <cell r="B84"/>
          <cell r="C84" t="str">
            <v>COLINAS DE SAN JAVIER</v>
          </cell>
          <cell r="D84" t="str">
            <v>CASA DIEGO CHÁVEZ NAVARRO</v>
          </cell>
          <cell r="E84"/>
          <cell r="F84"/>
          <cell r="G84"/>
          <cell r="H84"/>
          <cell r="I84"/>
        </row>
        <row r="85">
          <cell r="A85" t="str">
            <v>B-982</v>
          </cell>
          <cell r="B85"/>
          <cell r="C85" t="str">
            <v>COLON</v>
          </cell>
          <cell r="D85" t="str">
            <v>REMODELACIÓN ALMACÉN COLÓN</v>
          </cell>
          <cell r="E85"/>
          <cell r="F85"/>
          <cell r="G85"/>
          <cell r="H85"/>
          <cell r="I85"/>
        </row>
        <row r="86">
          <cell r="A86" t="str">
            <v>B-984</v>
          </cell>
          <cell r="B86"/>
          <cell r="C86" t="str">
            <v>TLAJOMULCO</v>
          </cell>
          <cell r="D86" t="str">
            <v>MANTENIMIENTO PARA CDN</v>
          </cell>
          <cell r="E86"/>
          <cell r="F86"/>
          <cell r="G86"/>
          <cell r="H86"/>
          <cell r="I86"/>
        </row>
        <row r="87">
          <cell r="A87" t="str">
            <v>C-001</v>
          </cell>
          <cell r="B87"/>
          <cell r="C87" t="str">
            <v>CALZADA OLÍMPICA</v>
          </cell>
          <cell r="D87" t="str">
            <v>MANIJAUTO</v>
          </cell>
          <cell r="E87"/>
          <cell r="F87"/>
          <cell r="G87"/>
          <cell r="H87"/>
          <cell r="I87"/>
        </row>
        <row r="88">
          <cell r="A88" t="str">
            <v>C-038</v>
          </cell>
          <cell r="B88"/>
          <cell r="C88" t="str">
            <v>TLAJOMULCO</v>
          </cell>
          <cell r="D88" t="str">
            <v>LABORATORIO DE PENICILINICOS</v>
          </cell>
          <cell r="E88"/>
          <cell r="F88"/>
          <cell r="G88"/>
          <cell r="H88"/>
          <cell r="I88"/>
        </row>
        <row r="89">
          <cell r="A89" t="str">
            <v>C-039</v>
          </cell>
          <cell r="B89"/>
          <cell r="C89" t="str">
            <v>DESTINO VALLARTA</v>
          </cell>
          <cell r="D89" t="str">
            <v xml:space="preserve">PONTO QUITO </v>
          </cell>
          <cell r="E89"/>
          <cell r="F89"/>
          <cell r="G89"/>
          <cell r="H89"/>
          <cell r="I89"/>
        </row>
        <row r="90">
          <cell r="A90" t="str">
            <v>C-046</v>
          </cell>
          <cell r="B90"/>
          <cell r="C90" t="str">
            <v>AVANT</v>
          </cell>
          <cell r="D90" t="str">
            <v>NAVE 3 AVANT</v>
          </cell>
          <cell r="E90"/>
          <cell r="F90"/>
          <cell r="G90"/>
          <cell r="H90"/>
          <cell r="I90"/>
        </row>
        <row r="91">
          <cell r="A91" t="str">
            <v>C-081</v>
          </cell>
          <cell r="B91"/>
          <cell r="C91" t="str">
            <v>COAHUILA</v>
          </cell>
          <cell r="D91" t="str">
            <v>MANTENIMIENTO DE RANCHO EN GENERAL 2 SOCIOS</v>
          </cell>
          <cell r="E91"/>
          <cell r="F91"/>
          <cell r="G91"/>
          <cell r="H91"/>
          <cell r="I91"/>
        </row>
        <row r="92">
          <cell r="A92" t="str">
            <v>C-085</v>
          </cell>
          <cell r="B92"/>
          <cell r="C92" t="str">
            <v>CONDOMINIO PLAZA COUNTRY</v>
          </cell>
          <cell r="D92" t="str">
            <v>CASA INT 30 SR ALEJANDRO GARCIARCE ALVAREZ</v>
          </cell>
          <cell r="E92"/>
          <cell r="F92"/>
          <cell r="G92"/>
          <cell r="H92"/>
          <cell r="I92"/>
        </row>
        <row r="93">
          <cell r="A93" t="str">
            <v>C-092</v>
          </cell>
          <cell r="B93"/>
          <cell r="C93" t="str">
            <v>TLAJOMULCO</v>
          </cell>
          <cell r="D93" t="str">
            <v>MANTENIMIENTO Y CONSERVACIÓN EDIFICIO E INSTALACIONES ELÉCTRICAS ALMACÉN AUTOMATIZADO</v>
          </cell>
          <cell r="E93"/>
          <cell r="F93"/>
          <cell r="G93"/>
          <cell r="H93"/>
          <cell r="I93"/>
        </row>
        <row r="94">
          <cell r="A94" t="str">
            <v>C-101</v>
          </cell>
          <cell r="B94"/>
          <cell r="C94" t="str">
            <v>TAPALPA</v>
          </cell>
          <cell r="D94" t="str">
            <v>MTTO. CASA Y PLANTA DE EMERGENCIA CABAÑA MÁGICA</v>
          </cell>
          <cell r="E94"/>
          <cell r="F94"/>
          <cell r="G94"/>
          <cell r="H94"/>
          <cell r="I94"/>
        </row>
        <row r="95">
          <cell r="A95" t="str">
            <v>C-105</v>
          </cell>
          <cell r="B95"/>
          <cell r="C95" t="str">
            <v>PYMPSA</v>
          </cell>
          <cell r="D95" t="str">
            <v xml:space="preserve">ADECUACIÓN RED CONTRA-INCENDIOS </v>
          </cell>
          <cell r="E95"/>
          <cell r="F95"/>
          <cell r="G95"/>
          <cell r="H95"/>
          <cell r="I95"/>
        </row>
        <row r="96">
          <cell r="A96" t="str">
            <v>C-106</v>
          </cell>
          <cell r="B96"/>
          <cell r="C96" t="str">
            <v>CONJUNTO RESIDENCIAL PATRIA</v>
          </cell>
          <cell r="D96" t="str">
            <v>TERRENO HIMNO PATRIO LORENA CHÁVEZ</v>
          </cell>
          <cell r="E96"/>
          <cell r="F96"/>
          <cell r="G96"/>
          <cell r="H96"/>
          <cell r="I96"/>
        </row>
        <row r="97">
          <cell r="A97" t="str">
            <v>C-112</v>
          </cell>
          <cell r="B97"/>
          <cell r="C97" t="str">
            <v>TLAJOMULCO</v>
          </cell>
          <cell r="D97" t="str">
            <v>MANTENIMIENTO A EDIFICIO ONCOLÓGICOS E INMUNOLÓGICOS</v>
          </cell>
          <cell r="E97"/>
          <cell r="F97"/>
          <cell r="G97"/>
          <cell r="H97"/>
          <cell r="I97"/>
        </row>
        <row r="98">
          <cell r="A98" t="str">
            <v>C-115</v>
          </cell>
          <cell r="B98"/>
          <cell r="C98" t="str">
            <v>VISTAS DE LA CAÑADA</v>
          </cell>
          <cell r="D98" t="str">
            <v>MANTENIMIENTO CASA ÁLVARO SOTO</v>
          </cell>
          <cell r="E98"/>
          <cell r="F98"/>
          <cell r="G98"/>
          <cell r="H98"/>
          <cell r="I98"/>
        </row>
        <row r="99">
          <cell r="A99" t="str">
            <v>C-121</v>
          </cell>
          <cell r="B99"/>
          <cell r="C99" t="str">
            <v>TAPALPA</v>
          </cell>
          <cell r="D99" t="str">
            <v>CABAÑA EL JAGUEY</v>
          </cell>
          <cell r="E99"/>
          <cell r="F99"/>
          <cell r="G99"/>
          <cell r="H99"/>
          <cell r="I99"/>
        </row>
        <row r="100">
          <cell r="A100" t="str">
            <v>C-127</v>
          </cell>
          <cell r="B100"/>
          <cell r="C100" t="str">
            <v>TLAJOMULCO</v>
          </cell>
          <cell r="D100" t="str">
            <v>PRODUCTOS CONTROLADOS EDIFICIO B</v>
          </cell>
          <cell r="E100"/>
          <cell r="F100"/>
          <cell r="G100"/>
          <cell r="H100"/>
          <cell r="I100"/>
        </row>
        <row r="101">
          <cell r="A101" t="str">
            <v>C-143</v>
          </cell>
          <cell r="B101"/>
          <cell r="C101" t="str">
            <v>TAPALPA</v>
          </cell>
          <cell r="D101" t="str">
            <v>CASA STELLA ÁLVAREZ</v>
          </cell>
          <cell r="E101"/>
          <cell r="F101"/>
          <cell r="G101"/>
          <cell r="H101"/>
          <cell r="I101"/>
        </row>
        <row r="102">
          <cell r="A102" t="str">
            <v>C-146</v>
          </cell>
          <cell r="B102"/>
          <cell r="C102" t="str">
            <v>TAPALPA</v>
          </cell>
          <cell r="D102" t="str">
            <v>MANTENIMIENTO CASA JCAV</v>
          </cell>
          <cell r="E102"/>
          <cell r="F102"/>
          <cell r="G102"/>
          <cell r="H102"/>
          <cell r="I102"/>
        </row>
        <row r="103">
          <cell r="A103" t="str">
            <v>C-147</v>
          </cell>
          <cell r="B103"/>
          <cell r="C103" t="str">
            <v>TAPALPA</v>
          </cell>
          <cell r="D103" t="str">
            <v>MANTENIMIENTO RANCHO JCAV</v>
          </cell>
          <cell r="E103"/>
          <cell r="F103"/>
          <cell r="G103"/>
          <cell r="H103"/>
          <cell r="I103"/>
        </row>
        <row r="104">
          <cell r="A104" t="str">
            <v>C-149</v>
          </cell>
          <cell r="B104"/>
          <cell r="C104" t="str">
            <v>TAPALPA</v>
          </cell>
          <cell r="D104" t="str">
            <v>TERRAZA MARIANO BERDEGUÉ SAINZ</v>
          </cell>
          <cell r="E104"/>
          <cell r="F104"/>
          <cell r="G104"/>
          <cell r="H104"/>
          <cell r="I104"/>
        </row>
        <row r="105">
          <cell r="A105" t="str">
            <v>C-154</v>
          </cell>
          <cell r="B105"/>
          <cell r="C105" t="str">
            <v>ZONA IND</v>
          </cell>
          <cell r="D105" t="str">
            <v>LABORATORIO FÍSICO-QUÍMICOS</v>
          </cell>
          <cell r="E105"/>
          <cell r="F105"/>
          <cell r="G105"/>
          <cell r="H105"/>
          <cell r="I105"/>
        </row>
        <row r="106">
          <cell r="A106" t="str">
            <v>C-155</v>
          </cell>
          <cell r="B106"/>
          <cell r="C106" t="str">
            <v>PUERTA PLATA</v>
          </cell>
          <cell r="D106" t="str">
            <v>VIVIANA MARTÍNEZ ÁLVAREZ</v>
          </cell>
          <cell r="E106"/>
          <cell r="F106"/>
          <cell r="G106"/>
          <cell r="H106"/>
          <cell r="I106"/>
        </row>
        <row r="107">
          <cell r="A107" t="str">
            <v>C-158</v>
          </cell>
          <cell r="B107"/>
          <cell r="C107" t="str">
            <v>ZONA IND</v>
          </cell>
          <cell r="D107" t="str">
            <v>LÍNEA VA3</v>
          </cell>
          <cell r="E107"/>
          <cell r="F107"/>
          <cell r="G107"/>
          <cell r="H107"/>
          <cell r="I107"/>
        </row>
        <row r="108">
          <cell r="A108" t="str">
            <v>C-160</v>
          </cell>
          <cell r="B108"/>
          <cell r="C108" t="str">
            <v>PASEO DE LOS VIRREYES LOTE 43 ,COL. SAN WENCESLAO</v>
          </cell>
          <cell r="D108" t="str">
            <v>CASA JORGE PABLO CHÁVEZ NAVARRO</v>
          </cell>
          <cell r="E108"/>
          <cell r="F108"/>
          <cell r="G108"/>
          <cell r="H108"/>
          <cell r="I108"/>
        </row>
        <row r="109">
          <cell r="A109" t="str">
            <v>C-162</v>
          </cell>
          <cell r="B109"/>
          <cell r="C109" t="str">
            <v>TAPALPA</v>
          </cell>
          <cell r="D109" t="str">
            <v>CASA OLMOS</v>
          </cell>
          <cell r="E109"/>
          <cell r="F109"/>
          <cell r="G109"/>
          <cell r="H109"/>
          <cell r="I109"/>
        </row>
        <row r="110">
          <cell r="A110" t="str">
            <v>C-165</v>
          </cell>
          <cell r="B110"/>
          <cell r="C110" t="str">
            <v>TLAJOMULCO</v>
          </cell>
          <cell r="D110" t="str">
            <v>BODYLOGIC II</v>
          </cell>
          <cell r="E110"/>
          <cell r="F110"/>
          <cell r="G110"/>
          <cell r="H110"/>
          <cell r="I110"/>
        </row>
        <row r="111">
          <cell r="A111" t="str">
            <v>C-170</v>
          </cell>
          <cell r="B111"/>
          <cell r="C111" t="str">
            <v>HIMNO PATRIO S/N</v>
          </cell>
          <cell r="D111" t="str">
            <v>TERRENO HIMNO PATRIO ANA PAULA CHÁVEZ</v>
          </cell>
          <cell r="E111"/>
          <cell r="F111"/>
          <cell r="G111"/>
          <cell r="H111"/>
          <cell r="I111"/>
        </row>
        <row r="112">
          <cell r="A112" t="str">
            <v>C-176</v>
          </cell>
          <cell r="B112"/>
          <cell r="C112" t="str">
            <v>CIRCUITO MADRIGAL</v>
          </cell>
          <cell r="D112" t="str">
            <v>COTO COLINAS</v>
          </cell>
          <cell r="E112"/>
          <cell r="F112"/>
          <cell r="G112"/>
          <cell r="H112"/>
          <cell r="I112"/>
        </row>
        <row r="113">
          <cell r="A113" t="str">
            <v>C-180_1</v>
          </cell>
          <cell r="B113"/>
          <cell r="C113" t="str">
            <v>ZONA IND</v>
          </cell>
          <cell r="D113" t="str">
            <v>REMEDIACIÓN SISTEMA DE AGUA ORALES</v>
          </cell>
          <cell r="E113"/>
          <cell r="F113"/>
          <cell r="G113"/>
          <cell r="H113"/>
          <cell r="I113"/>
        </row>
        <row r="114">
          <cell r="A114" t="str">
            <v>C-180</v>
          </cell>
          <cell r="B114"/>
          <cell r="C114" t="str">
            <v>ZONA IND</v>
          </cell>
          <cell r="D114" t="str">
            <v>INSTALACIÓN DE DESTILADOR</v>
          </cell>
          <cell r="E114"/>
          <cell r="F114"/>
          <cell r="G114"/>
          <cell r="H114"/>
          <cell r="I114"/>
        </row>
        <row r="115">
          <cell r="A115" t="str">
            <v>C-183</v>
          </cell>
          <cell r="B115"/>
          <cell r="C115" t="str">
            <v>TLAJOMULCO</v>
          </cell>
          <cell r="D115" t="str">
            <v>RELACIÓN DE GASTOS EFECTUADOS MANTENIMIENTO DIRECCIÓN ELECTROLIT</v>
          </cell>
          <cell r="E115"/>
          <cell r="F115"/>
          <cell r="G115"/>
          <cell r="H115"/>
          <cell r="I115"/>
        </row>
        <row r="116">
          <cell r="A116" t="str">
            <v>C-188</v>
          </cell>
          <cell r="B116"/>
          <cell r="C116" t="str">
            <v>PUERTA PLATA</v>
          </cell>
          <cell r="D116" t="str">
            <v>CRISTÓBAL GARCIARCE ÁLVAREZ</v>
          </cell>
          <cell r="E116"/>
          <cell r="F116"/>
          <cell r="G116"/>
          <cell r="H116"/>
          <cell r="I116"/>
        </row>
        <row r="117">
          <cell r="A117" t="str">
            <v>C-193</v>
          </cell>
          <cell r="B117"/>
          <cell r="C117" t="str">
            <v>TLAJOMULCO</v>
          </cell>
          <cell r="D117" t="str">
            <v>INSUMOS 3 EN MANZANA 3</v>
          </cell>
          <cell r="E117"/>
          <cell r="F117"/>
          <cell r="G117"/>
          <cell r="H117"/>
          <cell r="I117"/>
        </row>
        <row r="118">
          <cell r="A118" t="str">
            <v>C-193A</v>
          </cell>
          <cell r="B118"/>
          <cell r="C118" t="str">
            <v>TLAJOMULCO</v>
          </cell>
          <cell r="D118" t="str">
            <v>ALMACÉN DE INSUMOS 3 EN MANZANA 3 OBRA INTERNA</v>
          </cell>
          <cell r="E118"/>
          <cell r="F118"/>
          <cell r="G118"/>
          <cell r="H118"/>
          <cell r="I118"/>
        </row>
        <row r="119">
          <cell r="A119" t="str">
            <v>C-194</v>
          </cell>
          <cell r="B119"/>
          <cell r="C119" t="str">
            <v>TLAJOMULCO</v>
          </cell>
          <cell r="D119" t="str">
            <v>PRODUCCIÓN 3 EN MANZANA 3</v>
          </cell>
          <cell r="E119"/>
          <cell r="F119"/>
          <cell r="G119"/>
          <cell r="H119"/>
          <cell r="I119"/>
        </row>
        <row r="120">
          <cell r="A120" t="str">
            <v>C-194A</v>
          </cell>
          <cell r="B120"/>
          <cell r="C120" t="str">
            <v>TLAJOMULCO</v>
          </cell>
          <cell r="D120" t="str">
            <v>NAVE DE PRODUCCIÓN 3 EN MANZANA 3 OBRA INTERNA</v>
          </cell>
          <cell r="E120"/>
          <cell r="F120"/>
          <cell r="G120"/>
          <cell r="H120"/>
          <cell r="I120"/>
        </row>
        <row r="121">
          <cell r="A121" t="str">
            <v>C-195</v>
          </cell>
          <cell r="B121"/>
          <cell r="C121" t="str">
            <v>TLAJOMULCO</v>
          </cell>
          <cell r="D121" t="str">
            <v>ALMACÉN DE MATERIALES 3 EN MANZANA 3</v>
          </cell>
          <cell r="E121"/>
          <cell r="F121"/>
          <cell r="G121"/>
          <cell r="H121"/>
          <cell r="I121"/>
        </row>
        <row r="122">
          <cell r="A122" t="str">
            <v>C-195A</v>
          </cell>
          <cell r="B122"/>
          <cell r="C122" t="str">
            <v>TLAJOMULCO</v>
          </cell>
          <cell r="D122" t="str">
            <v>ALMACÉN DE MATERIALES 3 EN MANZANA 3 OBRA INTERNA</v>
          </cell>
          <cell r="E122"/>
          <cell r="F122"/>
          <cell r="G122"/>
          <cell r="H122"/>
          <cell r="I122"/>
        </row>
        <row r="123">
          <cell r="A123" t="str">
            <v>C-196</v>
          </cell>
          <cell r="B123"/>
          <cell r="C123" t="str">
            <v>TLAJOMULCO</v>
          </cell>
          <cell r="D123" t="str">
            <v>PATIOS DE MATERIALES EN MANZANA 3</v>
          </cell>
          <cell r="E123"/>
          <cell r="F123"/>
          <cell r="G123"/>
          <cell r="H123"/>
          <cell r="I123"/>
        </row>
        <row r="124">
          <cell r="A124" t="str">
            <v>C-199</v>
          </cell>
          <cell r="B124"/>
          <cell r="C124" t="str">
            <v>PARQUE CAB</v>
          </cell>
          <cell r="D124" t="str">
            <v>CUARTO DE BOMBAS PYMPSA/CAB</v>
          </cell>
          <cell r="E124"/>
          <cell r="F124"/>
          <cell r="G124"/>
          <cell r="H124"/>
          <cell r="I124"/>
        </row>
        <row r="125">
          <cell r="A125" t="str">
            <v>C-202</v>
          </cell>
          <cell r="B125"/>
          <cell r="C125" t="str">
            <v>TLAJOMULCO</v>
          </cell>
          <cell r="D125" t="str">
            <v>REMEDIACIÓN PASILLOS GENERALES ISO 9 EDIFICIO A</v>
          </cell>
          <cell r="E125"/>
          <cell r="F125"/>
          <cell r="G125"/>
          <cell r="H125"/>
          <cell r="I125"/>
        </row>
        <row r="126">
          <cell r="A126" t="str">
            <v>C-205</v>
          </cell>
          <cell r="B126"/>
          <cell r="C126" t="str">
            <v>TLAJOMULCO</v>
          </cell>
          <cell r="D126" t="str">
            <v>REMEDIACIÓN PASILLOS ISO 09 VIALES</v>
          </cell>
          <cell r="E126"/>
          <cell r="F126"/>
          <cell r="G126"/>
          <cell r="H126"/>
          <cell r="I126"/>
        </row>
        <row r="127">
          <cell r="A127" t="str">
            <v>C-206</v>
          </cell>
          <cell r="B127"/>
          <cell r="C127" t="str">
            <v>TLAJOMULCO</v>
          </cell>
          <cell r="D127" t="str">
            <v>BASE PUENTE Y SILO EDIFICIO A</v>
          </cell>
          <cell r="E127"/>
          <cell r="F127"/>
          <cell r="G127"/>
          <cell r="H127"/>
          <cell r="I127"/>
        </row>
        <row r="128">
          <cell r="A128" t="str">
            <v>C-207</v>
          </cell>
          <cell r="B128"/>
          <cell r="C128" t="str">
            <v>TLAJOMULCO</v>
          </cell>
          <cell r="D128" t="str">
            <v>ARCHIVOS REGULATORIOS EDIFICIO B</v>
          </cell>
          <cell r="E128"/>
          <cell r="F128"/>
          <cell r="G128"/>
          <cell r="H128"/>
          <cell r="I128"/>
        </row>
        <row r="129">
          <cell r="A129" t="str">
            <v>C-209</v>
          </cell>
          <cell r="B129"/>
          <cell r="C129" t="str">
            <v>TEJABANES</v>
          </cell>
          <cell r="D129" t="str">
            <v>ADECUACIONES DE NAVES 5 y 6</v>
          </cell>
          <cell r="E129"/>
          <cell r="F129"/>
          <cell r="G129"/>
          <cell r="H129"/>
          <cell r="I129"/>
        </row>
        <row r="130">
          <cell r="A130" t="str">
            <v>C-214</v>
          </cell>
          <cell r="B130"/>
          <cell r="C130" t="str">
            <v>TLAJOMULCO</v>
          </cell>
          <cell r="D130" t="str">
            <v>TRABAJOS DE MANTENIMIENTO EN EXTERIORES Y ÁREAS GENERALES</v>
          </cell>
          <cell r="E130"/>
          <cell r="F130"/>
          <cell r="G130"/>
          <cell r="H130"/>
          <cell r="I130"/>
        </row>
        <row r="131">
          <cell r="A131" t="str">
            <v>C-215</v>
          </cell>
          <cell r="B131"/>
          <cell r="C131" t="str">
            <v>ZONA IND</v>
          </cell>
          <cell r="D131" t="str">
            <v>OFICINAS DE MANTENIMIENTO</v>
          </cell>
          <cell r="E131"/>
          <cell r="F131"/>
          <cell r="G131"/>
          <cell r="H131"/>
          <cell r="I131"/>
        </row>
        <row r="132">
          <cell r="A132" t="str">
            <v>C-216</v>
          </cell>
          <cell r="B132"/>
          <cell r="C132" t="str">
            <v>ZONA IND</v>
          </cell>
          <cell r="D132" t="str">
            <v>MEZANINNE PARA ARCHIVOS DE DOCUMENTACIÓN</v>
          </cell>
          <cell r="E132"/>
          <cell r="F132"/>
          <cell r="G132"/>
          <cell r="H132"/>
          <cell r="I132"/>
        </row>
        <row r="133">
          <cell r="A133" t="str">
            <v>C-221</v>
          </cell>
          <cell r="B133"/>
          <cell r="C133" t="str">
            <v>TLAJOMULCO</v>
          </cell>
          <cell r="D133" t="str">
            <v>REMEDIACIÓN PLANTA PENICILÍNICOS</v>
          </cell>
          <cell r="E133"/>
          <cell r="F133"/>
          <cell r="G133"/>
          <cell r="H133"/>
          <cell r="I133"/>
        </row>
        <row r="134">
          <cell r="A134" t="str">
            <v>C-224</v>
          </cell>
          <cell r="B134"/>
          <cell r="C134" t="str">
            <v>ZONA IND</v>
          </cell>
          <cell r="D134" t="str">
            <v>CLASIFICACIÓN DE PASILLOS PLANTA</v>
          </cell>
          <cell r="E134"/>
          <cell r="F134"/>
          <cell r="G134"/>
          <cell r="H134"/>
          <cell r="I134"/>
        </row>
        <row r="135">
          <cell r="A135" t="str">
            <v>C-225</v>
          </cell>
          <cell r="B135"/>
          <cell r="C135" t="str">
            <v>TLAJOMULCO</v>
          </cell>
          <cell r="D135" t="str">
            <v>SALAS DE CAPACITACIÓN NAVE 3, EDIFICIO B</v>
          </cell>
          <cell r="E135"/>
          <cell r="F135"/>
          <cell r="G135"/>
          <cell r="H135"/>
          <cell r="I135"/>
        </row>
        <row r="136">
          <cell r="A136" t="str">
            <v>C-226</v>
          </cell>
          <cell r="B136"/>
          <cell r="C136" t="str">
            <v>16 DE SEPTIEMBRE 1066 COL. MODERNA, GUADALAJARA, JALISCO</v>
          </cell>
          <cell r="D136" t="str">
            <v>REMODELACIÓN AGENCIA AUTONOVA</v>
          </cell>
          <cell r="E136"/>
          <cell r="F136"/>
          <cell r="G136"/>
          <cell r="H136"/>
          <cell r="I136"/>
        </row>
        <row r="137">
          <cell r="A137" t="str">
            <v>C-228</v>
          </cell>
          <cell r="B137"/>
          <cell r="C137" t="str">
            <v>ZAPOPAN, JALISCO</v>
          </cell>
          <cell r="D137" t="str">
            <v>PARQUE INDUSTRIAL INDORAMA</v>
          </cell>
          <cell r="E137"/>
          <cell r="F137"/>
          <cell r="G137"/>
          <cell r="H137"/>
          <cell r="I137"/>
        </row>
        <row r="138">
          <cell r="A138" t="str">
            <v>C-231</v>
          </cell>
          <cell r="B138"/>
          <cell r="C138" t="str">
            <v>TLAJOMULCO</v>
          </cell>
          <cell r="D138" t="str">
            <v>RECUPERACIÓN DE AGUAS RESIDUALES DEL COMPLEJO TLAJOMULCO</v>
          </cell>
          <cell r="E138"/>
          <cell r="F138"/>
          <cell r="G138"/>
          <cell r="H138"/>
          <cell r="I138"/>
        </row>
        <row r="139">
          <cell r="A139" t="str">
            <v>C-232</v>
          </cell>
          <cell r="B139"/>
          <cell r="C139" t="str">
            <v>TLAJOMULCO</v>
          </cell>
          <cell r="D139" t="str">
            <v>MANTENIMIENTO A INGRESO DE OFICINAS DE MANTENIMIENTO</v>
          </cell>
          <cell r="E139"/>
          <cell r="F139"/>
          <cell r="G139"/>
          <cell r="H139"/>
          <cell r="I139"/>
        </row>
        <row r="140">
          <cell r="A140" t="str">
            <v>C-234</v>
          </cell>
          <cell r="B140"/>
          <cell r="C140" t="str">
            <v>TLAJOMULCO</v>
          </cell>
          <cell r="D140" t="str">
            <v>INCREMENTO DE CAPACIDAD POZO 7</v>
          </cell>
          <cell r="E140"/>
          <cell r="F140"/>
          <cell r="G140"/>
          <cell r="H140"/>
          <cell r="I140"/>
        </row>
        <row r="141">
          <cell r="A141" t="str">
            <v>C-244</v>
          </cell>
          <cell r="B141"/>
          <cell r="C141" t="str">
            <v>ZONA IND</v>
          </cell>
          <cell r="D141" t="str">
            <v>ALMACÉN MP CALLE 6</v>
          </cell>
          <cell r="E141"/>
          <cell r="F141"/>
          <cell r="G141"/>
          <cell r="H141"/>
          <cell r="I141"/>
        </row>
        <row r="142">
          <cell r="A142" t="str">
            <v>C-247</v>
          </cell>
          <cell r="B142"/>
          <cell r="C142" t="str">
            <v>EL COTO</v>
          </cell>
          <cell r="D142" t="str">
            <v>PÉRGOLA Y ASADORES EL COTO</v>
          </cell>
          <cell r="E142"/>
          <cell r="F142"/>
          <cell r="G142"/>
          <cell r="H142"/>
          <cell r="I142"/>
        </row>
        <row r="143">
          <cell r="A143" t="str">
            <v>C-249</v>
          </cell>
          <cell r="B143"/>
          <cell r="C143" t="str">
            <v>TLAJOMULCO</v>
          </cell>
          <cell r="D143" t="str">
            <v>MANTENIMIENTO EDIFICIO B VIALES</v>
          </cell>
          <cell r="E143"/>
          <cell r="F143"/>
          <cell r="G143"/>
          <cell r="H143"/>
          <cell r="I143"/>
        </row>
        <row r="144">
          <cell r="A144" t="str">
            <v>C-255</v>
          </cell>
          <cell r="B144"/>
          <cell r="C144" t="str">
            <v>ZONA INDUSTRIAL</v>
          </cell>
          <cell r="D144" t="str">
            <v>MUESTREO DE ESTÉRIL MATERIAS PRIMAS</v>
          </cell>
          <cell r="E144"/>
          <cell r="F144"/>
          <cell r="G144"/>
          <cell r="H144"/>
          <cell r="I144"/>
        </row>
        <row r="145">
          <cell r="A145" t="str">
            <v>C-256</v>
          </cell>
          <cell r="B145"/>
          <cell r="C145" t="str">
            <v>AV ESPAÑA</v>
          </cell>
          <cell r="D145" t="str">
            <v>CONEXIÓN DE TRANSFORMADOR BODYLOGIC AV. ESPAÑA</v>
          </cell>
          <cell r="E145"/>
          <cell r="F145"/>
          <cell r="G145"/>
          <cell r="H145"/>
          <cell r="I145"/>
        </row>
        <row r="146">
          <cell r="A146" t="str">
            <v>C-258</v>
          </cell>
          <cell r="B146"/>
          <cell r="C146" t="str">
            <v>TLAJOMULCO</v>
          </cell>
          <cell r="D146" t="str">
            <v>MANTENIMIENTO DE TUBERÍA DE AFORO PARA AGUA DE LAVANDERÍA</v>
          </cell>
          <cell r="E146"/>
          <cell r="F146"/>
          <cell r="G146"/>
          <cell r="H146"/>
          <cell r="I146"/>
        </row>
        <row r="147">
          <cell r="A147" t="str">
            <v>C-259</v>
          </cell>
          <cell r="B147"/>
          <cell r="C147" t="str">
            <v>TLAJOMULCO</v>
          </cell>
          <cell r="D147" t="str">
            <v>OBRA CIVIL MEJORA INCUBACIÓN LABORATORIO EDIFICIO E</v>
          </cell>
          <cell r="E147"/>
          <cell r="F147"/>
          <cell r="G147"/>
          <cell r="H147"/>
          <cell r="I147"/>
        </row>
        <row r="148">
          <cell r="A148" t="str">
            <v>C-260</v>
          </cell>
          <cell r="B148"/>
          <cell r="C148" t="str">
            <v>TLAJOMULCO</v>
          </cell>
          <cell r="D148" t="str">
            <v>OBRA CIVIL MEJORA LABORATORIO DE METROLOGÍA NAVE 5 EDIFICIO E</v>
          </cell>
          <cell r="E148"/>
          <cell r="F148"/>
          <cell r="G148"/>
          <cell r="H148"/>
          <cell r="I148"/>
        </row>
        <row r="149">
          <cell r="A149" t="str">
            <v>C-261</v>
          </cell>
          <cell r="B149"/>
          <cell r="C149" t="str">
            <v>TLAJOMULCO</v>
          </cell>
          <cell r="D149" t="str">
            <v>OBRA CIVIL MEJORA ESTABILIDADES LABORATORIO EDIFICIO E</v>
          </cell>
          <cell r="E149"/>
          <cell r="F149"/>
          <cell r="G149"/>
          <cell r="H149"/>
          <cell r="I149"/>
        </row>
        <row r="150">
          <cell r="A150" t="str">
            <v>C-262</v>
          </cell>
          <cell r="B150"/>
          <cell r="C150" t="str">
            <v>TLAJOMULCO</v>
          </cell>
          <cell r="D150" t="str">
            <v>MANTENIMIENTO DE FOSA PARA BÁSCULA EREMA</v>
          </cell>
          <cell r="E150"/>
          <cell r="F150"/>
          <cell r="G150"/>
          <cell r="H150"/>
          <cell r="I150"/>
        </row>
        <row r="151">
          <cell r="A151" t="str">
            <v>C-263</v>
          </cell>
          <cell r="B151"/>
          <cell r="C151" t="str">
            <v>TLAJOMULCO</v>
          </cell>
          <cell r="D151" t="str">
            <v>MANTENIMIENTO EREMA PP</v>
          </cell>
          <cell r="E151"/>
          <cell r="F151"/>
          <cell r="G151"/>
          <cell r="H151"/>
          <cell r="I151"/>
        </row>
        <row r="152">
          <cell r="A152" t="str">
            <v>C-264</v>
          </cell>
          <cell r="B152"/>
          <cell r="C152" t="str">
            <v>TLAJOMULCO</v>
          </cell>
          <cell r="D152" t="str">
            <v>INSTALACIÓN DE SISTEMA DE INSPECCIÓN DE FUGAS L2 EDIF A ELECTROLIT</v>
          </cell>
          <cell r="E152"/>
          <cell r="F152"/>
          <cell r="G152"/>
          <cell r="H152"/>
          <cell r="I152"/>
        </row>
        <row r="153">
          <cell r="A153" t="str">
            <v>C-265</v>
          </cell>
          <cell r="B153"/>
          <cell r="C153" t="str">
            <v>TLAJOMULCO</v>
          </cell>
          <cell r="D153" t="str">
            <v>MEJORA RECUPERACIÓN DE BOLSA OVER LÍNEA 5</v>
          </cell>
          <cell r="E153"/>
          <cell r="F153"/>
          <cell r="G153"/>
          <cell r="H153"/>
          <cell r="I153"/>
        </row>
        <row r="154">
          <cell r="A154" t="str">
            <v>C-266</v>
          </cell>
          <cell r="B154"/>
          <cell r="C154" t="str">
            <v>TLAJOMULCO</v>
          </cell>
          <cell r="D154" t="str">
            <v>MANTENIMIENTO DE LABORATORIO PRUEBAS DE ESTERILIDAD EDIFICIO E</v>
          </cell>
          <cell r="E154"/>
          <cell r="F154"/>
          <cell r="G154"/>
          <cell r="H154"/>
          <cell r="I154"/>
        </row>
        <row r="155">
          <cell r="A155" t="str">
            <v>C-267</v>
          </cell>
          <cell r="B155"/>
          <cell r="C155" t="str">
            <v>ZONA INDUSTRIAL</v>
          </cell>
          <cell r="D155" t="str">
            <v>PASO DE GATO LABORATORIO</v>
          </cell>
          <cell r="E155"/>
          <cell r="F155"/>
          <cell r="G155"/>
          <cell r="H155"/>
          <cell r="I155"/>
        </row>
        <row r="156">
          <cell r="A156" t="str">
            <v>C-268</v>
          </cell>
          <cell r="B156"/>
          <cell r="C156" t="str">
            <v>TLAJOMULCO</v>
          </cell>
          <cell r="D156" t="str">
            <v>SALA DE JUNTAS EN TALLERES DE MANTENIMIENTO EDIFICIO A</v>
          </cell>
          <cell r="E156"/>
          <cell r="F156"/>
          <cell r="G156"/>
          <cell r="H156"/>
          <cell r="I156"/>
        </row>
        <row r="157">
          <cell r="A157" t="str">
            <v>C-269</v>
          </cell>
          <cell r="B157"/>
          <cell r="C157" t="str">
            <v>ZONA INDUSTRIAL</v>
          </cell>
          <cell r="D157" t="str">
            <v>REFORZAMIENTO DE LOSA ALMACÉN CALLE 6</v>
          </cell>
          <cell r="E157"/>
          <cell r="F157"/>
          <cell r="G157"/>
          <cell r="H157"/>
          <cell r="I157"/>
        </row>
        <row r="158">
          <cell r="A158" t="str">
            <v>C-270</v>
          </cell>
          <cell r="B158"/>
          <cell r="C158" t="str">
            <v>TLAJOMULCO</v>
          </cell>
          <cell r="D158" t="str">
            <v>REJA TERRENO TECNAAL</v>
          </cell>
          <cell r="E158"/>
          <cell r="F158"/>
          <cell r="G158"/>
          <cell r="H158"/>
          <cell r="I158"/>
        </row>
        <row r="159">
          <cell r="A159" t="str">
            <v>C-271</v>
          </cell>
          <cell r="B159"/>
          <cell r="C159" t="str">
            <v>TLAJOMULCO</v>
          </cell>
          <cell r="D159" t="str">
            <v>INSUMOS 4 EN MANZANA 3</v>
          </cell>
          <cell r="E159"/>
          <cell r="F159"/>
          <cell r="G159"/>
          <cell r="H159"/>
          <cell r="I159"/>
        </row>
        <row r="160">
          <cell r="A160" t="str">
            <v>C-272</v>
          </cell>
          <cell r="B160"/>
          <cell r="C160"/>
          <cell r="D160" t="str">
            <v>JUAN FRANCISCO LÓPEZ GALINDO</v>
          </cell>
          <cell r="E160"/>
          <cell r="F160"/>
          <cell r="G160"/>
          <cell r="H160"/>
          <cell r="I160"/>
        </row>
        <row r="161">
          <cell r="A161" t="str">
            <v>C-273</v>
          </cell>
          <cell r="B161"/>
          <cell r="C161" t="str">
            <v>TLAJOMULCO</v>
          </cell>
          <cell r="D161" t="str">
            <v>MANTENIMIENTO A PISO TÉCNICO DE RTN EDIFICIO E</v>
          </cell>
          <cell r="E161"/>
          <cell r="F161"/>
          <cell r="G161"/>
          <cell r="H161"/>
          <cell r="I161"/>
        </row>
        <row r="162">
          <cell r="A162" t="str">
            <v>C-274</v>
          </cell>
          <cell r="B162"/>
          <cell r="C162" t="str">
            <v>PYMPSA</v>
          </cell>
          <cell r="D162" t="str">
            <v>CLORHEXIDINA TEJABANES</v>
          </cell>
          <cell r="E162"/>
          <cell r="F162"/>
          <cell r="G162"/>
          <cell r="H162"/>
          <cell r="I162"/>
        </row>
        <row r="163">
          <cell r="A163" t="str">
            <v>C-275</v>
          </cell>
          <cell r="B163"/>
          <cell r="C163" t="str">
            <v>COAHUILA</v>
          </cell>
          <cell r="D163" t="str">
            <v>2 CABAÑAS</v>
          </cell>
          <cell r="E163"/>
          <cell r="F163"/>
          <cell r="G163"/>
          <cell r="H163"/>
          <cell r="I163"/>
        </row>
        <row r="164">
          <cell r="A164" t="str">
            <v>C-277</v>
          </cell>
          <cell r="B164"/>
          <cell r="C164" t="str">
            <v>TLAJOMULCO</v>
          </cell>
          <cell r="D164" t="str">
            <v>NAVE DE PRODUCCIÓN 4 LÍNEA 10</v>
          </cell>
          <cell r="E164"/>
          <cell r="F164"/>
          <cell r="G164"/>
          <cell r="H164"/>
          <cell r="I164"/>
        </row>
        <row r="165">
          <cell r="A165" t="str">
            <v>C-278</v>
          </cell>
          <cell r="B165"/>
          <cell r="C165" t="str">
            <v>PYMPSA</v>
          </cell>
          <cell r="D165" t="str">
            <v>CUARTO DE HORNOS PYMPSA</v>
          </cell>
          <cell r="E165"/>
          <cell r="F165"/>
          <cell r="G165"/>
          <cell r="H165"/>
          <cell r="I165"/>
        </row>
        <row r="166">
          <cell r="A166" t="str">
            <v>C-279</v>
          </cell>
          <cell r="B166"/>
          <cell r="C166" t="str">
            <v>ZONA INDUSTRIAL</v>
          </cell>
          <cell r="D166" t="str">
            <v>SALIDA DE DESECHOS ALMACÉN PT</v>
          </cell>
          <cell r="E166"/>
          <cell r="F166"/>
          <cell r="G166"/>
          <cell r="H166"/>
          <cell r="I166"/>
        </row>
        <row r="167">
          <cell r="A167" t="str">
            <v>C-281</v>
          </cell>
          <cell r="B167"/>
          <cell r="C167" t="str">
            <v>TAPALPA</v>
          </cell>
          <cell r="D167" t="str">
            <v>HUGO CUESTA</v>
          </cell>
          <cell r="E167"/>
          <cell r="F167"/>
          <cell r="G167"/>
          <cell r="H167"/>
          <cell r="I167"/>
        </row>
        <row r="168">
          <cell r="A168" t="str">
            <v>C-282</v>
          </cell>
          <cell r="B168"/>
          <cell r="C168" t="str">
            <v>TEJABANES</v>
          </cell>
          <cell r="D168" t="str">
            <v>TRABAJOS DE DUROCK PARA PUENTE ESTRUCTURAL DE CASETA PPAL CDN</v>
          </cell>
          <cell r="E168"/>
          <cell r="F168"/>
          <cell r="G168"/>
          <cell r="H168"/>
          <cell r="I168"/>
        </row>
        <row r="169">
          <cell r="A169" t="str">
            <v>C-283</v>
          </cell>
          <cell r="B169"/>
          <cell r="C169" t="str">
            <v>ZONA INDUSTRIAL</v>
          </cell>
          <cell r="D169" t="str">
            <v>SISTEMA DE GENERACIÓN DE AGUA PURIFICADA</v>
          </cell>
          <cell r="E169"/>
          <cell r="F169"/>
          <cell r="G169"/>
          <cell r="H169"/>
          <cell r="I169"/>
        </row>
        <row r="170">
          <cell r="A170" t="str">
            <v>C-284</v>
          </cell>
          <cell r="B170"/>
          <cell r="C170" t="str">
            <v>TLAJOMULCO</v>
          </cell>
          <cell r="D170" t="str">
            <v>ADECUACIÓN DE OBRA CIVIL EN NAVE DE SERVICIOS EDIFICIO C</v>
          </cell>
          <cell r="E170"/>
          <cell r="F170"/>
          <cell r="G170"/>
          <cell r="H170"/>
          <cell r="I170"/>
        </row>
        <row r="171">
          <cell r="A171" t="str">
            <v>C-285</v>
          </cell>
          <cell r="B171"/>
          <cell r="C171" t="str">
            <v>ZONA INDUSTRIAL</v>
          </cell>
          <cell r="D171" t="str">
            <v>LÍNEA 3 Y 4 AMPOLLETAS VIDRIO CALLE 6</v>
          </cell>
          <cell r="E171"/>
          <cell r="F171"/>
          <cell r="G171"/>
          <cell r="H171"/>
          <cell r="I171"/>
        </row>
        <row r="172">
          <cell r="A172" t="str">
            <v>C-290</v>
          </cell>
          <cell r="B172"/>
          <cell r="C172" t="str">
            <v>TLAJOMULCO</v>
          </cell>
          <cell r="D172" t="str">
            <v>PROYECTO REMEDIACIÓN HVAC LÍNEAS BOLSAS EDIFICIO A</v>
          </cell>
          <cell r="E172"/>
          <cell r="F172"/>
          <cell r="G172"/>
          <cell r="H172"/>
          <cell r="I172"/>
        </row>
        <row r="173">
          <cell r="A173" t="str">
            <v>C-292</v>
          </cell>
          <cell r="B173"/>
          <cell r="C173" t="str">
            <v>ZONA INDUSTRIAL</v>
          </cell>
          <cell r="D173" t="str">
            <v>BASE REACTOR GALBER</v>
          </cell>
          <cell r="E173"/>
          <cell r="F173"/>
          <cell r="G173"/>
          <cell r="H173"/>
          <cell r="I173"/>
        </row>
        <row r="174">
          <cell r="A174" t="str">
            <v>C-294</v>
          </cell>
          <cell r="B174"/>
          <cell r="C174" t="str">
            <v>TLAJOMULCO</v>
          </cell>
          <cell r="D174" t="str">
            <v>AMPLIACIÓN LABORATORIO CONTROL ANALÍTICO</v>
          </cell>
          <cell r="E174"/>
          <cell r="F174"/>
          <cell r="G174"/>
          <cell r="H174"/>
          <cell r="I174"/>
        </row>
        <row r="175">
          <cell r="A175" t="str">
            <v>C-295</v>
          </cell>
          <cell r="B175"/>
          <cell r="C175" t="str">
            <v>TLAJOMULCO</v>
          </cell>
          <cell r="D175" t="str">
            <v>CDN 2 PISA TLAJOMULCO</v>
          </cell>
          <cell r="E175"/>
          <cell r="F175"/>
          <cell r="G175"/>
          <cell r="H175"/>
          <cell r="I175"/>
        </row>
        <row r="176">
          <cell r="A176" t="str">
            <v>C-296</v>
          </cell>
          <cell r="B176"/>
          <cell r="C176" t="str">
            <v>ZONA INDUSTRIAL</v>
          </cell>
          <cell r="D176" t="str">
            <v>BAÑOS DE PASILLO INGENIERÍA</v>
          </cell>
          <cell r="E176"/>
          <cell r="F176"/>
          <cell r="G176"/>
          <cell r="H176"/>
          <cell r="I176"/>
        </row>
        <row r="177">
          <cell r="A177" t="str">
            <v>C-297</v>
          </cell>
          <cell r="B177"/>
          <cell r="C177" t="str">
            <v>TLAJOMULCO</v>
          </cell>
          <cell r="D177" t="str">
            <v>PLANTA DE TAPAS</v>
          </cell>
          <cell r="E177"/>
          <cell r="F177"/>
          <cell r="G177"/>
          <cell r="H177"/>
          <cell r="I177"/>
        </row>
        <row r="178">
          <cell r="A178" t="str">
            <v>C-298</v>
          </cell>
          <cell r="B178"/>
          <cell r="C178" t="str">
            <v>ZONA INDUSTRIAL</v>
          </cell>
          <cell r="D178" t="str">
            <v>REGISTROS PARA CONTADORES DE PARTÍCULAS</v>
          </cell>
          <cell r="E178"/>
          <cell r="F178"/>
          <cell r="G178"/>
          <cell r="H178"/>
          <cell r="I178"/>
        </row>
        <row r="179">
          <cell r="A179" t="str">
            <v>C-299</v>
          </cell>
          <cell r="B179"/>
          <cell r="C179" t="str">
            <v>TEJABANES</v>
          </cell>
          <cell r="D179" t="str">
            <v>OFICINAS NAVE 14 PARQUE CAB</v>
          </cell>
          <cell r="E179"/>
          <cell r="F179"/>
          <cell r="G179"/>
          <cell r="H179"/>
          <cell r="I179"/>
        </row>
        <row r="180">
          <cell r="A180" t="str">
            <v>C-300</v>
          </cell>
          <cell r="B180"/>
          <cell r="C180" t="str">
            <v>TAPALPA ( FERNANDO SOLÍS )</v>
          </cell>
          <cell r="D180" t="str">
            <v>LOTE D y E OLMOS</v>
          </cell>
          <cell r="E180"/>
          <cell r="F180"/>
          <cell r="G180"/>
          <cell r="H180"/>
          <cell r="I180"/>
        </row>
        <row r="181">
          <cell r="A181" t="str">
            <v>C-301</v>
          </cell>
          <cell r="B181"/>
          <cell r="C181" t="str">
            <v>TLAJOMULCO</v>
          </cell>
          <cell r="D181" t="str">
            <v>PLANTA DE TRATAMIENTO DE AGUAS RESIDUALES 24 LTS</v>
          </cell>
          <cell r="E181"/>
          <cell r="F181"/>
          <cell r="G181"/>
          <cell r="H181"/>
          <cell r="I181"/>
        </row>
        <row r="182">
          <cell r="A182" t="str">
            <v>C-302</v>
          </cell>
          <cell r="B182"/>
          <cell r="C182" t="str">
            <v>ZONA INDUSTRIAL</v>
          </cell>
          <cell r="D182" t="str">
            <v>OFICINA DE INGENIERÍA DE PROYECTOS</v>
          </cell>
          <cell r="E182"/>
          <cell r="F182"/>
          <cell r="G182"/>
          <cell r="H182"/>
          <cell r="I182"/>
        </row>
        <row r="183">
          <cell r="A183" t="str">
            <v>C-303</v>
          </cell>
          <cell r="B183"/>
          <cell r="C183" t="str">
            <v>TLAJOMULCO</v>
          </cell>
          <cell r="D183" t="str">
            <v>NAVE 5 DE PRODUCCIÓN M3 LÍNEA 11 ELECTROLIT</v>
          </cell>
          <cell r="E183"/>
          <cell r="F183"/>
          <cell r="G183"/>
          <cell r="H183"/>
          <cell r="I183"/>
        </row>
        <row r="184">
          <cell r="A184" t="str">
            <v>C-304</v>
          </cell>
          <cell r="B184"/>
          <cell r="C184" t="str">
            <v>TLAJOMULCO</v>
          </cell>
          <cell r="D184" t="str">
            <v>OI PARA OBRA CIVIL ESTABILIDADES</v>
          </cell>
          <cell r="E184"/>
          <cell r="F184"/>
          <cell r="G184"/>
          <cell r="H184"/>
          <cell r="I184"/>
        </row>
        <row r="185">
          <cell r="A185" t="str">
            <v>C-305</v>
          </cell>
          <cell r="B185"/>
          <cell r="C185" t="str">
            <v>TAPALPA</v>
          </cell>
          <cell r="D185" t="str">
            <v>ANTIGUO CAMINO A FERRERÍA</v>
          </cell>
          <cell r="E185"/>
          <cell r="F185"/>
          <cell r="G185"/>
          <cell r="H185"/>
          <cell r="I185"/>
        </row>
        <row r="186">
          <cell r="A186" t="str">
            <v>C-307</v>
          </cell>
          <cell r="B186"/>
          <cell r="C186" t="str">
            <v>TLAJOMULCO</v>
          </cell>
          <cell r="D186" t="str">
            <v>CONSTRUCCIÓN DE ANDÉN ASRS</v>
          </cell>
          <cell r="E186"/>
          <cell r="F186"/>
          <cell r="G186"/>
          <cell r="H186"/>
          <cell r="I186"/>
        </row>
        <row r="187">
          <cell r="A187" t="str">
            <v>C-308</v>
          </cell>
          <cell r="B187"/>
          <cell r="C187" t="str">
            <v>TLAJOMULCO</v>
          </cell>
          <cell r="D187" t="str">
            <v>PROYECTO PUNTOS DE REUNIÓN</v>
          </cell>
          <cell r="E187"/>
          <cell r="F187"/>
          <cell r="G187"/>
          <cell r="H187"/>
          <cell r="I187"/>
        </row>
        <row r="188">
          <cell r="A188" t="str">
            <v>C-309</v>
          </cell>
          <cell r="B188"/>
          <cell r="C188" t="str">
            <v>TLAJOMULCO</v>
          </cell>
          <cell r="D188" t="str">
            <v>ALMACÉN PT5 ONCOLÓGICOS</v>
          </cell>
          <cell r="E188"/>
          <cell r="F188"/>
          <cell r="G188"/>
          <cell r="H188"/>
          <cell r="I188"/>
        </row>
        <row r="189">
          <cell r="A189" t="str">
            <v>C-310</v>
          </cell>
          <cell r="B189"/>
          <cell r="C189" t="str">
            <v>ZONA INDUSTRIAL</v>
          </cell>
          <cell r="D189" t="str">
            <v>ADECUACIÓN CUARTO DE SUB-ESTACIÓN</v>
          </cell>
          <cell r="E189"/>
          <cell r="F189"/>
          <cell r="G189"/>
          <cell r="H189"/>
          <cell r="I189"/>
        </row>
        <row r="190">
          <cell r="A190" t="str">
            <v>C-311</v>
          </cell>
          <cell r="B190"/>
          <cell r="C190" t="str">
            <v>ZONA INDUSTRIAL</v>
          </cell>
          <cell r="D190" t="str">
            <v>PLATAFORMA PARA CUARTO ELÉCTRICO</v>
          </cell>
          <cell r="E190"/>
          <cell r="F190"/>
          <cell r="G190"/>
          <cell r="H190"/>
          <cell r="I190"/>
        </row>
        <row r="191">
          <cell r="A191" t="str">
            <v>C-312</v>
          </cell>
          <cell r="B191"/>
          <cell r="C191" t="str">
            <v>ZONA INDUSTRIAL</v>
          </cell>
          <cell r="D191" t="str">
            <v>ARREGLO DE BANQUETAS Y VÍAS DEL TREN CALLE 7</v>
          </cell>
          <cell r="E191"/>
          <cell r="F191"/>
          <cell r="G191"/>
          <cell r="H191"/>
          <cell r="I191"/>
        </row>
        <row r="192">
          <cell r="A192" t="str">
            <v>C-313</v>
          </cell>
          <cell r="B192"/>
          <cell r="C192" t="str">
            <v>ZONA INDUSTRIAL</v>
          </cell>
          <cell r="D192" t="str">
            <v>REMEDIACIÓN DE SOLUCIONES ORALES</v>
          </cell>
          <cell r="E192"/>
          <cell r="F192"/>
          <cell r="G192"/>
          <cell r="H192"/>
          <cell r="I192"/>
        </row>
        <row r="193">
          <cell r="A193" t="str">
            <v>C-314</v>
          </cell>
          <cell r="B193"/>
          <cell r="C193" t="str">
            <v>LA ALAMEDA</v>
          </cell>
          <cell r="D193" t="str">
            <v>PARQUE INDUSTRIAL LA ALAMEDA</v>
          </cell>
          <cell r="E193"/>
          <cell r="F193"/>
          <cell r="G193"/>
          <cell r="H193"/>
          <cell r="I193"/>
        </row>
        <row r="194">
          <cell r="A194" t="str">
            <v>C-315</v>
          </cell>
          <cell r="B194"/>
          <cell r="C194" t="str">
            <v>TLAJOMULCO</v>
          </cell>
          <cell r="D194" t="str">
            <v>REMODELACIÓN OFICINAS BODYLOGIC</v>
          </cell>
          <cell r="E194"/>
          <cell r="F194"/>
          <cell r="G194"/>
          <cell r="H194"/>
          <cell r="I194"/>
        </row>
        <row r="195">
          <cell r="A195" t="str">
            <v>C-316</v>
          </cell>
          <cell r="B195"/>
          <cell r="C195" t="str">
            <v>JALES ESTEBAN ÁLVAREZ VEGA</v>
          </cell>
          <cell r="D195" t="str">
            <v>TERRAZA Y ALBERCA</v>
          </cell>
          <cell r="E195"/>
          <cell r="F195"/>
          <cell r="G195"/>
          <cell r="H195"/>
          <cell r="I195"/>
        </row>
        <row r="196">
          <cell r="A196" t="str">
            <v>C-317</v>
          </cell>
          <cell r="B196"/>
          <cell r="C196" t="str">
            <v>CLUB ATLAS COLOMOS</v>
          </cell>
          <cell r="D196" t="str">
            <v>CASA HABITACIÓN DIEGO VILLASEÑOR</v>
          </cell>
          <cell r="E196"/>
          <cell r="F196"/>
          <cell r="G196"/>
          <cell r="H196"/>
          <cell r="I196"/>
        </row>
        <row r="197">
          <cell r="A197" t="str">
            <v>C-318</v>
          </cell>
          <cell r="B197"/>
          <cell r="C197" t="str">
            <v>TAPALPA</v>
          </cell>
          <cell r="D197" t="str">
            <v>JUAN CARLOS ÁLVAREZ LA ESTRELLA</v>
          </cell>
          <cell r="E197"/>
          <cell r="F197"/>
          <cell r="G197"/>
          <cell r="H197"/>
          <cell r="I197"/>
        </row>
        <row r="198">
          <cell r="A198" t="str">
            <v>C-320</v>
          </cell>
          <cell r="B198"/>
          <cell r="C198" t="str">
            <v>TLAJOMULCO</v>
          </cell>
          <cell r="D198" t="str">
            <v>RETIRO DE EQUIPO COMPACTADOR DE RODILLO NAVE 1 FORMAS SÓLIDAS</v>
          </cell>
          <cell r="E198"/>
          <cell r="F198"/>
          <cell r="G198"/>
          <cell r="H198"/>
          <cell r="I198"/>
        </row>
        <row r="199">
          <cell r="A199" t="str">
            <v>C-321</v>
          </cell>
          <cell r="B199"/>
          <cell r="C199" t="str">
            <v>TLAJOMULCO</v>
          </cell>
          <cell r="D199" t="str">
            <v>AMPLIACIÓN DE OFICINAS DE CALIDAD EN NAVE 4 EDIFICIO A</v>
          </cell>
          <cell r="E199"/>
          <cell r="F199"/>
          <cell r="G199"/>
          <cell r="H199"/>
          <cell r="I199"/>
        </row>
        <row r="200">
          <cell r="A200" t="str">
            <v>C-322</v>
          </cell>
          <cell r="B200"/>
          <cell r="C200" t="str">
            <v>TLAJOMULCO</v>
          </cell>
          <cell r="D200" t="str">
            <v>TALLER DE MOLDES PARA HUSKY EDIFICIO A, E y C</v>
          </cell>
          <cell r="E200"/>
          <cell r="F200"/>
          <cell r="G200"/>
          <cell r="H200"/>
          <cell r="I200"/>
        </row>
        <row r="201">
          <cell r="A201" t="str">
            <v>C-325</v>
          </cell>
          <cell r="B201"/>
          <cell r="C201" t="str">
            <v>TLAJOMULCO</v>
          </cell>
          <cell r="D201" t="str">
            <v>ALMACÉN DE EQUIPOS EDF</v>
          </cell>
          <cell r="E201"/>
          <cell r="F201"/>
          <cell r="G201"/>
          <cell r="H201"/>
          <cell r="I201"/>
        </row>
        <row r="202">
          <cell r="A202" t="str">
            <v>C-326</v>
          </cell>
          <cell r="B202"/>
          <cell r="C202" t="str">
            <v>TLAJOMULCO</v>
          </cell>
          <cell r="D202" t="str">
            <v>ARCHIVO REGULATORIO EDIFICIO E</v>
          </cell>
          <cell r="E202"/>
          <cell r="F202"/>
          <cell r="G202"/>
          <cell r="H202"/>
          <cell r="I202"/>
        </row>
        <row r="203">
          <cell r="A203" t="str">
            <v>C-327</v>
          </cell>
          <cell r="B203"/>
          <cell r="C203" t="str">
            <v>TLAJOMULCO</v>
          </cell>
          <cell r="D203" t="str">
            <v>ALMACÉN DE PT4 y PT5 Y SALAS DE PESADOS</v>
          </cell>
          <cell r="E203"/>
          <cell r="F203"/>
          <cell r="G203"/>
          <cell r="H203"/>
          <cell r="I203"/>
        </row>
        <row r="204">
          <cell r="A204" t="str">
            <v>C-328</v>
          </cell>
          <cell r="B204"/>
          <cell r="C204" t="str">
            <v>TLAJOMULCO</v>
          </cell>
          <cell r="D204" t="str">
            <v>REDUCCIÓN DE RIESGOS NORMATIVOS SALAS DE PESADO.</v>
          </cell>
          <cell r="E204"/>
          <cell r="F204"/>
          <cell r="G204"/>
          <cell r="H204"/>
          <cell r="I204"/>
        </row>
        <row r="205">
          <cell r="A205" t="str">
            <v>C-329</v>
          </cell>
          <cell r="B205"/>
          <cell r="C205" t="str">
            <v>TLAJOMULCO</v>
          </cell>
          <cell r="D205" t="str">
            <v>PLANTA PILOTO</v>
          </cell>
          <cell r="E205"/>
          <cell r="F205"/>
          <cell r="G205"/>
          <cell r="H205"/>
          <cell r="I205"/>
        </row>
        <row r="206">
          <cell r="A206" t="str">
            <v>C-330</v>
          </cell>
          <cell r="B206"/>
          <cell r="C206" t="str">
            <v>TLAJOMULCO</v>
          </cell>
          <cell r="D206" t="str">
            <v>ADECUACIONES OBRA CIVIL PASILLOS ISO 9 AGROPECUARIA</v>
          </cell>
          <cell r="E206"/>
          <cell r="F206"/>
          <cell r="G206"/>
          <cell r="H206"/>
          <cell r="I206"/>
        </row>
        <row r="207">
          <cell r="A207" t="str">
            <v>C-331</v>
          </cell>
          <cell r="B207"/>
          <cell r="C207" t="str">
            <v>ZONA INDUSTRIAL</v>
          </cell>
          <cell r="D207" t="str">
            <v>ACONDICIONADO AV L-2</v>
          </cell>
          <cell r="E207"/>
          <cell r="F207"/>
          <cell r="G207"/>
          <cell r="H207"/>
          <cell r="I207"/>
        </row>
        <row r="208">
          <cell r="A208" t="str">
            <v>C-332</v>
          </cell>
          <cell r="B208"/>
          <cell r="C208" t="str">
            <v>TLAJOMULCO</v>
          </cell>
          <cell r="D208" t="str">
            <v>REDUCCIÓN RIESGOS NORMATIVOS LIOFILIZADOS NO ONCOLÓGICOS</v>
          </cell>
          <cell r="E208"/>
          <cell r="F208"/>
          <cell r="G208"/>
          <cell r="H208"/>
          <cell r="I208"/>
        </row>
        <row r="209">
          <cell r="A209" t="str">
            <v>C-333</v>
          </cell>
          <cell r="B209"/>
          <cell r="C209" t="str">
            <v>ALCOLAHUAS 3467 FRACCIONAMIENTO MONRAZ, GUADALAJARA, JALISCO CP 44670</v>
          </cell>
          <cell r="D209" t="str">
            <v>CASA MONRAZ</v>
          </cell>
          <cell r="E209"/>
          <cell r="F209"/>
          <cell r="G209"/>
          <cell r="H209"/>
          <cell r="I209"/>
        </row>
        <row r="210">
          <cell r="A210" t="str">
            <v>C-334</v>
          </cell>
          <cell r="B210"/>
          <cell r="C210" t="str">
            <v>TLAJOMULCO</v>
          </cell>
          <cell r="D210" t="str">
            <v>CANCHA DE PADEL ENRIQUE PARTIDA</v>
          </cell>
          <cell r="E210"/>
          <cell r="F210"/>
          <cell r="G210"/>
          <cell r="H210"/>
          <cell r="I210"/>
        </row>
        <row r="211">
          <cell r="A211" t="str">
            <v>C-335</v>
          </cell>
          <cell r="B211"/>
          <cell r="C211" t="str">
            <v>TEJABANES</v>
          </cell>
          <cell r="D211" t="str">
            <v>OFICINAS ( NAVE A ) ÁLAMO PARK</v>
          </cell>
          <cell r="E211"/>
          <cell r="F211"/>
          <cell r="G211"/>
          <cell r="H211"/>
          <cell r="I211"/>
        </row>
        <row r="212">
          <cell r="A212" t="str">
            <v>C-336</v>
          </cell>
          <cell r="B212"/>
          <cell r="C212" t="str">
            <v>ZONA INDUSTRIAL</v>
          </cell>
          <cell r="D212" t="str">
            <v>ALMACÉN DE CALLE 6</v>
          </cell>
          <cell r="E212"/>
          <cell r="F212"/>
          <cell r="G212"/>
          <cell r="H212"/>
          <cell r="I212"/>
        </row>
        <row r="213">
          <cell r="A213" t="str">
            <v>C-339</v>
          </cell>
          <cell r="B213"/>
          <cell r="C213" t="str">
            <v>LA LLAVE L-38</v>
          </cell>
          <cell r="D213" t="str">
            <v>LA LLAVE L-38</v>
          </cell>
          <cell r="E213"/>
          <cell r="F213"/>
          <cell r="G213"/>
          <cell r="H213"/>
          <cell r="I213"/>
        </row>
        <row r="214">
          <cell r="A214" t="str">
            <v>C-340</v>
          </cell>
          <cell r="B214"/>
          <cell r="C214" t="str">
            <v>LA LLAVE L-40</v>
          </cell>
          <cell r="D214" t="str">
            <v>LA LLAVE L-40</v>
          </cell>
          <cell r="E214"/>
          <cell r="F214"/>
          <cell r="G214"/>
          <cell r="H214"/>
          <cell r="I214"/>
        </row>
        <row r="215">
          <cell r="A215" t="str">
            <v>C-341</v>
          </cell>
          <cell r="B215"/>
          <cell r="C215" t="str">
            <v>ZONA INDUSTRIAL</v>
          </cell>
          <cell r="D215" t="str">
            <v>DRENAJES TANQUES 100,000 CALLE 6</v>
          </cell>
          <cell r="E215"/>
          <cell r="F215"/>
          <cell r="G215"/>
          <cell r="H215"/>
          <cell r="I215"/>
        </row>
        <row r="216">
          <cell r="A216" t="str">
            <v>C-342</v>
          </cell>
          <cell r="B216"/>
          <cell r="C216" t="str">
            <v>TLAJOMULCO</v>
          </cell>
          <cell r="D216" t="str">
            <v>LÍNEA DE VIALES 3 EN EDIFICIO B</v>
          </cell>
          <cell r="E216"/>
          <cell r="F216"/>
          <cell r="G216"/>
          <cell r="H216"/>
          <cell r="I216"/>
        </row>
        <row r="217">
          <cell r="A217" t="str">
            <v>C-343</v>
          </cell>
          <cell r="B217"/>
          <cell r="C217" t="str">
            <v>ZONA INDUSTRIAL</v>
          </cell>
          <cell r="D217" t="str">
            <v>DEMOLICIONES AMPOLLETAS PLÁSTICO</v>
          </cell>
          <cell r="E217"/>
          <cell r="F217"/>
          <cell r="G217"/>
          <cell r="H217"/>
          <cell r="I217"/>
        </row>
        <row r="218">
          <cell r="A218" t="str">
            <v>C-344</v>
          </cell>
          <cell r="B218"/>
          <cell r="C218" t="str">
            <v>TLAJOMULCO</v>
          </cell>
          <cell r="D218" t="str">
            <v>INSUMOS 5 EN MANZANA 3</v>
          </cell>
          <cell r="E218"/>
          <cell r="F218"/>
          <cell r="G218"/>
          <cell r="H218"/>
          <cell r="I218"/>
        </row>
        <row r="219">
          <cell r="A219" t="str">
            <v>C-345</v>
          </cell>
          <cell r="B219"/>
          <cell r="C219" t="str">
            <v>TEJABANES</v>
          </cell>
          <cell r="D219" t="str">
            <v>DIVISIÓN IARE/TECNOMED CDN ÁLAMO</v>
          </cell>
          <cell r="E219"/>
          <cell r="F219"/>
          <cell r="G219"/>
          <cell r="H219"/>
          <cell r="I219"/>
        </row>
        <row r="220">
          <cell r="A220" t="str">
            <v>C-347</v>
          </cell>
          <cell r="B220"/>
          <cell r="C220" t="str">
            <v>ZONA INDUSTRIAL</v>
          </cell>
          <cell r="D220" t="str">
            <v>MEZANINNE 2DO NIVEL</v>
          </cell>
          <cell r="E220"/>
          <cell r="F220"/>
          <cell r="G220"/>
          <cell r="H220"/>
          <cell r="I220"/>
        </row>
        <row r="221">
          <cell r="A221" t="str">
            <v>C-348</v>
          </cell>
          <cell r="B221"/>
          <cell r="C221" t="str">
            <v>ZONA INDUSTRIAL</v>
          </cell>
          <cell r="D221" t="str">
            <v>PERFORACIÓN DE POZO 10 JARDÍN CENTRAL</v>
          </cell>
          <cell r="E221"/>
          <cell r="F221"/>
          <cell r="G221"/>
          <cell r="H221"/>
          <cell r="I221"/>
        </row>
        <row r="222">
          <cell r="A222" t="str">
            <v>C-349</v>
          </cell>
          <cell r="B222"/>
          <cell r="C222" t="str">
            <v>PYMPSA</v>
          </cell>
          <cell r="D222" t="str">
            <v>ACCESO TALLER DE TORNO PYMPSA</v>
          </cell>
          <cell r="E222"/>
          <cell r="F222"/>
          <cell r="G222"/>
          <cell r="H222"/>
          <cell r="I222"/>
        </row>
        <row r="223">
          <cell r="A223" t="str">
            <v>C-350</v>
          </cell>
          <cell r="B223"/>
          <cell r="C223" t="str">
            <v>TLAJOMULCO</v>
          </cell>
          <cell r="D223" t="str">
            <v>ALMACÉN DE MATERIALES 04</v>
          </cell>
          <cell r="E223"/>
          <cell r="F223"/>
          <cell r="G223"/>
          <cell r="H223"/>
          <cell r="I223"/>
        </row>
        <row r="224">
          <cell r="A224" t="str">
            <v>C-352</v>
          </cell>
          <cell r="B224"/>
          <cell r="C224" t="str">
            <v>TLAJOMULCO</v>
          </cell>
          <cell r="D224" t="str">
            <v>NAVE DE SERVICIOS 2 MZ3</v>
          </cell>
          <cell r="E224"/>
          <cell r="F224"/>
          <cell r="G224"/>
          <cell r="H224"/>
          <cell r="I224"/>
        </row>
        <row r="225">
          <cell r="A225" t="str">
            <v>C-354</v>
          </cell>
          <cell r="B225"/>
          <cell r="C225" t="str">
            <v>TLAJOMULCO</v>
          </cell>
          <cell r="D225" t="str">
            <v>AUTOCLAVES DE DESECHO DE LABORATORIOS DE MICROBIOLOGÍA EDIF A y E</v>
          </cell>
          <cell r="E225"/>
          <cell r="F225"/>
          <cell r="G225"/>
          <cell r="H225"/>
          <cell r="I225"/>
        </row>
        <row r="226">
          <cell r="A226" t="str">
            <v>C-355</v>
          </cell>
          <cell r="B226"/>
          <cell r="C226" t="str">
            <v>TLAJOMULCO</v>
          </cell>
          <cell r="D226" t="str">
            <v>PROYECTO BARDA PERIMETRAL</v>
          </cell>
          <cell r="E226"/>
          <cell r="F226"/>
          <cell r="G226"/>
          <cell r="H226"/>
          <cell r="I226"/>
        </row>
        <row r="227">
          <cell r="A227" t="str">
            <v>C-356</v>
          </cell>
          <cell r="B227"/>
          <cell r="C227" t="str">
            <v>TLAJOMULCO</v>
          </cell>
          <cell r="D227" t="str">
            <v>REVISIÓN AV3</v>
          </cell>
          <cell r="E227"/>
          <cell r="F227"/>
          <cell r="G227"/>
          <cell r="H227"/>
          <cell r="I227"/>
        </row>
        <row r="228">
          <cell r="A228" t="str">
            <v>C-357</v>
          </cell>
          <cell r="B228"/>
          <cell r="C228" t="str">
            <v>ZONA INDUSTRIAL</v>
          </cell>
          <cell r="D228" t="str">
            <v>CONTENEDORES DE SUB-ESTACIONES</v>
          </cell>
          <cell r="E228"/>
          <cell r="F228"/>
          <cell r="G228"/>
          <cell r="H228"/>
          <cell r="I228"/>
        </row>
        <row r="229">
          <cell r="A229" t="str">
            <v>C-360</v>
          </cell>
          <cell r="B229"/>
          <cell r="C229" t="str">
            <v>LA NOGALERA</v>
          </cell>
          <cell r="D229" t="str">
            <v>AMPLIACIÓN CD ( MUEBLERÍA VIU )</v>
          </cell>
          <cell r="E229"/>
          <cell r="F229"/>
          <cell r="G229"/>
          <cell r="H229"/>
          <cell r="I229"/>
        </row>
        <row r="230">
          <cell r="A230" t="str">
            <v>C-363</v>
          </cell>
          <cell r="B230"/>
          <cell r="C230" t="str">
            <v>CORPORATIVO BELENES</v>
          </cell>
          <cell r="D230" t="str">
            <v>NAVES FLOR DE CÓRDOBA</v>
          </cell>
          <cell r="E230"/>
          <cell r="F230"/>
          <cell r="G230"/>
          <cell r="H230"/>
          <cell r="I230"/>
        </row>
        <row r="231">
          <cell r="A231" t="str">
            <v>C-364</v>
          </cell>
          <cell r="B231"/>
          <cell r="C231" t="str">
            <v>ACAPULCO</v>
          </cell>
          <cell r="D231" t="str">
            <v>RADEC ACAPULCO</v>
          </cell>
          <cell r="E231"/>
          <cell r="F231"/>
          <cell r="G231"/>
          <cell r="H231"/>
          <cell r="I231"/>
        </row>
        <row r="232">
          <cell r="A232" t="str">
            <v>C-365</v>
          </cell>
          <cell r="B232"/>
          <cell r="C232" t="str">
            <v>TLAJOMULCO</v>
          </cell>
          <cell r="D232" t="str">
            <v>PLANTA DE ACONDICIONADO FORMAS SÓLIDAS ( BAJO VOLUMEN )</v>
          </cell>
          <cell r="E232"/>
          <cell r="F232"/>
          <cell r="G232"/>
          <cell r="H232"/>
          <cell r="I232"/>
        </row>
        <row r="233">
          <cell r="A233" t="str">
            <v>C-366</v>
          </cell>
          <cell r="B233"/>
          <cell r="C233" t="str">
            <v>TLAJOMULCO</v>
          </cell>
          <cell r="D233" t="str">
            <v>NAVE DE PRODUCCIÓN 6 LÍNEA 12</v>
          </cell>
          <cell r="E233"/>
          <cell r="F233"/>
          <cell r="G233"/>
          <cell r="H233"/>
          <cell r="I233"/>
        </row>
        <row r="234">
          <cell r="A234" t="str">
            <v>C-367</v>
          </cell>
          <cell r="B234"/>
          <cell r="C234" t="str">
            <v>TESISTÁN</v>
          </cell>
          <cell r="D234" t="str">
            <v>FRACCIONAMIENTO TESISTÁN</v>
          </cell>
          <cell r="E234"/>
          <cell r="F234"/>
          <cell r="G234"/>
          <cell r="H234"/>
          <cell r="I234"/>
        </row>
        <row r="235">
          <cell r="A235" t="str">
            <v>C-368</v>
          </cell>
          <cell r="B235"/>
          <cell r="C235" t="str">
            <v>TLAJOMULCO</v>
          </cell>
          <cell r="D235" t="str">
            <v>TRABAJOS ESCLUSA MICROBIOLOGÍA EDIF A</v>
          </cell>
          <cell r="E235"/>
          <cell r="F235"/>
          <cell r="G235"/>
          <cell r="H235"/>
          <cell r="I235"/>
        </row>
        <row r="236">
          <cell r="A236" t="str">
            <v>C-370</v>
          </cell>
          <cell r="B236"/>
          <cell r="C236" t="str">
            <v>TAPALPA LOTE 30 y 31 LA QUINTA, CP 44340</v>
          </cell>
          <cell r="D236" t="str">
            <v>CASA CARRAL OCHOA</v>
          </cell>
          <cell r="E236"/>
          <cell r="F236"/>
          <cell r="G236"/>
          <cell r="H236"/>
          <cell r="I236"/>
        </row>
        <row r="237">
          <cell r="A237" t="str">
            <v>C-371</v>
          </cell>
          <cell r="B237"/>
          <cell r="C237" t="str">
            <v>TEJABANES</v>
          </cell>
          <cell r="D237" t="str">
            <v>EQUIPOS BIOMÉDICOS</v>
          </cell>
          <cell r="E237"/>
          <cell r="F237"/>
          <cell r="G237"/>
          <cell r="H237"/>
          <cell r="I237"/>
        </row>
        <row r="238">
          <cell r="A238" t="str">
            <v>C-372</v>
          </cell>
          <cell r="B238"/>
          <cell r="C238" t="str">
            <v>ZONA INDUSTRIAL</v>
          </cell>
          <cell r="D238" t="str">
            <v>RAMPA SALIDA DE DESECHOS BIOTECNOLÓGICOS</v>
          </cell>
          <cell r="E238"/>
          <cell r="F238"/>
          <cell r="G238"/>
          <cell r="H238"/>
          <cell r="I238"/>
        </row>
        <row r="239">
          <cell r="A239" t="str">
            <v>C-374</v>
          </cell>
          <cell r="B239"/>
          <cell r="C239" t="str">
            <v>AVANT</v>
          </cell>
          <cell r="D239" t="str">
            <v>NAVE 4 PARQUE AVANT</v>
          </cell>
          <cell r="E239"/>
          <cell r="F239"/>
          <cell r="G239"/>
          <cell r="H239"/>
          <cell r="I239"/>
        </row>
        <row r="240">
          <cell r="A240" t="str">
            <v>C-375</v>
          </cell>
          <cell r="B240"/>
          <cell r="C240" t="str">
            <v>RADEC ACATLÁN</v>
          </cell>
          <cell r="D240" t="str">
            <v>CEDIS RADEC 2</v>
          </cell>
          <cell r="E240"/>
          <cell r="F240"/>
          <cell r="G240"/>
          <cell r="H240"/>
          <cell r="I240"/>
        </row>
        <row r="241">
          <cell r="A241" t="str">
            <v>C-377</v>
          </cell>
          <cell r="B241"/>
          <cell r="C241" t="str">
            <v>ZONA INDUSTRIAL</v>
          </cell>
          <cell r="D241" t="str">
            <v>TRABAJOS MANTENIMIENTO PLATAFORMA TORRES DE ENFRIAMIENTO</v>
          </cell>
          <cell r="E241"/>
          <cell r="F241"/>
          <cell r="G241"/>
          <cell r="H241"/>
          <cell r="I241"/>
        </row>
        <row r="242">
          <cell r="A242" t="str">
            <v>C-378</v>
          </cell>
          <cell r="B242"/>
          <cell r="C242" t="str">
            <v>SAN JUAN DE ALIMA</v>
          </cell>
          <cell r="D242" t="str">
            <v>REPARACIÓN TEMBLOR STELLA MARIS</v>
          </cell>
          <cell r="E242"/>
          <cell r="F242"/>
          <cell r="G242"/>
          <cell r="H242"/>
          <cell r="I242"/>
        </row>
        <row r="243">
          <cell r="A243" t="str">
            <v>C-379</v>
          </cell>
          <cell r="B243"/>
          <cell r="C243" t="str">
            <v>SAN JUAN DE ALIMA</v>
          </cell>
          <cell r="D243" t="str">
            <v>REPARACIÓN TEMBLOR VILLA</v>
          </cell>
          <cell r="E243"/>
          <cell r="F243"/>
          <cell r="G243"/>
          <cell r="H243"/>
          <cell r="I243"/>
        </row>
        <row r="244">
          <cell r="A244" t="str">
            <v>C-380</v>
          </cell>
          <cell r="B244"/>
          <cell r="C244" t="str">
            <v>SAN JUAN DE ALIMA</v>
          </cell>
          <cell r="D244" t="str">
            <v>REPARACIÓN TEMBLOR JUAN CARLOS</v>
          </cell>
          <cell r="E244"/>
          <cell r="F244"/>
          <cell r="G244"/>
          <cell r="H244"/>
          <cell r="I244"/>
        </row>
        <row r="245">
          <cell r="A245" t="str">
            <v>C-381</v>
          </cell>
          <cell r="B245"/>
          <cell r="C245" t="str">
            <v>SAN JUAN DE ALIMA</v>
          </cell>
          <cell r="D245" t="str">
            <v>REPARACIÓN TEMBLOR ESTEBAN ÁLVAREZ</v>
          </cell>
          <cell r="E245"/>
          <cell r="F245"/>
          <cell r="G245"/>
          <cell r="H245"/>
          <cell r="I245"/>
        </row>
        <row r="246">
          <cell r="A246" t="str">
            <v>C-382</v>
          </cell>
          <cell r="B246"/>
          <cell r="C246" t="str">
            <v>TLAJOMULCO</v>
          </cell>
          <cell r="D246" t="str">
            <v>CDN 3 PISA TLAJOMULCO</v>
          </cell>
          <cell r="E246"/>
          <cell r="F246"/>
          <cell r="G246"/>
          <cell r="H246"/>
          <cell r="I246"/>
        </row>
        <row r="247">
          <cell r="A247" t="str">
            <v>C-383</v>
          </cell>
          <cell r="B247"/>
          <cell r="C247" t="str">
            <v>TLAJOMULCO</v>
          </cell>
          <cell r="D247" t="str">
            <v>SEGREGACIÓN PISA GLOBAL</v>
          </cell>
          <cell r="E247"/>
          <cell r="F247"/>
          <cell r="G247"/>
          <cell r="H247"/>
          <cell r="I247"/>
        </row>
        <row r="248">
          <cell r="A248" t="str">
            <v>C-384</v>
          </cell>
          <cell r="B248"/>
          <cell r="C248" t="str">
            <v>ZAPOPAN</v>
          </cell>
          <cell r="D248" t="str">
            <v>MIXTÓN 18</v>
          </cell>
          <cell r="E248"/>
          <cell r="F248"/>
          <cell r="G248"/>
          <cell r="H248"/>
          <cell r="I248"/>
        </row>
        <row r="249">
          <cell r="A249" t="str">
            <v>C-385</v>
          </cell>
          <cell r="B249"/>
          <cell r="C249" t="str">
            <v>SAN JUAN DE ALIMA</v>
          </cell>
          <cell r="D249" t="str">
            <v>BUNGALOWS STELLA MARIS TEMBLOR</v>
          </cell>
          <cell r="E249"/>
          <cell r="F249"/>
          <cell r="G249"/>
          <cell r="H249"/>
          <cell r="I249"/>
        </row>
        <row r="250">
          <cell r="A250" t="str">
            <v>C-386</v>
          </cell>
          <cell r="B250"/>
          <cell r="C250" t="str">
            <v>TLAJOMULCO</v>
          </cell>
          <cell r="D250" t="str">
            <v>ALMACÉN DE MATERIALES 5 EN MANZANA 3</v>
          </cell>
          <cell r="E250"/>
          <cell r="F250"/>
          <cell r="G250"/>
          <cell r="H250"/>
          <cell r="I250"/>
        </row>
        <row r="251">
          <cell r="A251" t="str">
            <v>C-387</v>
          </cell>
          <cell r="B251"/>
          <cell r="C251" t="str">
            <v>COLIMA</v>
          </cell>
          <cell r="D251" t="str">
            <v>AMPLIACIÓN SANEFRO COLIMA</v>
          </cell>
          <cell r="E251"/>
          <cell r="F251"/>
          <cell r="G251"/>
          <cell r="H251"/>
          <cell r="I251"/>
        </row>
        <row r="252">
          <cell r="A252" t="str">
            <v>C-388</v>
          </cell>
          <cell r="B252"/>
          <cell r="C252" t="str">
            <v>ÁLAMO INDUSTRIAL</v>
          </cell>
          <cell r="D252" t="str">
            <v xml:space="preserve">CAMBIO DE RAMPAS NIVELADORAS AMSA </v>
          </cell>
          <cell r="E252"/>
          <cell r="F252"/>
          <cell r="G252"/>
          <cell r="H252"/>
          <cell r="I252"/>
        </row>
        <row r="253">
          <cell r="A253" t="str">
            <v>C-389</v>
          </cell>
          <cell r="B253"/>
          <cell r="C253" t="str">
            <v>COLINAS DE SAN JAVIER</v>
          </cell>
          <cell r="D253" t="str">
            <v>PASEO DEL TORREÓN</v>
          </cell>
          <cell r="E253"/>
          <cell r="F253"/>
          <cell r="G253"/>
          <cell r="H253"/>
          <cell r="I253"/>
        </row>
        <row r="254">
          <cell r="A254" t="str">
            <v>C-390</v>
          </cell>
          <cell r="B254"/>
          <cell r="C254" t="str">
            <v>COUNTRY</v>
          </cell>
          <cell r="D254" t="str">
            <v>DEPARTAMENTO OTTAWA</v>
          </cell>
          <cell r="E254"/>
          <cell r="F254"/>
          <cell r="G254"/>
          <cell r="H254"/>
          <cell r="I254"/>
        </row>
        <row r="255">
          <cell r="A255" t="str">
            <v>C-391</v>
          </cell>
          <cell r="B255"/>
          <cell r="C255" t="str">
            <v>ZONA INDUSTRIAL</v>
          </cell>
          <cell r="D255" t="str">
            <v>TRABAJO DE REMODELACIÓN EN OFICINAS DE ABASTECIMIENTO</v>
          </cell>
          <cell r="E255"/>
          <cell r="F255"/>
          <cell r="G255"/>
          <cell r="H255"/>
          <cell r="I255"/>
        </row>
        <row r="256">
          <cell r="A256" t="str">
            <v>C-392</v>
          </cell>
          <cell r="B256"/>
          <cell r="C256" t="str">
            <v>TIJUANA</v>
          </cell>
          <cell r="D256" t="str">
            <v>AMPLIACIÓN SANEFRO TIJUANA 2022</v>
          </cell>
          <cell r="E256"/>
          <cell r="F256"/>
          <cell r="G256"/>
          <cell r="H256"/>
          <cell r="I256"/>
        </row>
        <row r="257">
          <cell r="A257" t="str">
            <v>C-393</v>
          </cell>
          <cell r="B257"/>
          <cell r="C257" t="str">
            <v>MANZANILLO</v>
          </cell>
          <cell r="D257" t="str">
            <v>MANTENIMIENTO SANEFRO MANZANILLO</v>
          </cell>
          <cell r="E257"/>
          <cell r="F257"/>
          <cell r="G257"/>
          <cell r="H257"/>
          <cell r="I257"/>
        </row>
        <row r="258">
          <cell r="A258" t="str">
            <v>C-395</v>
          </cell>
          <cell r="B258"/>
          <cell r="C258" t="str">
            <v>SANEFRO VENEZUELA</v>
          </cell>
          <cell r="D258" t="str">
            <v>TARJAS INOXIDABLE SANEFRO</v>
          </cell>
          <cell r="E258"/>
          <cell r="F258"/>
          <cell r="G258"/>
          <cell r="H258"/>
          <cell r="I258"/>
        </row>
        <row r="259">
          <cell r="A259" t="str">
            <v>C-396</v>
          </cell>
          <cell r="B259"/>
          <cell r="C259" t="str">
            <v>TLAJOMULCO</v>
          </cell>
          <cell r="D259" t="str">
            <v>REMEDIACIÓN DE SALAS DE PESADO EDIFICIO E</v>
          </cell>
          <cell r="E259"/>
          <cell r="F259"/>
          <cell r="G259"/>
          <cell r="H259"/>
          <cell r="I259"/>
        </row>
        <row r="260">
          <cell r="A260" t="str">
            <v>C-397</v>
          </cell>
          <cell r="B260"/>
          <cell r="C260" t="str">
            <v>ZONA INDUSTRIAL</v>
          </cell>
          <cell r="D260" t="str">
            <v>EVENTO PISA</v>
          </cell>
          <cell r="E260"/>
          <cell r="F260"/>
          <cell r="G260"/>
          <cell r="H260"/>
          <cell r="I260"/>
        </row>
        <row r="261">
          <cell r="A261" t="str">
            <v>C-398</v>
          </cell>
          <cell r="B261"/>
          <cell r="C261" t="str">
            <v>AV FRANCIA</v>
          </cell>
          <cell r="D261" t="str">
            <v>PUERTA DE EMERGENCIA PISA AGROPECUARIA</v>
          </cell>
          <cell r="E261"/>
          <cell r="F261"/>
          <cell r="G261"/>
          <cell r="H261"/>
          <cell r="I261"/>
        </row>
        <row r="262">
          <cell r="A262" t="str">
            <v>C-399</v>
          </cell>
          <cell r="B262"/>
          <cell r="C262" t="str">
            <v>ZONA INDUSTRIAL</v>
          </cell>
          <cell r="D262" t="str">
            <v>LÍNEA AV7 AMPOLLETAS</v>
          </cell>
          <cell r="E262"/>
          <cell r="F262"/>
          <cell r="G262"/>
          <cell r="H262"/>
          <cell r="I262"/>
        </row>
        <row r="263">
          <cell r="A263" t="str">
            <v>C-400</v>
          </cell>
          <cell r="B263"/>
          <cell r="C263" t="str">
            <v>TLAJOMULCO</v>
          </cell>
          <cell r="D263" t="str">
            <v>REUBICACIÓN DE RANCHO LA STELLA</v>
          </cell>
          <cell r="E263"/>
          <cell r="F263"/>
          <cell r="G263"/>
          <cell r="H263"/>
          <cell r="I263"/>
        </row>
        <row r="264">
          <cell r="A264" t="str">
            <v>C-401</v>
          </cell>
          <cell r="B264"/>
          <cell r="C264" t="str">
            <v>TLAJOMULCO</v>
          </cell>
          <cell r="D264" t="str">
            <v>PROYECTO URBANIZACIÓN</v>
          </cell>
          <cell r="E264"/>
          <cell r="F264"/>
          <cell r="G264"/>
          <cell r="H264"/>
          <cell r="I264"/>
        </row>
        <row r="265">
          <cell r="A265" t="str">
            <v>C-402</v>
          </cell>
          <cell r="B265"/>
          <cell r="C265" t="str">
            <v>PYMPSA</v>
          </cell>
          <cell r="D265" t="str">
            <v>REMEDIACIÓN ÁREAS PYMPSA</v>
          </cell>
          <cell r="E265"/>
          <cell r="F265"/>
          <cell r="G265"/>
          <cell r="H265"/>
          <cell r="I265"/>
        </row>
        <row r="266">
          <cell r="A266" t="str">
            <v>C-403</v>
          </cell>
          <cell r="B266"/>
          <cell r="C266" t="str">
            <v>PYMPSA</v>
          </cell>
          <cell r="D266" t="str">
            <v>ADECUACIONES AZOTEA SUB-ESTACIÓN PYMPSA</v>
          </cell>
          <cell r="E266"/>
          <cell r="F266"/>
          <cell r="G266"/>
          <cell r="H266"/>
          <cell r="I266"/>
        </row>
        <row r="267">
          <cell r="A267" t="str">
            <v>C-404</v>
          </cell>
          <cell r="B267"/>
          <cell r="C267" t="str">
            <v>ATOTONILCO</v>
          </cell>
          <cell r="D267" t="str">
            <v>CASA HÉCTOR GALINDO</v>
          </cell>
          <cell r="E267"/>
          <cell r="F267"/>
          <cell r="G267"/>
          <cell r="H267"/>
          <cell r="I267"/>
        </row>
        <row r="268">
          <cell r="A268" t="str">
            <v>C-405</v>
          </cell>
          <cell r="B268"/>
          <cell r="C268" t="str">
            <v>PARQUE CAB</v>
          </cell>
          <cell r="D268" t="str">
            <v>OFICINAS NAVE 5</v>
          </cell>
          <cell r="E268"/>
          <cell r="F268"/>
          <cell r="G268"/>
          <cell r="H268"/>
          <cell r="I268"/>
        </row>
        <row r="269">
          <cell r="A269" t="str">
            <v>C-406</v>
          </cell>
          <cell r="B269"/>
          <cell r="C269" t="str">
            <v>ZONA INDUSTRIAL</v>
          </cell>
          <cell r="D269" t="str">
            <v>LOSA ENTREPISO ANDÉN PENICILÍNICOS</v>
          </cell>
          <cell r="E269"/>
          <cell r="F269"/>
          <cell r="G269"/>
          <cell r="H269"/>
          <cell r="I269"/>
        </row>
        <row r="270">
          <cell r="A270" t="str">
            <v>C-407</v>
          </cell>
          <cell r="B270"/>
          <cell r="C270" t="str">
            <v>ZONA INDUSTRIAL</v>
          </cell>
          <cell r="D270" t="str">
            <v>LAVANDERÍA PENICILÍNICOS</v>
          </cell>
          <cell r="E270"/>
          <cell r="F270"/>
          <cell r="G270"/>
          <cell r="H270"/>
          <cell r="I270"/>
        </row>
        <row r="271">
          <cell r="A271" t="str">
            <v>C-408</v>
          </cell>
          <cell r="B271"/>
          <cell r="C271" t="str">
            <v>ZONA INDUSTRIAL</v>
          </cell>
          <cell r="D271" t="str">
            <v>CUARTO DE MUESTREO PLANTA BAJA PENICILÍNICOS</v>
          </cell>
          <cell r="E271"/>
          <cell r="F271"/>
          <cell r="G271"/>
          <cell r="H271"/>
          <cell r="I271"/>
        </row>
        <row r="272">
          <cell r="A272" t="str">
            <v>C-409</v>
          </cell>
          <cell r="B272"/>
          <cell r="C272" t="str">
            <v>INDUSTRIAL</v>
          </cell>
          <cell r="D272" t="str">
            <v>SALA DE PESADOS PENICILÍNICOS 1ER NIVEL</v>
          </cell>
          <cell r="E272"/>
          <cell r="F272"/>
          <cell r="G272"/>
          <cell r="H272"/>
          <cell r="I272"/>
        </row>
        <row r="273">
          <cell r="A273" t="str">
            <v>C-412</v>
          </cell>
          <cell r="B273"/>
          <cell r="C273" t="str">
            <v>TLAJOMULCO</v>
          </cell>
          <cell r="D273" t="str">
            <v>PATIO DE MANIOBRAS DE ANDÉN # 9 ASRS</v>
          </cell>
          <cell r="E273"/>
          <cell r="F273"/>
          <cell r="G273"/>
          <cell r="H273"/>
          <cell r="I273"/>
        </row>
        <row r="274">
          <cell r="A274" t="str">
            <v>C-413</v>
          </cell>
          <cell r="B274"/>
          <cell r="C274" t="str">
            <v>COAHUILA</v>
          </cell>
          <cell r="D274" t="str">
            <v>MANTENIMIENTO 2023 RANCHO EL BONITO</v>
          </cell>
          <cell r="E274"/>
          <cell r="F274"/>
          <cell r="G274"/>
          <cell r="H274"/>
          <cell r="I274"/>
        </row>
        <row r="275">
          <cell r="A275" t="str">
            <v>C-414</v>
          </cell>
          <cell r="B275"/>
          <cell r="C275" t="str">
            <v>TLAJOMULCO</v>
          </cell>
          <cell r="D275" t="str">
            <v>INCREMENTO DE CAPACIDAD NAVE 3</v>
          </cell>
          <cell r="E275"/>
          <cell r="F275"/>
          <cell r="G275"/>
          <cell r="H275"/>
          <cell r="I275"/>
        </row>
        <row r="276">
          <cell r="A276" t="str">
            <v>C-415</v>
          </cell>
          <cell r="B276"/>
          <cell r="C276" t="str">
            <v>TLAJOMULCO</v>
          </cell>
          <cell r="D276" t="str">
            <v>MEJORA DE MEZANINNE LÍNEA 9 Y LÍNEA 10</v>
          </cell>
          <cell r="E276"/>
          <cell r="F276"/>
          <cell r="G276"/>
          <cell r="H276"/>
          <cell r="I276"/>
        </row>
        <row r="277">
          <cell r="A277" t="str">
            <v>C-416</v>
          </cell>
          <cell r="B277"/>
          <cell r="C277" t="str">
            <v>ZONA INDUSTRIAL</v>
          </cell>
          <cell r="D277" t="str">
            <v>PASILLO DE SUPERVISIÓN PENICILÍNICOS</v>
          </cell>
          <cell r="E277"/>
          <cell r="F277"/>
          <cell r="G277"/>
          <cell r="H277"/>
          <cell r="I277"/>
        </row>
        <row r="278">
          <cell r="A278" t="str">
            <v>C-417</v>
          </cell>
          <cell r="B278"/>
          <cell r="C278" t="str">
            <v>AV VALLARTA ESQUINA ATENAS 1246 CP 44160 ( ANTES FUNERARIA )</v>
          </cell>
          <cell r="D278" t="str">
            <v>GALERÍA DE ARTE</v>
          </cell>
          <cell r="E278"/>
          <cell r="F278"/>
          <cell r="G278"/>
          <cell r="H278"/>
          <cell r="I278"/>
        </row>
        <row r="279">
          <cell r="A279" t="str">
            <v>C-418</v>
          </cell>
          <cell r="B279"/>
          <cell r="C279" t="str">
            <v>ZONA INDUSTRIAL</v>
          </cell>
          <cell r="D279" t="str">
            <v>LAVADORA VA4</v>
          </cell>
          <cell r="E279"/>
          <cell r="F279"/>
          <cell r="G279"/>
          <cell r="H279"/>
          <cell r="I279"/>
        </row>
        <row r="280">
          <cell r="A280" t="str">
            <v>C-422</v>
          </cell>
          <cell r="B280"/>
          <cell r="C280" t="str">
            <v>TLAJOMULCO</v>
          </cell>
          <cell r="D280" t="str">
            <v>OI LÍNEA DE PRODUCCIÓN GOMITA EDIFICIO G</v>
          </cell>
          <cell r="E280"/>
          <cell r="F280"/>
          <cell r="G280"/>
          <cell r="H280"/>
          <cell r="I280"/>
        </row>
        <row r="281">
          <cell r="A281" t="str">
            <v>C-423</v>
          </cell>
          <cell r="B281"/>
          <cell r="C281" t="str">
            <v>TAPALPA PRADERAS DEL NOGAL</v>
          </cell>
          <cell r="D281" t="str">
            <v>CABAÑA NICOLÁS PLASENCIA</v>
          </cell>
          <cell r="E281"/>
          <cell r="F281"/>
          <cell r="G281"/>
          <cell r="H281"/>
          <cell r="I281"/>
        </row>
        <row r="282">
          <cell r="A282" t="str">
            <v>C-424</v>
          </cell>
          <cell r="B282"/>
          <cell r="C282" t="str">
            <v>TLAJOMULCO</v>
          </cell>
          <cell r="D282" t="str">
            <v>URBANIZACIÓN MASTER</v>
          </cell>
          <cell r="E282"/>
          <cell r="F282"/>
          <cell r="G282"/>
          <cell r="H282"/>
          <cell r="I282"/>
        </row>
        <row r="283">
          <cell r="A283" t="str">
            <v>C-425</v>
          </cell>
          <cell r="B283"/>
          <cell r="C283" t="str">
            <v>TLAJOMULCO</v>
          </cell>
          <cell r="D283" t="str">
            <v>MANTENIMIENTO PARA EDIFICIO J</v>
          </cell>
          <cell r="E283"/>
          <cell r="F283"/>
          <cell r="G283"/>
          <cell r="H283"/>
          <cell r="I283"/>
        </row>
        <row r="284">
          <cell r="A284" t="str">
            <v>C-426</v>
          </cell>
          <cell r="B284"/>
          <cell r="C284" t="str">
            <v>ZONA INDUSTRIAL</v>
          </cell>
          <cell r="D284" t="str">
            <v>OFICINAS 2DO NIVEL CALLE 6</v>
          </cell>
          <cell r="E284"/>
          <cell r="F284"/>
          <cell r="G284"/>
          <cell r="H284"/>
          <cell r="I284"/>
        </row>
        <row r="285">
          <cell r="A285" t="str">
            <v>C-427</v>
          </cell>
          <cell r="B285"/>
          <cell r="C285" t="str">
            <v>CARRETERA EL SALTO 273 COL, LA ALAMEDA</v>
          </cell>
          <cell r="D285" t="str">
            <v>NAVE G FLEX PARK</v>
          </cell>
          <cell r="E285"/>
          <cell r="F285"/>
          <cell r="G285"/>
          <cell r="H285"/>
          <cell r="I285"/>
        </row>
        <row r="286">
          <cell r="A286" t="str">
            <v>C-428</v>
          </cell>
          <cell r="B286"/>
          <cell r="C286" t="str">
            <v>TLAJOMULCO</v>
          </cell>
          <cell r="D286" t="str">
            <v>BODEGA GCPI ARQUITECTO B</v>
          </cell>
          <cell r="E286"/>
          <cell r="F286"/>
          <cell r="G286"/>
          <cell r="H286"/>
          <cell r="I286"/>
        </row>
        <row r="287">
          <cell r="A287" t="str">
            <v>C-429</v>
          </cell>
          <cell r="B287"/>
          <cell r="C287" t="str">
            <v>TLAJOMULCO</v>
          </cell>
          <cell r="D287" t="str">
            <v>CDN 4</v>
          </cell>
          <cell r="E287"/>
          <cell r="F287"/>
          <cell r="G287"/>
          <cell r="H287"/>
          <cell r="I287"/>
        </row>
        <row r="288">
          <cell r="A288" t="str">
            <v>C-430_1</v>
          </cell>
          <cell r="B288"/>
          <cell r="C288" t="str">
            <v>ZONA INDUSTRIAL</v>
          </cell>
          <cell r="D288" t="str">
            <v>MANIOBRAS DE EQUIPOS CÉFALOS-BIOTEC</v>
          </cell>
          <cell r="E288"/>
          <cell r="F288"/>
          <cell r="G288"/>
          <cell r="H288"/>
          <cell r="I288"/>
        </row>
        <row r="289">
          <cell r="A289" t="str">
            <v>C-430</v>
          </cell>
          <cell r="B289"/>
          <cell r="C289" t="str">
            <v>ZONA INDUSTRIAL</v>
          </cell>
          <cell r="D289" t="str">
            <v>CUARTO BIOTEC C</v>
          </cell>
          <cell r="E289"/>
          <cell r="F289"/>
          <cell r="G289"/>
          <cell r="H289"/>
          <cell r="I289"/>
        </row>
        <row r="290">
          <cell r="A290" t="str">
            <v>C-431</v>
          </cell>
          <cell r="B290"/>
          <cell r="C290" t="str">
            <v>TLAJOMULCO</v>
          </cell>
          <cell r="D290" t="str">
            <v>CIVIL PROYECTO NITROSAMINA</v>
          </cell>
          <cell r="E290"/>
          <cell r="F290"/>
          <cell r="G290"/>
          <cell r="H290"/>
          <cell r="I290"/>
        </row>
        <row r="291">
          <cell r="A291" t="str">
            <v>C-432</v>
          </cell>
          <cell r="B291"/>
          <cell r="C291" t="str">
            <v>TLAJOMULCO</v>
          </cell>
          <cell r="D291" t="str">
            <v>TRABAJOS DE REMEDIACIÓN PTAR 42 LPS</v>
          </cell>
          <cell r="E291"/>
          <cell r="F291"/>
          <cell r="G291"/>
          <cell r="H291"/>
          <cell r="I291"/>
        </row>
        <row r="292">
          <cell r="A292" t="str">
            <v>C-433</v>
          </cell>
          <cell r="B292"/>
          <cell r="C292" t="str">
            <v>TLAJOMULCO</v>
          </cell>
          <cell r="D292" t="str">
            <v>REUBICACIÓN TRANSLIMA</v>
          </cell>
          <cell r="E292"/>
          <cell r="F292"/>
          <cell r="G292"/>
          <cell r="H292"/>
          <cell r="I292"/>
        </row>
        <row r="293">
          <cell r="A293" t="str">
            <v>C-434</v>
          </cell>
          <cell r="B293"/>
          <cell r="C293" t="str">
            <v>TLAJOMULCO</v>
          </cell>
          <cell r="D293" t="str">
            <v>CONSULTORIO ÁREA MÉDICA</v>
          </cell>
          <cell r="E293"/>
          <cell r="F293"/>
          <cell r="G293"/>
          <cell r="H293"/>
          <cell r="I293"/>
        </row>
        <row r="294">
          <cell r="A294" t="str">
            <v>C-435</v>
          </cell>
          <cell r="B294"/>
          <cell r="C294" t="str">
            <v>TLAJOMULCO</v>
          </cell>
          <cell r="D294" t="str">
            <v>URBANIZACIÓN ELECTROLIT EDIFICIO C</v>
          </cell>
          <cell r="E294"/>
          <cell r="F294"/>
          <cell r="G294"/>
          <cell r="H294"/>
          <cell r="I294"/>
        </row>
        <row r="295">
          <cell r="A295" t="str">
            <v>C-436</v>
          </cell>
          <cell r="B295"/>
          <cell r="C295" t="str">
            <v>PASEO DEL BOSQUE 3763 COLINAS DE SAN JAVIER</v>
          </cell>
          <cell r="D295" t="str">
            <v>REMODELACIÓN DE CASA HUGO CUESTA</v>
          </cell>
          <cell r="E295"/>
          <cell r="F295"/>
          <cell r="G295"/>
          <cell r="H295"/>
          <cell r="I295"/>
        </row>
        <row r="296">
          <cell r="A296" t="str">
            <v>C-437</v>
          </cell>
          <cell r="B296"/>
          <cell r="C296" t="str">
            <v>MIXTÓN 18 INTERIOR 2 COL JACARANDAS</v>
          </cell>
          <cell r="D296" t="str">
            <v>CASA MIXTÓN ( JONATHAN SHERIDAN )</v>
          </cell>
          <cell r="E296"/>
          <cell r="F296"/>
          <cell r="G296"/>
          <cell r="H296"/>
          <cell r="I296"/>
        </row>
        <row r="297">
          <cell r="A297" t="str">
            <v>C-438</v>
          </cell>
          <cell r="B297"/>
          <cell r="C297" t="str">
            <v>PYMPSA</v>
          </cell>
          <cell r="D297" t="str">
            <v>REMEDIACIÓN DE ÁREAS PYMPSA</v>
          </cell>
          <cell r="E297"/>
          <cell r="F297"/>
          <cell r="G297"/>
          <cell r="H297"/>
          <cell r="I297"/>
        </row>
        <row r="298">
          <cell r="A298" t="str">
            <v>C-439</v>
          </cell>
          <cell r="B298"/>
          <cell r="C298" t="str">
            <v>TLAJOMULCO</v>
          </cell>
          <cell r="D298" t="str">
            <v>MANTENIMIENTO DEL EDIFICIO H ( PENICILÍNICOS )</v>
          </cell>
          <cell r="E298"/>
          <cell r="F298"/>
          <cell r="G298"/>
          <cell r="H298"/>
          <cell r="I298"/>
        </row>
        <row r="299">
          <cell r="A299" t="str">
            <v>C-440</v>
          </cell>
          <cell r="B299"/>
          <cell r="C299" t="str">
            <v>TLAJOMULCO</v>
          </cell>
          <cell r="D299" t="str">
            <v>OFICINAS ELECTROLIT EDIFICIO C</v>
          </cell>
          <cell r="E299"/>
          <cell r="F299"/>
          <cell r="G299"/>
          <cell r="H299"/>
          <cell r="I299"/>
        </row>
        <row r="300">
          <cell r="A300" t="str">
            <v>C-441</v>
          </cell>
          <cell r="B300"/>
          <cell r="C300" t="str">
            <v>ZONA INDUSTRIAL</v>
          </cell>
          <cell r="D300" t="str">
            <v>ACONDICIONADO 3 BIOTECNOLÓGICOS</v>
          </cell>
          <cell r="E300"/>
          <cell r="F300"/>
          <cell r="G300"/>
          <cell r="H300"/>
          <cell r="I300"/>
        </row>
        <row r="301">
          <cell r="A301" t="str">
            <v>C-442</v>
          </cell>
          <cell r="B301"/>
          <cell r="C301" t="str">
            <v>ZONA INDUSTRIAL</v>
          </cell>
          <cell r="D301" t="str">
            <v>SALA DE MUESTREO BIOTECNOLÓGICOS</v>
          </cell>
          <cell r="E301"/>
          <cell r="F301"/>
          <cell r="G301"/>
          <cell r="H301"/>
          <cell r="I301"/>
        </row>
        <row r="302">
          <cell r="A302" t="str">
            <v>C-443</v>
          </cell>
          <cell r="B302"/>
          <cell r="C302" t="str">
            <v>TLAJOMULCO</v>
          </cell>
          <cell r="D302" t="str">
            <v>LABORATORIO Y LOBBY LÍNEA 11</v>
          </cell>
          <cell r="E302"/>
          <cell r="F302"/>
          <cell r="G302"/>
          <cell r="H302"/>
          <cell r="I302"/>
        </row>
        <row r="303">
          <cell r="A303" t="str">
            <v>C-444</v>
          </cell>
          <cell r="B303"/>
          <cell r="C303" t="str">
            <v>URUGUAY 2638, COL JARDINES DE LA CRUZ , GUADALAJARA, JALISCO, CP 44950</v>
          </cell>
          <cell r="D303" t="str">
            <v>LC</v>
          </cell>
          <cell r="E303"/>
          <cell r="F303"/>
          <cell r="G303"/>
          <cell r="H303"/>
          <cell r="I303"/>
        </row>
        <row r="304">
          <cell r="A304" t="str">
            <v>C-445</v>
          </cell>
          <cell r="B304"/>
          <cell r="C304" t="str">
            <v>COAHUILA</v>
          </cell>
          <cell r="D304" t="str">
            <v>AMPLIACIÓN DE RIEGO DE CABAÑAS EL BONITO</v>
          </cell>
          <cell r="E304"/>
          <cell r="F304"/>
          <cell r="G304"/>
          <cell r="H304"/>
          <cell r="I304"/>
        </row>
        <row r="305">
          <cell r="A305" t="str">
            <v>C-446</v>
          </cell>
          <cell r="B305"/>
          <cell r="C305" t="str">
            <v>TLAJOMULCO</v>
          </cell>
          <cell r="D305" t="str">
            <v>MANTENIMIENTO Y CONSERVACIÓN A EDIFICIOS</v>
          </cell>
          <cell r="E305"/>
          <cell r="F305"/>
          <cell r="G305"/>
          <cell r="H305"/>
          <cell r="I305"/>
        </row>
        <row r="306">
          <cell r="A306" t="str">
            <v>C-447</v>
          </cell>
          <cell r="B306"/>
          <cell r="C306" t="str">
            <v>TLAJOMULCO</v>
          </cell>
          <cell r="D306" t="str">
            <v>ALMACENES DE INSUMOS Y MATERIAS PRIMAS</v>
          </cell>
          <cell r="E306"/>
          <cell r="F306"/>
          <cell r="G306"/>
          <cell r="H306"/>
          <cell r="I306"/>
        </row>
        <row r="307">
          <cell r="A307" t="str">
            <v>C-448</v>
          </cell>
          <cell r="B307"/>
          <cell r="C307" t="str">
            <v>ZONA INDUSTRIAL</v>
          </cell>
          <cell r="D307" t="str">
            <v>CUARTO DE VITEK EN LABORATORIO</v>
          </cell>
          <cell r="E307"/>
          <cell r="F307"/>
          <cell r="G307"/>
          <cell r="H307"/>
          <cell r="I307"/>
        </row>
        <row r="308">
          <cell r="A308" t="str">
            <v>C-449</v>
          </cell>
          <cell r="B308"/>
          <cell r="C308" t="str">
            <v>TAPALPA LAS ESTRELLAS</v>
          </cell>
          <cell r="D308" t="str">
            <v>TERRENOS ÁLVARO PARTIDA</v>
          </cell>
          <cell r="E308"/>
          <cell r="F308"/>
          <cell r="G308"/>
          <cell r="H308"/>
          <cell r="I308"/>
        </row>
        <row r="309">
          <cell r="A309" t="str">
            <v>C-450</v>
          </cell>
          <cell r="B309"/>
          <cell r="C309" t="str">
            <v>COAHUILA</v>
          </cell>
          <cell r="D309" t="str">
            <v>CASA BIÓLOGO Y VETERINARIO EL BONITO</v>
          </cell>
          <cell r="E309"/>
          <cell r="F309"/>
          <cell r="G309"/>
          <cell r="H309"/>
          <cell r="I309"/>
        </row>
        <row r="310">
          <cell r="A310" t="str">
            <v>C-451</v>
          </cell>
          <cell r="B310"/>
          <cell r="C310" t="str">
            <v>AVANT</v>
          </cell>
          <cell r="D310" t="str">
            <v>MANTENIMIENTO PISA GLOBAL AVANT 2023</v>
          </cell>
          <cell r="E310"/>
          <cell r="F310"/>
          <cell r="G310"/>
          <cell r="H310"/>
          <cell r="I310"/>
        </row>
        <row r="311">
          <cell r="A311" t="str">
            <v>C-452</v>
          </cell>
          <cell r="B311"/>
          <cell r="C311" t="str">
            <v>ZONA INDUSTRIAL</v>
          </cell>
          <cell r="D311" t="str">
            <v>OFICINAS PENICILÍNICOS</v>
          </cell>
          <cell r="E311"/>
          <cell r="F311"/>
          <cell r="G311"/>
          <cell r="H311"/>
          <cell r="I311"/>
        </row>
        <row r="312">
          <cell r="A312" t="str">
            <v>C-453</v>
          </cell>
          <cell r="B312"/>
          <cell r="C312" t="str">
            <v>AVANT</v>
          </cell>
          <cell r="D312" t="str">
            <v>NAVE 05 PARQUE AVANT</v>
          </cell>
          <cell r="E312"/>
          <cell r="F312"/>
          <cell r="G312"/>
          <cell r="H312"/>
          <cell r="I312"/>
        </row>
        <row r="313">
          <cell r="A313" t="str">
            <v>C-454</v>
          </cell>
          <cell r="B313"/>
          <cell r="C313" t="str">
            <v>TLAJOMULCO</v>
          </cell>
          <cell r="D313" t="str">
            <v>PROYECTO BESTPOCKETS ( NAVE 1 y 3 FORMAS SÓLIDAS )</v>
          </cell>
          <cell r="E313"/>
          <cell r="F313"/>
          <cell r="G313"/>
          <cell r="H313"/>
          <cell r="I313"/>
        </row>
        <row r="314">
          <cell r="A314" t="str">
            <v>C-455</v>
          </cell>
          <cell r="B314"/>
          <cell r="C314" t="str">
            <v>KIVA</v>
          </cell>
          <cell r="D314" t="str">
            <v>KIVA LOTES 64-65</v>
          </cell>
          <cell r="E314"/>
          <cell r="F314"/>
          <cell r="G314"/>
          <cell r="H314"/>
          <cell r="I314"/>
        </row>
        <row r="315">
          <cell r="A315" t="str">
            <v>C-459</v>
          </cell>
          <cell r="B315"/>
          <cell r="C315" t="str">
            <v>LAS ESTRELLAS TAPALPA</v>
          </cell>
          <cell r="D315" t="str">
            <v>JUAN CA AP LAS ESTRELLAS</v>
          </cell>
          <cell r="E315"/>
          <cell r="F315"/>
          <cell r="G315"/>
          <cell r="H315"/>
          <cell r="I315"/>
        </row>
        <row r="316">
          <cell r="A316" t="str">
            <v>C-460</v>
          </cell>
          <cell r="B316"/>
          <cell r="C316" t="str">
            <v>LAS ESTRELLAS TAPALPA</v>
          </cell>
          <cell r="D316" t="str">
            <v>ALE AP LAS ESTRELLAS</v>
          </cell>
          <cell r="E316"/>
          <cell r="F316"/>
          <cell r="G316"/>
          <cell r="H316"/>
          <cell r="I316"/>
        </row>
        <row r="317">
          <cell r="A317" t="str">
            <v>C-461</v>
          </cell>
          <cell r="B317"/>
          <cell r="C317" t="str">
            <v>LAS ESTRELLAS TAPALPA</v>
          </cell>
          <cell r="D317" t="str">
            <v>BOSCO LAS ESTRELLAS</v>
          </cell>
          <cell r="E317"/>
          <cell r="F317"/>
          <cell r="G317"/>
          <cell r="H317"/>
          <cell r="I317"/>
        </row>
        <row r="318">
          <cell r="A318" t="str">
            <v>C-462</v>
          </cell>
          <cell r="B318"/>
          <cell r="C318" t="str">
            <v>TEJABANES</v>
          </cell>
          <cell r="D318" t="str">
            <v>URBANIZACIÓN TEJABANES</v>
          </cell>
          <cell r="E318"/>
          <cell r="F318"/>
          <cell r="G318"/>
          <cell r="H318"/>
          <cell r="I318"/>
        </row>
        <row r="319">
          <cell r="A319" t="str">
            <v>C-463</v>
          </cell>
          <cell r="B319"/>
          <cell r="C319" t="str">
            <v>PLÁSTICOS Y MATERIAS PRIMAS</v>
          </cell>
          <cell r="D319" t="str">
            <v>CAMBIO DE PISO PLANTA BAJA Y 1ER NIVEL OFICINAS</v>
          </cell>
          <cell r="E319"/>
          <cell r="F319"/>
          <cell r="G319"/>
          <cell r="H319"/>
          <cell r="I319"/>
        </row>
        <row r="320">
          <cell r="A320" t="str">
            <v>C-464</v>
          </cell>
          <cell r="B320"/>
          <cell r="C320" t="str">
            <v>LAS ESTRELLAS TAPALPA</v>
          </cell>
          <cell r="D320" t="str">
            <v>JULIA AP LAS ESTRELLAS</v>
          </cell>
          <cell r="E320"/>
          <cell r="F320"/>
          <cell r="G320"/>
          <cell r="H320"/>
          <cell r="I320"/>
        </row>
        <row r="321">
          <cell r="A321" t="str">
            <v>C-465</v>
          </cell>
          <cell r="B321"/>
          <cell r="C321" t="str">
            <v>PLÁSTICOS Y MATERIAS PRIMAS</v>
          </cell>
          <cell r="D321" t="str">
            <v>TRINCHERA ALMACÉN DE CARGADORES</v>
          </cell>
          <cell r="E321"/>
          <cell r="F321"/>
          <cell r="G321"/>
          <cell r="H321"/>
          <cell r="I321"/>
        </row>
        <row r="322">
          <cell r="A322" t="str">
            <v>C-466</v>
          </cell>
          <cell r="B322"/>
          <cell r="C322" t="str">
            <v>AV AMÉRICAS 1120</v>
          </cell>
          <cell r="D322" t="str">
            <v>EDIFICIO AMÉRICAS</v>
          </cell>
          <cell r="E322"/>
          <cell r="F322"/>
          <cell r="G322"/>
          <cell r="H322"/>
          <cell r="I322"/>
        </row>
        <row r="323">
          <cell r="A323" t="str">
            <v>C-467</v>
          </cell>
          <cell r="B323"/>
          <cell r="C323" t="str">
            <v>AV ESPAÑA</v>
          </cell>
          <cell r="D323" t="str">
            <v>FUNDACIÓN STELLA 2023</v>
          </cell>
          <cell r="E323"/>
          <cell r="F323"/>
          <cell r="G323"/>
          <cell r="H323"/>
          <cell r="I323"/>
        </row>
        <row r="324">
          <cell r="A324" t="str">
            <v>C-468</v>
          </cell>
          <cell r="B324"/>
          <cell r="C324" t="str">
            <v>TLAJOMULCO</v>
          </cell>
          <cell r="D324" t="str">
            <v>OBRA CIVIL PARA INCREMENTO DE CAPACIDAD MULTIPACK EN CDN</v>
          </cell>
          <cell r="E324"/>
          <cell r="F324"/>
          <cell r="G324"/>
          <cell r="H324"/>
          <cell r="I324"/>
        </row>
        <row r="325">
          <cell r="A325" t="str">
            <v>C-469</v>
          </cell>
          <cell r="B325"/>
          <cell r="C325" t="str">
            <v>TLAJOMULCO</v>
          </cell>
          <cell r="D325" t="str">
            <v>PUNTOS DE USO WIFI SALAS DE PESADO EDIFICIO A</v>
          </cell>
          <cell r="E325"/>
          <cell r="F325"/>
          <cell r="G325"/>
          <cell r="H325"/>
          <cell r="I325"/>
        </row>
        <row r="326">
          <cell r="A326" t="str">
            <v>C-470</v>
          </cell>
          <cell r="B326"/>
          <cell r="C326" t="str">
            <v>TLAJOMULCO</v>
          </cell>
          <cell r="D326" t="str">
            <v>ADECUACIONES TERRENO ÁREA NUEVA CONTRATISTAS</v>
          </cell>
          <cell r="E326"/>
          <cell r="F326"/>
          <cell r="G326"/>
          <cell r="H326"/>
          <cell r="I326"/>
        </row>
        <row r="327">
          <cell r="A327" t="str">
            <v>C-471</v>
          </cell>
          <cell r="B327"/>
          <cell r="C327" t="str">
            <v>TLAJOMULCO</v>
          </cell>
          <cell r="D327" t="str">
            <v>ADECUACIONES EN ÁREA DE CARGA DE NITRÓGENO</v>
          </cell>
          <cell r="E327"/>
          <cell r="F327"/>
          <cell r="G327"/>
          <cell r="H327"/>
          <cell r="I327"/>
        </row>
        <row r="328">
          <cell r="A328" t="str">
            <v>C-472</v>
          </cell>
          <cell r="B328"/>
          <cell r="C328" t="str">
            <v>ZONA INDUSTRIAL</v>
          </cell>
          <cell r="D328" t="str">
            <v>REFORZAMIENTO DE PUENTE DE SERVICIO CALLE 6</v>
          </cell>
          <cell r="E328"/>
          <cell r="F328"/>
          <cell r="G328"/>
          <cell r="H328"/>
          <cell r="I328"/>
        </row>
        <row r="329">
          <cell r="A329" t="str">
            <v>C-473</v>
          </cell>
          <cell r="B329"/>
          <cell r="C329" t="str">
            <v>AV CIRCUNVALACIÓN NORTE 520 , JARDINES ALCALDE CP 44290, GUADALAJARA, JAL</v>
          </cell>
          <cell r="D329" t="str">
            <v>AUTONOVA CIRCUNVALACIÓN</v>
          </cell>
          <cell r="E329"/>
          <cell r="F329"/>
          <cell r="G329"/>
          <cell r="H329"/>
          <cell r="I329"/>
        </row>
        <row r="330">
          <cell r="A330" t="str">
            <v>C-474</v>
          </cell>
          <cell r="B330"/>
          <cell r="C330" t="str">
            <v>PARQUE BL, ALAMBIQUES 975 LAS JUNTAS</v>
          </cell>
          <cell r="D330" t="str">
            <v xml:space="preserve">CONTENCIÓN TANQUE NITRÓGENO NAVE 1 </v>
          </cell>
          <cell r="E330"/>
          <cell r="F330"/>
          <cell r="G330"/>
          <cell r="H330"/>
          <cell r="I330"/>
        </row>
        <row r="331">
          <cell r="A331" t="str">
            <v>C-475</v>
          </cell>
          <cell r="B331"/>
          <cell r="C331" t="str">
            <v>PARQUE BL, ALAMBIQUES 975 LAS JUNTAS</v>
          </cell>
          <cell r="D331" t="str">
            <v xml:space="preserve">UNIÓN DE NAVES 11 y 12 </v>
          </cell>
          <cell r="E331"/>
          <cell r="F331"/>
          <cell r="G331"/>
          <cell r="H331"/>
          <cell r="I331"/>
        </row>
        <row r="332">
          <cell r="A332" t="str">
            <v>C-476</v>
          </cell>
          <cell r="B332"/>
          <cell r="C332" t="str">
            <v>RADEC ACATLÁN</v>
          </cell>
          <cell r="D332" t="str">
            <v>CLJ OFICINAS Y TALLERES</v>
          </cell>
          <cell r="E332"/>
          <cell r="F332"/>
          <cell r="G332"/>
          <cell r="H332"/>
          <cell r="I332"/>
        </row>
        <row r="333">
          <cell r="A333" t="str">
            <v>C-477</v>
          </cell>
          <cell r="B333"/>
          <cell r="C333" t="str">
            <v>RADEC ACATLÁN</v>
          </cell>
          <cell r="D333" t="str">
            <v>CLJ ÁREA DE AMENIDADES</v>
          </cell>
          <cell r="E333"/>
          <cell r="F333"/>
          <cell r="G333"/>
          <cell r="H333"/>
          <cell r="I333"/>
        </row>
        <row r="334">
          <cell r="A334" t="str">
            <v>C-478</v>
          </cell>
          <cell r="B334"/>
          <cell r="C334" t="str">
            <v>RADEC ACATLÁN</v>
          </cell>
          <cell r="D334" t="str">
            <v>CLJ NAVE 03</v>
          </cell>
          <cell r="E334"/>
          <cell r="F334"/>
          <cell r="G334"/>
          <cell r="H334"/>
          <cell r="I334"/>
        </row>
        <row r="335">
          <cell r="A335" t="str">
            <v>C-479</v>
          </cell>
          <cell r="B335"/>
          <cell r="C335" t="str">
            <v>TLAJOMULCO</v>
          </cell>
          <cell r="D335" t="str">
            <v>REMEDIACIÓN ÁREA DE MUESTREO ESTÉRILES</v>
          </cell>
          <cell r="E335"/>
          <cell r="F335"/>
          <cell r="G335"/>
          <cell r="H335"/>
          <cell r="I335"/>
        </row>
        <row r="336">
          <cell r="A336" t="str">
            <v>C-480</v>
          </cell>
          <cell r="B336"/>
          <cell r="C336" t="str">
            <v>ZONA INDUSTRIAL</v>
          </cell>
          <cell r="D336" t="str">
            <v>LÍNEA 4 BIOTECNOLÓGICOS</v>
          </cell>
          <cell r="E336"/>
          <cell r="F336"/>
          <cell r="G336"/>
          <cell r="H336"/>
          <cell r="I336"/>
        </row>
        <row r="337">
          <cell r="A337" t="str">
            <v>C-481</v>
          </cell>
          <cell r="B337"/>
          <cell r="C337" t="str">
            <v>PARQUE BL, ALAMBIQUES 975 LAS JUNTAS</v>
          </cell>
          <cell r="D337" t="str">
            <v>RAMPA NAVE 3-4 PARQUE BL</v>
          </cell>
          <cell r="E337"/>
          <cell r="F337"/>
          <cell r="G337"/>
          <cell r="H337"/>
          <cell r="I337"/>
        </row>
        <row r="338">
          <cell r="A338" t="str">
            <v>C-482</v>
          </cell>
          <cell r="B338"/>
          <cell r="C338" t="str">
            <v>TLAJOMULCO</v>
          </cell>
          <cell r="D338" t="str">
            <v>OBRA CIVIL LÍNEA 1</v>
          </cell>
          <cell r="E338"/>
          <cell r="F338"/>
          <cell r="G338"/>
          <cell r="H338"/>
          <cell r="I338"/>
        </row>
        <row r="339">
          <cell r="A339" t="str">
            <v>C-483</v>
          </cell>
          <cell r="B339"/>
          <cell r="C339" t="str">
            <v>PARQUE KIVA</v>
          </cell>
          <cell r="D339" t="str">
            <v>LOTE 25 y 26 PARQUE KIVA-CONACAL</v>
          </cell>
          <cell r="E339"/>
          <cell r="F339"/>
          <cell r="G339"/>
          <cell r="H339"/>
          <cell r="I339"/>
        </row>
        <row r="340">
          <cell r="A340" t="str">
            <v>C-484</v>
          </cell>
          <cell r="B340"/>
          <cell r="C340"/>
          <cell r="D340" t="str">
            <v>REPARACIÓN DE CUBIERTA ALMACÉN MAVI</v>
          </cell>
          <cell r="E340"/>
          <cell r="F340"/>
          <cell r="G340"/>
          <cell r="H340"/>
          <cell r="I340"/>
        </row>
        <row r="341">
          <cell r="A341" t="str">
            <v>C-488</v>
          </cell>
          <cell r="B341"/>
          <cell r="C341" t="str">
            <v>TLAJOMULCO</v>
          </cell>
          <cell r="D341" t="str">
            <v>MANTENIMIENTO A EDIFICIO R</v>
          </cell>
          <cell r="E341"/>
          <cell r="F341"/>
          <cell r="G341"/>
          <cell r="H341"/>
          <cell r="I341"/>
        </row>
        <row r="342">
          <cell r="A342" t="str">
            <v>C-489</v>
          </cell>
          <cell r="B342"/>
          <cell r="C342" t="str">
            <v>TLAJOMULCO</v>
          </cell>
          <cell r="D342" t="str">
            <v>OFICINA, PUENTE Y VESTIDORES</v>
          </cell>
          <cell r="E342"/>
          <cell r="F342"/>
          <cell r="G342"/>
          <cell r="H342"/>
          <cell r="I342"/>
        </row>
        <row r="343">
          <cell r="A343" t="str">
            <v>C-490</v>
          </cell>
          <cell r="B343"/>
          <cell r="C343" t="str">
            <v>TAPALPA</v>
          </cell>
          <cell r="D343" t="str">
            <v>QUESERÍA TAPALPA</v>
          </cell>
          <cell r="E343"/>
          <cell r="F343"/>
          <cell r="G343"/>
          <cell r="H343"/>
          <cell r="I343"/>
        </row>
        <row r="344">
          <cell r="A344" t="str">
            <v>C-491</v>
          </cell>
          <cell r="B344"/>
          <cell r="C344" t="str">
            <v>TLAJOMULCO</v>
          </cell>
          <cell r="D344" t="str">
            <v>HORNOS DE VAPOR LÍNEA 3 PRODUCCIÓN ELECTROLIT</v>
          </cell>
          <cell r="E344"/>
          <cell r="F344"/>
          <cell r="G344"/>
          <cell r="H344"/>
          <cell r="I344"/>
        </row>
        <row r="345">
          <cell r="A345" t="str">
            <v>C-492</v>
          </cell>
          <cell r="B345"/>
          <cell r="C345" t="str">
            <v>TLAJOMULCO</v>
          </cell>
          <cell r="D345" t="str">
            <v>SERV. ESPECIALIZADOS DE CONST PROYECTO LAB DESARROLLO NAVE AISSA</v>
          </cell>
          <cell r="E345"/>
          <cell r="F345"/>
          <cell r="G345"/>
          <cell r="H345"/>
          <cell r="I345"/>
        </row>
        <row r="346">
          <cell r="A346" t="str">
            <v>C-493</v>
          </cell>
          <cell r="B346"/>
          <cell r="C346" t="str">
            <v>TLAJOMULCO</v>
          </cell>
          <cell r="D346" t="str">
            <v>CDN 5</v>
          </cell>
          <cell r="E346"/>
          <cell r="F346"/>
          <cell r="G346"/>
          <cell r="H346"/>
          <cell r="I346"/>
        </row>
        <row r="347">
          <cell r="A347" t="str">
            <v>C-494</v>
          </cell>
          <cell r="B347"/>
          <cell r="C347" t="str">
            <v>TLAJOMULCO</v>
          </cell>
          <cell r="D347" t="str">
            <v>EXTENSIÓN DE INSUMOS 5 EDIFICIO R</v>
          </cell>
          <cell r="E347"/>
          <cell r="F347"/>
          <cell r="G347"/>
          <cell r="H347"/>
          <cell r="I347"/>
        </row>
        <row r="348">
          <cell r="A348" t="str">
            <v>C-496</v>
          </cell>
          <cell r="B348"/>
          <cell r="C348" t="str">
            <v>TLAJOMULCO</v>
          </cell>
          <cell r="D348" t="str">
            <v>INSTALACIÓN DE EQUIPO DE PRODUCCIÓN EN TAMIZADO 3 NAVE 2</v>
          </cell>
          <cell r="E348"/>
          <cell r="F348"/>
          <cell r="G348"/>
          <cell r="H348"/>
          <cell r="I348"/>
        </row>
        <row r="349">
          <cell r="A349" t="str">
            <v>C-498</v>
          </cell>
          <cell r="B349"/>
          <cell r="C349" t="str">
            <v>TLAJOMULCO</v>
          </cell>
          <cell r="D349" t="str">
            <v>OFICINAS DE DESARROLLO PENICILÍNICO</v>
          </cell>
          <cell r="E349"/>
          <cell r="F349"/>
          <cell r="G349"/>
          <cell r="H349"/>
          <cell r="I349"/>
        </row>
        <row r="350">
          <cell r="A350" t="str">
            <v>C-499</v>
          </cell>
          <cell r="B350"/>
          <cell r="C350" t="str">
            <v>TLAJOMULCO</v>
          </cell>
          <cell r="D350" t="str">
            <v>MANTENIMIENTO DE PYMPSA ( EDIFICIO K )</v>
          </cell>
          <cell r="E350"/>
          <cell r="F350"/>
          <cell r="G350"/>
          <cell r="H350"/>
          <cell r="I350"/>
        </row>
        <row r="351">
          <cell r="A351" t="str">
            <v>C-500</v>
          </cell>
          <cell r="B351"/>
          <cell r="C351" t="str">
            <v>LOS JALES</v>
          </cell>
          <cell r="D351" t="str">
            <v>REJA LOS JALES</v>
          </cell>
          <cell r="E351"/>
          <cell r="F351"/>
          <cell r="G351"/>
          <cell r="H351"/>
          <cell r="I351"/>
        </row>
        <row r="352">
          <cell r="A352" t="str">
            <v>C-501</v>
          </cell>
          <cell r="B352"/>
          <cell r="C352" t="str">
            <v>PLANTA ZONA INDUSTRIAL</v>
          </cell>
          <cell r="D352" t="str">
            <v>CENTRO DE LAVADO 1 LABORATORIO CENTRAL</v>
          </cell>
          <cell r="E352"/>
          <cell r="F352"/>
          <cell r="G352"/>
          <cell r="H352"/>
          <cell r="I352"/>
        </row>
        <row r="353">
          <cell r="A353" t="str">
            <v>C-502</v>
          </cell>
          <cell r="B353"/>
          <cell r="C353" t="str">
            <v>TAPALPA</v>
          </cell>
          <cell r="D353" t="str">
            <v>COCHERA OLMOS</v>
          </cell>
          <cell r="E353"/>
          <cell r="F353"/>
          <cell r="G353"/>
          <cell r="H353"/>
          <cell r="I353"/>
        </row>
        <row r="354">
          <cell r="A354" t="str">
            <v>C-503</v>
          </cell>
          <cell r="B354"/>
          <cell r="C354" t="str">
            <v>TEJABANES</v>
          </cell>
          <cell r="D354" t="str">
            <v>FARMACIA LA PAZ ÁLAMO</v>
          </cell>
          <cell r="E354"/>
          <cell r="F354"/>
          <cell r="G354"/>
          <cell r="H354"/>
          <cell r="I354"/>
        </row>
        <row r="355">
          <cell r="A355" t="str">
            <v>C-504</v>
          </cell>
          <cell r="B355"/>
          <cell r="C355" t="str">
            <v>TEJABANES</v>
          </cell>
          <cell r="D355" t="str">
            <v>MURO DIVISORIO ALMACÉN ANEXO CDN</v>
          </cell>
          <cell r="E355"/>
          <cell r="F355"/>
          <cell r="G355"/>
          <cell r="H355"/>
          <cell r="I355"/>
        </row>
        <row r="356">
          <cell r="A356" t="str">
            <v>C-505</v>
          </cell>
          <cell r="B356"/>
          <cell r="C356" t="str">
            <v>TLAJOMULCO</v>
          </cell>
          <cell r="D356" t="str">
            <v>ENMALLADO ÁREA DE RECICLAJE CDN 2</v>
          </cell>
          <cell r="E356"/>
          <cell r="F356"/>
          <cell r="G356"/>
          <cell r="H356"/>
          <cell r="I356"/>
        </row>
        <row r="357">
          <cell r="A357" t="str">
            <v>C-506</v>
          </cell>
          <cell r="B357"/>
          <cell r="C357" t="str">
            <v>TLAJOMULCO</v>
          </cell>
          <cell r="D357" t="str">
            <v>OFICINAS Y SALA DE JUNTAS EN ÁREA ACONDICIONADO ONCOLÓGICOS</v>
          </cell>
          <cell r="E357"/>
          <cell r="F357"/>
          <cell r="G357"/>
          <cell r="H357"/>
          <cell r="I357"/>
        </row>
        <row r="358">
          <cell r="A358" t="str">
            <v>C-507</v>
          </cell>
          <cell r="B358"/>
          <cell r="C358" t="str">
            <v>PLANTA ZONA INDUSTRIAL</v>
          </cell>
          <cell r="D358" t="str">
            <v>AUTOCLAVE LÍNEA 1 CEFALOSPORINAS</v>
          </cell>
          <cell r="E358"/>
          <cell r="F358"/>
          <cell r="G358"/>
          <cell r="H358"/>
          <cell r="I358"/>
        </row>
        <row r="359">
          <cell r="A359" t="str">
            <v>C-508</v>
          </cell>
          <cell r="B359"/>
          <cell r="C359" t="str">
            <v>PLANTA ZONA INDUSTRIAL</v>
          </cell>
          <cell r="D359" t="str">
            <v>MANTENIMIENTO DE ESTRUCTURA TORRES DE ENFRIAMIENTO</v>
          </cell>
          <cell r="E359"/>
          <cell r="F359"/>
          <cell r="G359"/>
          <cell r="H359"/>
          <cell r="I359"/>
        </row>
        <row r="360">
          <cell r="A360" t="str">
            <v>C-509</v>
          </cell>
          <cell r="B360"/>
          <cell r="C360" t="str">
            <v>PYMPSA</v>
          </cell>
          <cell r="D360" t="str">
            <v>REMODELACIÓN COMEDOR</v>
          </cell>
          <cell r="E360"/>
          <cell r="F360"/>
          <cell r="G360"/>
          <cell r="H360"/>
          <cell r="I360"/>
        </row>
        <row r="361">
          <cell r="A361" t="str">
            <v>C-510</v>
          </cell>
          <cell r="B361"/>
          <cell r="C361" t="str">
            <v>KIVA ( MARCO CORTÉS )</v>
          </cell>
          <cell r="D361" t="str">
            <v>KIVA LOTE 12</v>
          </cell>
          <cell r="E361"/>
          <cell r="F361"/>
          <cell r="G361"/>
          <cell r="H361"/>
          <cell r="I361"/>
        </row>
        <row r="362">
          <cell r="A362" t="str">
            <v>C-511</v>
          </cell>
          <cell r="B362"/>
          <cell r="C362" t="str">
            <v>RICARDO SANDOVAL</v>
          </cell>
          <cell r="D362" t="str">
            <v>RICARDO SANDOVAL</v>
          </cell>
          <cell r="E362"/>
          <cell r="F362"/>
          <cell r="G362"/>
          <cell r="H362"/>
          <cell r="I362"/>
        </row>
        <row r="363">
          <cell r="A363" t="str">
            <v>C-512</v>
          </cell>
          <cell r="B363"/>
          <cell r="C363" t="str">
            <v>TLAJOMULCO</v>
          </cell>
          <cell r="D363" t="str">
            <v>IMPRESORA DE ALUMINIO</v>
          </cell>
          <cell r="E363"/>
          <cell r="F363"/>
          <cell r="G363"/>
          <cell r="H363"/>
          <cell r="I363"/>
        </row>
        <row r="364">
          <cell r="A364" t="str">
            <v>C-513</v>
          </cell>
          <cell r="B364"/>
          <cell r="C364" t="str">
            <v>TLAJOMULCO</v>
          </cell>
          <cell r="D364" t="str">
            <v>MANTENIMIENTO A CDN 2</v>
          </cell>
          <cell r="E364"/>
          <cell r="F364"/>
          <cell r="G364"/>
          <cell r="H364"/>
          <cell r="I364"/>
        </row>
        <row r="365">
          <cell r="A365" t="str">
            <v>C-514</v>
          </cell>
          <cell r="B365"/>
          <cell r="C365" t="str">
            <v>TLAJOMULCO</v>
          </cell>
          <cell r="D365" t="str">
            <v>MANTENIMIENTO A CDN 3</v>
          </cell>
          <cell r="E365"/>
          <cell r="F365"/>
          <cell r="G365"/>
          <cell r="H365"/>
          <cell r="I365"/>
        </row>
        <row r="366">
          <cell r="A366" t="str">
            <v>C-515</v>
          </cell>
          <cell r="B366"/>
          <cell r="C366" t="str">
            <v>PYMPSA</v>
          </cell>
          <cell r="D366" t="str">
            <v>INSTALACIÓN DE PISO EPÓXICO BENNY</v>
          </cell>
          <cell r="E366"/>
          <cell r="F366"/>
          <cell r="G366"/>
          <cell r="H366"/>
          <cell r="I366"/>
        </row>
        <row r="367">
          <cell r="A367" t="str">
            <v>C-516</v>
          </cell>
          <cell r="B367"/>
          <cell r="C367" t="str">
            <v>TLAJOMULCO</v>
          </cell>
          <cell r="D367" t="str">
            <v>OFICINAS MEZZANINNE CLJ 2</v>
          </cell>
          <cell r="E367"/>
          <cell r="F367"/>
          <cell r="G367"/>
          <cell r="H367"/>
          <cell r="I367"/>
        </row>
        <row r="368">
          <cell r="A368" t="str">
            <v>C-518</v>
          </cell>
          <cell r="B368"/>
          <cell r="C368" t="str">
            <v>TLAJOMULCO</v>
          </cell>
          <cell r="D368" t="str">
            <v>ENCAPSULADO II</v>
          </cell>
          <cell r="E368"/>
          <cell r="F368"/>
          <cell r="G368"/>
          <cell r="H368"/>
          <cell r="I368"/>
        </row>
        <row r="369">
          <cell r="A369" t="str">
            <v>C-519</v>
          </cell>
          <cell r="B369"/>
          <cell r="C369" t="str">
            <v>TLAJOMULCO</v>
          </cell>
          <cell r="D369" t="str">
            <v>CONSTRUCCIÓN DE PROYECTO DE BASE DE CONCRETO PARA TANQUE</v>
          </cell>
          <cell r="E369"/>
          <cell r="F369"/>
          <cell r="G369"/>
          <cell r="H369"/>
          <cell r="I369"/>
        </row>
        <row r="370">
          <cell r="A370" t="str">
            <v>C-520</v>
          </cell>
          <cell r="B370"/>
          <cell r="C370" t="str">
            <v>TLAJOMULCO</v>
          </cell>
          <cell r="D370" t="str">
            <v>NAVE DE TARIMAS</v>
          </cell>
          <cell r="E370"/>
          <cell r="F370"/>
          <cell r="G370"/>
          <cell r="H370"/>
          <cell r="I370"/>
        </row>
        <row r="371">
          <cell r="A371" t="str">
            <v>C-521</v>
          </cell>
          <cell r="B371"/>
          <cell r="C371" t="str">
            <v>TLAJOMULCO</v>
          </cell>
          <cell r="D371" t="str">
            <v>REMODELACIÓN BAÑO/VESTIDORES FDA</v>
          </cell>
          <cell r="E371"/>
          <cell r="F371"/>
          <cell r="G371"/>
          <cell r="H371"/>
          <cell r="I371"/>
        </row>
        <row r="372">
          <cell r="A372" t="str">
            <v>C-522</v>
          </cell>
          <cell r="B372"/>
          <cell r="C372" t="str">
            <v>COAHUILA</v>
          </cell>
          <cell r="D372" t="str">
            <v>BODEGA DE ELKS</v>
          </cell>
          <cell r="E372"/>
          <cell r="F372"/>
          <cell r="G372"/>
          <cell r="H372"/>
          <cell r="I372"/>
        </row>
        <row r="373">
          <cell r="A373" t="str">
            <v>C-523</v>
          </cell>
          <cell r="B373"/>
          <cell r="C373" t="str">
            <v>RADEC ACATLÁN</v>
          </cell>
          <cell r="D373" t="str">
            <v>INGRESO Y TALLERES PONIENTE RADEC</v>
          </cell>
          <cell r="E373"/>
          <cell r="F373"/>
          <cell r="G373"/>
          <cell r="H373"/>
          <cell r="I373"/>
        </row>
        <row r="374">
          <cell r="A374" t="str">
            <v>C-524</v>
          </cell>
          <cell r="B374"/>
          <cell r="C374" t="str">
            <v>RADEC ACATLÁN</v>
          </cell>
          <cell r="D374" t="str">
            <v>PATIO DE MANIOBRAS Y ESTACIONAMIENTO NORTE RADEC</v>
          </cell>
          <cell r="E374"/>
          <cell r="F374"/>
          <cell r="G374"/>
          <cell r="H374"/>
          <cell r="I374"/>
        </row>
        <row r="375">
          <cell r="A375" t="str">
            <v>C-525</v>
          </cell>
          <cell r="B375"/>
          <cell r="C375" t="str">
            <v>TLAJOMULCO</v>
          </cell>
          <cell r="D375" t="str">
            <v>INCREMENTO DE SERVICIOS EDIFICIO I</v>
          </cell>
          <cell r="E375"/>
          <cell r="F375"/>
          <cell r="G375"/>
          <cell r="H375"/>
          <cell r="I375"/>
        </row>
        <row r="376">
          <cell r="A376" t="str">
            <v>C-526</v>
          </cell>
          <cell r="B376"/>
          <cell r="C376" t="str">
            <v>TLAJOMULCO</v>
          </cell>
          <cell r="D376" t="str">
            <v>MANTENIMIENTO EN ÁREAS COMUNES DEL COMPLEJO</v>
          </cell>
          <cell r="E376"/>
          <cell r="F376"/>
          <cell r="G376"/>
          <cell r="H376"/>
          <cell r="I376"/>
        </row>
        <row r="377">
          <cell r="A377" t="str">
            <v>C-529</v>
          </cell>
          <cell r="B377"/>
          <cell r="C377" t="str">
            <v>TLAJOMULCO</v>
          </cell>
          <cell r="D377" t="str">
            <v>MANTENIMIENTO EDIFICIO A</v>
          </cell>
          <cell r="E377"/>
          <cell r="F377"/>
          <cell r="G377"/>
          <cell r="H377"/>
          <cell r="I377"/>
        </row>
        <row r="378">
          <cell r="A378" t="str">
            <v>C-530</v>
          </cell>
          <cell r="B378"/>
          <cell r="C378" t="str">
            <v>TLAJOMULCO</v>
          </cell>
          <cell r="D378" t="str">
            <v>MANTENIMIENTO A CDN 3</v>
          </cell>
          <cell r="E378"/>
          <cell r="F378"/>
          <cell r="G378"/>
          <cell r="H378"/>
          <cell r="I378"/>
        </row>
        <row r="379">
          <cell r="A379" t="str">
            <v>C-531</v>
          </cell>
          <cell r="B379"/>
          <cell r="C379" t="str">
            <v>AVANT</v>
          </cell>
          <cell r="D379" t="str">
            <v>NAVE 07 PARQUE AVANT</v>
          </cell>
          <cell r="E379"/>
          <cell r="F379"/>
          <cell r="G379"/>
          <cell r="H379"/>
          <cell r="I379"/>
        </row>
        <row r="380">
          <cell r="A380" t="str">
            <v>C-533</v>
          </cell>
          <cell r="B380"/>
          <cell r="C380" t="str">
            <v>TLAJOMULCO</v>
          </cell>
          <cell r="D380" t="str">
            <v>CUARTO PARA ÓSMOSIS CDN´S</v>
          </cell>
          <cell r="E380"/>
          <cell r="F380"/>
          <cell r="G380"/>
          <cell r="H380"/>
          <cell r="I380"/>
        </row>
        <row r="381">
          <cell r="A381" t="str">
            <v>C-534</v>
          </cell>
          <cell r="B381"/>
          <cell r="C381" t="str">
            <v>LA NOGALERA</v>
          </cell>
          <cell r="D381" t="str">
            <v>AMPLIACIÓN CD ( MUEBLERÍA VIU )</v>
          </cell>
          <cell r="E381"/>
          <cell r="F381"/>
          <cell r="G381"/>
          <cell r="H381"/>
          <cell r="I381"/>
        </row>
        <row r="382">
          <cell r="A382" t="str">
            <v>C-536</v>
          </cell>
          <cell r="B382"/>
          <cell r="C382" t="str">
            <v>TEJABANES</v>
          </cell>
          <cell r="D382" t="str">
            <v xml:space="preserve">MANTENIMIENTO PARQUE BL </v>
          </cell>
          <cell r="E382"/>
          <cell r="F382"/>
          <cell r="G382"/>
          <cell r="H382"/>
          <cell r="I382"/>
        </row>
        <row r="383">
          <cell r="A383" t="str">
            <v>C-537</v>
          </cell>
          <cell r="B383"/>
          <cell r="C383" t="str">
            <v>TLAJOMULCO</v>
          </cell>
          <cell r="D383" t="str">
            <v>ADECUACIONES Y NUEVAS ÁREAS PYMPSA EDIFICIO K</v>
          </cell>
          <cell r="E383"/>
          <cell r="F383"/>
          <cell r="G383"/>
          <cell r="H383"/>
          <cell r="I383"/>
        </row>
        <row r="384">
          <cell r="A384" t="str">
            <v>C-538</v>
          </cell>
          <cell r="B384"/>
          <cell r="C384" t="str">
            <v>PLANTA ZONA INDUSTRIAL</v>
          </cell>
          <cell r="D384" t="str">
            <v>LABORATORIO BIOTECNOLÓGICOS</v>
          </cell>
          <cell r="E384"/>
          <cell r="F384"/>
          <cell r="G384"/>
          <cell r="H384"/>
          <cell r="I384"/>
        </row>
        <row r="385">
          <cell r="A385" t="str">
            <v>C-540</v>
          </cell>
          <cell r="B385"/>
          <cell r="C385" t="str">
            <v>TLAJOMULCO</v>
          </cell>
          <cell r="D385" t="str">
            <v>ADECUACIONES DE MANTENIMIENTO EN ALMACÉN AGRO</v>
          </cell>
          <cell r="E385"/>
          <cell r="F385"/>
          <cell r="G385"/>
          <cell r="H385"/>
          <cell r="I385"/>
        </row>
        <row r="386">
          <cell r="A386" t="str">
            <v>C-541</v>
          </cell>
          <cell r="B386"/>
          <cell r="C386" t="str">
            <v>PYMPSA</v>
          </cell>
          <cell r="D386" t="str">
            <v>PUENTE TUBERÍA DE GAS COMEDOR</v>
          </cell>
          <cell r="E386"/>
          <cell r="F386"/>
          <cell r="G386"/>
          <cell r="H386"/>
          <cell r="I386"/>
        </row>
        <row r="387">
          <cell r="A387" t="str">
            <v>C-542</v>
          </cell>
          <cell r="B387"/>
          <cell r="C387" t="str">
            <v xml:space="preserve">CDN </v>
          </cell>
          <cell r="D387" t="str">
            <v>SEGREGACIÓN ALMACÉN IARE CDN ÁLAMO</v>
          </cell>
          <cell r="E387"/>
          <cell r="F387"/>
          <cell r="G387"/>
          <cell r="H387"/>
          <cell r="I387"/>
        </row>
        <row r="388">
          <cell r="A388" t="str">
            <v>C-543</v>
          </cell>
          <cell r="B388"/>
          <cell r="C388" t="str">
            <v>ZONA INDUSTRIAL</v>
          </cell>
          <cell r="D388" t="str">
            <v>ESTACIONAMIENTO JARDÍN</v>
          </cell>
          <cell r="E388"/>
          <cell r="F388"/>
          <cell r="G388"/>
          <cell r="H388"/>
          <cell r="I388"/>
        </row>
        <row r="389">
          <cell r="A389" t="str">
            <v>C-545</v>
          </cell>
          <cell r="B389"/>
          <cell r="C389" t="str">
            <v>COAHUILA</v>
          </cell>
          <cell r="D389" t="str">
            <v>CHIQUEROS</v>
          </cell>
          <cell r="E389"/>
          <cell r="F389"/>
          <cell r="G389"/>
          <cell r="H389"/>
          <cell r="I389"/>
        </row>
        <row r="390">
          <cell r="A390" t="str">
            <v>ID-942</v>
          </cell>
          <cell r="B390"/>
          <cell r="C390" t="str">
            <v>PLANTA ZONA INDUSTRIAL</v>
          </cell>
          <cell r="D390" t="str">
            <v>CCTV Y CONTROLES DE ACCESO</v>
          </cell>
          <cell r="E390"/>
          <cell r="F390"/>
          <cell r="G390"/>
          <cell r="H390"/>
          <cell r="I390"/>
        </row>
        <row r="391">
          <cell r="A391" t="str">
            <v>ID-944</v>
          </cell>
          <cell r="B391"/>
          <cell r="C391" t="str">
            <v>TLAJOMULCO</v>
          </cell>
          <cell r="D391" t="str">
            <v xml:space="preserve">MANTENIMIENTO A SUB-ESTACIÓN ELÉCTRICA </v>
          </cell>
          <cell r="E391"/>
          <cell r="F391"/>
          <cell r="G391"/>
          <cell r="H391"/>
          <cell r="I391"/>
        </row>
        <row r="392">
          <cell r="A392" t="str">
            <v>ID-945</v>
          </cell>
          <cell r="B392"/>
          <cell r="C392" t="str">
            <v>PYMPSA</v>
          </cell>
          <cell r="D392" t="str">
            <v>CAMBIO DE PUERTA PASILLO BENY</v>
          </cell>
          <cell r="E392"/>
          <cell r="F392"/>
          <cell r="G392"/>
          <cell r="H392"/>
          <cell r="I392"/>
        </row>
        <row r="393">
          <cell r="A393" t="str">
            <v>ID-946</v>
          </cell>
          <cell r="B393"/>
          <cell r="C393" t="str">
            <v>PYMPSA</v>
          </cell>
          <cell r="D393" t="str">
            <v>REENCARPETAMIENTO ASFÁLTICO PUERTA 2</v>
          </cell>
          <cell r="E393"/>
          <cell r="F393"/>
          <cell r="G393"/>
          <cell r="H393"/>
          <cell r="I393"/>
        </row>
        <row r="394">
          <cell r="A394" t="str">
            <v>ID-947</v>
          </cell>
          <cell r="B394"/>
          <cell r="C394" t="str">
            <v>PYMPSA</v>
          </cell>
          <cell r="D394" t="str">
            <v>IMPERMEABILIZACIÓN AZOTEA SUAVIZADOR</v>
          </cell>
          <cell r="E394"/>
          <cell r="F394"/>
          <cell r="G394"/>
          <cell r="H394"/>
          <cell r="I394"/>
        </row>
        <row r="395">
          <cell r="A395" t="str">
            <v>ID-948</v>
          </cell>
          <cell r="B395"/>
          <cell r="C395" t="str">
            <v>PYMPSA</v>
          </cell>
          <cell r="D395" t="str">
            <v>CARPETA EPÓXICA PASILLO EXTERIOR BOLSAS</v>
          </cell>
          <cell r="E395"/>
          <cell r="F395"/>
          <cell r="G395"/>
          <cell r="H395"/>
          <cell r="I395"/>
        </row>
        <row r="396">
          <cell r="A396" t="str">
            <v>ID-949</v>
          </cell>
          <cell r="B396"/>
          <cell r="C396" t="str">
            <v>PYMPSA</v>
          </cell>
          <cell r="D396" t="str">
            <v>PINTURA DE TORRES DE ENFRIAMIENTO</v>
          </cell>
          <cell r="E396"/>
          <cell r="F396"/>
          <cell r="G396"/>
          <cell r="H396"/>
          <cell r="I396"/>
        </row>
        <row r="397">
          <cell r="A397" t="str">
            <v>ID-951</v>
          </cell>
          <cell r="B397"/>
          <cell r="C397" t="str">
            <v>TLAJOMULCO</v>
          </cell>
          <cell r="D397" t="str">
            <v>CONSTRUCCIÓN DE PUENTE EDIFICIO R A CDN 1</v>
          </cell>
          <cell r="E397"/>
          <cell r="F397"/>
          <cell r="G397"/>
          <cell r="H397"/>
          <cell r="I397"/>
        </row>
        <row r="398">
          <cell r="A398" t="str">
            <v>ID-953</v>
          </cell>
          <cell r="B398"/>
          <cell r="C398" t="str">
            <v>TAPALPA</v>
          </cell>
          <cell r="D398" t="str">
            <v>ROGELIO LAS ESTRELLAS</v>
          </cell>
          <cell r="E398"/>
          <cell r="F398"/>
          <cell r="G398"/>
          <cell r="H398"/>
          <cell r="I398"/>
        </row>
        <row r="399">
          <cell r="A399" t="str">
            <v>ID-954</v>
          </cell>
          <cell r="B399"/>
          <cell r="C399" t="str">
            <v>TEJABANES</v>
          </cell>
          <cell r="D399" t="str">
            <v>TRABAJOS MOVILIDAD CAB</v>
          </cell>
          <cell r="E399"/>
          <cell r="F399"/>
          <cell r="G399"/>
          <cell r="H399"/>
          <cell r="I399"/>
        </row>
        <row r="400">
          <cell r="A400" t="str">
            <v>ID-955</v>
          </cell>
          <cell r="B400"/>
          <cell r="C400" t="str">
            <v>INDORAMA</v>
          </cell>
          <cell r="D400" t="str">
            <v>IBSA INDORAMA</v>
          </cell>
          <cell r="E400"/>
          <cell r="F400"/>
          <cell r="G400"/>
          <cell r="H400"/>
          <cell r="I400"/>
        </row>
        <row r="401">
          <cell r="A401" t="str">
            <v>ID-956</v>
          </cell>
          <cell r="B401"/>
          <cell r="C401" t="str">
            <v>AVANT</v>
          </cell>
          <cell r="D401" t="str">
            <v>CONSTRUCCIÓN DE OFICINAS ÁREA DE COMEDOR, CONSULTORIO MÉDICO Y ÁREA DE LACTANCIA</v>
          </cell>
          <cell r="E401"/>
          <cell r="F401"/>
          <cell r="G401"/>
          <cell r="H401"/>
          <cell r="I401"/>
        </row>
        <row r="402">
          <cell r="A402" t="str">
            <v>ID-959</v>
          </cell>
          <cell r="B402"/>
          <cell r="C402" t="str">
            <v>BASE AÉREA</v>
          </cell>
          <cell r="D402" t="str">
            <v>KARLA ÁLVAREZ VEGA</v>
          </cell>
          <cell r="E402"/>
          <cell r="F402"/>
          <cell r="G402"/>
          <cell r="H402"/>
          <cell r="I402"/>
        </row>
        <row r="403">
          <cell r="A403" t="str">
            <v>ID-960</v>
          </cell>
          <cell r="B403"/>
          <cell r="C403" t="str">
            <v>TEJABANES</v>
          </cell>
          <cell r="D403" t="str">
            <v>LÍNEA DE AGUA NAVE 2 TEJABANES</v>
          </cell>
          <cell r="E403"/>
          <cell r="F403"/>
          <cell r="G403"/>
          <cell r="H403"/>
          <cell r="I403"/>
        </row>
        <row r="404">
          <cell r="A404" t="str">
            <v>ID-961</v>
          </cell>
          <cell r="B404"/>
          <cell r="C404" t="str">
            <v>PLANTA ZONA INDUSTRIAL</v>
          </cell>
          <cell r="D404" t="str">
            <v>LABORATORIO CEFALOSPORINA</v>
          </cell>
          <cell r="E404"/>
          <cell r="F404"/>
          <cell r="G404"/>
          <cell r="H404"/>
          <cell r="I404"/>
        </row>
        <row r="405">
          <cell r="A405" t="str">
            <v>ID-962</v>
          </cell>
          <cell r="B405"/>
          <cell r="C405" t="str">
            <v>PASEO DEL SENA D7, CONDOMINIO PUERTA AQUA, ZAPOPAN, JALISCO</v>
          </cell>
          <cell r="D405" t="str">
            <v>CASA PUERTA AQUA</v>
          </cell>
          <cell r="E405"/>
          <cell r="F405"/>
          <cell r="G405"/>
          <cell r="H405"/>
          <cell r="I405"/>
        </row>
        <row r="406">
          <cell r="A406" t="str">
            <v>ID-963</v>
          </cell>
          <cell r="B406"/>
          <cell r="C406" t="str">
            <v>PASEOS DEL BOSQUE #296, COL. COLINAS DE SAN JAVIER</v>
          </cell>
          <cell r="D406" t="str">
            <v>FERNANDO GARCIARCE</v>
          </cell>
          <cell r="E406"/>
          <cell r="F406"/>
          <cell r="G406"/>
          <cell r="H406"/>
          <cell r="I406"/>
        </row>
        <row r="407">
          <cell r="A407" t="str">
            <v>ID-964</v>
          </cell>
          <cell r="B407"/>
          <cell r="C407" t="str">
            <v>BRASILIA 2969 DEPTO 2A, ENTRE ALBERTA Y AMÉRICAS, COL. PROVIDENCIA</v>
          </cell>
          <cell r="D407" t="str">
            <v>DANIEL CHÁVEZ ALMADA</v>
          </cell>
          <cell r="E407"/>
          <cell r="F407"/>
          <cell r="G407"/>
          <cell r="H407"/>
          <cell r="I407"/>
        </row>
        <row r="408">
          <cell r="A408" t="str">
            <v>ID-965</v>
          </cell>
          <cell r="B408"/>
          <cell r="C408" t="str">
            <v>JUAN DE LA BARRERA 3609-2 PLÁSTICOS Y MATERIAS PRIMAS</v>
          </cell>
          <cell r="D408" t="str">
            <v>CUARTO DE CUARENTENA</v>
          </cell>
          <cell r="E408"/>
          <cell r="F408"/>
          <cell r="G408"/>
          <cell r="H408"/>
          <cell r="I408"/>
        </row>
        <row r="409">
          <cell r="A409" t="str">
            <v>ID-966</v>
          </cell>
          <cell r="B409"/>
          <cell r="C409" t="str">
            <v>JUAN DE LA BARRERA 3609-2 PLÁSTICOS Y MATERIAS PRIMAS</v>
          </cell>
          <cell r="D409" t="str">
            <v xml:space="preserve">VENTANA RH </v>
          </cell>
          <cell r="E409"/>
          <cell r="F409"/>
          <cell r="G409"/>
          <cell r="H409"/>
          <cell r="I409"/>
        </row>
        <row r="410">
          <cell r="A410" t="str">
            <v>ID-967</v>
          </cell>
          <cell r="B410"/>
          <cell r="C410" t="str">
            <v>JUAN DE LA BARRERA 3609-2 PLÁSTICOS Y MATERIAS PRIMAS</v>
          </cell>
          <cell r="D410" t="str">
            <v>CUBIERTA FALDÓN LÁMINA EN ESTACIONAMIENTO DIRECCIÓN PYMPSA</v>
          </cell>
          <cell r="E410"/>
          <cell r="F410"/>
          <cell r="G410"/>
          <cell r="H410"/>
          <cell r="I410"/>
        </row>
        <row r="411">
          <cell r="A411" t="str">
            <v>ID-968</v>
          </cell>
          <cell r="B411"/>
          <cell r="C411" t="str">
            <v>PLANTA ZONA INDUSTRIAL</v>
          </cell>
          <cell r="D411" t="str">
            <v>ROOF GARDEN ESTACIONAMIENTO</v>
          </cell>
          <cell r="E411"/>
          <cell r="F411"/>
          <cell r="G411"/>
          <cell r="H411"/>
          <cell r="I411"/>
        </row>
        <row r="412">
          <cell r="A412" t="str">
            <v>ID-969</v>
          </cell>
          <cell r="B412"/>
          <cell r="C412" t="str">
            <v>PLANTA ZONA INDUSTRIAL</v>
          </cell>
          <cell r="D412" t="str">
            <v>AMPLIACIÓN BASE DE EQUIPO EN MEZANINNE OFICINAS</v>
          </cell>
          <cell r="E412"/>
          <cell r="F412"/>
          <cell r="G412"/>
          <cell r="H412"/>
          <cell r="I412"/>
        </row>
        <row r="413">
          <cell r="A413" t="str">
            <v>ID-970</v>
          </cell>
          <cell r="B413"/>
          <cell r="C413" t="str">
            <v>TLAJOMULCO</v>
          </cell>
          <cell r="D413" t="str">
            <v>MANTENIMIENTO A PLANTAS DE TRATAMIENTO</v>
          </cell>
          <cell r="E413"/>
          <cell r="F413"/>
          <cell r="G413"/>
          <cell r="H413"/>
          <cell r="I413"/>
        </row>
        <row r="414">
          <cell r="A414" t="str">
            <v>ID-975</v>
          </cell>
          <cell r="B414"/>
          <cell r="C414" t="str">
            <v>JUAN DE LA BARRERA 3609-2 PLÁSTICOS Y MATERIAS PRIMAS</v>
          </cell>
          <cell r="D414" t="str">
            <v>CAMBIO DE LAVANDERÍA</v>
          </cell>
          <cell r="E414"/>
          <cell r="F414"/>
          <cell r="G414"/>
          <cell r="H414"/>
          <cell r="I414"/>
        </row>
        <row r="415">
          <cell r="A415" t="str">
            <v>ID-977</v>
          </cell>
          <cell r="B415"/>
          <cell r="C415" t="str">
            <v>TLAJOMULCO</v>
          </cell>
          <cell r="D415" t="str">
            <v>ENCAPSULADO II EDIFICIO B</v>
          </cell>
          <cell r="E415"/>
          <cell r="F415"/>
          <cell r="G415"/>
          <cell r="H415"/>
          <cell r="I415"/>
        </row>
        <row r="416">
          <cell r="A416" t="str">
            <v>ID-978</v>
          </cell>
          <cell r="B416"/>
          <cell r="C416" t="str">
            <v>AVANT</v>
          </cell>
          <cell r="D416" t="str">
            <v>NAVE 7 PARQUE AVANT ( OBRA )</v>
          </cell>
          <cell r="E416"/>
          <cell r="F416"/>
          <cell r="G416"/>
          <cell r="H416"/>
          <cell r="I416"/>
        </row>
        <row r="417">
          <cell r="A417" t="str">
            <v>ID-980</v>
          </cell>
          <cell r="B417"/>
          <cell r="C417" t="str">
            <v>CHAPALA REMODELACIÓN TÍO DOMINGO</v>
          </cell>
          <cell r="D417" t="str">
            <v>MARCOS ÁLVAREZ</v>
          </cell>
          <cell r="E417"/>
          <cell r="F417"/>
          <cell r="G417"/>
          <cell r="H417"/>
          <cell r="I417"/>
        </row>
        <row r="418">
          <cell r="A418" t="str">
            <v>ID-981</v>
          </cell>
          <cell r="B418"/>
          <cell r="C418" t="str">
            <v>TLAJOMULCO</v>
          </cell>
          <cell r="D418" t="str">
            <v>AMPLIACIÓN EDIFICIO G AISSA</v>
          </cell>
          <cell r="E418"/>
          <cell r="F418"/>
          <cell r="G418"/>
          <cell r="H418"/>
          <cell r="I418"/>
        </row>
        <row r="419">
          <cell r="A419" t="str">
            <v>ID-982</v>
          </cell>
          <cell r="B419"/>
          <cell r="C419" t="str">
            <v>TLAJOMULCO</v>
          </cell>
          <cell r="D419" t="str">
            <v>CENTRO DE FORMACIÓN DE MANTENIMIENTO COMPLEJO TLJ</v>
          </cell>
          <cell r="E419"/>
          <cell r="F419"/>
          <cell r="G419"/>
          <cell r="H419"/>
          <cell r="I419"/>
        </row>
        <row r="420">
          <cell r="A420" t="str">
            <v>ID-984</v>
          </cell>
          <cell r="B420"/>
          <cell r="C420" t="str">
            <v>TLAJOMULCO</v>
          </cell>
          <cell r="D420" t="str">
            <v>APERTURA DE CUBIERTA PARA INGRESO DE EQUIPOS EN EDIFICIO C</v>
          </cell>
          <cell r="E420"/>
          <cell r="F420"/>
          <cell r="G420"/>
          <cell r="H420"/>
          <cell r="I420"/>
        </row>
        <row r="421">
          <cell r="A421" t="str">
            <v>ID-986</v>
          </cell>
          <cell r="B421"/>
          <cell r="C421" t="str">
            <v>TLAJOMULCO</v>
          </cell>
          <cell r="D421" t="str">
            <v>LÍNEAS DE ACONDICIONADO PARA POLVOS, CÁPSULAS Y GOMITAS</v>
          </cell>
          <cell r="E421"/>
          <cell r="F421"/>
          <cell r="G421"/>
          <cell r="H421"/>
          <cell r="I421"/>
        </row>
        <row r="422">
          <cell r="A422" t="str">
            <v>ID-988</v>
          </cell>
          <cell r="B422"/>
          <cell r="C422" t="str">
            <v>ZAPOPAN</v>
          </cell>
          <cell r="D422" t="str">
            <v>DEPARTAMENTO MARACAIBO</v>
          </cell>
          <cell r="E422"/>
          <cell r="F422"/>
          <cell r="G422"/>
          <cell r="H422"/>
          <cell r="I422"/>
        </row>
        <row r="423">
          <cell r="A423" t="str">
            <v>ID-990</v>
          </cell>
          <cell r="B423"/>
          <cell r="C423" t="str">
            <v>TLAJOMULCO</v>
          </cell>
          <cell r="D423" t="str">
            <v>REUBICACIÓN DE RECICLADOS</v>
          </cell>
          <cell r="E423"/>
          <cell r="F423"/>
          <cell r="G423"/>
          <cell r="H423"/>
          <cell r="I423"/>
        </row>
        <row r="424">
          <cell r="A424" t="str">
            <v>ID-991</v>
          </cell>
          <cell r="B424"/>
          <cell r="C424" t="str">
            <v>PYMPSA</v>
          </cell>
          <cell r="D424" t="str">
            <v>ALAMBRADO RECICLADOS</v>
          </cell>
          <cell r="E424"/>
          <cell r="F424"/>
          <cell r="G424"/>
          <cell r="H424"/>
          <cell r="I424"/>
        </row>
        <row r="425">
          <cell r="A425" t="str">
            <v>ID-992</v>
          </cell>
          <cell r="B425"/>
          <cell r="C425" t="str">
            <v>PASEO SAN ARTURO SUR #1312 FRACCIONAMIENTO VALLE REAL,  ZAPOPAN, JALISCO</v>
          </cell>
          <cell r="D425" t="str">
            <v>CASA CARLOS ALBERTO FERNÁNDEZ</v>
          </cell>
          <cell r="E425"/>
          <cell r="F425"/>
          <cell r="G425"/>
          <cell r="H425"/>
          <cell r="I425"/>
        </row>
        <row r="426">
          <cell r="A426" t="str">
            <v>ID-993</v>
          </cell>
          <cell r="B426"/>
          <cell r="C426" t="str">
            <v>TLAJOMULCO</v>
          </cell>
          <cell r="D426" t="str">
            <v>EQUIPAMIENTO Y REACONDICIONAMIENTO DE POZO 2</v>
          </cell>
          <cell r="E426"/>
          <cell r="F426"/>
          <cell r="G426"/>
          <cell r="H426"/>
          <cell r="I426"/>
        </row>
        <row r="427">
          <cell r="A427" t="str">
            <v>ID-994</v>
          </cell>
          <cell r="B427"/>
          <cell r="C427" t="str">
            <v>TLAJOMULCO</v>
          </cell>
          <cell r="D427" t="str">
            <v>ALMACÉN DE INSUMOS PT Y ENVOLVENTE</v>
          </cell>
          <cell r="E427"/>
          <cell r="F427"/>
          <cell r="G427"/>
          <cell r="H427"/>
          <cell r="I427"/>
        </row>
        <row r="428">
          <cell r="A428" t="str">
            <v>ID-995</v>
          </cell>
          <cell r="B428"/>
          <cell r="C428" t="str">
            <v>ZONA INDUSTRIAL</v>
          </cell>
          <cell r="D428" t="str">
            <v>ACCESOS INGRESO PRINCIPAL CEFALOSPORINAS</v>
          </cell>
          <cell r="E428"/>
          <cell r="F428"/>
          <cell r="G428"/>
          <cell r="H428"/>
          <cell r="I428"/>
        </row>
        <row r="429">
          <cell r="A429" t="str">
            <v>ID-996</v>
          </cell>
          <cell r="B429"/>
          <cell r="C429" t="str">
            <v>ZONA INDUSTRIAL</v>
          </cell>
          <cell r="D429" t="str">
            <v>ACCESOS INGRESO PRINCIPAL PENICILÍNICOS</v>
          </cell>
          <cell r="E429"/>
          <cell r="F429"/>
          <cell r="G429"/>
          <cell r="H429"/>
          <cell r="I429"/>
        </row>
        <row r="430">
          <cell r="A430" t="str">
            <v>ID-997</v>
          </cell>
          <cell r="B430"/>
          <cell r="C430" t="str">
            <v>TLAJOMULCO</v>
          </cell>
          <cell r="D430" t="str">
            <v>CONSTRUCCIÓN DE SHOWROOM EDIFICIO CEDE</v>
          </cell>
          <cell r="E430"/>
          <cell r="F430"/>
          <cell r="G430"/>
          <cell r="H430"/>
          <cell r="I430"/>
        </row>
        <row r="431">
          <cell r="A431" t="str">
            <v>ID-998</v>
          </cell>
          <cell r="B431"/>
          <cell r="C431" t="str">
            <v>IZTAPALAPA CDMX</v>
          </cell>
          <cell r="D431" t="str">
            <v>RADEC CDMX ERMITA IZTAPALAPA</v>
          </cell>
          <cell r="E431"/>
          <cell r="F431"/>
          <cell r="G431"/>
          <cell r="H431"/>
          <cell r="I431"/>
        </row>
        <row r="432">
          <cell r="A432" t="str">
            <v>ID-999</v>
          </cell>
          <cell r="B432"/>
          <cell r="C432" t="str">
            <v>PLANTA ZONA INDUSTRIAL</v>
          </cell>
          <cell r="D432" t="str">
            <v>TORRES DE ESTERILIZACIÓN SUEROS VIDRIO</v>
          </cell>
          <cell r="E432"/>
          <cell r="F432"/>
          <cell r="G432"/>
          <cell r="H432"/>
          <cell r="I432"/>
        </row>
        <row r="433">
          <cell r="A433" t="str">
            <v>ID-1002</v>
          </cell>
          <cell r="B433"/>
          <cell r="C433" t="str">
            <v>RADEC 16 DE SEPTIEMBRE</v>
          </cell>
          <cell r="D433" t="str">
            <v>AMPLIACIÓN RADEC 16 DE SEPTIEMBRE</v>
          </cell>
          <cell r="E433"/>
          <cell r="F433"/>
          <cell r="G433"/>
          <cell r="H433"/>
          <cell r="I433"/>
        </row>
        <row r="434">
          <cell r="A434" t="str">
            <v>ID-1003</v>
          </cell>
          <cell r="B434"/>
          <cell r="C434" t="str">
            <v>PYMPSA</v>
          </cell>
          <cell r="D434" t="str">
            <v>COCINETA INGENIERÍA</v>
          </cell>
          <cell r="E434"/>
          <cell r="F434"/>
          <cell r="G434"/>
          <cell r="H434"/>
          <cell r="I434"/>
        </row>
        <row r="435">
          <cell r="A435" t="str">
            <v>ID-1004</v>
          </cell>
          <cell r="B435"/>
          <cell r="C435" t="str">
            <v>TLAJOMULCO</v>
          </cell>
          <cell r="D435" t="str">
            <v>NUEVO TRANSLIMA</v>
          </cell>
          <cell r="E435"/>
          <cell r="F435"/>
          <cell r="G435"/>
          <cell r="H435"/>
          <cell r="I435"/>
        </row>
        <row r="436">
          <cell r="A436" t="str">
            <v>ID-1005</v>
          </cell>
          <cell r="B436"/>
          <cell r="C436" t="str">
            <v>AVANT</v>
          </cell>
          <cell r="D436" t="str">
            <v>NAVE 7 PARQUE AVANT ETAPA 2</v>
          </cell>
          <cell r="E436"/>
          <cell r="F436"/>
          <cell r="G436"/>
          <cell r="H436"/>
          <cell r="I436"/>
        </row>
        <row r="437">
          <cell r="A437" t="str">
            <v>ID-1006</v>
          </cell>
          <cell r="B437"/>
          <cell r="C437" t="str">
            <v>TLAJOMULCO</v>
          </cell>
          <cell r="D437" t="str">
            <v>OFICINA INGENIERÍA EDIFICIO E</v>
          </cell>
          <cell r="E437"/>
          <cell r="F437"/>
          <cell r="G437"/>
          <cell r="H437"/>
          <cell r="I437"/>
        </row>
        <row r="438">
          <cell r="A438" t="str">
            <v>ID-1007</v>
          </cell>
          <cell r="B438"/>
          <cell r="C438" t="str">
            <v>AVANT</v>
          </cell>
          <cell r="D438" t="str">
            <v>ADECUACIONES DE NAVE 5 PARA LÍNEA 13 DE ELECTROLIT</v>
          </cell>
          <cell r="E438"/>
          <cell r="F438"/>
          <cell r="G438"/>
          <cell r="H438"/>
          <cell r="I438"/>
        </row>
        <row r="439">
          <cell r="A439" t="str">
            <v>ID-1008</v>
          </cell>
          <cell r="B439"/>
          <cell r="C439" t="str">
            <v>TLAJOMULCO</v>
          </cell>
          <cell r="D439" t="str">
            <v>ALMACÉN DE MATERIALES NAVE 2</v>
          </cell>
          <cell r="E439"/>
          <cell r="F439"/>
          <cell r="G439"/>
          <cell r="H439"/>
          <cell r="I439"/>
        </row>
        <row r="440">
          <cell r="A440" t="str">
            <v>ID-1009</v>
          </cell>
          <cell r="B440"/>
          <cell r="C440" t="str">
            <v>TLAJOMULCO</v>
          </cell>
          <cell r="D440" t="str">
            <v>ALMACÉN DE MATERIALES LÍNEA 13 ELECTROLIT</v>
          </cell>
          <cell r="E440"/>
          <cell r="F440"/>
          <cell r="G440"/>
          <cell r="H440"/>
          <cell r="I440"/>
        </row>
        <row r="441">
          <cell r="A441" t="str">
            <v>ID-1010</v>
          </cell>
          <cell r="B441"/>
          <cell r="C441" t="str">
            <v>TLAJOMULCO</v>
          </cell>
          <cell r="D441" t="str">
            <v>MOTOBOMBA PARA SERVICIOS ESPECIALES</v>
          </cell>
          <cell r="E441"/>
          <cell r="F441"/>
          <cell r="G441"/>
          <cell r="H441"/>
          <cell r="I441"/>
        </row>
        <row r="442">
          <cell r="A442" t="str">
            <v>ID-1011</v>
          </cell>
          <cell r="B442"/>
          <cell r="C442" t="str">
            <v>TLAJOMULCO</v>
          </cell>
          <cell r="D442" t="str">
            <v>SALA DE CAPACITACIÓN DE BRIGADAS EDIFICIO C</v>
          </cell>
          <cell r="E442"/>
          <cell r="F442"/>
          <cell r="G442"/>
          <cell r="H442"/>
          <cell r="I442"/>
        </row>
        <row r="443">
          <cell r="A443" t="str">
            <v>ID-1012</v>
          </cell>
          <cell r="B443"/>
          <cell r="C443" t="str">
            <v>TLAJOMULCO</v>
          </cell>
          <cell r="D443" t="str">
            <v>AMPLIACIÓN ARCHIVO DE VALIDACIÓN EDIFICIO E</v>
          </cell>
          <cell r="E443"/>
          <cell r="F443"/>
          <cell r="G443"/>
          <cell r="H443"/>
          <cell r="I443"/>
        </row>
        <row r="444">
          <cell r="A444" t="str">
            <v>ID-1014</v>
          </cell>
          <cell r="B444"/>
          <cell r="C444" t="str">
            <v>TLAJOMULCO</v>
          </cell>
          <cell r="D444" t="str">
            <v>OFICINAS ADMINISTRATIVAS EDIFICIO C</v>
          </cell>
          <cell r="E444"/>
          <cell r="F444"/>
          <cell r="G444"/>
          <cell r="H444"/>
          <cell r="I444"/>
        </row>
        <row r="445">
          <cell r="A445" t="str">
            <v>ID-1015</v>
          </cell>
          <cell r="B445"/>
          <cell r="C445" t="str">
            <v>TLAJOMULCO</v>
          </cell>
          <cell r="D445" t="str">
            <v>LÍNEA 13 ESTACIONAMIENTO</v>
          </cell>
          <cell r="E445"/>
          <cell r="F445"/>
          <cell r="G445"/>
          <cell r="H445"/>
          <cell r="I445"/>
        </row>
        <row r="446">
          <cell r="A446" t="str">
            <v>ID-1016</v>
          </cell>
          <cell r="B446"/>
          <cell r="C446" t="str">
            <v>TLAJOMULCO</v>
          </cell>
          <cell r="D446" t="str">
            <v>DECOMISIONAMIENTO L2 EDIF H</v>
          </cell>
          <cell r="E446"/>
          <cell r="F446"/>
          <cell r="G446"/>
          <cell r="H446"/>
          <cell r="I446"/>
        </row>
        <row r="447">
          <cell r="A447" t="str">
            <v>ID-1017</v>
          </cell>
          <cell r="B447"/>
          <cell r="C447" t="str">
            <v>PLANTA ZONA INDUSTRIAL</v>
          </cell>
          <cell r="D447" t="str">
            <v>BASE PARA CALDERAS</v>
          </cell>
          <cell r="E447"/>
          <cell r="F447"/>
          <cell r="G447"/>
          <cell r="H447"/>
          <cell r="I447"/>
        </row>
        <row r="448">
          <cell r="A448" t="str">
            <v>ID-1018</v>
          </cell>
          <cell r="B448"/>
          <cell r="C448" t="str">
            <v>CALLE JOSÉ CLEMENTE OROZCO 147, COL. CAPULLO, ZAPOPAN, JALISCO CP 45150</v>
          </cell>
          <cell r="D448" t="str">
            <v>DENISS SHERIDAN</v>
          </cell>
          <cell r="E448"/>
          <cell r="F448"/>
          <cell r="G448"/>
          <cell r="H448"/>
          <cell r="I448"/>
        </row>
        <row r="449">
          <cell r="A449" t="str">
            <v>ID-1019</v>
          </cell>
          <cell r="B449"/>
          <cell r="C449" t="str">
            <v xml:space="preserve">AEROPUERTO INTERNACIONAL MIGUEL HIDALGO </v>
          </cell>
          <cell r="D449" t="str">
            <v>DEMOLICIÓN DE HANGAR PISA AEROPUERTO DE GUADALAJARA</v>
          </cell>
          <cell r="E449"/>
          <cell r="F449"/>
          <cell r="G449"/>
          <cell r="H449"/>
          <cell r="I449"/>
        </row>
        <row r="450">
          <cell r="A450" t="str">
            <v>ID-1020</v>
          </cell>
          <cell r="B450"/>
          <cell r="C450" t="str">
            <v>PLANTA ZONA INDUSTRIAL</v>
          </cell>
          <cell r="D450" t="str">
            <v>OFICINAS Y COMEDOR LÍNEA 4 BIOTECNOLÓGICOS</v>
          </cell>
          <cell r="E450"/>
          <cell r="F450"/>
          <cell r="G450"/>
          <cell r="H450"/>
          <cell r="I450"/>
        </row>
        <row r="451">
          <cell r="A451" t="str">
            <v>ID-1021</v>
          </cell>
          <cell r="B451"/>
          <cell r="C451" t="str">
            <v>ACAPULCO</v>
          </cell>
          <cell r="D451" t="str">
            <v>APOYO PARA LOS DAMNIFICADOS DE ACAPULCO 2024</v>
          </cell>
          <cell r="E451"/>
          <cell r="F451"/>
          <cell r="G451"/>
          <cell r="H451"/>
          <cell r="I451"/>
        </row>
        <row r="452">
          <cell r="A452" t="str">
            <v>ID-1023/B</v>
          </cell>
          <cell r="B452"/>
          <cell r="C452" t="str">
            <v>TAPALPA</v>
          </cell>
          <cell r="D452" t="str">
            <v>ANTIGUO CAMINO A FERRERÍA ( MARCO CORTÉS )</v>
          </cell>
          <cell r="E452"/>
          <cell r="F452"/>
          <cell r="G452"/>
          <cell r="H452"/>
          <cell r="I452"/>
        </row>
        <row r="453">
          <cell r="A453" t="str">
            <v>ID-1024</v>
          </cell>
          <cell r="B453"/>
          <cell r="C453" t="str">
            <v>ALAMBIQUES 975 LAS JUNTAS</v>
          </cell>
          <cell r="D453" t="str">
            <v>MODIFICACIONES NAVE A-B PARQUE BL</v>
          </cell>
          <cell r="E453"/>
          <cell r="F453"/>
          <cell r="G453"/>
          <cell r="H453"/>
          <cell r="I453"/>
        </row>
        <row r="454">
          <cell r="A454" t="str">
            <v>ID-1025</v>
          </cell>
          <cell r="B454"/>
          <cell r="C454" t="str">
            <v>TLAJOMULCO</v>
          </cell>
          <cell r="D454" t="str">
            <v>LÍNEA 13 ELECTROLIT NAVE DE PRODUCCIÓN</v>
          </cell>
          <cell r="E454"/>
          <cell r="F454"/>
          <cell r="G454"/>
          <cell r="H454"/>
          <cell r="I454"/>
        </row>
        <row r="455">
          <cell r="A455" t="str">
            <v>ID-1026</v>
          </cell>
          <cell r="B455"/>
          <cell r="C455" t="str">
            <v>ESPARTA 250, CASA 196</v>
          </cell>
          <cell r="D455" t="str">
            <v>CASA ESPARTA ( DENISS SHERIDAN )</v>
          </cell>
          <cell r="E455"/>
          <cell r="F455"/>
          <cell r="G455"/>
          <cell r="H455"/>
          <cell r="I455"/>
        </row>
        <row r="456">
          <cell r="A456" t="str">
            <v>ID-1027</v>
          </cell>
          <cell r="B456"/>
          <cell r="C456" t="str">
            <v>TLAJOMULCO</v>
          </cell>
          <cell r="D456" t="str">
            <v>REMEDIACIÓN CUARTOS DE SOLVENTES</v>
          </cell>
          <cell r="E456"/>
          <cell r="F456"/>
          <cell r="G456"/>
          <cell r="H456"/>
          <cell r="I456"/>
        </row>
        <row r="457">
          <cell r="A457" t="str">
            <v>ID-1028</v>
          </cell>
          <cell r="B457"/>
          <cell r="C457" t="str">
            <v>PYMPSA</v>
          </cell>
          <cell r="D457" t="str">
            <v>ESTRUCTURA MEZZANINE CUARTOS LIMPIOS</v>
          </cell>
          <cell r="E457"/>
          <cell r="F457"/>
          <cell r="G457"/>
          <cell r="H457"/>
          <cell r="I457"/>
        </row>
        <row r="458">
          <cell r="A458" t="str">
            <v>ID-1029</v>
          </cell>
          <cell r="B458"/>
          <cell r="C458" t="str">
            <v>PYMPSA</v>
          </cell>
          <cell r="D458" t="str">
            <v>TERRAZA DE COMEDOR</v>
          </cell>
          <cell r="E458"/>
          <cell r="F458"/>
          <cell r="G458"/>
          <cell r="H458"/>
          <cell r="I458"/>
        </row>
        <row r="459">
          <cell r="A459" t="str">
            <v>ID-1030</v>
          </cell>
          <cell r="B459"/>
          <cell r="C459" t="str">
            <v>AMADEUS DE OCCIDENTE, PERÍFERICO SUR, TLAQUEPAQUE</v>
          </cell>
          <cell r="D459" t="str">
            <v>NAVE INDUSTRIAL MARTÍNEZ GORTAZAR</v>
          </cell>
          <cell r="E459"/>
          <cell r="F459"/>
          <cell r="G459"/>
          <cell r="H459"/>
          <cell r="I459"/>
        </row>
        <row r="460">
          <cell r="A460" t="str">
            <v>ID-1031/B</v>
          </cell>
          <cell r="B460"/>
          <cell r="C460" t="str">
            <v>FRACCIONAMIENTO SANTA ANITA</v>
          </cell>
          <cell r="D460" t="str">
            <v>HERIBERTO CASTAÑEDA</v>
          </cell>
          <cell r="E460"/>
          <cell r="F460"/>
          <cell r="G460"/>
          <cell r="H460"/>
          <cell r="I460"/>
        </row>
        <row r="461">
          <cell r="A461" t="str">
            <v>ID-1032</v>
          </cell>
          <cell r="B461"/>
          <cell r="C461" t="str">
            <v>TLAJOMULCO</v>
          </cell>
          <cell r="D461" t="str">
            <v>SISTEMAS HIDROSANITARIOS</v>
          </cell>
          <cell r="E461"/>
          <cell r="F461"/>
          <cell r="G461"/>
          <cell r="H461"/>
          <cell r="I461"/>
        </row>
        <row r="462">
          <cell r="A462" t="str">
            <v>ID-1033</v>
          </cell>
          <cell r="B462"/>
          <cell r="C462" t="str">
            <v>TLAJOMULCO</v>
          </cell>
          <cell r="D462" t="str">
            <v>OBRA CIVIL RED DE HIDRANTES D y H RECIBIDOS</v>
          </cell>
          <cell r="E462"/>
          <cell r="F462"/>
          <cell r="G462"/>
          <cell r="H462"/>
          <cell r="I462"/>
        </row>
        <row r="463">
          <cell r="A463" t="str">
            <v>ID-1034</v>
          </cell>
          <cell r="B463"/>
          <cell r="C463" t="str">
            <v>PLANTA ZONA INDUSTRIAL</v>
          </cell>
          <cell r="D463" t="str">
            <v>LÍNEA BIOTECNOLÓGICOS - A</v>
          </cell>
          <cell r="E463"/>
          <cell r="F463"/>
          <cell r="G463"/>
          <cell r="H463"/>
          <cell r="I463"/>
        </row>
        <row r="464">
          <cell r="A464" t="str">
            <v>ID-1035</v>
          </cell>
          <cell r="B464"/>
          <cell r="C464" t="str">
            <v>AVANT</v>
          </cell>
          <cell r="D464" t="str">
            <v>NAVE 7 ETAPA 3</v>
          </cell>
          <cell r="E464"/>
          <cell r="F464"/>
          <cell r="G464"/>
          <cell r="H464"/>
          <cell r="I464"/>
        </row>
        <row r="465">
          <cell r="A465" t="str">
            <v>ID-1036</v>
          </cell>
          <cell r="B465"/>
          <cell r="C465" t="str">
            <v>TLAJOMULCO</v>
          </cell>
          <cell r="D465" t="str">
            <v>CUARTOS DE RETENCIÓN PT1 EDIF A</v>
          </cell>
          <cell r="E465"/>
          <cell r="F465"/>
          <cell r="G465"/>
          <cell r="H465"/>
          <cell r="I465"/>
        </row>
        <row r="466">
          <cell r="A466" t="str">
            <v>ID-1039</v>
          </cell>
          <cell r="B466"/>
          <cell r="C466" t="str">
            <v>CDMX</v>
          </cell>
          <cell r="D466" t="str">
            <v>ESCLUSAS AMSA CDMX</v>
          </cell>
          <cell r="E466"/>
          <cell r="F466"/>
          <cell r="G466"/>
          <cell r="H466"/>
          <cell r="I466"/>
        </row>
        <row r="467">
          <cell r="A467" t="str">
            <v>ID-1040</v>
          </cell>
          <cell r="B467"/>
          <cell r="C467" t="str">
            <v>NACIONES UNIDAS</v>
          </cell>
          <cell r="D467" t="str">
            <v>CASA DANIEL CHÁVEZ ALMADA</v>
          </cell>
          <cell r="E467"/>
          <cell r="F467"/>
          <cell r="G467"/>
          <cell r="H467"/>
          <cell r="I467"/>
        </row>
        <row r="468">
          <cell r="A468" t="str">
            <v>ID-1042</v>
          </cell>
          <cell r="B468"/>
          <cell r="C468" t="str">
            <v>ALAMBIQUES ESQUINA PATRIA</v>
          </cell>
          <cell r="D468" t="str">
            <v>TRIA PARK</v>
          </cell>
          <cell r="E468"/>
          <cell r="F468"/>
          <cell r="G468"/>
          <cell r="H468"/>
          <cell r="I468"/>
        </row>
        <row r="469">
          <cell r="A469" t="str">
            <v>ID-1043</v>
          </cell>
          <cell r="B469"/>
          <cell r="C469" t="str">
            <v>AVANT</v>
          </cell>
          <cell r="D469" t="str">
            <v>ADECUACIONES EN VIALIDADES Y SISTEMAS DE RIEGO DE PARQUE AVANT</v>
          </cell>
          <cell r="E469"/>
          <cell r="F469"/>
          <cell r="G469"/>
          <cell r="H469"/>
          <cell r="I469"/>
        </row>
        <row r="470">
          <cell r="A470" t="str">
            <v>ID-1044</v>
          </cell>
          <cell r="B470"/>
          <cell r="C470" t="str">
            <v>TLAJOMULCO</v>
          </cell>
          <cell r="D470" t="str">
            <v>REMEDIACIONES DE VESTIDORES EDIFICIO A</v>
          </cell>
          <cell r="E470"/>
          <cell r="F470"/>
          <cell r="G470"/>
          <cell r="H470"/>
          <cell r="I470"/>
        </row>
        <row r="471">
          <cell r="A471" t="str">
            <v>ID-1045</v>
          </cell>
          <cell r="B471"/>
          <cell r="C471" t="str">
            <v>AVANT</v>
          </cell>
          <cell r="D471" t="str">
            <v>NAVE 6 PARQUE AVANT</v>
          </cell>
          <cell r="E471"/>
          <cell r="F471"/>
          <cell r="G471"/>
          <cell r="H471"/>
          <cell r="I471"/>
        </row>
        <row r="472">
          <cell r="A472" t="str">
            <v>ID-1046</v>
          </cell>
          <cell r="B472"/>
          <cell r="C472" t="str">
            <v>CARRETERA SAN ISIDRO MAZATEPEC 8000</v>
          </cell>
          <cell r="D472" t="str">
            <v>PARQUE INDUSTRIAL EL RETOÑO</v>
          </cell>
          <cell r="E472"/>
          <cell r="F472"/>
          <cell r="G472"/>
          <cell r="H472"/>
          <cell r="I472"/>
        </row>
        <row r="473">
          <cell r="A473" t="str">
            <v>ID-1047</v>
          </cell>
          <cell r="B473"/>
          <cell r="C473" t="str">
            <v>PLANTA ZONA INDUSTRIAL</v>
          </cell>
          <cell r="D473" t="str">
            <v>ACABADOS OFICINAS COMPRAS EDIFICIO</v>
          </cell>
          <cell r="E473"/>
          <cell r="F473"/>
          <cell r="G473"/>
          <cell r="H473"/>
          <cell r="I473"/>
        </row>
        <row r="474">
          <cell r="A474" t="str">
            <v>ID-1048</v>
          </cell>
          <cell r="B474"/>
          <cell r="C474" t="str">
            <v>PLANTA ZONA INDUSTRIAL</v>
          </cell>
          <cell r="D474" t="str">
            <v>AMPLIACIÓN OFICINAS COMPRAS</v>
          </cell>
          <cell r="E474"/>
          <cell r="F474"/>
          <cell r="G474"/>
          <cell r="H474"/>
          <cell r="I474"/>
        </row>
        <row r="475">
          <cell r="A475" t="str">
            <v>ID-1050</v>
          </cell>
          <cell r="B475"/>
          <cell r="C475" t="str">
            <v>PYMPSA</v>
          </cell>
          <cell r="D475" t="str">
            <v>ESTACIONAMIENTO PROVISIONAL RECICLADOS</v>
          </cell>
          <cell r="E475"/>
          <cell r="F475"/>
          <cell r="G475"/>
          <cell r="H475"/>
          <cell r="I475"/>
        </row>
        <row r="476">
          <cell r="A476" t="str">
            <v>ID-1051</v>
          </cell>
          <cell r="B476"/>
          <cell r="C476" t="str">
            <v>COAHUILA</v>
          </cell>
          <cell r="D476" t="str">
            <v>MANTENIMIENTO LAGOS COAHUILA</v>
          </cell>
          <cell r="E476"/>
          <cell r="F476"/>
          <cell r="G476"/>
          <cell r="H476"/>
          <cell r="I476"/>
        </row>
        <row r="477">
          <cell r="A477" t="str">
            <v>ID-1053</v>
          </cell>
          <cell r="B477"/>
          <cell r="C477" t="str">
            <v>PLANTA ZONA INDUSTRIAL</v>
          </cell>
          <cell r="D477" t="str">
            <v>MURO CONTRA FUEGO PENICILÍNICOS</v>
          </cell>
          <cell r="E477"/>
          <cell r="F477"/>
          <cell r="G477"/>
          <cell r="H477"/>
          <cell r="I477"/>
        </row>
        <row r="478">
          <cell r="A478" t="str">
            <v>ID-1054</v>
          </cell>
          <cell r="B478"/>
          <cell r="C478" t="str">
            <v>PYMPSA</v>
          </cell>
          <cell r="D478" t="str">
            <v>ESCOTILLAS CÁMARAS FRÍAS</v>
          </cell>
          <cell r="E478"/>
          <cell r="F478"/>
          <cell r="G478"/>
          <cell r="H478"/>
          <cell r="I478"/>
        </row>
        <row r="479">
          <cell r="A479" t="str">
            <v>ID-1055</v>
          </cell>
          <cell r="B479"/>
          <cell r="C479" t="str">
            <v>PYMPSA</v>
          </cell>
          <cell r="D479" t="str">
            <v xml:space="preserve">EPÓXICO TALLER DE MANTENIMIENTO </v>
          </cell>
          <cell r="E479"/>
          <cell r="F479"/>
          <cell r="G479"/>
          <cell r="H479"/>
          <cell r="I479"/>
        </row>
        <row r="480">
          <cell r="A480" t="str">
            <v>ID-1056</v>
          </cell>
          <cell r="B480"/>
          <cell r="C480" t="str">
            <v>PYMPSA</v>
          </cell>
          <cell r="D480" t="str">
            <v>EPÓXICO PASILLO DE INYECCIÓN</v>
          </cell>
          <cell r="E480"/>
          <cell r="F480"/>
          <cell r="G480"/>
          <cell r="H480"/>
          <cell r="I480"/>
        </row>
        <row r="481">
          <cell r="A481" t="str">
            <v>ID-1057</v>
          </cell>
          <cell r="B481"/>
          <cell r="C481" t="str">
            <v>TLAJOMULCO</v>
          </cell>
          <cell r="D481" t="str">
            <v>REVISIÓN ESTRUCTURAL DEL EDIFICIO D</v>
          </cell>
          <cell r="E481"/>
          <cell r="F481"/>
          <cell r="G481"/>
          <cell r="H481"/>
          <cell r="I481"/>
        </row>
        <row r="482">
          <cell r="A482" t="str">
            <v>ID-1058</v>
          </cell>
          <cell r="B482"/>
          <cell r="C482" t="str">
            <v>MIGUEL ÁNGEL DE QUEVEDO 555, CDMX CP 4310</v>
          </cell>
          <cell r="D482" t="str">
            <v>DESMONTAJE RETIRO MAQUINARIA ESTERILIZACIÓN MAQ</v>
          </cell>
          <cell r="E482"/>
          <cell r="F482"/>
          <cell r="G482"/>
          <cell r="H482"/>
          <cell r="I482"/>
        </row>
        <row r="483">
          <cell r="A483" t="str">
            <v>ID-1059</v>
          </cell>
          <cell r="B483"/>
          <cell r="C483" t="str">
            <v>PLÁSTICOS Y MATERIAS PRIMAS</v>
          </cell>
          <cell r="D483" t="str">
            <v>CUARTO DE ACEITES Y SERVICIO</v>
          </cell>
          <cell r="E483"/>
          <cell r="F483"/>
          <cell r="G483"/>
          <cell r="H483"/>
          <cell r="I483"/>
        </row>
        <row r="484">
          <cell r="A484" t="str">
            <v>ID-1060</v>
          </cell>
          <cell r="B484"/>
          <cell r="C484" t="str">
            <v>CDMX MIGUEL ÁNGEL DE QUEVEDO</v>
          </cell>
          <cell r="D484" t="str">
            <v>DEMOLICIONES, RETIRO DE CUBIERTA Y ESTRUCTURA DE PASILLO MAQ</v>
          </cell>
          <cell r="E484"/>
          <cell r="F484"/>
          <cell r="G484"/>
          <cell r="H484"/>
          <cell r="I484"/>
        </row>
        <row r="485">
          <cell r="A485" t="str">
            <v>ID-1061</v>
          </cell>
          <cell r="B485"/>
          <cell r="C485" t="str">
            <v>CLUB DE PLAYA SAN JUAN DE ALIMA, COAHUAYANA, MICHOACÁN</v>
          </cell>
          <cell r="D485" t="str">
            <v>CASA MARCOS ÁLVAREZ SJA</v>
          </cell>
          <cell r="E485"/>
          <cell r="F485"/>
          <cell r="G485"/>
          <cell r="H485"/>
          <cell r="I485"/>
        </row>
        <row r="486">
          <cell r="A486" t="str">
            <v>ID-1062</v>
          </cell>
          <cell r="B486"/>
          <cell r="C486" t="str">
            <v>BRM CYCLING AV PATRIA 505 INT 08, COL LOMAS DEL SEMINARIO, ZAPOPAN, JALISCO 45038</v>
          </cell>
          <cell r="D486" t="str">
            <v>REFUSE</v>
          </cell>
          <cell r="E486"/>
          <cell r="F486"/>
          <cell r="G486"/>
          <cell r="H486"/>
          <cell r="I486"/>
        </row>
        <row r="487">
          <cell r="A487" t="str">
            <v>ID-1063</v>
          </cell>
          <cell r="B487"/>
          <cell r="C487" t="str">
            <v>PASEOS DEL VALLE 718, EL CIELO COUNTRY CLUB, TLAJOMULCO, JALISCO 45643</v>
          </cell>
          <cell r="D487" t="str">
            <v>CASA PASEOS DEL VALLE</v>
          </cell>
          <cell r="E487"/>
          <cell r="F487"/>
          <cell r="G487"/>
          <cell r="H487"/>
          <cell r="I487"/>
        </row>
        <row r="488">
          <cell r="A488" t="str">
            <v>ID-1064</v>
          </cell>
          <cell r="B488"/>
          <cell r="C488" t="str">
            <v>ROYAL COUNTRY ENTRE JUAN PALOMAR Y PATRIA, ZAPOPAN, JALISCO, 45116</v>
          </cell>
          <cell r="D488" t="str">
            <v>GASTOS VARIOS JPCH</v>
          </cell>
          <cell r="E488"/>
          <cell r="F488"/>
          <cell r="G488"/>
          <cell r="H488"/>
          <cell r="I488"/>
        </row>
        <row r="489">
          <cell r="A489" t="str">
            <v>ID-1065</v>
          </cell>
          <cell r="B489"/>
          <cell r="C489" t="str">
            <v>UNIDAD NACIONAL 94, CONJUNTO RESIDENCIAL PATRIA , ZAPOPAN, JALISCO, CP 45160</v>
          </cell>
          <cell r="D489" t="str">
            <v>VENTA DE VEHÍCULOS</v>
          </cell>
          <cell r="E489"/>
          <cell r="F489"/>
          <cell r="G489"/>
          <cell r="H489"/>
          <cell r="I489"/>
        </row>
        <row r="490">
          <cell r="A490" t="str">
            <v>ID-1066</v>
          </cell>
          <cell r="B490"/>
          <cell r="C490" t="str">
            <v>ALCOLAHUAS 3467 FRACCIONAMIENTO MONRAZ, GUADALAJARA, JALISCO CP 44670</v>
          </cell>
          <cell r="D490" t="str">
            <v>C-333 CASA MONRAZ B</v>
          </cell>
          <cell r="E490"/>
          <cell r="F490"/>
          <cell r="G490"/>
          <cell r="H490"/>
          <cell r="I490"/>
        </row>
        <row r="491">
          <cell r="A491" t="str">
            <v>ID-1068</v>
          </cell>
          <cell r="B491"/>
          <cell r="C491" t="str">
            <v>RADEC ACATLÁN</v>
          </cell>
          <cell r="D491" t="str">
            <v>RED CONTRA INCENDIO Y TANQUE DE NAVE 3</v>
          </cell>
          <cell r="E491"/>
          <cell r="F491"/>
          <cell r="G491"/>
          <cell r="H491"/>
          <cell r="I491"/>
        </row>
        <row r="492">
          <cell r="A492" t="str">
            <v>ID-1069</v>
          </cell>
          <cell r="B492"/>
          <cell r="C492" t="str">
            <v>RADEC ACATLÁN</v>
          </cell>
          <cell r="D492" t="str">
            <v>OFICINAS EXTERNAS DE NAVE 3</v>
          </cell>
          <cell r="E492"/>
          <cell r="F492"/>
          <cell r="G492"/>
          <cell r="H492"/>
          <cell r="I492"/>
        </row>
        <row r="493">
          <cell r="A493" t="str">
            <v>ID-1070</v>
          </cell>
          <cell r="B493"/>
          <cell r="C493" t="str">
            <v>PLANTA ZONA INDUSTRIAL</v>
          </cell>
          <cell r="D493" t="str">
            <v>TALLER DE MANTENIMIENTO PENICILÍNICOS</v>
          </cell>
          <cell r="E493"/>
          <cell r="F493"/>
          <cell r="G493"/>
          <cell r="H493"/>
          <cell r="I493"/>
        </row>
        <row r="494">
          <cell r="A494" t="str">
            <v>ID-1072</v>
          </cell>
          <cell r="B494"/>
          <cell r="C494" t="str">
            <v>TLAJOMULCO</v>
          </cell>
          <cell r="D494" t="str">
            <v>MANTENIMIENTO EN ÁREAS COMUNES DE TRANSPORTES</v>
          </cell>
          <cell r="E494"/>
          <cell r="F494"/>
          <cell r="G494"/>
          <cell r="H494"/>
          <cell r="I494"/>
        </row>
        <row r="495">
          <cell r="A495" t="str">
            <v>ID-1073</v>
          </cell>
          <cell r="B495"/>
          <cell r="C495" t="str">
            <v>TLAJOMULCO</v>
          </cell>
          <cell r="D495" t="str">
            <v>ALMACÉN DE REFACCIONES EDIFICIO B</v>
          </cell>
          <cell r="E495"/>
          <cell r="F495"/>
          <cell r="G495"/>
          <cell r="H495"/>
          <cell r="I495"/>
        </row>
        <row r="496">
          <cell r="A496" t="str">
            <v>ID-1074</v>
          </cell>
          <cell r="B496"/>
          <cell r="C496" t="str">
            <v>PLANTA ZONA INDUSTRIAL</v>
          </cell>
          <cell r="D496" t="str">
            <v>OFICINAS CALLE 6</v>
          </cell>
          <cell r="E496"/>
          <cell r="F496"/>
          <cell r="G496"/>
          <cell r="H496"/>
          <cell r="I496"/>
        </row>
        <row r="497">
          <cell r="A497" t="str">
            <v>ID-1075</v>
          </cell>
          <cell r="B497"/>
          <cell r="C497" t="str">
            <v>PYMPSA</v>
          </cell>
          <cell r="D497" t="str">
            <v>TARJA SOLVENTES</v>
          </cell>
          <cell r="E497"/>
          <cell r="F497"/>
          <cell r="G497"/>
          <cell r="H497"/>
          <cell r="I497"/>
        </row>
        <row r="498">
          <cell r="A498" t="str">
            <v>ID-1077</v>
          </cell>
          <cell r="B498"/>
          <cell r="C498" t="str">
            <v>TLAJOMULCO</v>
          </cell>
          <cell r="D498" t="str">
            <v>OFICINAS EDIFICIO C SALAS DE CAPACITACIÓN EXTERNAS</v>
          </cell>
          <cell r="E498"/>
          <cell r="F498"/>
          <cell r="G498"/>
          <cell r="H498"/>
          <cell r="I498"/>
        </row>
        <row r="499">
          <cell r="A499" t="str">
            <v>ID-1078</v>
          </cell>
          <cell r="B499"/>
          <cell r="C499" t="str">
            <v>TLAJOMULCO</v>
          </cell>
          <cell r="D499" t="str">
            <v>OFICINAS EDIFICIO C-B SALAS DE CAPACITACIÓN INTERNAS</v>
          </cell>
          <cell r="E499"/>
          <cell r="F499"/>
          <cell r="G499"/>
          <cell r="H499"/>
          <cell r="I499"/>
        </row>
        <row r="500">
          <cell r="A500" t="str">
            <v>ID-1079</v>
          </cell>
          <cell r="B500"/>
          <cell r="C500" t="str">
            <v>CARRETERA A TESISTÁN SAN CRISTOBAL DE LA BARRANCA</v>
          </cell>
          <cell r="D500" t="str">
            <v>NAVES PARQUE EMAR</v>
          </cell>
          <cell r="E500"/>
          <cell r="F500"/>
          <cell r="G500"/>
          <cell r="H500"/>
          <cell r="I500"/>
        </row>
        <row r="501">
          <cell r="A501" t="str">
            <v>ID-1080</v>
          </cell>
          <cell r="B501"/>
          <cell r="C501" t="str">
            <v>NERIUM</v>
          </cell>
          <cell r="D501" t="str">
            <v>ADECUACIONES PANADERÍA SANTA TERE ( NERIUM )</v>
          </cell>
          <cell r="E501"/>
          <cell r="F501"/>
          <cell r="G501"/>
          <cell r="H501"/>
          <cell r="I501"/>
        </row>
        <row r="502">
          <cell r="A502" t="str">
            <v>ID-1081</v>
          </cell>
          <cell r="B502"/>
          <cell r="C502" t="str">
            <v>PLANTA ZONA INDUSTRIAL</v>
          </cell>
          <cell r="D502" t="str">
            <v>BAÑOS VESTIDORES GENERALES BIOTECNOLÓGICOS</v>
          </cell>
          <cell r="E502"/>
          <cell r="F502"/>
          <cell r="G502"/>
          <cell r="H502"/>
          <cell r="I502"/>
        </row>
        <row r="503">
          <cell r="A503" t="str">
            <v>ID-1082</v>
          </cell>
          <cell r="B503"/>
          <cell r="C503" t="str">
            <v>PLANTA ZONA INDUSTRIAL</v>
          </cell>
          <cell r="D503" t="str">
            <v>LABORATORIO DE DESARROLLO BIOTECNOLÓGICOS</v>
          </cell>
          <cell r="E503"/>
          <cell r="F503"/>
          <cell r="G503"/>
          <cell r="H503"/>
          <cell r="I503"/>
        </row>
        <row r="504">
          <cell r="A504" t="str">
            <v>ID-1083</v>
          </cell>
          <cell r="B504"/>
          <cell r="C504" t="str">
            <v>COAHUILA</v>
          </cell>
          <cell r="D504" t="str">
            <v>MANTENIMIENTO PISTA DE ATERRIZAJE</v>
          </cell>
          <cell r="E504"/>
          <cell r="F504"/>
          <cell r="G504"/>
          <cell r="H504"/>
          <cell r="I504"/>
        </row>
        <row r="505">
          <cell r="A505" t="str">
            <v>ID-1084</v>
          </cell>
          <cell r="B505"/>
          <cell r="C505" t="str">
            <v>TLAJOMULCO</v>
          </cell>
          <cell r="D505" t="str">
            <v>REMODELACIÓN OFICINAS DE VALIDACIÓN 1ER NIVEL EDIFICIO "E"</v>
          </cell>
          <cell r="E505"/>
          <cell r="F505"/>
          <cell r="G505"/>
          <cell r="H505"/>
          <cell r="I505"/>
        </row>
        <row r="506">
          <cell r="A506" t="str">
            <v>ID-1085</v>
          </cell>
          <cell r="B506"/>
          <cell r="C506" t="str">
            <v>TLAJOMULCO</v>
          </cell>
          <cell r="D506" t="str">
            <v>MANTENIMIENTO EDIFICIO M ( CENTRO DE DESARROLLO )</v>
          </cell>
          <cell r="E506"/>
          <cell r="F506"/>
          <cell r="G506"/>
          <cell r="H506"/>
          <cell r="I506"/>
        </row>
        <row r="507">
          <cell r="A507" t="str">
            <v>ID-1087</v>
          </cell>
          <cell r="B507"/>
          <cell r="C507" t="str">
            <v>PASEOS DEL BOSQUE 3763 COLINAS DE SAN JAVIER, ZAPOPAN, JALISCO CP 45110</v>
          </cell>
          <cell r="D507" t="str">
            <v>HUGO CUESTA ( 2025 )</v>
          </cell>
          <cell r="E507"/>
          <cell r="F507"/>
          <cell r="G507"/>
          <cell r="H507"/>
          <cell r="I507"/>
        </row>
        <row r="508">
          <cell r="A508" t="str">
            <v>ID-1088</v>
          </cell>
          <cell r="B508"/>
          <cell r="C508" t="str">
            <v>JUAN DE LA BARRERA 3609-2 PLÁSTICOS Y MATERIAS PRIMAS</v>
          </cell>
          <cell r="D508" t="str">
            <v>JAULA CONTRATISTA TIJUANA RECICLADO</v>
          </cell>
          <cell r="E508"/>
          <cell r="F508"/>
          <cell r="G508"/>
          <cell r="H508"/>
          <cell r="I508"/>
        </row>
        <row r="509">
          <cell r="A509" t="str">
            <v>ID-1089</v>
          </cell>
          <cell r="B509"/>
          <cell r="C509" t="str">
            <v>TEJABANES</v>
          </cell>
          <cell r="D509" t="str">
            <v>LIMPIEZA CAMELLÓN PATRIA</v>
          </cell>
          <cell r="E509"/>
          <cell r="F509"/>
          <cell r="G509"/>
          <cell r="H509"/>
          <cell r="I509"/>
        </row>
        <row r="510">
          <cell r="A510" t="str">
            <v>ID-1090</v>
          </cell>
          <cell r="B510"/>
          <cell r="C510" t="str">
            <v>SAN MIGUEL DE MEZQUITÁN</v>
          </cell>
          <cell r="D510" t="str">
            <v>TEMPLO SALÓN SAN ANDRÉS</v>
          </cell>
          <cell r="E510"/>
          <cell r="F510"/>
          <cell r="G510"/>
          <cell r="H510"/>
          <cell r="I510"/>
        </row>
        <row r="511">
          <cell r="A511" t="str">
            <v>ID-1091</v>
          </cell>
          <cell r="B511"/>
          <cell r="C511" t="str">
            <v>AVENIDA CONVENCIÓN 1914 No 1103, LOTE # 20 AGUASCALIENTES</v>
          </cell>
          <cell r="D511" t="str">
            <v>RADEC AGUASCALIENTES</v>
          </cell>
          <cell r="E511"/>
          <cell r="F511"/>
          <cell r="G511"/>
          <cell r="H511"/>
          <cell r="I511"/>
        </row>
        <row r="512">
          <cell r="A512" t="str">
            <v>ID-1092</v>
          </cell>
          <cell r="B512"/>
          <cell r="C512" t="str">
            <v>TLAJOMULCO</v>
          </cell>
          <cell r="D512" t="str">
            <v>PUERTA ALMACÉN AGROPECUARIA</v>
          </cell>
          <cell r="E512"/>
          <cell r="F512"/>
          <cell r="G512"/>
          <cell r="H512"/>
          <cell r="I512"/>
        </row>
        <row r="513">
          <cell r="A513" t="str">
            <v>ID-1093</v>
          </cell>
          <cell r="B513"/>
          <cell r="C513" t="str">
            <v>PLANTA ZONA INDUSTRIAL</v>
          </cell>
          <cell r="D513" t="str">
            <v>INCREMENTO DE OEE</v>
          </cell>
          <cell r="E513"/>
          <cell r="F513"/>
          <cell r="G513"/>
          <cell r="H513"/>
          <cell r="I513"/>
        </row>
        <row r="514">
          <cell r="A514" t="str">
            <v>ID-1094</v>
          </cell>
          <cell r="B514"/>
          <cell r="C514" t="str">
            <v>CHAPALA</v>
          </cell>
          <cell r="D514" t="str">
            <v>CASA CUMBRES CHAPALA</v>
          </cell>
          <cell r="E514"/>
          <cell r="F514"/>
          <cell r="G514"/>
          <cell r="H514"/>
          <cell r="I514"/>
        </row>
        <row r="515">
          <cell r="A515" t="str">
            <v>ID-1095</v>
          </cell>
          <cell r="B515"/>
          <cell r="C515" t="str">
            <v>AVANT</v>
          </cell>
          <cell r="D515" t="str">
            <v>ADECUACIONES PARA SERVICIOS ESPECIALES</v>
          </cell>
          <cell r="E515"/>
          <cell r="F515"/>
          <cell r="G515"/>
          <cell r="H515"/>
          <cell r="I515"/>
        </row>
        <row r="516">
          <cell r="A516" t="str">
            <v>ID-1096</v>
          </cell>
          <cell r="B516"/>
          <cell r="C516" t="str">
            <v>CARRETERA A TESISTÁN SAN CRISTOBAL DE LA BARRANCA</v>
          </cell>
          <cell r="D516" t="str">
            <v>NAVES PARQUE EMAR</v>
          </cell>
          <cell r="E516"/>
          <cell r="F516"/>
          <cell r="G516"/>
          <cell r="H516"/>
          <cell r="I516"/>
        </row>
        <row r="517">
          <cell r="A517" t="str">
            <v>ID-1097</v>
          </cell>
          <cell r="B517"/>
          <cell r="C517" t="str">
            <v>TLAJOMULCO</v>
          </cell>
          <cell r="D517" t="str">
            <v>POZO 8</v>
          </cell>
          <cell r="E517"/>
          <cell r="F517"/>
          <cell r="G517"/>
          <cell r="H517"/>
          <cell r="I517"/>
        </row>
        <row r="518">
          <cell r="A518" t="str">
            <v>ID-1098</v>
          </cell>
          <cell r="B518"/>
          <cell r="C518" t="str">
            <v>PLANTA ZONA INDUSTRIAL</v>
          </cell>
          <cell r="D518" t="str">
            <v>OFICINA DE COSTOS Y LIBONIDE</v>
          </cell>
          <cell r="E518"/>
          <cell r="F518"/>
          <cell r="G518"/>
          <cell r="H518"/>
          <cell r="I518"/>
        </row>
        <row r="519">
          <cell r="A519" t="str">
            <v>ID-1099</v>
          </cell>
          <cell r="B519"/>
          <cell r="C519" t="str">
            <v>PLANTA ZONA INDUSTRIAL</v>
          </cell>
          <cell r="D519" t="str">
            <v>REMODELACIÓN DISPENSADO DE GLUCOSA EN SUPERSACOS PARA ELECTROLIT EDIFICIO E</v>
          </cell>
          <cell r="E519"/>
          <cell r="F519"/>
          <cell r="G519"/>
          <cell r="H519"/>
          <cell r="I519"/>
        </row>
        <row r="520">
          <cell r="A520" t="str">
            <v>ID-1100</v>
          </cell>
          <cell r="B520"/>
          <cell r="C520" t="str">
            <v>AV. MANUEL ÁVILA CAMACHO 2659, CP 44668, ZAPOPAN, JALISCO</v>
          </cell>
          <cell r="D520" t="str">
            <v>PROYECTO PLAZA COUNTRY</v>
          </cell>
          <cell r="E520"/>
          <cell r="F520"/>
          <cell r="G520"/>
          <cell r="H520"/>
          <cell r="I520"/>
        </row>
        <row r="521">
          <cell r="A521" t="str">
            <v>ID-1101</v>
          </cell>
          <cell r="B521"/>
          <cell r="C521" t="str">
            <v>LOTE 8 LAS ESTRELLAS , TAPALPA, JALISCO</v>
          </cell>
          <cell r="D521" t="str">
            <v>LAGO LAS ESTRELLAS</v>
          </cell>
          <cell r="E521"/>
          <cell r="F521"/>
          <cell r="G521"/>
          <cell r="H521"/>
          <cell r="I521"/>
        </row>
        <row r="522">
          <cell r="A522" t="str">
            <v>ID-1102</v>
          </cell>
          <cell r="B522"/>
          <cell r="C522" t="str">
            <v>PYMPSA</v>
          </cell>
          <cell r="D522" t="str">
            <v>CISTERNA CUARTOS LIMPIOS</v>
          </cell>
          <cell r="E522"/>
          <cell r="F522"/>
          <cell r="G522"/>
          <cell r="H522"/>
          <cell r="I522"/>
        </row>
        <row r="523">
          <cell r="A523" t="str">
            <v>ID-1103</v>
          </cell>
          <cell r="B523"/>
          <cell r="C523" t="str">
            <v>TLAJOMULCO</v>
          </cell>
          <cell r="D523" t="str">
            <v>EXPANSIÓN NAVE 3 FORMAS SÓLIDAS</v>
          </cell>
          <cell r="E523"/>
          <cell r="F523"/>
          <cell r="G523"/>
          <cell r="H523"/>
          <cell r="I523"/>
        </row>
        <row r="524">
          <cell r="A524" t="str">
            <v>ID-1105</v>
          </cell>
          <cell r="B524"/>
          <cell r="C524" t="str">
            <v>TLAJOMULCO</v>
          </cell>
          <cell r="D524" t="str">
            <v>CDN 6 PARQUE AVANT</v>
          </cell>
          <cell r="E524"/>
          <cell r="F524"/>
          <cell r="G524"/>
          <cell r="H524"/>
          <cell r="I524"/>
        </row>
        <row r="525">
          <cell r="A525" t="str">
            <v>ID-1106</v>
          </cell>
          <cell r="B525"/>
          <cell r="C525" t="str">
            <v>SJA</v>
          </cell>
          <cell r="D525" t="str">
            <v>MANTENIMIENTO CASA LOURDES MARTÍNEZ</v>
          </cell>
          <cell r="E525"/>
          <cell r="F525"/>
          <cell r="G525"/>
          <cell r="H525"/>
          <cell r="I525"/>
        </row>
        <row r="526">
          <cell r="A526" t="str">
            <v>ID-1107</v>
          </cell>
          <cell r="B526"/>
          <cell r="C526" t="str">
            <v>PYMPSA</v>
          </cell>
          <cell r="D526" t="str">
            <v>MANTENIMIENTO EN CUBIERTAS Y CANALONES</v>
          </cell>
          <cell r="E526"/>
          <cell r="F526"/>
          <cell r="G526"/>
          <cell r="H526"/>
          <cell r="I526"/>
        </row>
        <row r="527">
          <cell r="A527" t="str">
            <v>ID-1108</v>
          </cell>
          <cell r="B527"/>
          <cell r="C527" t="str">
            <v>TLAJOMULCO</v>
          </cell>
          <cell r="D527" t="str">
            <v>PLANOS EDIFICIO DE TRANSPORTISTAS Y LOCKERS</v>
          </cell>
          <cell r="E527"/>
          <cell r="F527"/>
          <cell r="G527"/>
          <cell r="H527"/>
          <cell r="I527"/>
        </row>
        <row r="528">
          <cell r="A528" t="str">
            <v>ID-1110</v>
          </cell>
          <cell r="B528"/>
          <cell r="C528" t="str">
            <v>PYMPSA</v>
          </cell>
          <cell r="D528" t="str">
            <v>SINIESTRO NAVE 1 PARQUE BL</v>
          </cell>
          <cell r="E528"/>
          <cell r="F528"/>
          <cell r="G528"/>
          <cell r="H528"/>
          <cell r="I528"/>
        </row>
        <row r="529">
          <cell r="A529" t="str">
            <v>ID-1111</v>
          </cell>
          <cell r="B529"/>
          <cell r="C529" t="str">
            <v>ECOPARK</v>
          </cell>
          <cell r="D529" t="str">
            <v>ECOPARK HERIBERTO CASTAÑEDA</v>
          </cell>
          <cell r="E529"/>
          <cell r="F529"/>
          <cell r="G529"/>
          <cell r="H529"/>
          <cell r="I529"/>
        </row>
        <row r="530">
          <cell r="A530" t="str">
            <v>ID-1112</v>
          </cell>
          <cell r="B530"/>
          <cell r="C530" t="str">
            <v>PLANTA ZONA INDUSTRIAL</v>
          </cell>
          <cell r="D530" t="str">
            <v>MANTENIMIENTO DE OFICINA DE ESPECIALIDADES</v>
          </cell>
          <cell r="E530"/>
          <cell r="F530"/>
          <cell r="G530"/>
          <cell r="H530"/>
          <cell r="I530"/>
        </row>
        <row r="531">
          <cell r="A531" t="str">
            <v>ID-1113</v>
          </cell>
          <cell r="B531"/>
          <cell r="C531" t="str">
            <v>TAPALPA</v>
          </cell>
          <cell r="D531" t="str">
            <v>MANTENIMIENTO RANCHO SV</v>
          </cell>
          <cell r="E531"/>
          <cell r="F531"/>
          <cell r="G531"/>
          <cell r="H531"/>
          <cell r="I531"/>
        </row>
        <row r="532">
          <cell r="A532" t="str">
            <v>ID-1115</v>
          </cell>
          <cell r="B532"/>
          <cell r="C532" t="str">
            <v>RADEC</v>
          </cell>
          <cell r="D532" t="str">
            <v>ZONA DE DESCANSO PERSONAL NAVE 1</v>
          </cell>
          <cell r="E532"/>
          <cell r="F532"/>
          <cell r="G532"/>
          <cell r="H532"/>
          <cell r="I532"/>
        </row>
        <row r="533">
          <cell r="A533" t="str">
            <v>ID-1116</v>
          </cell>
          <cell r="B533"/>
          <cell r="C533" t="str">
            <v>PARQUE BL, ALAMBIQUES 975 LAS JUNTAS</v>
          </cell>
          <cell r="D533" t="str">
            <v>SINIESTRO PARQUE BL ( TEJABANES )</v>
          </cell>
          <cell r="E533"/>
          <cell r="F533"/>
          <cell r="G533"/>
          <cell r="H533"/>
          <cell r="I533"/>
        </row>
        <row r="534">
          <cell r="A534" t="str">
            <v>ID-1117</v>
          </cell>
          <cell r="B534"/>
          <cell r="C534" t="str">
            <v>SAN MIGUEL DE LA COLINA</v>
          </cell>
          <cell r="D534" t="str">
            <v>MANTENIMIENTO CASA SR DENNIS SHERIDAN</v>
          </cell>
          <cell r="E534"/>
          <cell r="F534"/>
          <cell r="G534"/>
          <cell r="H534"/>
          <cell r="I534"/>
        </row>
        <row r="535">
          <cell r="A535" t="str">
            <v>ID-1118</v>
          </cell>
          <cell r="B535"/>
          <cell r="C535" t="str">
            <v>TLAJOMULCO</v>
          </cell>
          <cell r="D535" t="str">
            <v>FABRICACIÓN DE PRODUCTOS HIDROALCOHÓLICOS EN GRANULADOS GLATT 7 y 8 EDIFICIO B</v>
          </cell>
          <cell r="E535"/>
          <cell r="F535"/>
          <cell r="G535"/>
          <cell r="H535"/>
          <cell r="I535"/>
        </row>
        <row r="536">
          <cell r="A536" t="str">
            <v>ID-1119</v>
          </cell>
          <cell r="B536"/>
          <cell r="C536" t="str">
            <v>INDUSTRIAL EL SALTO</v>
          </cell>
          <cell r="D536" t="str">
            <v>OFICINAS ELIGIO</v>
          </cell>
          <cell r="E536"/>
          <cell r="F536"/>
          <cell r="G536"/>
          <cell r="H536"/>
          <cell r="I536"/>
        </row>
        <row r="537">
          <cell r="A537" t="str">
            <v>ID-1120</v>
          </cell>
          <cell r="B537"/>
          <cell r="C537" t="str">
            <v>LA CAPILLA</v>
          </cell>
          <cell r="D537" t="str">
            <v>NAVE 4 GRUPO POLESA</v>
          </cell>
          <cell r="E537"/>
          <cell r="F537"/>
          <cell r="G537"/>
          <cell r="H537"/>
          <cell r="I537"/>
        </row>
        <row r="538">
          <cell r="A538" t="str">
            <v>ID-1121</v>
          </cell>
          <cell r="B538"/>
          <cell r="C538" t="str">
            <v>BUENOS AIRES 3086, COL PROVIDENCIA</v>
          </cell>
          <cell r="D538" t="str">
            <v>NERIUM ( ENTRE BOSQUES )</v>
          </cell>
          <cell r="E538"/>
          <cell r="F538"/>
          <cell r="G538"/>
          <cell r="H538"/>
          <cell r="I538"/>
        </row>
        <row r="539">
          <cell r="A539" t="str">
            <v>ID-1122</v>
          </cell>
          <cell r="B539"/>
          <cell r="C539" t="str">
            <v>COAHUILA</v>
          </cell>
          <cell r="D539" t="str">
            <v>MANTENIMIENTO CABAÑA CASCO VIEJO</v>
          </cell>
          <cell r="E539"/>
          <cell r="F539"/>
          <cell r="G539"/>
          <cell r="H539"/>
          <cell r="I539"/>
        </row>
        <row r="540">
          <cell r="A540" t="str">
            <v>ID-1123</v>
          </cell>
          <cell r="B540"/>
          <cell r="C540" t="str">
            <v>TLAJOMULCO</v>
          </cell>
          <cell r="D540" t="str">
            <v>MFL SALA DE MUESTREO DEL EDIFICIO H</v>
          </cell>
          <cell r="E540"/>
          <cell r="F540"/>
          <cell r="G540"/>
          <cell r="H540"/>
          <cell r="I540"/>
        </row>
        <row r="541">
          <cell r="A541" t="str">
            <v>ID-1130</v>
          </cell>
          <cell r="B541"/>
          <cell r="C541" t="str">
            <v>RADEC ACATLÁN</v>
          </cell>
          <cell r="D541" t="str">
            <v>GARANTÍAS RADEC ACATLÁN</v>
          </cell>
          <cell r="E541"/>
          <cell r="F541"/>
          <cell r="G541"/>
          <cell r="H541"/>
          <cell r="I541"/>
        </row>
        <row r="542">
          <cell r="A542" t="str">
            <v>ID-1131</v>
          </cell>
          <cell r="B542"/>
          <cell r="C542" t="str">
            <v>RADEC ACATLÁN</v>
          </cell>
          <cell r="D542" t="str">
            <v>OBRA CIVIL PARA TRABAJOS ELÉCTRICOS RADEC</v>
          </cell>
          <cell r="E542"/>
          <cell r="F542"/>
          <cell r="G542"/>
          <cell r="H542"/>
          <cell r="I542"/>
        </row>
        <row r="543">
          <cell r="A543" t="str">
            <v>ID-1132</v>
          </cell>
          <cell r="B543"/>
          <cell r="C543" t="str">
            <v>TLAJOMULCO</v>
          </cell>
          <cell r="D543" t="str">
            <v>MARCAJES LÍNEAS DE ACONDICIONAMIENTO LÍNEA 9 EDIFICIO C</v>
          </cell>
          <cell r="E543"/>
          <cell r="F543"/>
          <cell r="G543"/>
          <cell r="H543"/>
          <cell r="I543"/>
        </row>
        <row r="544">
          <cell r="A544" t="str">
            <v>ID-1133</v>
          </cell>
          <cell r="B544"/>
          <cell r="C544" t="str">
            <v>TLAJOMULCO</v>
          </cell>
          <cell r="D544" t="str">
            <v>SISTEMA TRANSPORTE AGUA CRUDA ÁREA RECICLADO</v>
          </cell>
          <cell r="E544"/>
          <cell r="F544"/>
          <cell r="G544"/>
          <cell r="H544"/>
          <cell r="I544"/>
        </row>
        <row r="545">
          <cell r="A545" t="str">
            <v>ID-1134</v>
          </cell>
          <cell r="B545"/>
          <cell r="C545" t="str">
            <v>TLAJOMULCO</v>
          </cell>
          <cell r="D545" t="str">
            <v>DRENAJE AGUA DE MESAS SENSORIALES EDIFICIO C</v>
          </cell>
          <cell r="E545"/>
          <cell r="F545"/>
          <cell r="G545"/>
          <cell r="H545"/>
          <cell r="I545"/>
        </row>
        <row r="546">
          <cell r="A546" t="str">
            <v>ID-1135</v>
          </cell>
          <cell r="B546"/>
          <cell r="C546" t="str">
            <v>FRACCIONAMIENTO LA OSCURANA , LOTE PINAR 1 TAPALPA JALISCO</v>
          </cell>
          <cell r="D546" t="str">
            <v>ESTEBAN MEDRANO</v>
          </cell>
          <cell r="E546"/>
          <cell r="F546"/>
          <cell r="G546"/>
          <cell r="H546"/>
          <cell r="I546"/>
        </row>
        <row r="547">
          <cell r="A547" t="str">
            <v>ID-1136</v>
          </cell>
          <cell r="B547"/>
          <cell r="C547" t="str">
            <v>PLANTA ZONA INDUSTRIAL</v>
          </cell>
          <cell r="D547" t="str">
            <v>CUARTO DE FORMATO</v>
          </cell>
          <cell r="E547"/>
          <cell r="F547"/>
          <cell r="G547"/>
          <cell r="H547"/>
          <cell r="I547"/>
        </row>
        <row r="548">
          <cell r="A548" t="str">
            <v>ID-1137</v>
          </cell>
          <cell r="B548"/>
          <cell r="C548" t="str">
            <v>TLAJOMULCO</v>
          </cell>
          <cell r="D548" t="str">
            <v>CIMENTACIÓN OFICINAS RECURSOS HUMANOS</v>
          </cell>
          <cell r="E548"/>
          <cell r="F548"/>
          <cell r="G548"/>
          <cell r="H548"/>
          <cell r="I548"/>
        </row>
        <row r="549">
          <cell r="A549" t="str">
            <v>ID-1138</v>
          </cell>
          <cell r="B549"/>
          <cell r="C549" t="str">
            <v>CARRETERA A TESISTÁN SAN CRISTOBAL DE LA BARRANCA</v>
          </cell>
          <cell r="D549" t="str">
            <v>LOTE 2 y 3 EMAR MARIO MARTÍNEZ</v>
          </cell>
          <cell r="E549"/>
          <cell r="F549"/>
          <cell r="G549"/>
          <cell r="H549"/>
          <cell r="I549"/>
        </row>
        <row r="550">
          <cell r="A550" t="str">
            <v>ID-1139</v>
          </cell>
          <cell r="B550"/>
          <cell r="C550" t="str">
            <v>NUEVO PERIFÉRICO ORIENTE CP 45686</v>
          </cell>
          <cell r="D550" t="str">
            <v>NAVE CROSS-DOC INTEGRA PARK</v>
          </cell>
          <cell r="E550"/>
          <cell r="F550"/>
          <cell r="G550"/>
          <cell r="H550"/>
          <cell r="I550"/>
        </row>
        <row r="551">
          <cell r="A551" t="str">
            <v>ID-1140</v>
          </cell>
          <cell r="B551"/>
          <cell r="C551" t="str">
            <v>CARRETERA SAN ISIDRO MAZATEPEC 8000</v>
          </cell>
          <cell r="D551" t="str">
            <v>PARQUE INDUSTRIAL EL RETOÑO</v>
          </cell>
          <cell r="E551"/>
          <cell r="F551"/>
          <cell r="G551"/>
          <cell r="H551"/>
          <cell r="I551"/>
        </row>
        <row r="552">
          <cell r="A552" t="str">
            <v>ID-1141</v>
          </cell>
          <cell r="B552"/>
          <cell r="C552" t="str">
            <v xml:space="preserve">ALAMBIQUES ESQUINA PATRIA </v>
          </cell>
          <cell r="D552" t="str">
            <v>TRIA PARK</v>
          </cell>
          <cell r="E552"/>
          <cell r="F552"/>
          <cell r="G552"/>
          <cell r="H552"/>
          <cell r="I552"/>
        </row>
        <row r="553">
          <cell r="A553" t="str">
            <v>ID-1142</v>
          </cell>
          <cell r="B553"/>
          <cell r="C553" t="str">
            <v>TLAJOMULCO</v>
          </cell>
          <cell r="D553" t="str">
            <v>MANTENIMIENTO SHOW ROOM ( DISCOVERY CENTER )</v>
          </cell>
          <cell r="E553"/>
          <cell r="F553"/>
          <cell r="G553"/>
          <cell r="H553"/>
          <cell r="I553"/>
        </row>
        <row r="554">
          <cell r="A554" t="str">
            <v>ID-1144</v>
          </cell>
          <cell r="B554"/>
          <cell r="C554" t="str">
            <v>RADEC ACATLÁN</v>
          </cell>
          <cell r="D554" t="str">
            <v>MANTENIMIENTO A INSTALACIONES RADEC</v>
          </cell>
          <cell r="E554"/>
          <cell r="F554"/>
          <cell r="G554"/>
          <cell r="H554"/>
          <cell r="I554"/>
        </row>
        <row r="555">
          <cell r="A555" t="str">
            <v>ID-1145</v>
          </cell>
          <cell r="B555"/>
          <cell r="C555" t="str">
            <v xml:space="preserve">CARRETEREA SANTA CRUZ DE LAS FLORES 765 TLAJOMULCO </v>
          </cell>
          <cell r="D555" t="str">
            <v>PISA GLOBAL, MANTENIMIENTO</v>
          </cell>
          <cell r="E555"/>
          <cell r="F555"/>
          <cell r="G555"/>
          <cell r="H555"/>
          <cell r="I555"/>
        </row>
        <row r="556">
          <cell r="A556" t="str">
            <v>ID-1147</v>
          </cell>
          <cell r="B556"/>
          <cell r="C556" t="str">
            <v>TLAJOMULCO</v>
          </cell>
          <cell r="D556" t="str">
            <v>LÍNEA 3 LIOFILIZADOS NO ONCOLÓGICOS EDIFICIO B</v>
          </cell>
          <cell r="E556"/>
          <cell r="F556"/>
          <cell r="G556"/>
          <cell r="H556"/>
          <cell r="I556"/>
        </row>
        <row r="557">
          <cell r="A557" t="str">
            <v>ID-1148</v>
          </cell>
          <cell r="B557"/>
          <cell r="C557" t="str">
            <v>JUAN DE LA BARRERA 3609-2 PLÁSTICOS Y MATERIAS PRIMAS</v>
          </cell>
          <cell r="D557" t="str">
            <v>CUARTO DE SAMBLASTEO</v>
          </cell>
          <cell r="E557"/>
          <cell r="F557"/>
          <cell r="G557"/>
          <cell r="H557"/>
          <cell r="I557"/>
        </row>
        <row r="558">
          <cell r="A558" t="str">
            <v>ID-1149</v>
          </cell>
          <cell r="B558"/>
          <cell r="C558" t="str">
            <v>NUEVO PERIFÉRICO ORIENTE CP 45686</v>
          </cell>
          <cell r="D558" t="str">
            <v>NAVE INTEGRA PARK LOTE 45</v>
          </cell>
          <cell r="E558"/>
          <cell r="F558"/>
          <cell r="G558"/>
          <cell r="H558"/>
          <cell r="I558"/>
        </row>
        <row r="559">
          <cell r="A559" t="str">
            <v>ID-1150</v>
          </cell>
          <cell r="B559"/>
          <cell r="C559" t="str">
            <v>NUEVO PERIFÉRICO ORIENTE CP 45686</v>
          </cell>
          <cell r="D559" t="str">
            <v>NAVE CROSS-DOC INTEGRA PARK</v>
          </cell>
          <cell r="E559"/>
          <cell r="F559"/>
          <cell r="G559"/>
          <cell r="H559"/>
          <cell r="I559"/>
        </row>
        <row r="560">
          <cell r="A560" t="str">
            <v>ID-1151</v>
          </cell>
          <cell r="B560"/>
          <cell r="C560" t="str">
            <v>JUAN DE LA BARRERA 3609-2 PLÁSTICOS Y MATERIAS PRIMAS</v>
          </cell>
          <cell r="D560" t="str">
            <v>PROYECTO MÁQUINA CORTADORA DE BIRUTA</v>
          </cell>
          <cell r="E560"/>
          <cell r="F560"/>
          <cell r="G560"/>
          <cell r="H560"/>
          <cell r="I560"/>
        </row>
        <row r="561">
          <cell r="A561" t="str">
            <v>ID-1152</v>
          </cell>
          <cell r="B561"/>
          <cell r="C561" t="str">
            <v>AVANT</v>
          </cell>
          <cell r="D561" t="str">
            <v>AVANT NAVE 6</v>
          </cell>
          <cell r="E561"/>
          <cell r="F561"/>
          <cell r="G561"/>
          <cell r="H561"/>
          <cell r="I561"/>
        </row>
        <row r="562">
          <cell r="A562" t="str">
            <v>ID-1153</v>
          </cell>
          <cell r="B562"/>
          <cell r="C562" t="str">
            <v>TLAJOMULCO</v>
          </cell>
          <cell r="D562" t="str">
            <v>EXCAVACIONES COMPLEMENTARIAS PARA VOZ, DATOS Y ELECTRICIDAD</v>
          </cell>
          <cell r="E562"/>
          <cell r="F562"/>
          <cell r="G562"/>
          <cell r="H562"/>
          <cell r="I562"/>
        </row>
        <row r="563">
          <cell r="A563" t="str">
            <v>ID-1154</v>
          </cell>
          <cell r="B563"/>
          <cell r="C563" t="str">
            <v>PUERTA DE LA NOCHE # 30, CONDOMINIO PUERTA PLATA, ZAPOPAN, JALISCO, CP 45116</v>
          </cell>
          <cell r="D563" t="str">
            <v>CASA PUERTA DE LA NOCHE</v>
          </cell>
          <cell r="E563"/>
          <cell r="F563"/>
          <cell r="G563"/>
          <cell r="H563"/>
          <cell r="I563"/>
        </row>
        <row r="564">
          <cell r="A564" t="str">
            <v>ID-1155</v>
          </cell>
          <cell r="B564"/>
          <cell r="C564" t="str">
            <v>AV. ESPAÑA #1840 COL. MODERNA</v>
          </cell>
          <cell r="D564" t="str">
            <v>OFICINA ESTRATEGIA CORPORATIVA</v>
          </cell>
          <cell r="E564"/>
          <cell r="F564"/>
          <cell r="G564"/>
          <cell r="H564"/>
          <cell r="I564"/>
        </row>
        <row r="565">
          <cell r="A565" t="str">
            <v>ID-1156</v>
          </cell>
          <cell r="B565"/>
          <cell r="C565" t="str">
            <v>TLAJOMULCO</v>
          </cell>
          <cell r="D565" t="str">
            <v>EDIFICIO B FORMAS SÓLIDAS, ALMACÉN DE TRASPASO</v>
          </cell>
          <cell r="E565"/>
          <cell r="F565"/>
          <cell r="G565"/>
          <cell r="H565"/>
          <cell r="I565"/>
        </row>
        <row r="566">
          <cell r="A566" t="str">
            <v>ID-1157</v>
          </cell>
          <cell r="B566"/>
          <cell r="C566" t="str">
            <v>LUNA 23, CONDOMINIO PUERTA PLATA , ZAPOPAN, JALISCO</v>
          </cell>
          <cell r="D566" t="str">
            <v>VIVIANA MARTÍNEZ ÁLVAREZ</v>
          </cell>
          <cell r="E566"/>
          <cell r="F566"/>
          <cell r="G566"/>
          <cell r="H566"/>
          <cell r="I566"/>
        </row>
        <row r="567">
          <cell r="A567" t="str">
            <v>ID-1158</v>
          </cell>
          <cell r="B567"/>
          <cell r="C567" t="str">
            <v>TLAJOMULCO</v>
          </cell>
          <cell r="D567" t="str">
            <v>SISTEMA DE INYECCIÓN Y EXTRACCIÓN DEL EDIFICIO ADMINISTRATIVO</v>
          </cell>
          <cell r="E567"/>
          <cell r="F567"/>
          <cell r="G567"/>
          <cell r="H567"/>
          <cell r="I567"/>
        </row>
        <row r="568">
          <cell r="A568" t="str">
            <v>ID-1159</v>
          </cell>
          <cell r="B568"/>
          <cell r="C568" t="str">
            <v>PLANTA ZONA INDUSTRIAL</v>
          </cell>
          <cell r="D568" t="str">
            <v>CAMBIO DE LÁMINAS EN CHILLER</v>
          </cell>
          <cell r="E568"/>
          <cell r="F568"/>
          <cell r="G568"/>
          <cell r="H568"/>
          <cell r="I568"/>
        </row>
        <row r="569">
          <cell r="A569" t="str">
            <v>ID-1161</v>
          </cell>
          <cell r="B569"/>
          <cell r="C569" t="str">
            <v>ALAMBIQUES 975 LAS JUNTAS</v>
          </cell>
          <cell r="D569" t="str">
            <v>NAVE 2 PARQUE TEJABANES</v>
          </cell>
          <cell r="E569"/>
          <cell r="F569"/>
          <cell r="G569"/>
          <cell r="H569"/>
          <cell r="I569"/>
        </row>
        <row r="570">
          <cell r="A570" t="str">
            <v>ID-1162</v>
          </cell>
          <cell r="B570"/>
          <cell r="C570" t="str">
            <v>TLAJOMULCO</v>
          </cell>
          <cell r="D570" t="str">
            <v>MARCAJES Y ACABADO EPÓXICO EN ALMACÉN EDIFICIO B</v>
          </cell>
          <cell r="E570"/>
          <cell r="F570"/>
          <cell r="G570"/>
          <cell r="H570"/>
          <cell r="I570"/>
        </row>
        <row r="571">
          <cell r="A571" t="str">
            <v>ID-1163</v>
          </cell>
          <cell r="B571"/>
          <cell r="C571" t="str">
            <v>JUAN DE LA BARRERA 3609-2 PLÁSTICOS Y MATERIAS PRIMAS</v>
          </cell>
          <cell r="D571" t="str">
            <v>PROYECTO MÁQUINA CORTADORA DE BIRUTA</v>
          </cell>
          <cell r="E571"/>
          <cell r="F571"/>
          <cell r="G571"/>
          <cell r="H571"/>
          <cell r="I571"/>
        </row>
        <row r="572">
          <cell r="A572" t="str">
            <v>ID-1164</v>
          </cell>
          <cell r="B572"/>
          <cell r="C572" t="str">
            <v>AV. ESPAÑA #1840 COL. MODERNA</v>
          </cell>
          <cell r="D572" t="str">
            <v>OFICINA ESTRATEGIA CORPORATIVA</v>
          </cell>
          <cell r="E572"/>
          <cell r="F572"/>
          <cell r="G572"/>
          <cell r="H572"/>
          <cell r="I572"/>
        </row>
        <row r="573">
          <cell r="A573" t="str">
            <v>ID-1165</v>
          </cell>
          <cell r="B573"/>
          <cell r="C573" t="str">
            <v>TLAJOMULCO</v>
          </cell>
          <cell r="D573" t="str">
            <v>MANTENIMIENTO AL EDIFICIO Q CDN 5</v>
          </cell>
          <cell r="E573"/>
          <cell r="F573"/>
          <cell r="G573"/>
          <cell r="H573"/>
          <cell r="I573"/>
        </row>
        <row r="574">
          <cell r="A574" t="str">
            <v>ID-1166</v>
          </cell>
          <cell r="B574"/>
          <cell r="C574" t="str">
            <v>TLAJOMULCO</v>
          </cell>
          <cell r="D574" t="str">
            <v>SONDEOS Y EXCAVACIONES PARA FUGA EN RED DE SISTEMA CONTRA INCENDIO</v>
          </cell>
          <cell r="E574"/>
          <cell r="F574"/>
          <cell r="G574"/>
          <cell r="H574"/>
          <cell r="I574"/>
        </row>
        <row r="575">
          <cell r="A575" t="str">
            <v>ID-1167</v>
          </cell>
          <cell r="B575"/>
          <cell r="C575" t="str">
            <v>TLAJOMULCO</v>
          </cell>
          <cell r="D575" t="str">
            <v>COTIZACIONES DE REPARACIÓN DE LOSA DE CONCRETO PTAR INDUSTRIAL</v>
          </cell>
          <cell r="E575"/>
          <cell r="F575"/>
          <cell r="G575"/>
          <cell r="H575"/>
          <cell r="I575"/>
        </row>
        <row r="576">
          <cell r="A576" t="str">
            <v>ID-1168</v>
          </cell>
          <cell r="B576"/>
          <cell r="C576" t="str">
            <v>TLAJOMULCO</v>
          </cell>
          <cell r="D576" t="str">
            <v>MEMORIAS PARA PROYECTO RETROFIT BANDAS ABATIMIENTO ACONDICIONADO LÍNEA 1 FS</v>
          </cell>
          <cell r="E576"/>
          <cell r="F576"/>
          <cell r="G576"/>
          <cell r="H576"/>
          <cell r="I576"/>
        </row>
        <row r="577">
          <cell r="A577" t="str">
            <v>ID-1169</v>
          </cell>
          <cell r="B577"/>
          <cell r="C577" t="str">
            <v>AV. ESPAÑA #1840 COL. MODERNA</v>
          </cell>
          <cell r="D577" t="str">
            <v>AMPLIACIÓN OFICINAS DE NEFROLOGÍA</v>
          </cell>
          <cell r="E577"/>
          <cell r="F577"/>
          <cell r="G577"/>
          <cell r="H577"/>
          <cell r="I577"/>
        </row>
        <row r="578">
          <cell r="A578" t="str">
            <v>ID-1170</v>
          </cell>
          <cell r="B578"/>
          <cell r="C578" t="str">
            <v>TLAJOMULCO</v>
          </cell>
          <cell r="D578" t="str">
            <v>TRABAJOS COMPLEMENTARIOS PARA CETRANP</v>
          </cell>
          <cell r="E578"/>
          <cell r="F578"/>
          <cell r="G578"/>
          <cell r="H578"/>
          <cell r="I578"/>
        </row>
        <row r="579">
          <cell r="A579" t="str">
            <v>ID-1171</v>
          </cell>
          <cell r="B579"/>
          <cell r="C579" t="str">
            <v>TLAJOMULCO</v>
          </cell>
          <cell r="D579" t="str">
            <v>ACABADO EPÓXICO GRANULADO 1 FORMAS 1 PRIMER NIVEL EDIFICIO B</v>
          </cell>
          <cell r="E579"/>
          <cell r="F579"/>
          <cell r="G579"/>
          <cell r="H579"/>
          <cell r="I579"/>
        </row>
        <row r="580">
          <cell r="A580" t="str">
            <v>ID-1172</v>
          </cell>
          <cell r="B580"/>
          <cell r="C580" t="str">
            <v>TLAJOMULCO</v>
          </cell>
          <cell r="D580" t="str">
            <v>APLICACIÓN DE ACABADO EPÓXICO TAMIZADO 1 EDIFICIO B</v>
          </cell>
          <cell r="E580"/>
          <cell r="F580"/>
          <cell r="G580"/>
          <cell r="H580"/>
          <cell r="I580"/>
        </row>
        <row r="581">
          <cell r="A581" t="str">
            <v>ID-1173</v>
          </cell>
          <cell r="B581"/>
          <cell r="C581" t="str">
            <v>TLAJOMULCO</v>
          </cell>
          <cell r="D581" t="str">
            <v>SERVICIO PARA RENOVACIÓN DEL ACABADO EPÓXICO PARA EL PISO DEL ÁREA DE GRANULADO 1 EDIFICIO B</v>
          </cell>
          <cell r="E581"/>
          <cell r="F581"/>
          <cell r="G581"/>
          <cell r="H581"/>
          <cell r="I581"/>
        </row>
        <row r="582">
          <cell r="A582" t="str">
            <v>ID-1175</v>
          </cell>
          <cell r="B582"/>
          <cell r="C582" t="str">
            <v>LAS FLORES 56 AMP CANDELARIA COYOACÁN, MÉXICO CDMX 4380</v>
          </cell>
          <cell r="D582" t="str">
            <v>DETECCIÓN FILTRACIONES CISTERNAS LABORATORIOS AMSA CDMX</v>
          </cell>
          <cell r="E582"/>
          <cell r="F582"/>
          <cell r="G582"/>
          <cell r="H582"/>
          <cell r="I582"/>
        </row>
        <row r="583">
          <cell r="A583" t="str">
            <v>ID-1176</v>
          </cell>
          <cell r="B583"/>
          <cell r="C583" t="str">
            <v>TLAJOMULCO</v>
          </cell>
          <cell r="D583" t="str">
            <v>RETIRO Y COLOCACIÓN DE CURVA EPÓXICA EN LAVADO DE BIN FORMAS 2 EDIFICIO B</v>
          </cell>
          <cell r="E583"/>
          <cell r="F583"/>
          <cell r="G583"/>
          <cell r="H583"/>
          <cell r="I583"/>
        </row>
        <row r="584">
          <cell r="A584" t="str">
            <v>ID-1177</v>
          </cell>
          <cell r="B584"/>
          <cell r="C584" t="str">
            <v>TLAJOMULCO</v>
          </cell>
          <cell r="D584" t="str">
            <v>BOCA DE TORMENTA CDN 2</v>
          </cell>
          <cell r="E584"/>
          <cell r="F584"/>
          <cell r="G584"/>
          <cell r="H584"/>
          <cell r="I584"/>
        </row>
        <row r="585">
          <cell r="A585" t="str">
            <v>ID-1178</v>
          </cell>
          <cell r="B585"/>
          <cell r="C585" t="str">
            <v>TLAJOMULCO</v>
          </cell>
          <cell r="D585" t="str">
            <v>FALTANTES CETRAM</v>
          </cell>
          <cell r="E585"/>
          <cell r="F585"/>
          <cell r="G585"/>
          <cell r="H585"/>
          <cell r="I585"/>
        </row>
        <row r="586">
          <cell r="A586" t="str">
            <v>ID-1179</v>
          </cell>
          <cell r="B586"/>
          <cell r="C586" t="str">
            <v>PLANTA ZONA INDUSTRIAL</v>
          </cell>
          <cell r="D586" t="str">
            <v>LÍNEA AVR 8</v>
          </cell>
          <cell r="E586"/>
          <cell r="F586"/>
          <cell r="G586"/>
          <cell r="H586"/>
          <cell r="I586"/>
        </row>
        <row r="587">
          <cell r="A587" t="str">
            <v>ID-1180</v>
          </cell>
          <cell r="B587"/>
          <cell r="C587" t="str">
            <v>PARQUE BL, ALAMBIQUES 975 LAS JUNTAS</v>
          </cell>
          <cell r="D587" t="str">
            <v>NAVE 3,4,5,6,7 A y B PARQUE BL</v>
          </cell>
          <cell r="E587"/>
          <cell r="F587"/>
          <cell r="G587"/>
          <cell r="H587"/>
          <cell r="I587"/>
        </row>
        <row r="588">
          <cell r="A588" t="str">
            <v>ID-1181</v>
          </cell>
          <cell r="B588"/>
          <cell r="C588" t="str">
            <v>PLANTA ZONA INDUSTRIAL</v>
          </cell>
          <cell r="D588" t="str">
            <v>AUMENTO DE CAPACIDAD LÍNEA 2 CÁPSULAS CEFALOSPORINAS</v>
          </cell>
          <cell r="E588"/>
          <cell r="F588"/>
          <cell r="G588"/>
          <cell r="H588"/>
          <cell r="I588"/>
        </row>
        <row r="589">
          <cell r="A589" t="str">
            <v>ID-1182</v>
          </cell>
          <cell r="B589"/>
          <cell r="C589" t="str">
            <v>TLAJOMULCO</v>
          </cell>
          <cell r="D589" t="str">
            <v xml:space="preserve">PROYECTO LABORATORIO DE DESARROLLO EDIFICIO C </v>
          </cell>
          <cell r="E589"/>
          <cell r="F589"/>
          <cell r="G589"/>
          <cell r="H589"/>
          <cell r="I589"/>
        </row>
        <row r="590">
          <cell r="A590" t="str">
            <v>ID-1183</v>
          </cell>
          <cell r="B590"/>
          <cell r="C590" t="str">
            <v>PLANTA ZONA INDUSTRIAL</v>
          </cell>
          <cell r="D590" t="str">
            <v>TANQUE DE PREPARACIÓN ORALES</v>
          </cell>
          <cell r="E590"/>
          <cell r="F590"/>
          <cell r="G590"/>
          <cell r="H590"/>
          <cell r="I590"/>
        </row>
        <row r="591">
          <cell r="A591" t="str">
            <v>ID-1184</v>
          </cell>
          <cell r="B591"/>
          <cell r="C591" t="str">
            <v>AVÉNIDA DE LAS AMÉRICAS 1212 CP 45160 ZAPOPAN, JALISCO</v>
          </cell>
          <cell r="D591" t="str">
            <v>MANTENIMIENTO EDIFICIO AMÉRICAS (DENNIS)</v>
          </cell>
          <cell r="E591"/>
          <cell r="F591"/>
          <cell r="G591"/>
          <cell r="H591"/>
          <cell r="I591"/>
        </row>
        <row r="592">
          <cell r="A592" t="str">
            <v>ID-1185</v>
          </cell>
          <cell r="B592"/>
          <cell r="C592" t="str">
            <v>TEJABANES</v>
          </cell>
          <cell r="D592" t="str">
            <v>SEGREGACIÓN MEDITEC CDN ÁLAMO</v>
          </cell>
          <cell r="E592"/>
          <cell r="F592"/>
          <cell r="G592"/>
          <cell r="H592"/>
          <cell r="I592"/>
        </row>
        <row r="593">
          <cell r="A593" t="str">
            <v>ID-1186</v>
          </cell>
          <cell r="B593"/>
          <cell r="C593" t="str">
            <v>TLAJOMULCO</v>
          </cell>
          <cell r="D593" t="str">
            <v>MANTENIMIENTO DEL RANCHO</v>
          </cell>
          <cell r="E593"/>
          <cell r="F593"/>
          <cell r="G593"/>
          <cell r="H593"/>
          <cell r="I593"/>
        </row>
        <row r="594">
          <cell r="A594" t="str">
            <v>ID-1187</v>
          </cell>
          <cell r="B594"/>
          <cell r="C594" t="str">
            <v>LOTE 8 MANZANA 6 PUERTA DEL BOSQUE</v>
          </cell>
          <cell r="D594" t="str">
            <v>PUERTA DEL BOSQUE M6 ( ANDRÉS CHÁVEZ )</v>
          </cell>
          <cell r="E594"/>
          <cell r="F594"/>
          <cell r="G594"/>
          <cell r="H594"/>
          <cell r="I594"/>
        </row>
        <row r="595">
          <cell r="A595" t="str">
            <v>ID-1188</v>
          </cell>
          <cell r="B595"/>
          <cell r="C595" t="str">
            <v>TEJABANES</v>
          </cell>
          <cell r="D595" t="str">
            <v>INTERIORES NAVE 2 TEJABANES</v>
          </cell>
          <cell r="E595"/>
          <cell r="F595"/>
          <cell r="G595"/>
          <cell r="H595"/>
          <cell r="I595"/>
        </row>
        <row r="596">
          <cell r="A596" t="str">
            <v>ID-1189</v>
          </cell>
          <cell r="B596"/>
          <cell r="C596" t="str">
            <v>TLAJOMULCO</v>
          </cell>
          <cell r="D596" t="str">
            <v>APERTURA EN CUBIERTA</v>
          </cell>
          <cell r="E596"/>
          <cell r="F596"/>
          <cell r="G596"/>
          <cell r="H596"/>
          <cell r="I596"/>
        </row>
        <row r="597">
          <cell r="A597" t="str">
            <v>ID-1190</v>
          </cell>
          <cell r="B597"/>
          <cell r="C597" t="str">
            <v>COTO COLINAS</v>
          </cell>
          <cell r="D597" t="str">
            <v>AMPLIACIÓN CASA EDUARDO GODOY</v>
          </cell>
          <cell r="E597"/>
          <cell r="F597"/>
          <cell r="G597"/>
          <cell r="H597"/>
          <cell r="I597"/>
        </row>
        <row r="598">
          <cell r="A598" t="str">
            <v>ID-1191</v>
          </cell>
          <cell r="B598"/>
          <cell r="C598" t="str">
            <v>TLAJOMULCO</v>
          </cell>
          <cell r="D598" t="str">
            <v>DESMONTAJE DE COMEDOR, FUEGO Y SEGURIDAD Y CLAUSURAR PORTÓN</v>
          </cell>
          <cell r="E598"/>
          <cell r="F598"/>
          <cell r="G598"/>
          <cell r="H598"/>
          <cell r="I598"/>
        </row>
        <row r="599">
          <cell r="A599" t="str">
            <v>ID-1192</v>
          </cell>
          <cell r="B599"/>
          <cell r="C599" t="str">
            <v>AVANT</v>
          </cell>
          <cell r="D599" t="str">
            <v>MANTENIMIENTO EN CDN 6 PARQUE INDUSTRIAL AVANT</v>
          </cell>
          <cell r="E599"/>
          <cell r="F599"/>
          <cell r="G599"/>
          <cell r="H599"/>
          <cell r="I599"/>
        </row>
        <row r="600">
          <cell r="A600" t="str">
            <v>ID-1193</v>
          </cell>
          <cell r="B600"/>
          <cell r="C600" t="str">
            <v>TLAJOMULCO</v>
          </cell>
          <cell r="D600" t="str">
            <v>MANTENIMIENTO EDIFICIO DE TARIMAS</v>
          </cell>
          <cell r="E600"/>
          <cell r="F600"/>
          <cell r="G600"/>
          <cell r="H600"/>
          <cell r="I600"/>
        </row>
        <row r="601">
          <cell r="A601" t="str">
            <v>ID-1194</v>
          </cell>
          <cell r="B601"/>
          <cell r="C601" t="str">
            <v>TLAJOMULCO</v>
          </cell>
          <cell r="D601" t="str">
            <v>MANTENIMIENTO ÁREA DE RECICLADOS</v>
          </cell>
          <cell r="E601"/>
          <cell r="F601"/>
          <cell r="G601"/>
          <cell r="H601"/>
          <cell r="I601"/>
        </row>
        <row r="602">
          <cell r="A602" t="str">
            <v>ID-1195</v>
          </cell>
          <cell r="B602"/>
          <cell r="C602" t="str">
            <v>CARDENAL 28, COL RINCÓN DEL AGUA AZUL, GUADALAJARA, JALISCO</v>
          </cell>
          <cell r="D602" t="str">
            <v>DESMANTELAMIENTO ALMACÉN MEDITEC CARDENAL</v>
          </cell>
          <cell r="E602"/>
          <cell r="F602"/>
          <cell r="G602"/>
          <cell r="H602"/>
          <cell r="I602"/>
        </row>
        <row r="603">
          <cell r="A603" t="str">
            <v>ID-1196</v>
          </cell>
          <cell r="B603"/>
          <cell r="C603" t="str">
            <v>TLAJOMULCO</v>
          </cell>
          <cell r="D603" t="str">
            <v>ESTACIONAMIENTO TECNAAL</v>
          </cell>
          <cell r="E603"/>
          <cell r="F603"/>
          <cell r="G603"/>
          <cell r="H603"/>
          <cell r="I603"/>
        </row>
        <row r="604">
          <cell r="A604" t="str">
            <v>ID-1197</v>
          </cell>
          <cell r="B604"/>
          <cell r="C604" t="str">
            <v>TLAJOMULCO</v>
          </cell>
          <cell r="D604" t="str">
            <v>REPARACIÓN DE BAÑO Y VESTIDORES DE OFICINAS SERVICIOS GENERALES EDIFICIO R</v>
          </cell>
          <cell r="E604"/>
          <cell r="F604"/>
          <cell r="G604"/>
          <cell r="H604"/>
          <cell r="I604"/>
        </row>
        <row r="605">
          <cell r="A605" t="str">
            <v>ID-1198</v>
          </cell>
          <cell r="B605"/>
          <cell r="C605" t="str">
            <v>TLAJOMULCO</v>
          </cell>
          <cell r="D605" t="str">
            <v>CÁLCULO DE CIMENTACIÓN PARA ELEVADOR EDIFICIO B</v>
          </cell>
          <cell r="E605"/>
          <cell r="F605"/>
          <cell r="G605"/>
          <cell r="H605"/>
          <cell r="I605"/>
        </row>
        <row r="606">
          <cell r="A606" t="str">
            <v>ID-1199</v>
          </cell>
          <cell r="B606"/>
          <cell r="C606" t="str">
            <v>TLAJOMULCO</v>
          </cell>
          <cell r="D606" t="str">
            <v>BODEGA DE MATERIALES PARA MANTENIMIENTO EDIFICIO C</v>
          </cell>
          <cell r="E606"/>
          <cell r="F606"/>
          <cell r="G606"/>
          <cell r="H606"/>
          <cell r="I606"/>
        </row>
        <row r="607">
          <cell r="A607" t="str">
            <v>ID-1200</v>
          </cell>
          <cell r="B607"/>
          <cell r="C607" t="str">
            <v>TLAJOMULCO</v>
          </cell>
          <cell r="D607" t="str">
            <v>CRUCE DE VÍAS, DEMOLICIÓN DE CRUCE VIEJO DE CASETA 1</v>
          </cell>
          <cell r="E607"/>
          <cell r="F607"/>
          <cell r="G607"/>
          <cell r="H607"/>
          <cell r="I607"/>
        </row>
        <row r="608">
          <cell r="A608" t="str">
            <v>ID-1202</v>
          </cell>
          <cell r="B608"/>
          <cell r="C608" t="str">
            <v>TLAJOMULCO</v>
          </cell>
          <cell r="D608" t="str">
            <v>PINTORES LÍNEA 4 y LÍNEA 9 EDIFICIO A</v>
          </cell>
          <cell r="E608"/>
          <cell r="F608"/>
          <cell r="G608"/>
          <cell r="H608"/>
          <cell r="I608"/>
        </row>
        <row r="609">
          <cell r="A609" t="str">
            <v>ID-1203</v>
          </cell>
          <cell r="B609"/>
          <cell r="C609" t="str">
            <v>TLAJOMULCO</v>
          </cell>
          <cell r="D609" t="str">
            <v>PINTORES LÍNEA 3 ,LÍNEA6, LÍNEA 8 y LÍNEA 9 EDIFICIO E</v>
          </cell>
          <cell r="E609"/>
          <cell r="F609"/>
          <cell r="G609"/>
          <cell r="H609"/>
          <cell r="I609"/>
        </row>
        <row r="610">
          <cell r="A610" t="str">
            <v>ID-1205</v>
          </cell>
          <cell r="B610"/>
          <cell r="C610" t="str">
            <v>SAN JUAN DE ALIMA</v>
          </cell>
          <cell r="D610" t="str">
            <v>REMODELACIÓN CASA LUIS CAMPOS</v>
          </cell>
          <cell r="E610"/>
          <cell r="F610"/>
          <cell r="G610"/>
          <cell r="H610"/>
          <cell r="I610"/>
        </row>
        <row r="611">
          <cell r="A611" t="str">
            <v>ID-1206</v>
          </cell>
          <cell r="B611"/>
          <cell r="C611" t="str">
            <v>TLAJOMULCO</v>
          </cell>
          <cell r="D611" t="str">
            <v>RETROFIT LÍNEA 4 ACONDICIONADO FORMAS SÓLIDAS EDIFICIO B</v>
          </cell>
          <cell r="E611"/>
          <cell r="F611"/>
          <cell r="G611"/>
          <cell r="H611"/>
          <cell r="I611"/>
        </row>
        <row r="612">
          <cell r="A612" t="str">
            <v>ID-1207</v>
          </cell>
          <cell r="B612"/>
          <cell r="C612" t="str">
            <v>TLAJOMULCO</v>
          </cell>
          <cell r="D612" t="str">
            <v>REMODELACIÓN ÁREA DE DESCANSO DE TRANSLIMA</v>
          </cell>
          <cell r="E612"/>
          <cell r="F612"/>
          <cell r="G612"/>
          <cell r="H612"/>
          <cell r="I612"/>
        </row>
        <row r="613">
          <cell r="A613" t="str">
            <v>ID-1208</v>
          </cell>
          <cell r="B613"/>
          <cell r="C613" t="str">
            <v>TLAJOMULCO</v>
          </cell>
          <cell r="D613" t="str">
            <v>TAMIZADO 3 NAVE 2 , FORMAS SÓLIDAS, EDIFICIO B</v>
          </cell>
          <cell r="E613"/>
          <cell r="F613"/>
          <cell r="G613"/>
          <cell r="H613"/>
          <cell r="I613"/>
        </row>
        <row r="614">
          <cell r="A614" t="str">
            <v>ID-1209</v>
          </cell>
          <cell r="B614"/>
          <cell r="C614" t="str">
            <v>PLANTA ZONA INDUSTRIAL</v>
          </cell>
          <cell r="D614" t="str">
            <v>MANTENIMIENTO MUROS, ESCALERAS Y PASILLOS PENICILÍNICOS</v>
          </cell>
          <cell r="E614"/>
          <cell r="F614"/>
          <cell r="G614"/>
          <cell r="H614"/>
          <cell r="I614"/>
        </row>
        <row r="615">
          <cell r="A615" t="str">
            <v>ID-1210</v>
          </cell>
          <cell r="B615"/>
          <cell r="C615" t="str">
            <v>PASEO DE SANTA ANITA 304, CLUB DE GOLF SANTA ANITA, TLAJOMULCO DE ZÚÑIGA, CP 45645</v>
          </cell>
          <cell r="D615" t="str">
            <v>AMPLIACIÓN CASA HERIBERTO CASTAÑEDA</v>
          </cell>
          <cell r="E615"/>
          <cell r="F615"/>
          <cell r="G615"/>
          <cell r="H615"/>
          <cell r="I615"/>
        </row>
        <row r="616">
          <cell r="A616" t="str">
            <v>ID-1211</v>
          </cell>
          <cell r="B616"/>
          <cell r="C616" t="str">
            <v>TLAJOMULCO</v>
          </cell>
          <cell r="D616" t="str">
            <v>LABORATORIO DE DESARROLLO EDIFICIO C CON ORDEN DE COMPRA</v>
          </cell>
          <cell r="E616"/>
          <cell r="F616"/>
          <cell r="G616"/>
          <cell r="H616"/>
          <cell r="I616"/>
        </row>
        <row r="617">
          <cell r="A617" t="str">
            <v>ID-1212</v>
          </cell>
          <cell r="B617"/>
          <cell r="C617" t="str">
            <v>RADEC</v>
          </cell>
          <cell r="D617" t="str">
            <v>MEZZANINE NAVE 3 RADEC</v>
          </cell>
          <cell r="E617"/>
          <cell r="F617"/>
          <cell r="G617"/>
          <cell r="H617"/>
          <cell r="I617"/>
        </row>
        <row r="618">
          <cell r="A618" t="str">
            <v>ID-1214</v>
          </cell>
          <cell r="B618"/>
          <cell r="C618" t="str">
            <v>PARQUE BL, ALAMBIQUES 975 LAS JUNTAS</v>
          </cell>
          <cell r="D618" t="str">
            <v>CATENADO NAVE E PARQUE BL</v>
          </cell>
          <cell r="E618"/>
          <cell r="F618"/>
          <cell r="G618"/>
          <cell r="H618"/>
          <cell r="I618"/>
        </row>
        <row r="619">
          <cell r="A619" t="str">
            <v>ID-1215</v>
          </cell>
          <cell r="B619"/>
          <cell r="C619" t="str">
            <v>UNIDAD NACIONAL 94, CONJUNTO RESIDENCIAL PATRIA , ZAPOPAN, JALISCO, CP 45160</v>
          </cell>
          <cell r="D619" t="str">
            <v>WATTS MT</v>
          </cell>
          <cell r="E619"/>
          <cell r="F619"/>
          <cell r="G619"/>
          <cell r="H619"/>
          <cell r="I619"/>
        </row>
        <row r="620">
          <cell r="A620" t="str">
            <v>ID-1216</v>
          </cell>
          <cell r="B620"/>
          <cell r="C620" t="str">
            <v>NACIONES UNIDAS 5759, CASA 1 FRACCIONAMIENTO YORK, ZAPOPAN, JALISCO</v>
          </cell>
          <cell r="D620" t="str">
            <v>CASA IGNACIO RODRÍGUEZ</v>
          </cell>
          <cell r="E620"/>
          <cell r="F620"/>
          <cell r="G620"/>
          <cell r="H620"/>
          <cell r="I620"/>
        </row>
        <row r="621">
          <cell r="A621" t="str">
            <v>ID-1217</v>
          </cell>
          <cell r="B621"/>
          <cell r="C621" t="str">
            <v>TLAJOMULCO</v>
          </cell>
          <cell r="D621" t="str">
            <v>MANTTO Y REPARACIÓN PUERTAS CORREDIZAS MALLA CICLÓNICA ALMACENES PT1 y PT2 EDIF A</v>
          </cell>
          <cell r="E621"/>
          <cell r="F621"/>
          <cell r="G621"/>
          <cell r="H621"/>
          <cell r="I621"/>
        </row>
        <row r="622">
          <cell r="A622" t="str">
            <v>ID-1219</v>
          </cell>
          <cell r="B622"/>
          <cell r="C622" t="str">
            <v>TLAJOMULCO</v>
          </cell>
          <cell r="D622" t="str">
            <v>ESTACIONAMIENTO TECNAL ANEXO</v>
          </cell>
          <cell r="E622"/>
          <cell r="F622"/>
          <cell r="G622"/>
          <cell r="H622"/>
          <cell r="I622"/>
        </row>
        <row r="623">
          <cell r="A623" t="str">
            <v>ID-1220</v>
          </cell>
          <cell r="B623"/>
          <cell r="C623" t="str">
            <v>SAN MARCELO 2110, CASA 28, REAL SAN BERNARDO, ZAPOPAN, JALISO, CP 45110</v>
          </cell>
          <cell r="D623" t="str">
            <v>REMODELACIÓN ANA CECILIA ARROYO</v>
          </cell>
          <cell r="E623"/>
          <cell r="F623"/>
          <cell r="G623"/>
          <cell r="H623"/>
          <cell r="I623"/>
        </row>
        <row r="624">
          <cell r="A624" t="str">
            <v>ID-1221</v>
          </cell>
          <cell r="B624"/>
          <cell r="C624" t="str">
            <v>PYMPSA</v>
          </cell>
          <cell r="D624" t="str">
            <v xml:space="preserve">PÉRGOLA TERRAZA COMEDOR </v>
          </cell>
          <cell r="E624"/>
          <cell r="F624"/>
          <cell r="G624"/>
          <cell r="H624"/>
          <cell r="I624"/>
        </row>
        <row r="625">
          <cell r="A625" t="str">
            <v>ID-1222</v>
          </cell>
          <cell r="B625"/>
          <cell r="C625" t="str">
            <v>JUAN DE LA BARRERA 3609 PLÁSTICOS Y MATERIAS PRIMAS</v>
          </cell>
          <cell r="D625" t="str">
            <v>JAULA MEDITEC</v>
          </cell>
          <cell r="E625"/>
          <cell r="F625"/>
          <cell r="G625"/>
          <cell r="H625"/>
          <cell r="I625"/>
        </row>
        <row r="626">
          <cell r="A626" t="str">
            <v>ID-1223</v>
          </cell>
          <cell r="B626"/>
          <cell r="C626" t="str">
            <v>TLAJOMULCO</v>
          </cell>
          <cell r="D626" t="str">
            <v>PINTURA PASILLOS GENERALES OFICINAS CDN 4</v>
          </cell>
          <cell r="E626"/>
          <cell r="F626"/>
          <cell r="G626"/>
          <cell r="H626"/>
          <cell r="I626"/>
        </row>
        <row r="627">
          <cell r="A627" t="str">
            <v>ID-1224</v>
          </cell>
          <cell r="B627"/>
          <cell r="C627" t="str">
            <v xml:space="preserve">18 DE MARZO # 235, CP 45640, GUADALAJARA, JALISCO, </v>
          </cell>
          <cell r="D627" t="str">
            <v>VIU NUEVO PROYECTO</v>
          </cell>
          <cell r="E627"/>
          <cell r="F627"/>
          <cell r="G627"/>
          <cell r="H627"/>
          <cell r="I627"/>
        </row>
        <row r="628">
          <cell r="A628" t="str">
            <v>ID-1225</v>
          </cell>
          <cell r="B628"/>
          <cell r="C628" t="str">
            <v>PLANTA ZONA INDUSTRIAL</v>
          </cell>
          <cell r="D628" t="str">
            <v>CÁLCULO ESTRUCTURAL PENICILÍNICOS</v>
          </cell>
          <cell r="E628"/>
          <cell r="F628"/>
          <cell r="G628"/>
          <cell r="H628"/>
          <cell r="I628"/>
        </row>
        <row r="629">
          <cell r="A629" t="str">
            <v>ID-1226</v>
          </cell>
          <cell r="B629"/>
          <cell r="C629" t="str">
            <v>TLAJOMULCO</v>
          </cell>
          <cell r="D629" t="str">
            <v>REVISIÓN ESTRUCTURAL PARA CAMBIO DE TANQUE EN ONCOLÓGICOS EDFICIO I</v>
          </cell>
          <cell r="E629"/>
          <cell r="F629"/>
          <cell r="G629"/>
          <cell r="H629"/>
          <cell r="I629"/>
        </row>
        <row r="630">
          <cell r="A630" t="str">
            <v>ID-1227</v>
          </cell>
          <cell r="B630"/>
          <cell r="C630" t="str">
            <v>GRUPO CONSTRUCTOR</v>
          </cell>
          <cell r="D630" t="str">
            <v>GARANTÍAS</v>
          </cell>
          <cell r="E630"/>
          <cell r="F630"/>
          <cell r="G630"/>
          <cell r="H630"/>
          <cell r="I630"/>
        </row>
        <row r="631">
          <cell r="A631" t="str">
            <v>ID-1228</v>
          </cell>
          <cell r="B631"/>
          <cell r="C631" t="str">
            <v>RADEC ACATLÁN</v>
          </cell>
          <cell r="D631" t="str">
            <v>EXTRACTOR COCINA N3 RADEC</v>
          </cell>
          <cell r="E631"/>
          <cell r="F631"/>
          <cell r="G631"/>
          <cell r="H631"/>
          <cell r="I631"/>
        </row>
        <row r="632">
          <cell r="A632" t="str">
            <v>ID-1229</v>
          </cell>
          <cell r="B632"/>
          <cell r="C632" t="str">
            <v>UNIDAD NACIONAL 94, CONJUNTO RESIDENCIAL PATRIA , ZAPOPAN, JALISCO, CP 45160</v>
          </cell>
          <cell r="D632" t="str">
            <v>SANTIAGO Y JUAN CARLOS CORALINA</v>
          </cell>
          <cell r="E632"/>
          <cell r="F632"/>
          <cell r="G632"/>
          <cell r="H632"/>
          <cell r="I632"/>
        </row>
        <row r="633">
          <cell r="A633" t="str">
            <v>ID-1230</v>
          </cell>
          <cell r="B633"/>
          <cell r="C633" t="str">
            <v>TLAJOMULCO</v>
          </cell>
          <cell r="D633" t="str">
            <v>TRABAJOS DEL POZO # 5</v>
          </cell>
          <cell r="E633"/>
          <cell r="F633"/>
          <cell r="G633"/>
          <cell r="H633"/>
          <cell r="I633"/>
        </row>
        <row r="634">
          <cell r="A634" t="str">
            <v>ID-1231</v>
          </cell>
          <cell r="B634"/>
          <cell r="C634" t="str">
            <v>TLAJOMULCO</v>
          </cell>
          <cell r="D634" t="str">
            <v>INSTALACIÓN DE ALAMBRADO EN PT2 EDIFICIO A</v>
          </cell>
          <cell r="E634"/>
          <cell r="F634"/>
          <cell r="G634"/>
          <cell r="H634"/>
          <cell r="I634"/>
        </row>
        <row r="635">
          <cell r="A635" t="str">
            <v>ID-1232</v>
          </cell>
          <cell r="B635"/>
          <cell r="C635" t="str">
            <v>TLAJOMULCO</v>
          </cell>
          <cell r="D635" t="str">
            <v>NAVE 3 DE FORMAS SÓLIDAS</v>
          </cell>
          <cell r="E635"/>
          <cell r="F635"/>
          <cell r="G635"/>
          <cell r="H635"/>
          <cell r="I635"/>
        </row>
        <row r="636">
          <cell r="A636" t="str">
            <v>ID-1233</v>
          </cell>
          <cell r="B636"/>
          <cell r="C636" t="str">
            <v>TLAJOMULCO</v>
          </cell>
          <cell r="D636" t="str">
            <v>EXCAVACIONES PARA RED BOMBAS CONTRA-INCENDIO EDIFICIO A</v>
          </cell>
          <cell r="E636"/>
          <cell r="F636"/>
          <cell r="G636"/>
          <cell r="H636"/>
          <cell r="I636"/>
        </row>
        <row r="637">
          <cell r="A637" t="str">
            <v>ID-1234</v>
          </cell>
          <cell r="B637"/>
          <cell r="C637" t="str">
            <v>TLAJOMULCO</v>
          </cell>
          <cell r="D637" t="str">
            <v>REPARACIÓN DE PUERTA CORREDIZA DE 3.71 X 2.80</v>
          </cell>
          <cell r="E637"/>
          <cell r="F637"/>
          <cell r="G637"/>
          <cell r="H637"/>
          <cell r="I637"/>
        </row>
        <row r="638">
          <cell r="A638" t="str">
            <v>ID-1235</v>
          </cell>
          <cell r="B638"/>
          <cell r="C638" t="str">
            <v>TLAJOMULCO</v>
          </cell>
          <cell r="D638" t="str">
            <v>FABRICACIÓN DE PUERTA DE HERRERÍA EN CUARTO ELÉCTRICO</v>
          </cell>
          <cell r="E638"/>
          <cell r="F638"/>
          <cell r="G638"/>
          <cell r="H638"/>
          <cell r="I638"/>
        </row>
        <row r="639">
          <cell r="A639" t="str">
            <v>ID-1236</v>
          </cell>
          <cell r="B639"/>
          <cell r="C639" t="str">
            <v>ZONA INDUSTRIAL</v>
          </cell>
          <cell r="D639" t="str">
            <v>REFORZAMINTO PENICILÍNICOS</v>
          </cell>
          <cell r="E639"/>
          <cell r="F639"/>
          <cell r="G639"/>
          <cell r="H639"/>
          <cell r="I639"/>
        </row>
        <row r="640">
          <cell r="A640" t="str">
            <v>ID-1237</v>
          </cell>
          <cell r="B640"/>
          <cell r="C640" t="str">
            <v>ZONA INDUSTRIAL</v>
          </cell>
          <cell r="D640" t="str">
            <v>SONDEO PENICILÍNICOS</v>
          </cell>
          <cell r="E640"/>
          <cell r="F640"/>
          <cell r="G640"/>
          <cell r="H640"/>
          <cell r="I640"/>
        </row>
        <row r="641">
          <cell r="A641" t="str">
            <v>ID-1238</v>
          </cell>
          <cell r="B641"/>
          <cell r="C641" t="str">
            <v>SAN MIGUEL DE LA COLINA # 33, ZAPOPAN, JALISCO, CP 45160</v>
          </cell>
          <cell r="D641" t="str">
            <v>MANTENIMIENTO DIEGO DE ANDA</v>
          </cell>
          <cell r="E641"/>
          <cell r="F641"/>
          <cell r="G641"/>
          <cell r="H641"/>
          <cell r="I641"/>
        </row>
        <row r="642">
          <cell r="A642" t="str">
            <v>ID-1239</v>
          </cell>
          <cell r="B642"/>
          <cell r="C642" t="str">
            <v>PUERTA DEL SOL # 200, PUERTA PLATA, ZAPOPAN, JALISCO, CP 45116</v>
          </cell>
          <cell r="D642" t="str">
            <v>MANTENIMIENTO NATALIA MARTÍNEZ</v>
          </cell>
          <cell r="E642"/>
          <cell r="F642"/>
          <cell r="G642"/>
          <cell r="H642"/>
          <cell r="I642"/>
        </row>
        <row r="643">
          <cell r="A643" t="str">
            <v>O-001</v>
          </cell>
          <cell r="B643" t="str">
            <v>GP</v>
          </cell>
          <cell r="C643" t="str">
            <v>HIDALGO 1892 ENTRE PEREZ VERDIA Y FCO ROJAS</v>
          </cell>
          <cell r="D643" t="str">
            <v>MANTENIMIENTOS GENERALES</v>
          </cell>
          <cell r="E643"/>
          <cell r="F643" t="str">
            <v>N/A</v>
          </cell>
          <cell r="G643"/>
          <cell r="H643"/>
          <cell r="I643"/>
        </row>
        <row r="644">
          <cell r="A644" t="str">
            <v>O-002</v>
          </cell>
          <cell r="B644" t="str">
            <v>GP</v>
          </cell>
          <cell r="C644" t="str">
            <v>S/D</v>
          </cell>
          <cell r="D644" t="str">
            <v>CASA MAR AMARILLO No 1525</v>
          </cell>
          <cell r="E644"/>
          <cell r="F644" t="str">
            <v>JP</v>
          </cell>
          <cell r="G644"/>
          <cell r="H644" t="str">
            <v>ARQ</v>
          </cell>
          <cell r="I644"/>
        </row>
        <row r="645">
          <cell r="A645" t="str">
            <v>O-011</v>
          </cell>
          <cell r="B645" t="str">
            <v>GP</v>
          </cell>
          <cell r="C645" t="str">
            <v>S/D</v>
          </cell>
          <cell r="D645" t="str">
            <v>GASTOS ING. JUAN PABLO CHAVEZ</v>
          </cell>
          <cell r="E645"/>
          <cell r="F645"/>
          <cell r="G645"/>
          <cell r="H645"/>
          <cell r="I645"/>
        </row>
        <row r="646">
          <cell r="A646" t="str">
            <v>O-012</v>
          </cell>
          <cell r="B646" t="str">
            <v>GP</v>
          </cell>
          <cell r="C646" t="str">
            <v>S/D</v>
          </cell>
          <cell r="D646" t="str">
            <v>VILLA C</v>
          </cell>
          <cell r="E646"/>
          <cell r="F646" t="str">
            <v>N/A</v>
          </cell>
          <cell r="G646"/>
          <cell r="H646"/>
          <cell r="I646"/>
        </row>
        <row r="649">
          <cell r="C649"/>
        </row>
        <row r="650">
          <cell r="C650"/>
        </row>
        <row r="682">
          <cell r="D682" t="str">
            <v>}</v>
          </cell>
        </row>
      </sheetData>
      <sheetData sheetId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"/>
      <sheetName val="PU"/>
      <sheetName val="BASEDATOS_TOTAL"/>
      <sheetName val="Base de Datos"/>
    </sheetNames>
    <sheetDataSet>
      <sheetData sheetId="0">
        <row r="3">
          <cell r="A3">
            <v>20</v>
          </cell>
          <cell r="B3" t="str">
            <v>RUVALCABA VERGARA MARÍA VERÓNICA</v>
          </cell>
          <cell r="C3" t="str">
            <v>SECRETARIA</v>
          </cell>
          <cell r="D3">
            <v>929.92</v>
          </cell>
          <cell r="F3"/>
        </row>
        <row r="4">
          <cell r="A4">
            <v>27</v>
          </cell>
          <cell r="B4" t="str">
            <v>VARGAS SILLAS RICARDO</v>
          </cell>
          <cell r="C4" t="str">
            <v>RESID</v>
          </cell>
          <cell r="D4">
            <v>2922.71</v>
          </cell>
          <cell r="F4"/>
        </row>
        <row r="5">
          <cell r="A5">
            <v>34</v>
          </cell>
          <cell r="B5" t="str">
            <v>VIDAL OCHOA ROBERTO ENRIQUE</v>
          </cell>
          <cell r="C5" t="str">
            <v>DESTAJOS</v>
          </cell>
          <cell r="D5"/>
          <cell r="F5"/>
        </row>
        <row r="6">
          <cell r="A6">
            <v>35</v>
          </cell>
          <cell r="B6" t="str">
            <v>JAUREGUI GARCÍA ARTURO</v>
          </cell>
          <cell r="C6" t="str">
            <v>PROYECTO</v>
          </cell>
          <cell r="D6">
            <v>2748.91</v>
          </cell>
          <cell r="F6"/>
        </row>
        <row r="7">
          <cell r="A7">
            <v>51</v>
          </cell>
          <cell r="B7" t="str">
            <v>CHÁVEZ NAVARRO DIEGO</v>
          </cell>
          <cell r="C7" t="str">
            <v>ADMINISTRADOR</v>
          </cell>
          <cell r="D7">
            <v>2593.5</v>
          </cell>
          <cell r="F7"/>
        </row>
        <row r="8">
          <cell r="A8">
            <v>53</v>
          </cell>
          <cell r="B8" t="str">
            <v>CORTEZ MELÉNDREZ LORENA PATRICIA</v>
          </cell>
          <cell r="C8" t="str">
            <v>AUXILIAR ADMTVO.</v>
          </cell>
          <cell r="D8">
            <v>852.19</v>
          </cell>
          <cell r="F8"/>
        </row>
        <row r="9">
          <cell r="A9">
            <v>58</v>
          </cell>
          <cell r="B9" t="str">
            <v>VERA PRECIADO ELIA MARGARITA</v>
          </cell>
          <cell r="C9" t="str">
            <v>ARQUITECTO</v>
          </cell>
          <cell r="D9">
            <v>428.49</v>
          </cell>
          <cell r="F9"/>
        </row>
        <row r="10">
          <cell r="A10">
            <v>60</v>
          </cell>
          <cell r="B10" t="str">
            <v>CHÁVEZ NAVARRO ANDRÉS</v>
          </cell>
          <cell r="C10" t="str">
            <v>S.INTTE.</v>
          </cell>
          <cell r="D10">
            <v>2164.63</v>
          </cell>
          <cell r="F10">
            <v>0</v>
          </cell>
        </row>
        <row r="11">
          <cell r="A11">
            <v>64</v>
          </cell>
          <cell r="B11" t="str">
            <v>ÁVALOS CORTÉS GERARDO JOSÉ</v>
          </cell>
          <cell r="C11" t="str">
            <v>RESID</v>
          </cell>
          <cell r="D11">
            <v>2040.84</v>
          </cell>
          <cell r="F11"/>
        </row>
        <row r="12">
          <cell r="A12">
            <v>67</v>
          </cell>
          <cell r="B12" t="str">
            <v>CERRILLOS LARA JOSÉ</v>
          </cell>
          <cell r="C12" t="str">
            <v>RESID</v>
          </cell>
          <cell r="D12">
            <v>2991.49</v>
          </cell>
          <cell r="F12"/>
        </row>
        <row r="13">
          <cell r="A13">
            <v>84</v>
          </cell>
          <cell r="B13" t="str">
            <v>MARTÍNEZ SÁNCHEZ ARIADNA ROCÍO</v>
          </cell>
          <cell r="C13" t="str">
            <v>DIBUJANTE</v>
          </cell>
          <cell r="D13">
            <v>1212.75</v>
          </cell>
          <cell r="F13"/>
        </row>
        <row r="14">
          <cell r="A14">
            <v>88</v>
          </cell>
          <cell r="B14" t="str">
            <v>JIMÉNEZ MENDOZA YULI</v>
          </cell>
          <cell r="C14" t="str">
            <v>ASEO</v>
          </cell>
          <cell r="D14">
            <v>599.87</v>
          </cell>
          <cell r="F14"/>
        </row>
        <row r="15">
          <cell r="A15">
            <v>90</v>
          </cell>
          <cell r="B15" t="str">
            <v>PÉREZ TORIZ MAXIMINO EDUARDO</v>
          </cell>
          <cell r="C15" t="str">
            <v>CHOFER</v>
          </cell>
          <cell r="D15">
            <v>614.79999999999995</v>
          </cell>
          <cell r="F15"/>
        </row>
        <row r="16">
          <cell r="A16">
            <v>94</v>
          </cell>
          <cell r="B16" t="str">
            <v>PÉREZ FONSECA ERNESTO</v>
          </cell>
          <cell r="C16" t="str">
            <v>COSTOS</v>
          </cell>
          <cell r="D16">
            <v>1689.73</v>
          </cell>
          <cell r="F16"/>
        </row>
        <row r="17">
          <cell r="A17">
            <v>96</v>
          </cell>
          <cell r="B17" t="str">
            <v>MARTÍNEZ NAVARRO PAULA</v>
          </cell>
          <cell r="C17" t="str">
            <v>ENCARGADO COMPRAS</v>
          </cell>
          <cell r="D17"/>
          <cell r="F17"/>
        </row>
        <row r="18">
          <cell r="A18">
            <v>100</v>
          </cell>
          <cell r="B18" t="str">
            <v>SANTILLÁN RODRÍGUEZ CAROLINA</v>
          </cell>
          <cell r="C18" t="str">
            <v>AUX DISEÑO</v>
          </cell>
          <cell r="D18">
            <v>1631.06</v>
          </cell>
          <cell r="F18"/>
        </row>
        <row r="19">
          <cell r="A19">
            <v>110</v>
          </cell>
          <cell r="B19" t="str">
            <v>VIDAL GARCÍA MICHELLE NOEMÍ</v>
          </cell>
          <cell r="C19" t="str">
            <v>AUXILIAR ADMTVO.</v>
          </cell>
          <cell r="D19">
            <v>840</v>
          </cell>
          <cell r="F19"/>
        </row>
        <row r="20">
          <cell r="A20">
            <v>114</v>
          </cell>
          <cell r="B20" t="str">
            <v>FLORES SÁNCHEZ CLAUDIA IVETTE</v>
          </cell>
          <cell r="C20" t="str">
            <v>AUXILIAR ADMTVO.</v>
          </cell>
          <cell r="D20">
            <v>727.65</v>
          </cell>
          <cell r="F20"/>
        </row>
        <row r="21">
          <cell r="A21">
            <v>116</v>
          </cell>
          <cell r="B21" t="str">
            <v>VIDAL GARCÍA CARLOS ROBERTO</v>
          </cell>
          <cell r="C21" t="str">
            <v>DESTAJOS</v>
          </cell>
          <cell r="D21"/>
          <cell r="F21"/>
        </row>
        <row r="22">
          <cell r="A22">
            <v>119</v>
          </cell>
          <cell r="B22" t="str">
            <v>SANDOVAL DE LA CRUZ RICARDO</v>
          </cell>
          <cell r="C22" t="str">
            <v>RESID</v>
          </cell>
          <cell r="D22">
            <v>2184.7199999999998</v>
          </cell>
          <cell r="F22"/>
        </row>
        <row r="23">
          <cell r="A23">
            <v>127</v>
          </cell>
          <cell r="B23" t="str">
            <v>CHÁVEZ RUVALCABA JUAN DANIEL</v>
          </cell>
          <cell r="C23" t="str">
            <v>DIBUJANTE</v>
          </cell>
          <cell r="D23">
            <v>942.59</v>
          </cell>
          <cell r="F23"/>
        </row>
        <row r="24">
          <cell r="A24">
            <v>128</v>
          </cell>
          <cell r="B24" t="str">
            <v>HERNÁNDEZ CERVANTES JUAN VÍCTOR</v>
          </cell>
          <cell r="C24" t="str">
            <v>TOPOGRAFIA</v>
          </cell>
          <cell r="D24"/>
          <cell r="F24"/>
        </row>
        <row r="25">
          <cell r="A25">
            <v>136</v>
          </cell>
          <cell r="B25" t="str">
            <v>MARTÍNEZ HERRERA ARMANDO</v>
          </cell>
          <cell r="C25" t="str">
            <v>RESID</v>
          </cell>
          <cell r="D25">
            <v>2040.84</v>
          </cell>
          <cell r="F25"/>
        </row>
        <row r="26">
          <cell r="A26">
            <v>146</v>
          </cell>
          <cell r="B26" t="str">
            <v>DIAZ ESTRADA MARÍA TERESA</v>
          </cell>
          <cell r="C26" t="str">
            <v>AUXILIAR ADMTVO.</v>
          </cell>
          <cell r="D26">
            <v>687.24</v>
          </cell>
          <cell r="F26"/>
        </row>
        <row r="27">
          <cell r="A27">
            <v>150</v>
          </cell>
          <cell r="B27" t="str">
            <v>DE LA TORRE FLORES JOSÉ EDUARDO</v>
          </cell>
          <cell r="C27" t="str">
            <v>RESID</v>
          </cell>
          <cell r="D27">
            <v>2283.38</v>
          </cell>
          <cell r="F27"/>
        </row>
        <row r="28">
          <cell r="A28">
            <v>152</v>
          </cell>
          <cell r="B28" t="str">
            <v>LÓPEZ BERTO ANCELMO</v>
          </cell>
          <cell r="C28" t="str">
            <v>RESID</v>
          </cell>
          <cell r="D28">
            <v>1413.06</v>
          </cell>
          <cell r="F28"/>
        </row>
        <row r="29">
          <cell r="A29">
            <v>155</v>
          </cell>
          <cell r="B29" t="str">
            <v>MUÑOZ VALDIVIA GASTÓN</v>
          </cell>
          <cell r="C29" t="str">
            <v>ARQUITECTO</v>
          </cell>
          <cell r="D29">
            <v>1298.8</v>
          </cell>
          <cell r="F29"/>
        </row>
        <row r="30">
          <cell r="A30">
            <v>157</v>
          </cell>
          <cell r="B30" t="str">
            <v>ARIZAGA FLORES CARLOS ALBERTO</v>
          </cell>
          <cell r="C30" t="str">
            <v>MENSAJERO</v>
          </cell>
          <cell r="D30">
            <v>560.70000000000005</v>
          </cell>
          <cell r="F30"/>
        </row>
        <row r="31">
          <cell r="A31">
            <v>158</v>
          </cell>
          <cell r="B31" t="str">
            <v>ROBLES GONZÁLEZ JOSÉ DE JESÚS</v>
          </cell>
          <cell r="C31" t="str">
            <v>DESTAJOS</v>
          </cell>
          <cell r="D31"/>
          <cell r="F31"/>
        </row>
        <row r="32">
          <cell r="A32">
            <v>159</v>
          </cell>
          <cell r="B32" t="str">
            <v>GÓMEZ VÁZQUEZ LUIS ERNESTO</v>
          </cell>
          <cell r="C32" t="str">
            <v>RESID</v>
          </cell>
          <cell r="D32">
            <v>1413.06</v>
          </cell>
          <cell r="F32"/>
        </row>
        <row r="33">
          <cell r="A33">
            <v>169</v>
          </cell>
          <cell r="B33" t="str">
            <v>NÚÑEZ GARCÍA FABIOLA ELIZABETH</v>
          </cell>
          <cell r="C33" t="str">
            <v>AUX. COMPRAS</v>
          </cell>
          <cell r="D33">
            <v>551.25</v>
          </cell>
          <cell r="F33"/>
        </row>
        <row r="34">
          <cell r="A34">
            <v>183</v>
          </cell>
          <cell r="B34" t="str">
            <v>FLORES SÁNCHEZ ANA CRISTINA</v>
          </cell>
          <cell r="C34" t="str">
            <v>AUX. DE RESIDENTE</v>
          </cell>
          <cell r="D34">
            <v>954.87</v>
          </cell>
        </row>
        <row r="35">
          <cell r="A35">
            <v>184</v>
          </cell>
          <cell r="B35" t="str">
            <v>RODRÍGUEZ LÓPEZ MARCOS</v>
          </cell>
          <cell r="C35" t="str">
            <v>RESID</v>
          </cell>
          <cell r="D35">
            <v>1594.46</v>
          </cell>
        </row>
        <row r="36">
          <cell r="A36">
            <v>187</v>
          </cell>
          <cell r="B36" t="str">
            <v>RODRÍGUEZ MARTÍNEZ ALICIA GUADALUPE</v>
          </cell>
          <cell r="C36" t="str">
            <v>AUX. DE RESIDENTE</v>
          </cell>
          <cell r="D36">
            <v>750.62</v>
          </cell>
        </row>
        <row r="37">
          <cell r="A37">
            <v>189</v>
          </cell>
          <cell r="B37" t="str">
            <v>PEÑA MURILLO ANA FABIOLA</v>
          </cell>
          <cell r="C37" t="str">
            <v>ASEO</v>
          </cell>
          <cell r="D37">
            <v>428.64</v>
          </cell>
        </row>
        <row r="38">
          <cell r="A38">
            <v>193</v>
          </cell>
          <cell r="B38" t="str">
            <v>PEÑA MURILLO VERÓNICA ELIZABETH</v>
          </cell>
          <cell r="C38" t="str">
            <v>ASEO</v>
          </cell>
          <cell r="D38">
            <v>346.88</v>
          </cell>
        </row>
        <row r="39">
          <cell r="A39">
            <v>201</v>
          </cell>
          <cell r="B39" t="str">
            <v>CÓRDOVA GARCÍA SERGIO MANUEL</v>
          </cell>
          <cell r="C39" t="str">
            <v>RESID</v>
          </cell>
          <cell r="D39">
            <v>939</v>
          </cell>
        </row>
        <row r="40">
          <cell r="A40">
            <v>203</v>
          </cell>
          <cell r="B40" t="str">
            <v>LÓPEZ BARAJAS ÉDGAR ARMANDO</v>
          </cell>
          <cell r="C40" t="str">
            <v>AUXILIAR ADMTVO.</v>
          </cell>
          <cell r="D40">
            <v>808.26</v>
          </cell>
        </row>
        <row r="41">
          <cell r="A41">
            <v>204</v>
          </cell>
          <cell r="B41" t="str">
            <v>LOMELÍ DELGADO ANA KAREN</v>
          </cell>
          <cell r="C41" t="str">
            <v>AUXILIAR ADMTVO.</v>
          </cell>
          <cell r="D41">
            <v>808.26</v>
          </cell>
        </row>
        <row r="42">
          <cell r="A42">
            <v>218</v>
          </cell>
          <cell r="B42" t="str">
            <v>SANTIAGO OLÁN YESENIA</v>
          </cell>
          <cell r="C42" t="str">
            <v>AUX. DE RESIDENTE</v>
          </cell>
          <cell r="D42">
            <v>747.05</v>
          </cell>
          <cell r="F42"/>
        </row>
        <row r="43">
          <cell r="A43">
            <v>220</v>
          </cell>
          <cell r="B43" t="str">
            <v>PÉREZ ÁLVAREZ JOSÉ CARLOS</v>
          </cell>
          <cell r="C43" t="str">
            <v>RESID</v>
          </cell>
          <cell r="D43">
            <v>1582.4175824175841</v>
          </cell>
          <cell r="F43"/>
        </row>
        <row r="44">
          <cell r="A44">
            <v>225</v>
          </cell>
          <cell r="B44" t="str">
            <v>LÓPEZ SANDOVAL GILDARDO</v>
          </cell>
          <cell r="C44" t="str">
            <v>RESID</v>
          </cell>
          <cell r="D44">
            <v>2142.85</v>
          </cell>
          <cell r="F44"/>
        </row>
        <row r="45">
          <cell r="A45">
            <v>226</v>
          </cell>
          <cell r="B45" t="str">
            <v>REYES BARRAGÁN MIRIAM TYCHEE</v>
          </cell>
          <cell r="C45" t="str">
            <v>AUX COMPRAS</v>
          </cell>
          <cell r="D45">
            <v>477.75</v>
          </cell>
          <cell r="F45"/>
        </row>
        <row r="46">
          <cell r="A46">
            <v>227</v>
          </cell>
          <cell r="B46" t="str">
            <v>RÍOS FERNÁNDEZ PAOLA LIZBETH</v>
          </cell>
          <cell r="C46" t="str">
            <v>GERENTE CONTABILIDAD</v>
          </cell>
          <cell r="D46">
            <v>1278.49</v>
          </cell>
          <cell r="F46"/>
        </row>
        <row r="47">
          <cell r="A47">
            <v>231</v>
          </cell>
          <cell r="B47" t="str">
            <v>HERNÁNDEZ MARTÍNEZ MARÍA ISABEL</v>
          </cell>
          <cell r="C47" t="str">
            <v>ASEO</v>
          </cell>
          <cell r="D47">
            <v>490.52</v>
          </cell>
          <cell r="F47"/>
        </row>
        <row r="48">
          <cell r="A48">
            <v>235</v>
          </cell>
          <cell r="B48" t="str">
            <v>PÉREZ REYES ÉRIKA PAOLA</v>
          </cell>
          <cell r="C48" t="str">
            <v>AUX COMPRAS</v>
          </cell>
          <cell r="D48">
            <v>477.75</v>
          </cell>
          <cell r="F48"/>
        </row>
        <row r="49">
          <cell r="A49">
            <v>238</v>
          </cell>
          <cell r="B49" t="str">
            <v>FRANCO FARAH JUAN ANTONIO</v>
          </cell>
          <cell r="C49" t="str">
            <v>ASISTENTE DE ADMINISTRACIÓN</v>
          </cell>
          <cell r="D49">
            <v>661.5</v>
          </cell>
          <cell r="F49"/>
        </row>
        <row r="50">
          <cell r="A50">
            <v>239</v>
          </cell>
          <cell r="B50" t="str">
            <v>MEZA CÉLIZ ERICK ALEJANDRO</v>
          </cell>
          <cell r="C50" t="str">
            <v>AUXILIAR CONTABLE</v>
          </cell>
          <cell r="D50">
            <v>892.75</v>
          </cell>
          <cell r="F50"/>
        </row>
        <row r="51">
          <cell r="A51">
            <v>240</v>
          </cell>
          <cell r="B51" t="str">
            <v>GARCÍA DÍAZ ARIANA ELIZABETH</v>
          </cell>
          <cell r="C51" t="str">
            <v>DIBUJANTE</v>
          </cell>
          <cell r="D51">
            <v>899.59</v>
          </cell>
          <cell r="F51"/>
        </row>
        <row r="52">
          <cell r="A52">
            <v>242</v>
          </cell>
          <cell r="B52" t="str">
            <v>PACA MARABEL JONATHAN</v>
          </cell>
          <cell r="C52" t="str">
            <v>AUX. DE RESIDENTE</v>
          </cell>
          <cell r="D52">
            <v>1368.1318681318696</v>
          </cell>
          <cell r="F52"/>
        </row>
        <row r="53">
          <cell r="A53">
            <v>243</v>
          </cell>
          <cell r="B53" t="str">
            <v>HERNÁNDEZ LUNA JOAQUÍN</v>
          </cell>
          <cell r="C53" t="str">
            <v>AUXILIAR CONTABLE</v>
          </cell>
          <cell r="D53">
            <v>718.13</v>
          </cell>
          <cell r="F53"/>
        </row>
        <row r="54">
          <cell r="A54">
            <v>244</v>
          </cell>
          <cell r="B54" t="str">
            <v>ESPINOSA LARIOS FRANCISCO JAVIER</v>
          </cell>
          <cell r="C54" t="str">
            <v>RESID</v>
          </cell>
          <cell r="D54">
            <v>830</v>
          </cell>
          <cell r="F54"/>
        </row>
        <row r="55">
          <cell r="A55">
            <v>248</v>
          </cell>
          <cell r="B55" t="str">
            <v>CEDILLO CUEVAS JULIO CÉSAR</v>
          </cell>
          <cell r="C55" t="str">
            <v>AUX. DE RESIDENTE</v>
          </cell>
          <cell r="D55">
            <v>913</v>
          </cell>
          <cell r="F55"/>
        </row>
        <row r="56">
          <cell r="A56">
            <v>250</v>
          </cell>
          <cell r="B56" t="str">
            <v>CHÁVEZ VÁZQUEZ LUZ SUSANA</v>
          </cell>
          <cell r="C56" t="str">
            <v>CONTADORA</v>
          </cell>
          <cell r="D56">
            <v>846.47</v>
          </cell>
          <cell r="F56"/>
        </row>
        <row r="57">
          <cell r="A57">
            <v>251</v>
          </cell>
          <cell r="B57" t="str">
            <v>VILLAVICENCIO GUEVARA VANIA NOEMÍ</v>
          </cell>
          <cell r="C57" t="str">
            <v>RECEPCIONISTA</v>
          </cell>
          <cell r="D57">
            <v>315.04000000000002</v>
          </cell>
          <cell r="F57"/>
        </row>
        <row r="58">
          <cell r="A58">
            <v>253</v>
          </cell>
          <cell r="B58" t="str">
            <v>RAMÍREZ MIRAMONTES ALAN ISAAC</v>
          </cell>
          <cell r="C58" t="str">
            <v>AUXILIAR PRESUPUESTOS</v>
          </cell>
          <cell r="D58">
            <v>806.11</v>
          </cell>
          <cell r="F58"/>
        </row>
        <row r="59">
          <cell r="A59">
            <v>255</v>
          </cell>
          <cell r="B59" t="str">
            <v>DUEÑAS ESPINOZA AMÉRICA</v>
          </cell>
          <cell r="C59" t="str">
            <v>DIBUJANTE</v>
          </cell>
          <cell r="D59">
            <v>820.95</v>
          </cell>
          <cell r="E59"/>
          <cell r="F59"/>
        </row>
        <row r="60">
          <cell r="A60">
            <v>257</v>
          </cell>
          <cell r="B60" t="str">
            <v>CASTILLO RODRÍGUEZ CELINA DEL CARMEN</v>
          </cell>
          <cell r="C60" t="str">
            <v>AUXILIAR PRESUPUESTOS</v>
          </cell>
          <cell r="D60">
            <v>1162</v>
          </cell>
          <cell r="F60"/>
        </row>
        <row r="61">
          <cell r="A61">
            <v>258</v>
          </cell>
          <cell r="B61" t="str">
            <v>CHÁVEZ ZÁRATE JORGE ERNESTO</v>
          </cell>
          <cell r="C61" t="str">
            <v>CHOFER</v>
          </cell>
          <cell r="D61">
            <v>774.85</v>
          </cell>
          <cell r="F61"/>
        </row>
        <row r="62">
          <cell r="A62">
            <v>259</v>
          </cell>
          <cell r="B62" t="str">
            <v>VARELA SANDOVAL BRAIN ALEKSÁNDER</v>
          </cell>
          <cell r="C62" t="str">
            <v>AUXILIAR ADMTVO.</v>
          </cell>
          <cell r="D62"/>
          <cell r="F62"/>
        </row>
        <row r="63">
          <cell r="A63">
            <v>260</v>
          </cell>
          <cell r="B63" t="str">
            <v>PEÑA MURILLO XÓCHILT ESMERALDA</v>
          </cell>
          <cell r="C63" t="str">
            <v>ASEO</v>
          </cell>
          <cell r="D63">
            <v>428.64</v>
          </cell>
          <cell r="F63"/>
        </row>
        <row r="64">
          <cell r="A64">
            <v>501</v>
          </cell>
          <cell r="B64" t="str">
            <v>VAZQUEZ FLORES EVERARDO</v>
          </cell>
          <cell r="C64" t="str">
            <v>MAESTRO</v>
          </cell>
          <cell r="D64">
            <v>0</v>
          </cell>
          <cell r="F64"/>
        </row>
        <row r="65">
          <cell r="A65">
            <v>674</v>
          </cell>
          <cell r="B65" t="str">
            <v>CHAVEZ ALVAREZ JUAN PABLO</v>
          </cell>
          <cell r="C65" t="str">
            <v>S.INTTE.</v>
          </cell>
          <cell r="D65">
            <v>0</v>
          </cell>
          <cell r="F65">
            <v>0</v>
          </cell>
        </row>
        <row r="66">
          <cell r="A66">
            <v>706</v>
          </cell>
          <cell r="B66" t="str">
            <v>NAVARRO VEGA RICARDO</v>
          </cell>
          <cell r="C66" t="str">
            <v>AUX. DE RESIDENTE</v>
          </cell>
          <cell r="D66">
            <v>675</v>
          </cell>
          <cell r="F66"/>
        </row>
        <row r="67">
          <cell r="A67">
            <v>712</v>
          </cell>
          <cell r="B67" t="str">
            <v>PACHECO GRACIANO JOSE LUIS</v>
          </cell>
          <cell r="C67" t="str">
            <v>OF</v>
          </cell>
          <cell r="D67">
            <v>804.89</v>
          </cell>
          <cell r="F67"/>
        </row>
        <row r="68">
          <cell r="A68">
            <v>964</v>
          </cell>
          <cell r="B68" t="str">
            <v>GARCIA SANDOVAL ALBERTO</v>
          </cell>
          <cell r="C68" t="str">
            <v>OF</v>
          </cell>
          <cell r="D68">
            <v>804.89</v>
          </cell>
          <cell r="F68"/>
        </row>
        <row r="69">
          <cell r="A69">
            <v>998</v>
          </cell>
          <cell r="B69" t="str">
            <v>GARCIA RENTERIA RAUL</v>
          </cell>
          <cell r="C69" t="str">
            <v>OF</v>
          </cell>
          <cell r="D69">
            <v>638.79999999999995</v>
          </cell>
          <cell r="F69"/>
        </row>
        <row r="70">
          <cell r="A70">
            <v>999</v>
          </cell>
          <cell r="B70" t="str">
            <v>GARCIA RENTERIA ROBERTO</v>
          </cell>
          <cell r="C70" t="str">
            <v>OF</v>
          </cell>
          <cell r="D70">
            <v>638.79999999999995</v>
          </cell>
          <cell r="F70"/>
        </row>
        <row r="71">
          <cell r="A71">
            <v>1201</v>
          </cell>
          <cell r="B71" t="str">
            <v>FLORES OROPEZA ENRIQUE</v>
          </cell>
          <cell r="C71" t="str">
            <v>OF</v>
          </cell>
          <cell r="D71">
            <v>638.79999999999995</v>
          </cell>
          <cell r="F71"/>
        </row>
        <row r="72">
          <cell r="A72">
            <v>1345</v>
          </cell>
          <cell r="B72" t="str">
            <v>RIVERA CAMBEROS JOSE ISABEL</v>
          </cell>
          <cell r="C72" t="str">
            <v>OF</v>
          </cell>
          <cell r="D72">
            <v>690</v>
          </cell>
          <cell r="F72"/>
        </row>
        <row r="73">
          <cell r="A73">
            <v>1415</v>
          </cell>
          <cell r="B73" t="str">
            <v>FLORES OROPEZA ADÁN</v>
          </cell>
          <cell r="C73" t="str">
            <v>OF</v>
          </cell>
          <cell r="D73">
            <v>638.79999999999995</v>
          </cell>
          <cell r="F73"/>
        </row>
        <row r="74">
          <cell r="A74">
            <v>1499</v>
          </cell>
          <cell r="B74" t="str">
            <v>RODRÍGUEZ SÁNCHEZ FERNANDO</v>
          </cell>
          <cell r="C74" t="str">
            <v>OF</v>
          </cell>
          <cell r="D74">
            <v>638.79999999999995</v>
          </cell>
          <cell r="F74"/>
        </row>
        <row r="75">
          <cell r="A75">
            <v>1560</v>
          </cell>
          <cell r="B75" t="str">
            <v>RANGEL SEGURA JUAN RAMON</v>
          </cell>
          <cell r="C75" t="str">
            <v>MAESTRO</v>
          </cell>
          <cell r="D75">
            <v>915.14</v>
          </cell>
          <cell r="F75"/>
        </row>
        <row r="76">
          <cell r="A76">
            <v>1576</v>
          </cell>
          <cell r="B76" t="str">
            <v>ORTEGA PLATA JOSÉ JUVENAL</v>
          </cell>
          <cell r="C76" t="str">
            <v>PEON</v>
          </cell>
          <cell r="D76">
            <v>405</v>
          </cell>
          <cell r="F76"/>
        </row>
        <row r="77">
          <cell r="A77">
            <v>1587</v>
          </cell>
          <cell r="B77" t="str">
            <v>DE LOS SANTOS RENTERIA SERVANDO</v>
          </cell>
          <cell r="C77" t="str">
            <v>OF</v>
          </cell>
          <cell r="D77">
            <v>638.79999999999995</v>
          </cell>
          <cell r="F77"/>
        </row>
        <row r="78">
          <cell r="A78">
            <v>1626</v>
          </cell>
          <cell r="B78" t="str">
            <v>FLORES RENTERIA JORGE GERMAN</v>
          </cell>
          <cell r="C78" t="str">
            <v>OF</v>
          </cell>
          <cell r="D78">
            <v>638.79999999999995</v>
          </cell>
          <cell r="F78"/>
        </row>
        <row r="79">
          <cell r="A79">
            <v>1631</v>
          </cell>
          <cell r="B79" t="str">
            <v>NUÑEZ PALACIOS ARMANDO</v>
          </cell>
          <cell r="C79" t="str">
            <v>OF</v>
          </cell>
          <cell r="D79">
            <v>690</v>
          </cell>
          <cell r="F79"/>
        </row>
        <row r="80">
          <cell r="A80">
            <v>1688</v>
          </cell>
          <cell r="B80" t="str">
            <v>AGUILAR HERRERA OSCAR</v>
          </cell>
          <cell r="C80" t="str">
            <v>OF</v>
          </cell>
          <cell r="D80">
            <v>638.79999999999995</v>
          </cell>
          <cell r="E80"/>
          <cell r="F80"/>
        </row>
        <row r="81">
          <cell r="A81">
            <v>1689</v>
          </cell>
          <cell r="B81" t="str">
            <v>MARTÍNEZ LÓPEZ ANTONIO</v>
          </cell>
          <cell r="C81" t="str">
            <v>OF</v>
          </cell>
          <cell r="D81">
            <v>690</v>
          </cell>
          <cell r="F81"/>
        </row>
        <row r="82">
          <cell r="A82">
            <v>1847</v>
          </cell>
          <cell r="B82" t="str">
            <v>TORO RENTERÍA ALEJANDRO</v>
          </cell>
          <cell r="C82" t="str">
            <v>OF</v>
          </cell>
          <cell r="D82">
            <v>638.79999999999995</v>
          </cell>
          <cell r="F82"/>
        </row>
        <row r="83">
          <cell r="A83">
            <v>1897</v>
          </cell>
          <cell r="B83" t="str">
            <v>REYES PEREZ OSCAR</v>
          </cell>
          <cell r="C83" t="str">
            <v>OF</v>
          </cell>
          <cell r="D83">
            <v>690</v>
          </cell>
          <cell r="F83"/>
        </row>
        <row r="84">
          <cell r="A84">
            <v>1951</v>
          </cell>
          <cell r="B84" t="str">
            <v>ÁVALOS GIL IGNACIO</v>
          </cell>
          <cell r="C84" t="str">
            <v>OF</v>
          </cell>
          <cell r="D84">
            <v>690</v>
          </cell>
          <cell r="F84"/>
        </row>
        <row r="85">
          <cell r="A85">
            <v>1964</v>
          </cell>
          <cell r="B85" t="str">
            <v>LÓPEZ PACHECO JOSÉ MARTÍN</v>
          </cell>
          <cell r="C85" t="str">
            <v>PEON</v>
          </cell>
          <cell r="D85">
            <v>405</v>
          </cell>
          <cell r="F85"/>
        </row>
        <row r="86">
          <cell r="A86">
            <v>1990</v>
          </cell>
          <cell r="B86" t="str">
            <v>GUARDADO SÁNCHEZ MARTÍN</v>
          </cell>
          <cell r="C86" t="str">
            <v>PEON</v>
          </cell>
          <cell r="D86">
            <v>354.88</v>
          </cell>
          <cell r="F86"/>
        </row>
        <row r="87">
          <cell r="A87">
            <v>2022</v>
          </cell>
          <cell r="B87" t="str">
            <v>PEREZ CONTRERAS JESUS</v>
          </cell>
          <cell r="C87" t="str">
            <v>OF</v>
          </cell>
          <cell r="D87">
            <v>638.79999999999995</v>
          </cell>
          <cell r="F87"/>
        </row>
        <row r="88">
          <cell r="A88">
            <v>2045</v>
          </cell>
          <cell r="B88" t="str">
            <v>LOPEZ GALINDO JUAN FRANCISCO</v>
          </cell>
          <cell r="C88" t="str">
            <v>CHOFER</v>
          </cell>
          <cell r="D88">
            <v>695.95</v>
          </cell>
          <cell r="F88"/>
        </row>
        <row r="89">
          <cell r="A89">
            <v>2245</v>
          </cell>
          <cell r="B89" t="str">
            <v>VEGA ESPARZA SALVADOR</v>
          </cell>
          <cell r="C89" t="str">
            <v>OF</v>
          </cell>
          <cell r="D89">
            <v>690</v>
          </cell>
          <cell r="F89"/>
        </row>
        <row r="90">
          <cell r="A90">
            <v>2258</v>
          </cell>
          <cell r="B90" t="str">
            <v>FLORES RENTERIA JULIAN ALEJANDRO</v>
          </cell>
          <cell r="C90" t="str">
            <v>OF</v>
          </cell>
          <cell r="D90">
            <v>638.79999999999995</v>
          </cell>
          <cell r="F90"/>
        </row>
        <row r="91">
          <cell r="A91">
            <v>2282</v>
          </cell>
          <cell r="B91" t="str">
            <v>CANTOR GARCÍA ÁLVARO</v>
          </cell>
          <cell r="C91" t="str">
            <v>OF</v>
          </cell>
          <cell r="D91">
            <v>638.79999999999995</v>
          </cell>
          <cell r="F91"/>
        </row>
        <row r="92">
          <cell r="A92">
            <v>2299</v>
          </cell>
          <cell r="B92" t="str">
            <v>ENRIQUEZ AGUILAR SEBASTIAN</v>
          </cell>
          <cell r="C92" t="str">
            <v>OF</v>
          </cell>
          <cell r="D92">
            <v>638.79999999999995</v>
          </cell>
          <cell r="E92"/>
          <cell r="F92"/>
        </row>
        <row r="93">
          <cell r="A93">
            <v>2316</v>
          </cell>
          <cell r="B93" t="str">
            <v>ENRIQUEZ FLORES JUAN</v>
          </cell>
          <cell r="C93" t="str">
            <v>OF</v>
          </cell>
          <cell r="D93">
            <v>638.79999999999995</v>
          </cell>
          <cell r="F93"/>
        </row>
        <row r="94">
          <cell r="A94">
            <v>2343</v>
          </cell>
          <cell r="B94" t="str">
            <v>SÁNCHEZ ROJAS ARTURO</v>
          </cell>
          <cell r="C94" t="str">
            <v>OF</v>
          </cell>
          <cell r="D94">
            <v>638.79999999999995</v>
          </cell>
          <cell r="E94"/>
          <cell r="F94"/>
        </row>
        <row r="95">
          <cell r="A95">
            <v>2346</v>
          </cell>
          <cell r="B95" t="str">
            <v>PINTOR CALVARIO JUAN</v>
          </cell>
          <cell r="C95" t="str">
            <v>OF</v>
          </cell>
          <cell r="D95">
            <v>638.79999999999995</v>
          </cell>
        </row>
        <row r="96">
          <cell r="A96">
            <v>2407</v>
          </cell>
          <cell r="B96" t="str">
            <v>DE LOS SANTOS RENTERIA ISIDRO</v>
          </cell>
          <cell r="C96" t="str">
            <v>OF</v>
          </cell>
          <cell r="D96">
            <v>638.79999999999995</v>
          </cell>
          <cell r="F96"/>
        </row>
        <row r="97">
          <cell r="A97">
            <v>2441</v>
          </cell>
          <cell r="B97" t="str">
            <v>GARCIA VIDALES JOSE DE JESUS</v>
          </cell>
          <cell r="C97" t="str">
            <v>OF</v>
          </cell>
          <cell r="D97">
            <v>690</v>
          </cell>
          <cell r="F97"/>
        </row>
        <row r="98">
          <cell r="A98">
            <v>2446</v>
          </cell>
          <cell r="B98" t="str">
            <v>ENRIQUEZ XILONZOCHITL MIGUEL ANGEL</v>
          </cell>
          <cell r="C98" t="str">
            <v>OF</v>
          </cell>
          <cell r="D98">
            <v>638.79999999999995</v>
          </cell>
          <cell r="F98"/>
        </row>
        <row r="99">
          <cell r="A99">
            <v>2466</v>
          </cell>
          <cell r="B99" t="str">
            <v>HERRERA GARCIA JUAN FRANCISCO</v>
          </cell>
          <cell r="C99" t="str">
            <v>SOLD</v>
          </cell>
          <cell r="D99">
            <v>915.14</v>
          </cell>
          <cell r="F99"/>
        </row>
        <row r="100">
          <cell r="A100">
            <v>2473</v>
          </cell>
          <cell r="B100" t="str">
            <v>CERVANTES MONJARAS JOSE LUIS</v>
          </cell>
          <cell r="C100" t="str">
            <v>OF</v>
          </cell>
          <cell r="D100">
            <v>690</v>
          </cell>
          <cell r="F100"/>
        </row>
        <row r="101">
          <cell r="A101">
            <v>2506</v>
          </cell>
          <cell r="B101" t="str">
            <v>HERNANDEZ VILLANUEVA DARIO</v>
          </cell>
          <cell r="C101" t="str">
            <v>PEON</v>
          </cell>
          <cell r="D101">
            <v>641.85</v>
          </cell>
          <cell r="F101"/>
        </row>
        <row r="102">
          <cell r="A102">
            <v>2617</v>
          </cell>
          <cell r="B102" t="str">
            <v>JIMÉNEZ DIAZ JAVIER</v>
          </cell>
          <cell r="C102" t="str">
            <v>OF</v>
          </cell>
          <cell r="D102">
            <v>638.79999999999995</v>
          </cell>
          <cell r="F102"/>
        </row>
        <row r="103">
          <cell r="A103">
            <v>2630</v>
          </cell>
          <cell r="B103" t="str">
            <v>JIMÉNEZ CARRILLO JOSÉ LUIS</v>
          </cell>
          <cell r="C103" t="str">
            <v>OF</v>
          </cell>
          <cell r="D103">
            <v>638.79999999999995</v>
          </cell>
          <cell r="F103"/>
        </row>
        <row r="104">
          <cell r="A104">
            <v>2634</v>
          </cell>
          <cell r="B104" t="str">
            <v>OROPEZA RODRÍGUEZ LUIS EDUARDO</v>
          </cell>
          <cell r="C104" t="str">
            <v>OF</v>
          </cell>
          <cell r="D104">
            <v>690</v>
          </cell>
          <cell r="F104"/>
        </row>
        <row r="105">
          <cell r="A105">
            <v>2638</v>
          </cell>
          <cell r="B105" t="str">
            <v>JIMÉNEZ CARRILLO JAVIER</v>
          </cell>
          <cell r="C105" t="str">
            <v>OF</v>
          </cell>
          <cell r="D105">
            <v>638.79999999999995</v>
          </cell>
          <cell r="F105"/>
        </row>
        <row r="106">
          <cell r="A106">
            <v>2703</v>
          </cell>
          <cell r="B106" t="str">
            <v>MARTÍNEZ DUEÑAS FRANCISCO</v>
          </cell>
          <cell r="C106" t="str">
            <v>OF</v>
          </cell>
          <cell r="D106">
            <v>638.79999999999995</v>
          </cell>
          <cell r="F106"/>
        </row>
        <row r="107">
          <cell r="A107">
            <v>2733</v>
          </cell>
          <cell r="B107" t="str">
            <v>ZAVALA RUIZ BENITO</v>
          </cell>
          <cell r="C107" t="str">
            <v>OF</v>
          </cell>
          <cell r="D107">
            <v>638.79999999999995</v>
          </cell>
          <cell r="F107"/>
        </row>
        <row r="108">
          <cell r="A108">
            <v>2774</v>
          </cell>
          <cell r="B108" t="str">
            <v>MACÍAS TOVAR NOÉ</v>
          </cell>
          <cell r="C108" t="str">
            <v>OF</v>
          </cell>
          <cell r="D108">
            <v>638.79999999999995</v>
          </cell>
          <cell r="F108"/>
        </row>
        <row r="109">
          <cell r="A109">
            <v>2780</v>
          </cell>
          <cell r="B109" t="str">
            <v>ENCISO MARES LUIS ÁNGEL</v>
          </cell>
          <cell r="C109" t="str">
            <v>OF</v>
          </cell>
          <cell r="D109">
            <v>638.79999999999995</v>
          </cell>
          <cell r="F109"/>
        </row>
        <row r="110">
          <cell r="A110">
            <v>2798</v>
          </cell>
          <cell r="B110" t="str">
            <v>MARTINEZ DUEÑAS JUAN EDUARDO</v>
          </cell>
          <cell r="C110" t="str">
            <v>OF</v>
          </cell>
          <cell r="D110">
            <v>638.79999999999995</v>
          </cell>
          <cell r="F110"/>
        </row>
        <row r="111">
          <cell r="A111">
            <v>2835</v>
          </cell>
          <cell r="B111" t="str">
            <v>ENRIQUEZ XILONZOCHILT JUAN</v>
          </cell>
          <cell r="C111" t="str">
            <v>OF</v>
          </cell>
          <cell r="D111">
            <v>638.79999999999995</v>
          </cell>
          <cell r="F111"/>
        </row>
        <row r="112">
          <cell r="A112">
            <v>2862</v>
          </cell>
          <cell r="B112" t="str">
            <v>RODRIGUEZ CASTREJON FELIPE</v>
          </cell>
          <cell r="C112" t="str">
            <v>PEON</v>
          </cell>
          <cell r="D112">
            <v>425.64</v>
          </cell>
          <cell r="F112"/>
        </row>
        <row r="113">
          <cell r="A113">
            <v>2874</v>
          </cell>
          <cell r="B113" t="str">
            <v>JUÁREZ RODRÍGUEZ RAMIRO</v>
          </cell>
          <cell r="C113" t="str">
            <v>PEON</v>
          </cell>
          <cell r="D113">
            <v>474</v>
          </cell>
          <cell r="F113"/>
        </row>
        <row r="114">
          <cell r="A114">
            <v>2925</v>
          </cell>
          <cell r="B114" t="str">
            <v>CHAVEZ ALMADA DANIEL</v>
          </cell>
          <cell r="C114" t="str">
            <v>RESID</v>
          </cell>
          <cell r="D114">
            <v>789.06</v>
          </cell>
          <cell r="F114"/>
        </row>
        <row r="115">
          <cell r="A115">
            <v>2970</v>
          </cell>
          <cell r="B115" t="str">
            <v>CABRERA LEÓN EFRAÍN</v>
          </cell>
          <cell r="C115" t="str">
            <v>OF</v>
          </cell>
          <cell r="D115">
            <v>638.79999999999995</v>
          </cell>
          <cell r="F115"/>
        </row>
        <row r="116">
          <cell r="A116">
            <v>3052</v>
          </cell>
          <cell r="B116" t="str">
            <v>MEZA RODRIGUEZ ADÁN</v>
          </cell>
          <cell r="C116" t="str">
            <v>OF</v>
          </cell>
          <cell r="D116">
            <v>638.79999999999995</v>
          </cell>
          <cell r="F116"/>
        </row>
        <row r="117">
          <cell r="A117">
            <v>3066</v>
          </cell>
          <cell r="B117" t="str">
            <v>GARCÍA REYES ANDRÉS</v>
          </cell>
          <cell r="C117" t="str">
            <v>OF</v>
          </cell>
          <cell r="D117">
            <v>638.79999999999995</v>
          </cell>
          <cell r="F117"/>
        </row>
        <row r="118">
          <cell r="A118">
            <v>3091</v>
          </cell>
          <cell r="B118" t="str">
            <v>SÁNCHEZ LEÓN JOSÉ ANTONIO</v>
          </cell>
          <cell r="C118" t="str">
            <v>MAESTRO</v>
          </cell>
          <cell r="D118"/>
          <cell r="F118"/>
        </row>
        <row r="119">
          <cell r="A119">
            <v>3384</v>
          </cell>
          <cell r="B119" t="str">
            <v>VILLALPANDO HIDALGO JESÚS</v>
          </cell>
          <cell r="C119" t="str">
            <v>OF</v>
          </cell>
          <cell r="D119">
            <v>638.79999999999995</v>
          </cell>
          <cell r="F119"/>
        </row>
        <row r="120">
          <cell r="A120">
            <v>3405</v>
          </cell>
          <cell r="B120" t="str">
            <v>BIZARRO GARCIA MARCO ANTONIO</v>
          </cell>
          <cell r="C120" t="str">
            <v>OF</v>
          </cell>
          <cell r="D120">
            <v>638.79999999999995</v>
          </cell>
          <cell r="F120"/>
        </row>
        <row r="121">
          <cell r="A121">
            <v>3412</v>
          </cell>
          <cell r="B121" t="str">
            <v>PLASCENCIA HARO JOSE LUIS</v>
          </cell>
          <cell r="C121" t="str">
            <v>OF</v>
          </cell>
          <cell r="D121">
            <v>690</v>
          </cell>
          <cell r="F121"/>
        </row>
        <row r="122">
          <cell r="A122">
            <v>3470</v>
          </cell>
          <cell r="B122" t="str">
            <v>ZAMORA CALDERÓN ALEJANDRO</v>
          </cell>
          <cell r="C122" t="str">
            <v>OF</v>
          </cell>
          <cell r="D122">
            <v>638.79999999999995</v>
          </cell>
          <cell r="F122"/>
        </row>
        <row r="123">
          <cell r="A123">
            <v>3482</v>
          </cell>
          <cell r="B123" t="str">
            <v>HERNÁNDEZ CASTELLÓN BERNARDO</v>
          </cell>
          <cell r="C123" t="str">
            <v>OF</v>
          </cell>
          <cell r="D123">
            <v>638.79999999999995</v>
          </cell>
          <cell r="F123"/>
        </row>
        <row r="124">
          <cell r="A124">
            <v>3512</v>
          </cell>
          <cell r="B124" t="str">
            <v>GARCIA BRAVO JESUS</v>
          </cell>
          <cell r="C124" t="str">
            <v>OF</v>
          </cell>
          <cell r="D124">
            <v>638.79999999999995</v>
          </cell>
          <cell r="F124"/>
        </row>
        <row r="125">
          <cell r="A125">
            <v>3569</v>
          </cell>
          <cell r="B125" t="str">
            <v>ENRIQUEZ DOMINGUEZ MOISES</v>
          </cell>
          <cell r="C125" t="str">
            <v>OF</v>
          </cell>
          <cell r="D125">
            <v>638.79999999999995</v>
          </cell>
          <cell r="F125"/>
        </row>
        <row r="126">
          <cell r="A126">
            <v>3596</v>
          </cell>
          <cell r="B126" t="str">
            <v>LÓPEZ MARTÍNEZ FRANCISCO JAVIER</v>
          </cell>
          <cell r="C126" t="str">
            <v>OF</v>
          </cell>
          <cell r="D126">
            <v>638.79999999999995</v>
          </cell>
          <cell r="F126"/>
        </row>
        <row r="127">
          <cell r="A127">
            <v>3608</v>
          </cell>
          <cell r="B127" t="str">
            <v>LOZANO URISTA BRUNO</v>
          </cell>
          <cell r="C127" t="str">
            <v>PEON</v>
          </cell>
          <cell r="D127">
            <v>509.05</v>
          </cell>
          <cell r="F127"/>
        </row>
        <row r="128">
          <cell r="A128">
            <v>3610</v>
          </cell>
          <cell r="B128" t="str">
            <v>HERNANDEZ LAUREANO MIGUEL ARMANDO</v>
          </cell>
          <cell r="C128" t="str">
            <v>VELADOR</v>
          </cell>
          <cell r="D128">
            <v>756.65</v>
          </cell>
          <cell r="F128"/>
        </row>
        <row r="129">
          <cell r="A129">
            <v>3612</v>
          </cell>
          <cell r="B129" t="str">
            <v>ORTEGA HERNÁNDEZ JOSÉ ALBERTO</v>
          </cell>
          <cell r="C129" t="str">
            <v>OF</v>
          </cell>
          <cell r="D129">
            <v>690</v>
          </cell>
          <cell r="F129"/>
        </row>
        <row r="130">
          <cell r="A130">
            <v>3627</v>
          </cell>
          <cell r="B130" t="str">
            <v>LUÉVANO ORTIZ JESÚS EDUARDO</v>
          </cell>
          <cell r="C130" t="str">
            <v>PEON</v>
          </cell>
          <cell r="D130">
            <v>354.88</v>
          </cell>
          <cell r="F130"/>
        </row>
        <row r="131">
          <cell r="A131">
            <v>3630</v>
          </cell>
          <cell r="B131" t="str">
            <v>LUÉVANOS ORTIZ JOSÉ JAVIER</v>
          </cell>
          <cell r="C131" t="str">
            <v>PEON</v>
          </cell>
          <cell r="D131">
            <v>405</v>
          </cell>
          <cell r="F131"/>
        </row>
        <row r="132">
          <cell r="A132">
            <v>3704</v>
          </cell>
          <cell r="B132" t="str">
            <v>HERNÁNDEZ RAMOS CECILIO GERARDO</v>
          </cell>
          <cell r="C132" t="str">
            <v>OF</v>
          </cell>
          <cell r="D132">
            <v>638.79999999999995</v>
          </cell>
          <cell r="F132"/>
        </row>
        <row r="133">
          <cell r="A133">
            <v>3725</v>
          </cell>
          <cell r="B133" t="str">
            <v>ARROYO SANCHEZ JOSE CARLOS</v>
          </cell>
          <cell r="C133" t="str">
            <v>OF</v>
          </cell>
          <cell r="D133">
            <v>638.79999999999995</v>
          </cell>
          <cell r="F133"/>
        </row>
        <row r="134">
          <cell r="A134">
            <v>3753</v>
          </cell>
          <cell r="B134" t="str">
            <v>TOSCANO LOPEZ SERGIO</v>
          </cell>
          <cell r="C134" t="str">
            <v>PEON</v>
          </cell>
          <cell r="D134">
            <v>402.57</v>
          </cell>
          <cell r="E134"/>
          <cell r="F134"/>
        </row>
        <row r="135">
          <cell r="A135">
            <v>3759</v>
          </cell>
          <cell r="B135" t="str">
            <v>RUVALCABA VERGARA JOSÉ LUIS</v>
          </cell>
          <cell r="C135" t="str">
            <v>OF</v>
          </cell>
          <cell r="D135">
            <v>516.89</v>
          </cell>
          <cell r="E135"/>
          <cell r="F135"/>
        </row>
        <row r="136">
          <cell r="A136">
            <v>3792</v>
          </cell>
          <cell r="B136" t="str">
            <v>RAMOS ALVARADO JOSÉ DE JESÚS</v>
          </cell>
          <cell r="C136" t="str">
            <v>PEON</v>
          </cell>
          <cell r="D136">
            <v>402.57</v>
          </cell>
          <cell r="E136"/>
          <cell r="F136"/>
        </row>
        <row r="137">
          <cell r="A137">
            <v>3799</v>
          </cell>
          <cell r="B137" t="str">
            <v>VÁZQUEZ HERNÁNDEZ JORGE</v>
          </cell>
          <cell r="C137" t="str">
            <v>OF</v>
          </cell>
          <cell r="D137">
            <v>690</v>
          </cell>
          <cell r="E137"/>
          <cell r="F137"/>
        </row>
        <row r="138">
          <cell r="A138">
            <v>3870</v>
          </cell>
          <cell r="B138" t="str">
            <v>NAJAR TORRES JUAN MANUEL</v>
          </cell>
          <cell r="C138" t="str">
            <v>PEON</v>
          </cell>
          <cell r="D138">
            <v>509.05</v>
          </cell>
          <cell r="E138"/>
          <cell r="F138"/>
        </row>
        <row r="139">
          <cell r="A139">
            <v>3879</v>
          </cell>
          <cell r="B139" t="str">
            <v>SOTO SOTO ROGELIO</v>
          </cell>
          <cell r="C139" t="str">
            <v>PEON</v>
          </cell>
          <cell r="D139">
            <v>405</v>
          </cell>
          <cell r="E139"/>
          <cell r="F139"/>
        </row>
        <row r="140">
          <cell r="A140">
            <v>3883</v>
          </cell>
          <cell r="B140" t="str">
            <v>RAMIREZ RUBIO CARLOS</v>
          </cell>
          <cell r="C140" t="str">
            <v>PEON</v>
          </cell>
          <cell r="D140">
            <v>509.05</v>
          </cell>
          <cell r="F140"/>
        </row>
        <row r="141">
          <cell r="A141">
            <v>3892</v>
          </cell>
          <cell r="B141" t="str">
            <v>MEDELLÍN LÓPEZ FÉLIX ALEJANDRO</v>
          </cell>
          <cell r="C141" t="str">
            <v>OF</v>
          </cell>
          <cell r="D141">
            <v>638.79999999999995</v>
          </cell>
          <cell r="F141"/>
        </row>
        <row r="142">
          <cell r="A142">
            <v>3914</v>
          </cell>
          <cell r="B142" t="str">
            <v>BIZARRO MACÍAS PEDRO</v>
          </cell>
          <cell r="C142" t="str">
            <v>OF</v>
          </cell>
          <cell r="D142">
            <v>638.79999999999995</v>
          </cell>
          <cell r="E142"/>
          <cell r="F142"/>
        </row>
        <row r="143">
          <cell r="A143">
            <v>3918</v>
          </cell>
          <cell r="B143" t="str">
            <v>PÉREZ MENDOZA JOSÉ FLORENTINO</v>
          </cell>
          <cell r="C143" t="str">
            <v>OF</v>
          </cell>
          <cell r="D143">
            <v>638.79999999999995</v>
          </cell>
          <cell r="E143"/>
          <cell r="F143"/>
        </row>
        <row r="144">
          <cell r="A144">
            <v>3919</v>
          </cell>
          <cell r="B144" t="str">
            <v>HERNÁNDEZ LÓPEZ VALENTÍN</v>
          </cell>
          <cell r="C144" t="str">
            <v>PEON</v>
          </cell>
          <cell r="D144">
            <v>354.88</v>
          </cell>
          <cell r="E144"/>
          <cell r="F144"/>
        </row>
        <row r="145">
          <cell r="A145">
            <v>3920</v>
          </cell>
          <cell r="B145" t="str">
            <v>BIZARRO XILONZOCHITL MISAEL</v>
          </cell>
          <cell r="C145" t="str">
            <v>OF</v>
          </cell>
          <cell r="D145">
            <v>638.79999999999995</v>
          </cell>
          <cell r="E145"/>
          <cell r="F145"/>
        </row>
        <row r="146">
          <cell r="A146">
            <v>3926</v>
          </cell>
          <cell r="B146" t="str">
            <v>ESCOTO MENDOZA JOSÉ EDUARDO</v>
          </cell>
          <cell r="C146" t="str">
            <v>OF</v>
          </cell>
          <cell r="D146">
            <v>638.79999999999995</v>
          </cell>
          <cell r="E146"/>
          <cell r="F146"/>
        </row>
        <row r="147">
          <cell r="A147">
            <v>3930</v>
          </cell>
          <cell r="B147" t="str">
            <v>ENRÍQUEZ CAMARENA GREGORIO</v>
          </cell>
          <cell r="C147" t="str">
            <v>OF</v>
          </cell>
          <cell r="D147">
            <v>638.79999999999995</v>
          </cell>
          <cell r="E147"/>
          <cell r="F147"/>
        </row>
        <row r="148">
          <cell r="A148">
            <v>3934</v>
          </cell>
          <cell r="B148" t="str">
            <v>SANCHEZ DIAZ DANIEL</v>
          </cell>
          <cell r="C148" t="str">
            <v>OF</v>
          </cell>
          <cell r="D148">
            <v>638.79999999999995</v>
          </cell>
        </row>
        <row r="149">
          <cell r="A149">
            <v>3950</v>
          </cell>
          <cell r="B149" t="str">
            <v>HERNÁNDEZ HERNÁNDEZ RICARDO</v>
          </cell>
          <cell r="C149" t="str">
            <v>OF</v>
          </cell>
          <cell r="D149">
            <v>638.79999999999995</v>
          </cell>
        </row>
        <row r="150">
          <cell r="A150">
            <v>3951</v>
          </cell>
          <cell r="B150" t="str">
            <v>AGUILAR ENRRIQUEZ LUIS FELIPE</v>
          </cell>
          <cell r="C150" t="str">
            <v>OF</v>
          </cell>
          <cell r="D150">
            <v>638.79999999999995</v>
          </cell>
        </row>
        <row r="151">
          <cell r="A151">
            <v>3965</v>
          </cell>
          <cell r="B151" t="str">
            <v>BAÑUELOS MEJIA ALFREDO</v>
          </cell>
          <cell r="C151" t="str">
            <v>OF</v>
          </cell>
          <cell r="D151">
            <v>638.79999999999995</v>
          </cell>
        </row>
        <row r="152">
          <cell r="A152">
            <v>3993</v>
          </cell>
          <cell r="B152" t="str">
            <v>JIMENEZ FLORES ANTONIO RAFAEL</v>
          </cell>
          <cell r="C152" t="str">
            <v>OF</v>
          </cell>
          <cell r="D152">
            <v>638.79999999999995</v>
          </cell>
        </row>
        <row r="153">
          <cell r="A153">
            <v>3998</v>
          </cell>
          <cell r="B153" t="str">
            <v>MELENDEZ JIMENEZ FAUSTINO</v>
          </cell>
          <cell r="C153" t="str">
            <v>OF</v>
          </cell>
          <cell r="D153">
            <v>690</v>
          </cell>
        </row>
        <row r="154">
          <cell r="A154">
            <v>4005</v>
          </cell>
          <cell r="B154" t="str">
            <v>XILONZOCHITL OCAMPO FORTUNATO</v>
          </cell>
          <cell r="C154" t="str">
            <v>OF</v>
          </cell>
          <cell r="D154">
            <v>638.79999999999995</v>
          </cell>
        </row>
        <row r="155">
          <cell r="A155">
            <v>4044</v>
          </cell>
          <cell r="B155" t="str">
            <v>FLORES RODRIGUEZ JESUS</v>
          </cell>
          <cell r="C155" t="str">
            <v>VELADOR</v>
          </cell>
          <cell r="D155">
            <v>405.58</v>
          </cell>
        </row>
        <row r="156">
          <cell r="A156">
            <v>4057</v>
          </cell>
          <cell r="B156" t="str">
            <v>VALENTIN HERRERA MIGUEL ANGEL</v>
          </cell>
          <cell r="C156" t="str">
            <v>OF</v>
          </cell>
          <cell r="D156">
            <v>638.79999999999995</v>
          </cell>
        </row>
        <row r="157">
          <cell r="A157">
            <v>4072</v>
          </cell>
          <cell r="B157" t="str">
            <v>OROZCO FLORES RODOLFO MAXIMILIANO</v>
          </cell>
          <cell r="C157" t="str">
            <v>OF</v>
          </cell>
          <cell r="D157">
            <v>638.79999999999995</v>
          </cell>
        </row>
        <row r="158">
          <cell r="A158">
            <v>4105</v>
          </cell>
          <cell r="B158" t="str">
            <v>MEDINA MARTÍNEZ JESÚS</v>
          </cell>
          <cell r="C158" t="str">
            <v>PEON</v>
          </cell>
          <cell r="D158">
            <v>402.57</v>
          </cell>
        </row>
        <row r="159">
          <cell r="A159">
            <v>4120</v>
          </cell>
          <cell r="B159" t="str">
            <v>GAVILAN MACIAS JOAQUIN</v>
          </cell>
          <cell r="C159" t="str">
            <v>PINTOR</v>
          </cell>
          <cell r="D159">
            <v>638.79999999999995</v>
          </cell>
        </row>
        <row r="160">
          <cell r="A160">
            <v>4121</v>
          </cell>
          <cell r="B160" t="str">
            <v>GARCIA CRUZ JOSE RAMON</v>
          </cell>
          <cell r="C160" t="str">
            <v>OF</v>
          </cell>
          <cell r="D160">
            <v>638.79999999999995</v>
          </cell>
        </row>
        <row r="161">
          <cell r="A161">
            <v>4144</v>
          </cell>
          <cell r="B161" t="str">
            <v>MARTÍNEZ DUEÑAS RIGOBERTO</v>
          </cell>
          <cell r="C161" t="str">
            <v>OF</v>
          </cell>
          <cell r="D161">
            <v>638.79999999999995</v>
          </cell>
        </row>
        <row r="162">
          <cell r="A162">
            <v>4150</v>
          </cell>
          <cell r="B162" t="str">
            <v>CORDOVA CRUZ JUAN CARLOS</v>
          </cell>
          <cell r="C162" t="str">
            <v>JARD</v>
          </cell>
          <cell r="D162">
            <v>705.33</v>
          </cell>
        </row>
        <row r="163">
          <cell r="A163">
            <v>4176</v>
          </cell>
          <cell r="B163" t="str">
            <v>GARCÍA CÓRDOVA JUAN CARLOS</v>
          </cell>
          <cell r="C163" t="str">
            <v>OF</v>
          </cell>
          <cell r="D163">
            <v>638.79999999999995</v>
          </cell>
        </row>
        <row r="164">
          <cell r="A164">
            <v>4184</v>
          </cell>
          <cell r="B164" t="str">
            <v>JIMÉNEZ GONZÁLEZ JUAN FRANCISCO</v>
          </cell>
          <cell r="C164" t="str">
            <v>PEON</v>
          </cell>
          <cell r="D164">
            <v>354.88</v>
          </cell>
        </row>
        <row r="165">
          <cell r="A165">
            <v>4186</v>
          </cell>
          <cell r="B165" t="str">
            <v>DURÁN GONZÁLEZ ELÍAS GUADALUPE</v>
          </cell>
          <cell r="C165" t="str">
            <v>OF</v>
          </cell>
          <cell r="D165">
            <v>638.79999999999995</v>
          </cell>
        </row>
        <row r="166">
          <cell r="A166">
            <v>4201</v>
          </cell>
          <cell r="B166" t="str">
            <v>SALAZAR RAMOS SERGIO</v>
          </cell>
          <cell r="C166" t="str">
            <v>PEON</v>
          </cell>
          <cell r="D166">
            <v>405</v>
          </cell>
        </row>
        <row r="167">
          <cell r="A167">
            <v>4209</v>
          </cell>
          <cell r="B167" t="str">
            <v>TORRES CASILLAS LEOBARDO</v>
          </cell>
          <cell r="C167" t="str">
            <v>PINTOR</v>
          </cell>
          <cell r="D167">
            <v>638.79999999999995</v>
          </cell>
        </row>
        <row r="168">
          <cell r="A168">
            <v>4220</v>
          </cell>
          <cell r="B168" t="str">
            <v>CORTES CAMPOS ROBERTO</v>
          </cell>
          <cell r="C168" t="str">
            <v>OF</v>
          </cell>
          <cell r="D168">
            <v>638.79999999999995</v>
          </cell>
        </row>
        <row r="169">
          <cell r="A169">
            <v>4222</v>
          </cell>
          <cell r="B169" t="str">
            <v>SOLANO GONZALEZ JUAN MANUEL</v>
          </cell>
          <cell r="C169" t="str">
            <v>JARD</v>
          </cell>
          <cell r="D169">
            <v>705.33</v>
          </cell>
        </row>
        <row r="170">
          <cell r="A170">
            <v>4223</v>
          </cell>
          <cell r="B170" t="str">
            <v>MACÍAS GONZÁLEZ JOSÉ JUAN</v>
          </cell>
          <cell r="C170" t="str">
            <v>OF</v>
          </cell>
          <cell r="D170">
            <v>638.79999999999995</v>
          </cell>
        </row>
        <row r="171">
          <cell r="A171">
            <v>4231</v>
          </cell>
          <cell r="B171" t="str">
            <v>HERRERA ORTEGA RAYMUNDO SEBASTIAN</v>
          </cell>
          <cell r="C171" t="str">
            <v>SOLD</v>
          </cell>
          <cell r="D171">
            <v>690</v>
          </cell>
        </row>
        <row r="172">
          <cell r="A172">
            <v>4251</v>
          </cell>
          <cell r="B172" t="str">
            <v>GARCÍA REYES ARMANDO</v>
          </cell>
          <cell r="C172" t="str">
            <v>OF</v>
          </cell>
          <cell r="D172">
            <v>638.79999999999995</v>
          </cell>
        </row>
        <row r="173">
          <cell r="A173">
            <v>4252</v>
          </cell>
          <cell r="B173" t="str">
            <v>ARANDA OROZCO FIDEL</v>
          </cell>
          <cell r="C173" t="str">
            <v>PEON</v>
          </cell>
          <cell r="D173">
            <v>509.05</v>
          </cell>
          <cell r="E173"/>
          <cell r="F173"/>
        </row>
        <row r="174">
          <cell r="A174">
            <v>4254</v>
          </cell>
          <cell r="B174" t="str">
            <v>ARANDA OROZCO GABRIEL</v>
          </cell>
          <cell r="C174" t="str">
            <v>PEON</v>
          </cell>
          <cell r="D174">
            <v>509.05</v>
          </cell>
        </row>
        <row r="175">
          <cell r="A175">
            <v>4256</v>
          </cell>
          <cell r="B175" t="str">
            <v>VÁZQUEZ HERNÁNDEZ GILBERTO</v>
          </cell>
          <cell r="C175" t="str">
            <v>OF</v>
          </cell>
          <cell r="D175">
            <v>638.79999999999995</v>
          </cell>
          <cell r="E175"/>
          <cell r="F175"/>
        </row>
        <row r="176">
          <cell r="A176">
            <v>4263</v>
          </cell>
          <cell r="B176" t="str">
            <v>DAMIAN MARTINEZ GERARDO</v>
          </cell>
          <cell r="C176" t="str">
            <v>PEON</v>
          </cell>
          <cell r="D176">
            <v>509.05</v>
          </cell>
        </row>
        <row r="177">
          <cell r="A177">
            <v>4264</v>
          </cell>
          <cell r="B177" t="str">
            <v>GONZÁLEZ CAMPOS FELIPE</v>
          </cell>
          <cell r="C177" t="str">
            <v>PEON</v>
          </cell>
          <cell r="D177">
            <v>354.88</v>
          </cell>
        </row>
        <row r="178">
          <cell r="A178">
            <v>4268</v>
          </cell>
          <cell r="B178" t="str">
            <v>NAVARRO ACOSTA ALEJANDRO</v>
          </cell>
          <cell r="C178" t="str">
            <v>PEON</v>
          </cell>
          <cell r="D178">
            <v>509.05</v>
          </cell>
          <cell r="E178"/>
          <cell r="F178"/>
        </row>
        <row r="179">
          <cell r="A179">
            <v>4281</v>
          </cell>
          <cell r="B179" t="str">
            <v>BRISEÑO PINTOR SALVADOR</v>
          </cell>
          <cell r="C179" t="str">
            <v>PEON</v>
          </cell>
          <cell r="D179">
            <v>354.88</v>
          </cell>
        </row>
        <row r="180">
          <cell r="A180">
            <v>4282</v>
          </cell>
          <cell r="B180" t="str">
            <v>DE LA TORRE BRISEÑO OSCAR</v>
          </cell>
          <cell r="C180" t="str">
            <v>OF</v>
          </cell>
          <cell r="D180">
            <v>638.79999999999995</v>
          </cell>
        </row>
        <row r="181">
          <cell r="A181">
            <v>4285</v>
          </cell>
          <cell r="B181" t="str">
            <v>XILONZOCHILT OCAMPO GENARO</v>
          </cell>
          <cell r="C181" t="str">
            <v>OF</v>
          </cell>
          <cell r="D181">
            <v>638.79999999999995</v>
          </cell>
        </row>
        <row r="182">
          <cell r="A182">
            <v>4286</v>
          </cell>
          <cell r="B182" t="str">
            <v>XILONZOCHITL SALDAÑA ALBERTO DIONICIO</v>
          </cell>
          <cell r="C182" t="str">
            <v>PEON</v>
          </cell>
          <cell r="D182">
            <v>354.88</v>
          </cell>
        </row>
        <row r="183">
          <cell r="A183">
            <v>4287</v>
          </cell>
          <cell r="B183" t="str">
            <v>XILONZOCHITL SALDAÑA JOSÉ LUIS</v>
          </cell>
          <cell r="C183" t="str">
            <v>OF</v>
          </cell>
          <cell r="D183">
            <v>638.79999999999995</v>
          </cell>
        </row>
        <row r="184">
          <cell r="A184">
            <v>4296</v>
          </cell>
          <cell r="B184" t="str">
            <v>SALAS PALAFOX ÓSCAR OMAR</v>
          </cell>
          <cell r="C184" t="str">
            <v>OF</v>
          </cell>
          <cell r="D184">
            <v>638.79999999999995</v>
          </cell>
        </row>
        <row r="185">
          <cell r="A185">
            <v>4298</v>
          </cell>
          <cell r="B185" t="str">
            <v>SEGURA DIAZ JAVIER</v>
          </cell>
          <cell r="C185" t="str">
            <v>PEON</v>
          </cell>
          <cell r="D185">
            <v>405</v>
          </cell>
        </row>
        <row r="186">
          <cell r="A186">
            <v>4302</v>
          </cell>
          <cell r="B186" t="str">
            <v>GARCIA CRUZ FLAVIO CESAR</v>
          </cell>
          <cell r="C186" t="str">
            <v>PEON</v>
          </cell>
          <cell r="D186">
            <v>354.88</v>
          </cell>
        </row>
        <row r="187">
          <cell r="A187">
            <v>4303</v>
          </cell>
          <cell r="B187" t="str">
            <v>VALENTÍN OLIVO DAVID</v>
          </cell>
          <cell r="C187" t="str">
            <v>OF</v>
          </cell>
          <cell r="D187">
            <v>638.79999999999995</v>
          </cell>
        </row>
        <row r="188">
          <cell r="A188">
            <v>4310</v>
          </cell>
          <cell r="B188" t="str">
            <v>ENRÍQUEZ XILONZÓCHITL JUAN CARLOS</v>
          </cell>
          <cell r="C188" t="str">
            <v>OF</v>
          </cell>
          <cell r="D188">
            <v>638.79999999999995</v>
          </cell>
        </row>
        <row r="189">
          <cell r="A189">
            <v>4319</v>
          </cell>
          <cell r="B189" t="str">
            <v>CRUZ CABRERA SERGIO</v>
          </cell>
          <cell r="C189" t="str">
            <v>PEON</v>
          </cell>
          <cell r="D189">
            <v>354.88</v>
          </cell>
        </row>
        <row r="190">
          <cell r="A190">
            <v>4325</v>
          </cell>
          <cell r="B190" t="str">
            <v>AVALOS PICAZO EDGAR ISAAC</v>
          </cell>
          <cell r="C190" t="str">
            <v>PEON</v>
          </cell>
          <cell r="D190">
            <v>354.88</v>
          </cell>
        </row>
        <row r="191">
          <cell r="A191">
            <v>4329</v>
          </cell>
          <cell r="B191" t="str">
            <v>CAMPOS NARVAEZ JUAN PABLO</v>
          </cell>
          <cell r="C191" t="str">
            <v>OF</v>
          </cell>
          <cell r="D191">
            <v>638.79999999999995</v>
          </cell>
        </row>
        <row r="192">
          <cell r="A192">
            <v>4332</v>
          </cell>
          <cell r="B192" t="str">
            <v>HERNANDEZ REYES PEDRO</v>
          </cell>
          <cell r="C192" t="str">
            <v>PEON</v>
          </cell>
          <cell r="D192">
            <v>354.88</v>
          </cell>
        </row>
        <row r="193">
          <cell r="A193">
            <v>4343</v>
          </cell>
          <cell r="B193" t="str">
            <v>BIZARRO MACÍAS LUCIO</v>
          </cell>
          <cell r="C193" t="str">
            <v>OF</v>
          </cell>
          <cell r="D193">
            <v>638.79999999999995</v>
          </cell>
        </row>
        <row r="194">
          <cell r="A194">
            <v>4362</v>
          </cell>
          <cell r="B194" t="str">
            <v>DE LA TORRE BRISEÑO RICARDO</v>
          </cell>
          <cell r="C194" t="str">
            <v>OF</v>
          </cell>
          <cell r="D194">
            <v>638.79999999999995</v>
          </cell>
        </row>
        <row r="195">
          <cell r="A195">
            <v>4363</v>
          </cell>
          <cell r="B195" t="str">
            <v>HUERTA PARADA CHRISTIAN FABIÁN</v>
          </cell>
          <cell r="C195" t="str">
            <v>PEON</v>
          </cell>
          <cell r="D195">
            <v>354.88</v>
          </cell>
        </row>
        <row r="196">
          <cell r="A196">
            <v>4365</v>
          </cell>
          <cell r="B196" t="str">
            <v>RAMÍREZ ROSALES FEDÉRICO</v>
          </cell>
          <cell r="C196" t="str">
            <v>PEON</v>
          </cell>
          <cell r="D196">
            <v>509.05</v>
          </cell>
        </row>
        <row r="197">
          <cell r="A197">
            <v>4368</v>
          </cell>
          <cell r="B197" t="str">
            <v>MORA MACIAS OCTAVIANO</v>
          </cell>
          <cell r="C197" t="str">
            <v>OF</v>
          </cell>
          <cell r="D197">
            <v>638.79999999999995</v>
          </cell>
        </row>
        <row r="198">
          <cell r="A198">
            <v>4369</v>
          </cell>
          <cell r="B198" t="str">
            <v>MORA JIMENEZ ELI EMMANUEL</v>
          </cell>
          <cell r="C198" t="str">
            <v>OF</v>
          </cell>
          <cell r="D198">
            <v>638.79999999999995</v>
          </cell>
        </row>
        <row r="199">
          <cell r="A199">
            <v>4370</v>
          </cell>
          <cell r="B199" t="str">
            <v>CHÁVEZ SÁNCHEZ DIEGO ARMANDO</v>
          </cell>
          <cell r="C199" t="str">
            <v>PEON</v>
          </cell>
          <cell r="D199">
            <v>354.88</v>
          </cell>
        </row>
        <row r="200">
          <cell r="A200">
            <v>4377</v>
          </cell>
          <cell r="B200" t="str">
            <v>RODRIGUEZ PADILLA JUAN LUIS</v>
          </cell>
          <cell r="C200" t="str">
            <v>PEON</v>
          </cell>
          <cell r="D200">
            <v>354.88</v>
          </cell>
        </row>
        <row r="201">
          <cell r="A201">
            <v>4378</v>
          </cell>
          <cell r="B201" t="str">
            <v>MEZA RODRÍGUEZ DAVID ALEJANDRO</v>
          </cell>
          <cell r="C201" t="str">
            <v>OF</v>
          </cell>
          <cell r="D201">
            <v>638.79999999999995</v>
          </cell>
        </row>
        <row r="202">
          <cell r="A202">
            <v>4380</v>
          </cell>
          <cell r="B202" t="str">
            <v>DURAN GONZALEZ JUAN ALONSO</v>
          </cell>
          <cell r="C202" t="str">
            <v>OF</v>
          </cell>
          <cell r="D202">
            <v>638.79999999999995</v>
          </cell>
        </row>
        <row r="203">
          <cell r="A203">
            <v>4382</v>
          </cell>
          <cell r="B203" t="str">
            <v>MORA GARCÍA RAFAEL</v>
          </cell>
          <cell r="C203" t="str">
            <v>OF</v>
          </cell>
          <cell r="D203">
            <v>638.79999999999995</v>
          </cell>
        </row>
        <row r="204">
          <cell r="A204">
            <v>4416</v>
          </cell>
          <cell r="B204" t="str">
            <v>SAUCEDO GARCIA JUAN FELIPE</v>
          </cell>
          <cell r="C204" t="str">
            <v>PEON</v>
          </cell>
          <cell r="D204">
            <v>354.88</v>
          </cell>
        </row>
        <row r="205">
          <cell r="A205">
            <v>4423</v>
          </cell>
          <cell r="B205" t="str">
            <v>ARREGUIN ATILANO ANDRES</v>
          </cell>
          <cell r="C205" t="str">
            <v>PEON</v>
          </cell>
          <cell r="D205">
            <v>509.05</v>
          </cell>
        </row>
        <row r="206">
          <cell r="A206">
            <v>4435</v>
          </cell>
          <cell r="B206" t="str">
            <v>VIRGEN CONTRERAS FRANCISCO</v>
          </cell>
          <cell r="C206" t="str">
            <v>PEON</v>
          </cell>
          <cell r="D206">
            <v>402.57</v>
          </cell>
        </row>
        <row r="207">
          <cell r="A207">
            <v>4439</v>
          </cell>
          <cell r="B207" t="str">
            <v>CORDOVA CRUZ HUGO</v>
          </cell>
          <cell r="C207" t="str">
            <v>PEON</v>
          </cell>
          <cell r="D207">
            <v>354.88</v>
          </cell>
        </row>
        <row r="208">
          <cell r="A208">
            <v>4442</v>
          </cell>
          <cell r="B208" t="str">
            <v>CERVANTES BENITES ANGEL OMAR</v>
          </cell>
          <cell r="C208" t="str">
            <v>OF</v>
          </cell>
          <cell r="D208">
            <v>638.79999999999995</v>
          </cell>
        </row>
        <row r="209">
          <cell r="A209">
            <v>4443</v>
          </cell>
          <cell r="B209" t="str">
            <v>ROQUE PINEDA OMAR ABDIAS</v>
          </cell>
          <cell r="C209" t="str">
            <v>PINTOR</v>
          </cell>
          <cell r="D209">
            <v>690</v>
          </cell>
        </row>
        <row r="210">
          <cell r="A210">
            <v>4444</v>
          </cell>
          <cell r="B210" t="str">
            <v>HERNÁNDEZ GARCÍA CARLOS RAMÓN</v>
          </cell>
          <cell r="C210" t="str">
            <v>OF</v>
          </cell>
          <cell r="D210">
            <v>638.79999999999995</v>
          </cell>
        </row>
        <row r="211">
          <cell r="A211">
            <v>4465</v>
          </cell>
          <cell r="B211" t="str">
            <v>GARCIA HERNANDEZ GENARO</v>
          </cell>
          <cell r="C211" t="str">
            <v>PEON</v>
          </cell>
          <cell r="D211">
            <v>509.05</v>
          </cell>
        </row>
        <row r="212">
          <cell r="A212">
            <v>4467</v>
          </cell>
          <cell r="B212" t="str">
            <v>SOLANO GALINDO GREGORIO SILVINO</v>
          </cell>
          <cell r="C212" t="str">
            <v>OF</v>
          </cell>
          <cell r="D212">
            <v>690</v>
          </cell>
        </row>
        <row r="213">
          <cell r="A213">
            <v>4475</v>
          </cell>
          <cell r="B213" t="str">
            <v>RODRIGUEZ GARCIA MARCOS ALBERTO</v>
          </cell>
          <cell r="C213" t="str">
            <v>PEON</v>
          </cell>
          <cell r="D213">
            <v>354.88</v>
          </cell>
        </row>
        <row r="214">
          <cell r="A214">
            <v>4476</v>
          </cell>
          <cell r="B214" t="str">
            <v>GARCIA HERNANDEZ EFREN</v>
          </cell>
          <cell r="C214" t="str">
            <v>PEON</v>
          </cell>
          <cell r="D214">
            <v>402.57</v>
          </cell>
        </row>
        <row r="215">
          <cell r="A215">
            <v>4477</v>
          </cell>
          <cell r="B215" t="str">
            <v>VILLA LÓPEZ GERARDO</v>
          </cell>
          <cell r="C215" t="str">
            <v>OF</v>
          </cell>
          <cell r="D215">
            <v>638.79999999999995</v>
          </cell>
        </row>
        <row r="216">
          <cell r="A216">
            <v>4479</v>
          </cell>
          <cell r="B216" t="str">
            <v>DIAZ VILLA GILBERTO ANTONIO</v>
          </cell>
          <cell r="C216" t="str">
            <v>PEON</v>
          </cell>
          <cell r="D216">
            <v>354.88</v>
          </cell>
        </row>
        <row r="217">
          <cell r="A217">
            <v>4480</v>
          </cell>
          <cell r="B217" t="str">
            <v>VILLA LÓPEZ FRANCISCO</v>
          </cell>
          <cell r="C217" t="str">
            <v>OF</v>
          </cell>
          <cell r="D217">
            <v>638.79999999999995</v>
          </cell>
        </row>
        <row r="218">
          <cell r="A218">
            <v>4489</v>
          </cell>
          <cell r="B218" t="str">
            <v>ÁGUILA HEREDIA EMILIO</v>
          </cell>
          <cell r="C218" t="str">
            <v>PEON</v>
          </cell>
          <cell r="D218">
            <v>405</v>
          </cell>
        </row>
        <row r="219">
          <cell r="A219">
            <v>4510</v>
          </cell>
          <cell r="B219" t="str">
            <v>FELIPE FELIPE ALEJANDRO</v>
          </cell>
          <cell r="C219" t="str">
            <v>OF</v>
          </cell>
          <cell r="D219">
            <v>690</v>
          </cell>
        </row>
        <row r="220">
          <cell r="A220">
            <v>4513</v>
          </cell>
          <cell r="B220" t="str">
            <v>AMEZQUITA PACHECO VICTOR</v>
          </cell>
          <cell r="C220" t="str">
            <v>PEON</v>
          </cell>
          <cell r="D220">
            <v>402.57</v>
          </cell>
        </row>
        <row r="221">
          <cell r="A221">
            <v>4520</v>
          </cell>
          <cell r="B221" t="str">
            <v>GONZALEZ NAVARRO CARLOS EDUARDO</v>
          </cell>
          <cell r="C221" t="str">
            <v>PEON</v>
          </cell>
          <cell r="D221">
            <v>354.88</v>
          </cell>
        </row>
        <row r="222">
          <cell r="A222">
            <v>4529</v>
          </cell>
          <cell r="B222" t="str">
            <v>GONZALEZ BRACAMONTES JESUS</v>
          </cell>
          <cell r="C222" t="str">
            <v>PINTOR</v>
          </cell>
          <cell r="D222">
            <v>638.79999999999995</v>
          </cell>
        </row>
        <row r="223">
          <cell r="A223">
            <v>4530</v>
          </cell>
          <cell r="B223" t="str">
            <v>CASTREJÓN FLORES JOSÉ</v>
          </cell>
          <cell r="C223" t="str">
            <v>PEON</v>
          </cell>
          <cell r="D223">
            <v>402.57</v>
          </cell>
        </row>
        <row r="224">
          <cell r="A224">
            <v>4531</v>
          </cell>
          <cell r="B224" t="str">
            <v>VILLA LÓPEZ JOSÉ MARÍA</v>
          </cell>
          <cell r="C224" t="str">
            <v>OF</v>
          </cell>
          <cell r="D224">
            <v>638.79999999999995</v>
          </cell>
        </row>
        <row r="225">
          <cell r="A225">
            <v>4533</v>
          </cell>
          <cell r="B225" t="str">
            <v>DIAZ ARCINIEGA GILBERTO</v>
          </cell>
          <cell r="C225" t="str">
            <v>PEON</v>
          </cell>
          <cell r="D225">
            <v>354.88</v>
          </cell>
        </row>
        <row r="226">
          <cell r="A226">
            <v>4534</v>
          </cell>
          <cell r="B226" t="str">
            <v>VILLA LÓPEZ JORGE ARMANDO</v>
          </cell>
          <cell r="C226" t="str">
            <v>OF</v>
          </cell>
          <cell r="D226">
            <v>638.79999999999995</v>
          </cell>
        </row>
        <row r="227">
          <cell r="A227">
            <v>4537</v>
          </cell>
          <cell r="B227" t="str">
            <v>VILLA LÓPEZ RUBÉN ERASMO</v>
          </cell>
          <cell r="C227" t="str">
            <v>OF</v>
          </cell>
          <cell r="D227">
            <v>638.79999999999995</v>
          </cell>
        </row>
        <row r="228">
          <cell r="A228">
            <v>4543</v>
          </cell>
          <cell r="B228" t="str">
            <v>RODRIGUEZ GARZA HILARIO</v>
          </cell>
          <cell r="C228" t="str">
            <v>OF</v>
          </cell>
          <cell r="D228">
            <v>638.79999999999995</v>
          </cell>
        </row>
        <row r="229">
          <cell r="A229">
            <v>4544</v>
          </cell>
          <cell r="B229" t="str">
            <v>RANGEL IBARRA RUBEN</v>
          </cell>
          <cell r="C229" t="str">
            <v>PEON</v>
          </cell>
          <cell r="D229">
            <v>405</v>
          </cell>
        </row>
        <row r="230">
          <cell r="A230">
            <v>4550</v>
          </cell>
          <cell r="B230" t="str">
            <v>VEGA ESPARZA MAYRA MARGARITA</v>
          </cell>
          <cell r="C230" t="str">
            <v>ASEO</v>
          </cell>
          <cell r="D230">
            <v>428.57142857142856</v>
          </cell>
        </row>
        <row r="231">
          <cell r="A231">
            <v>4556</v>
          </cell>
          <cell r="B231" t="str">
            <v>ROSAS RAMIREZ MACARIO</v>
          </cell>
          <cell r="C231" t="str">
            <v>PEON</v>
          </cell>
          <cell r="D231">
            <v>509.05</v>
          </cell>
          <cell r="E231"/>
          <cell r="F231"/>
        </row>
        <row r="232">
          <cell r="A232">
            <v>4560</v>
          </cell>
          <cell r="B232" t="str">
            <v>XILONZOCHITL MORA RICARDO</v>
          </cell>
          <cell r="C232" t="str">
            <v>PEON</v>
          </cell>
          <cell r="D232">
            <v>354.88</v>
          </cell>
          <cell r="E232"/>
          <cell r="F232"/>
        </row>
        <row r="233">
          <cell r="A233">
            <v>4573</v>
          </cell>
          <cell r="B233" t="str">
            <v>DE LA TORRE LOPEZ GUILLERMO</v>
          </cell>
          <cell r="C233" t="str">
            <v>OF</v>
          </cell>
          <cell r="D233">
            <v>638.79999999999995</v>
          </cell>
        </row>
        <row r="234">
          <cell r="A234">
            <v>4579</v>
          </cell>
          <cell r="B234" t="str">
            <v>LOPEZ NICASIO ISELA NOEMI</v>
          </cell>
          <cell r="C234" t="str">
            <v>ASEO</v>
          </cell>
          <cell r="D234">
            <v>481.4</v>
          </cell>
        </row>
        <row r="235">
          <cell r="A235">
            <v>4580</v>
          </cell>
          <cell r="B235" t="str">
            <v>ENRIQUEZ CAMARENA MOISES ALEJANDRO</v>
          </cell>
          <cell r="C235" t="str">
            <v>PEON</v>
          </cell>
          <cell r="D235">
            <v>354.88</v>
          </cell>
        </row>
        <row r="236">
          <cell r="A236">
            <v>4582</v>
          </cell>
          <cell r="B236" t="str">
            <v>SALCIDO SANTIBAÑEZ GABRIEL</v>
          </cell>
          <cell r="C236" t="str">
            <v>PEON</v>
          </cell>
          <cell r="D236">
            <v>402.57</v>
          </cell>
        </row>
        <row r="237">
          <cell r="A237">
            <v>4585</v>
          </cell>
          <cell r="B237" t="str">
            <v>GARCÍA CÓRDOVA RICARDO</v>
          </cell>
          <cell r="C237" t="str">
            <v>PEON</v>
          </cell>
          <cell r="D237">
            <v>354.88</v>
          </cell>
        </row>
        <row r="238">
          <cell r="A238">
            <v>4586</v>
          </cell>
          <cell r="B238" t="str">
            <v>RAMÍREZ VILLA JOSÉ EDUARDO</v>
          </cell>
          <cell r="C238" t="str">
            <v>PEON</v>
          </cell>
          <cell r="D238">
            <v>354.88</v>
          </cell>
        </row>
        <row r="239">
          <cell r="A239">
            <v>4587</v>
          </cell>
          <cell r="B239" t="str">
            <v>VILLA LÓPEZ DAVID RIGOBERTO</v>
          </cell>
          <cell r="C239" t="str">
            <v>OF</v>
          </cell>
          <cell r="D239">
            <v>638.79999999999995</v>
          </cell>
        </row>
        <row r="240">
          <cell r="A240">
            <v>4590</v>
          </cell>
          <cell r="B240" t="str">
            <v>AGUILAR VILLA ANTONIO</v>
          </cell>
          <cell r="C240" t="str">
            <v>OF</v>
          </cell>
          <cell r="D240">
            <v>638.79999999999995</v>
          </cell>
        </row>
        <row r="241">
          <cell r="A241">
            <v>4591</v>
          </cell>
          <cell r="B241" t="str">
            <v>DÍAZ CÓRDOVA CARLOS RICARDO</v>
          </cell>
          <cell r="C241" t="str">
            <v>OF</v>
          </cell>
          <cell r="D241">
            <v>638.79999999999995</v>
          </cell>
        </row>
        <row r="242">
          <cell r="A242">
            <v>4602</v>
          </cell>
          <cell r="B242" t="str">
            <v>MARES ECHEVERRIA JUAN ISMAEL</v>
          </cell>
          <cell r="C242" t="str">
            <v>PEON</v>
          </cell>
          <cell r="D242">
            <v>354.88</v>
          </cell>
        </row>
        <row r="243">
          <cell r="A243">
            <v>4614</v>
          </cell>
          <cell r="B243" t="str">
            <v>ENRÍQUEZ CAMARENA CHRISTIAN</v>
          </cell>
          <cell r="C243" t="str">
            <v>OF</v>
          </cell>
          <cell r="D243">
            <v>638.79999999999995</v>
          </cell>
        </row>
        <row r="244">
          <cell r="A244">
            <v>4626</v>
          </cell>
          <cell r="B244" t="str">
            <v>AMÉZQUITA NAVA JOSÉ GUADALUPE</v>
          </cell>
          <cell r="C244" t="str">
            <v>PEON</v>
          </cell>
          <cell r="D244">
            <v>354.88</v>
          </cell>
        </row>
        <row r="245">
          <cell r="A245">
            <v>4631</v>
          </cell>
          <cell r="B245" t="str">
            <v>LOPEZ MATA FRANCISCO JAVIER</v>
          </cell>
          <cell r="C245" t="str">
            <v>PEON</v>
          </cell>
          <cell r="D245">
            <v>307.25</v>
          </cell>
        </row>
        <row r="246">
          <cell r="A246">
            <v>4636</v>
          </cell>
          <cell r="B246" t="str">
            <v>VERA CAMACHO VALENTIN</v>
          </cell>
          <cell r="C246" t="str">
            <v>PEON</v>
          </cell>
          <cell r="D246">
            <v>354.88</v>
          </cell>
        </row>
        <row r="247">
          <cell r="A247">
            <v>4639</v>
          </cell>
          <cell r="B247" t="str">
            <v>SALINAS ENRÍQUEZ SABINO DANIEL</v>
          </cell>
          <cell r="C247" t="str">
            <v>PEON</v>
          </cell>
          <cell r="D247">
            <v>354.88</v>
          </cell>
        </row>
        <row r="248">
          <cell r="A248">
            <v>4640</v>
          </cell>
          <cell r="B248" t="str">
            <v>DE LOS SANTOS GENTIL MAURICIO</v>
          </cell>
          <cell r="C248" t="str">
            <v>PEON</v>
          </cell>
          <cell r="D248">
            <v>354.88</v>
          </cell>
        </row>
        <row r="249">
          <cell r="A249">
            <v>4641</v>
          </cell>
          <cell r="B249" t="str">
            <v>GONZALEZ SOLANO MONICO OMAR</v>
          </cell>
          <cell r="C249" t="str">
            <v>PEON</v>
          </cell>
          <cell r="D249">
            <v>354.88</v>
          </cell>
        </row>
        <row r="250">
          <cell r="A250">
            <v>4644</v>
          </cell>
          <cell r="B250" t="str">
            <v>CASTELLON LOPEZ LUIS MANUEL</v>
          </cell>
          <cell r="C250" t="str">
            <v>PEON</v>
          </cell>
          <cell r="D250">
            <v>354.88</v>
          </cell>
        </row>
        <row r="251">
          <cell r="A251">
            <v>4645</v>
          </cell>
          <cell r="B251" t="str">
            <v>CORTEZ SANTOS EDGAR IVAN</v>
          </cell>
          <cell r="C251" t="str">
            <v>PEON</v>
          </cell>
          <cell r="D251">
            <v>354.88</v>
          </cell>
        </row>
        <row r="252">
          <cell r="A252">
            <v>4652</v>
          </cell>
          <cell r="B252" t="str">
            <v>CORDOVA GARCIA ALEJANDRO FILEMON</v>
          </cell>
          <cell r="C252" t="str">
            <v>PEON</v>
          </cell>
          <cell r="D252">
            <v>354.88</v>
          </cell>
        </row>
        <row r="253">
          <cell r="A253">
            <v>4653</v>
          </cell>
          <cell r="B253" t="str">
            <v>IBARRA LOPEZ RODOLFO</v>
          </cell>
          <cell r="C253" t="str">
            <v>PEON</v>
          </cell>
          <cell r="D253">
            <v>354.88</v>
          </cell>
        </row>
        <row r="254">
          <cell r="A254">
            <v>4656</v>
          </cell>
          <cell r="B254" t="str">
            <v>APARICIO LAMAS JOSE GUADALUPE</v>
          </cell>
          <cell r="C254" t="str">
            <v>PEON</v>
          </cell>
          <cell r="D254">
            <v>354.88</v>
          </cell>
        </row>
        <row r="255">
          <cell r="A255">
            <v>4657</v>
          </cell>
          <cell r="B255" t="str">
            <v>RODRIGUEZ TAPIA ROCIO ELIZABETH</v>
          </cell>
          <cell r="C255" t="str">
            <v>ASEO</v>
          </cell>
          <cell r="D255">
            <v>428.64</v>
          </cell>
        </row>
        <row r="256">
          <cell r="A256">
            <v>4659</v>
          </cell>
          <cell r="B256" t="str">
            <v>LOMELÍ MADRIGAL MANUEL EDUARDO</v>
          </cell>
          <cell r="C256" t="str">
            <v>PEON</v>
          </cell>
          <cell r="D256">
            <v>354.88</v>
          </cell>
        </row>
        <row r="257">
          <cell r="A257">
            <v>4660</v>
          </cell>
          <cell r="B257" t="str">
            <v>DÁVALOS ROCHA CARLOS</v>
          </cell>
          <cell r="C257" t="str">
            <v>OF</v>
          </cell>
          <cell r="D257">
            <v>638.79999999999995</v>
          </cell>
        </row>
        <row r="258">
          <cell r="A258">
            <v>4662</v>
          </cell>
          <cell r="B258" t="str">
            <v>SANCHEZ ALCALA JOSE CARLOS</v>
          </cell>
          <cell r="C258" t="str">
            <v>PEON</v>
          </cell>
          <cell r="D258">
            <v>354.88</v>
          </cell>
        </row>
        <row r="259">
          <cell r="A259">
            <v>4664</v>
          </cell>
          <cell r="B259" t="str">
            <v>JIMÉNEZ EUGENIO GABRIEL</v>
          </cell>
          <cell r="C259" t="str">
            <v>OF</v>
          </cell>
          <cell r="D259">
            <v>638.79999999999995</v>
          </cell>
        </row>
        <row r="260">
          <cell r="A260">
            <v>4665</v>
          </cell>
          <cell r="B260" t="str">
            <v>HERNANDEZ HERNANDEZ JONATHAN</v>
          </cell>
          <cell r="C260" t="str">
            <v>PEON</v>
          </cell>
          <cell r="D260">
            <v>354.88</v>
          </cell>
        </row>
        <row r="261">
          <cell r="A261">
            <v>4669</v>
          </cell>
          <cell r="B261" t="str">
            <v>VELAZQUEZ BARRIOS JORGE</v>
          </cell>
          <cell r="C261" t="str">
            <v>PEON</v>
          </cell>
          <cell r="D261">
            <v>354.88</v>
          </cell>
        </row>
        <row r="262">
          <cell r="A262">
            <v>4671</v>
          </cell>
          <cell r="B262" t="str">
            <v>MARTINEZ JACOBO JOSE LUIS</v>
          </cell>
          <cell r="C262" t="str">
            <v>PEON</v>
          </cell>
          <cell r="D262">
            <v>354.88</v>
          </cell>
        </row>
        <row r="263">
          <cell r="A263">
            <v>4672</v>
          </cell>
          <cell r="B263" t="str">
            <v>LOPEZ PADILLA JUAN PABLO</v>
          </cell>
          <cell r="C263" t="str">
            <v>PEON</v>
          </cell>
          <cell r="D263">
            <v>354.88</v>
          </cell>
        </row>
        <row r="264">
          <cell r="A264">
            <v>4674</v>
          </cell>
          <cell r="B264" t="str">
            <v>VEGA GUZMAN JOSE MANUEL</v>
          </cell>
          <cell r="C264" t="str">
            <v>PEON</v>
          </cell>
          <cell r="D264">
            <v>354.88</v>
          </cell>
        </row>
        <row r="265">
          <cell r="A265">
            <v>4675</v>
          </cell>
          <cell r="B265" t="str">
            <v>FLORES PATRICIO CESAR ANTONIO</v>
          </cell>
          <cell r="C265" t="str">
            <v>PEON</v>
          </cell>
          <cell r="D265">
            <v>354.88</v>
          </cell>
        </row>
        <row r="266">
          <cell r="A266">
            <v>4677</v>
          </cell>
          <cell r="B266" t="str">
            <v>GONZALEZ NAVARRO LUIS FERNANDO</v>
          </cell>
          <cell r="C266" t="str">
            <v>PEON</v>
          </cell>
          <cell r="D266">
            <v>354.88</v>
          </cell>
        </row>
        <row r="267">
          <cell r="A267">
            <v>4678</v>
          </cell>
          <cell r="B267" t="str">
            <v>RANGEL VARGAS MANUEL</v>
          </cell>
          <cell r="C267" t="str">
            <v>PEON</v>
          </cell>
          <cell r="D267">
            <v>354.88</v>
          </cell>
        </row>
        <row r="268">
          <cell r="A268">
            <v>4679</v>
          </cell>
          <cell r="B268" t="str">
            <v>SILVA PALOMERA HÉCTOR FABIÁN</v>
          </cell>
          <cell r="C268" t="str">
            <v>PEON</v>
          </cell>
          <cell r="D268">
            <v>354.88</v>
          </cell>
        </row>
        <row r="269">
          <cell r="A269">
            <v>4680</v>
          </cell>
          <cell r="B269" t="str">
            <v>CORDOVA CANDELARIO JOSE ENRIQUE</v>
          </cell>
          <cell r="C269" t="str">
            <v>PEON</v>
          </cell>
          <cell r="D269">
            <v>354.88</v>
          </cell>
        </row>
        <row r="270">
          <cell r="A270">
            <v>4685</v>
          </cell>
          <cell r="B270" t="str">
            <v>ZAMORA JIMENEZ JOSE DE JESUS</v>
          </cell>
          <cell r="C270" t="str">
            <v>PEON</v>
          </cell>
          <cell r="D270">
            <v>354.88</v>
          </cell>
        </row>
        <row r="271">
          <cell r="A271">
            <v>4686</v>
          </cell>
          <cell r="B271" t="str">
            <v>TORRES DANIEL VICTOR MANUEL</v>
          </cell>
          <cell r="C271" t="str">
            <v>PEON</v>
          </cell>
          <cell r="D271">
            <v>354.88</v>
          </cell>
        </row>
        <row r="272">
          <cell r="A272">
            <v>4687</v>
          </cell>
          <cell r="B272" t="str">
            <v>RUBIO FLORES JOSE ANGEL</v>
          </cell>
          <cell r="C272" t="str">
            <v>PEON</v>
          </cell>
          <cell r="D272">
            <v>354.88</v>
          </cell>
        </row>
        <row r="273">
          <cell r="A273">
            <v>4691</v>
          </cell>
          <cell r="B273" t="str">
            <v>MELCHOR ROBLES HECTOR ANDRES</v>
          </cell>
          <cell r="C273" t="str">
            <v>PINTOR</v>
          </cell>
          <cell r="D273">
            <v>690</v>
          </cell>
        </row>
        <row r="274">
          <cell r="A274">
            <v>4692</v>
          </cell>
          <cell r="B274" t="str">
            <v>GUILLEN LOPEZ JOSE ANTONIO</v>
          </cell>
          <cell r="C274" t="str">
            <v>PEON</v>
          </cell>
          <cell r="D274">
            <v>354.88</v>
          </cell>
        </row>
        <row r="275">
          <cell r="A275">
            <v>4693</v>
          </cell>
          <cell r="B275" t="str">
            <v>DELGADO MEDINA LUIS ALBERTO</v>
          </cell>
          <cell r="C275" t="str">
            <v>OF</v>
          </cell>
          <cell r="D275">
            <v>638.79999999999995</v>
          </cell>
        </row>
        <row r="276">
          <cell r="A276">
            <v>4695</v>
          </cell>
          <cell r="B276" t="str">
            <v>GODINEZ JIMENEZ SALVADOR</v>
          </cell>
          <cell r="C276" t="str">
            <v>PEON</v>
          </cell>
          <cell r="D276">
            <v>354.88</v>
          </cell>
        </row>
        <row r="277">
          <cell r="A277">
            <v>4696</v>
          </cell>
          <cell r="B277" t="str">
            <v>GONZALEZ MORA JOSE MANUEL</v>
          </cell>
          <cell r="C277" t="str">
            <v>PEON</v>
          </cell>
          <cell r="D277">
            <v>354.88</v>
          </cell>
        </row>
        <row r="278">
          <cell r="A278">
            <v>4701</v>
          </cell>
          <cell r="B278" t="str">
            <v>TORRES VEGA JUAN CARLOS</v>
          </cell>
          <cell r="C278" t="str">
            <v>PEON</v>
          </cell>
          <cell r="D278">
            <v>354.88</v>
          </cell>
        </row>
        <row r="279">
          <cell r="A279">
            <v>4702</v>
          </cell>
          <cell r="B279" t="str">
            <v>MARTINEZ GOMEZ JOSE CRISTIAN</v>
          </cell>
          <cell r="C279" t="str">
            <v>PEON</v>
          </cell>
          <cell r="D279">
            <v>354.88</v>
          </cell>
        </row>
        <row r="280">
          <cell r="A280">
            <v>4704</v>
          </cell>
          <cell r="B280" t="str">
            <v>ROCHA MICHEL OSCAR MARTIN</v>
          </cell>
          <cell r="C280" t="str">
            <v>PEON</v>
          </cell>
          <cell r="D280">
            <v>354.88</v>
          </cell>
        </row>
        <row r="281">
          <cell r="A281">
            <v>4705</v>
          </cell>
          <cell r="B281" t="str">
            <v>YAÑEZ DE LA CRUZ JOSE JUAN</v>
          </cell>
          <cell r="C281" t="str">
            <v>PEON</v>
          </cell>
          <cell r="D281">
            <v>354.88</v>
          </cell>
        </row>
        <row r="282">
          <cell r="A282">
            <v>4706</v>
          </cell>
          <cell r="B282" t="str">
            <v>MARIN LOPEZ MARCOS MANUEL</v>
          </cell>
          <cell r="C282" t="str">
            <v>PEON</v>
          </cell>
          <cell r="D282">
            <v>354.88</v>
          </cell>
        </row>
        <row r="283">
          <cell r="A283">
            <v>4707</v>
          </cell>
          <cell r="B283" t="str">
            <v>VALLE MORA DANIEL</v>
          </cell>
          <cell r="C283" t="str">
            <v>PEON</v>
          </cell>
          <cell r="D283">
            <v>354.88</v>
          </cell>
        </row>
        <row r="284">
          <cell r="A284">
            <v>4708</v>
          </cell>
          <cell r="B284" t="str">
            <v>REYNAGA RITO SONIA</v>
          </cell>
          <cell r="C284" t="str">
            <v>ASEO</v>
          </cell>
          <cell r="D284">
            <v>441.38</v>
          </cell>
        </row>
        <row r="285">
          <cell r="A285">
            <v>4709</v>
          </cell>
          <cell r="B285" t="str">
            <v>AVALOS VAZQUEZ PABLO ALBERTO</v>
          </cell>
          <cell r="C285" t="str">
            <v>PEON</v>
          </cell>
          <cell r="D285">
            <v>354.88</v>
          </cell>
        </row>
        <row r="286">
          <cell r="A286">
            <v>4710</v>
          </cell>
          <cell r="B286" t="str">
            <v>ENRIQUEZ DOMINGUEZ JOSUE DAVID</v>
          </cell>
          <cell r="C286" t="str">
            <v>PEON</v>
          </cell>
          <cell r="D286">
            <v>354.88</v>
          </cell>
        </row>
        <row r="287">
          <cell r="A287">
            <v>4711</v>
          </cell>
          <cell r="B287" t="str">
            <v>VILLAVICENCIO CASTAÑEDA DIEGO</v>
          </cell>
          <cell r="C287" t="str">
            <v>PEON</v>
          </cell>
          <cell r="D287">
            <v>354.88</v>
          </cell>
        </row>
        <row r="288">
          <cell r="A288">
            <v>4712</v>
          </cell>
          <cell r="B288" t="str">
            <v>FLORES DIAZ SERGIO</v>
          </cell>
          <cell r="C288" t="str">
            <v>PEON</v>
          </cell>
          <cell r="D288">
            <v>354.88</v>
          </cell>
        </row>
        <row r="289">
          <cell r="A289">
            <v>4713</v>
          </cell>
          <cell r="B289" t="str">
            <v>RODRIGUEZ GARZA ROSENDO</v>
          </cell>
          <cell r="C289" t="str">
            <v>OF</v>
          </cell>
          <cell r="D289">
            <v>690</v>
          </cell>
        </row>
        <row r="290">
          <cell r="A290">
            <v>4714</v>
          </cell>
          <cell r="B290" t="str">
            <v>MALDONADO ORTEGA LUIS GERARDO</v>
          </cell>
          <cell r="C290" t="str">
            <v>PEON</v>
          </cell>
          <cell r="D290">
            <v>354.88</v>
          </cell>
        </row>
        <row r="291">
          <cell r="A291">
            <v>4715</v>
          </cell>
          <cell r="B291" t="str">
            <v>CABRAL MARTINEZ OSCAR MARTIN</v>
          </cell>
          <cell r="C291" t="str">
            <v>PEON</v>
          </cell>
          <cell r="D291">
            <v>354.88</v>
          </cell>
        </row>
        <row r="292">
          <cell r="A292">
            <v>4716</v>
          </cell>
          <cell r="B292" t="str">
            <v>CONTRERAS CHAVEZ MARIO ARMANDO</v>
          </cell>
          <cell r="C292" t="str">
            <v>PEON</v>
          </cell>
          <cell r="D292">
            <v>354.88</v>
          </cell>
        </row>
        <row r="293">
          <cell r="A293">
            <v>4717</v>
          </cell>
          <cell r="B293" t="str">
            <v>MORALES MUÑOZ OSWALDO RUBEN</v>
          </cell>
          <cell r="C293" t="str">
            <v>PINTOR</v>
          </cell>
          <cell r="D293">
            <v>690</v>
          </cell>
        </row>
        <row r="294">
          <cell r="A294">
            <v>4718</v>
          </cell>
          <cell r="B294" t="str">
            <v>MONTELONGO ESPINOZA HERIBERTO</v>
          </cell>
          <cell r="C294" t="str">
            <v>PEON</v>
          </cell>
          <cell r="D294">
            <v>354.88</v>
          </cell>
        </row>
        <row r="295">
          <cell r="A295">
            <v>4719</v>
          </cell>
          <cell r="B295" t="str">
            <v>VALLEJO MENDOZA JOSE LUIS</v>
          </cell>
          <cell r="C295" t="str">
            <v>PEON</v>
          </cell>
          <cell r="D295">
            <v>354.88</v>
          </cell>
        </row>
        <row r="296">
          <cell r="A296">
            <v>4720</v>
          </cell>
          <cell r="B296" t="str">
            <v>CRUZ CABRERA RICARDO</v>
          </cell>
          <cell r="C296" t="str">
            <v>PEON</v>
          </cell>
          <cell r="D296">
            <v>509.05</v>
          </cell>
        </row>
        <row r="297">
          <cell r="A297">
            <v>4721</v>
          </cell>
          <cell r="B297" t="str">
            <v>CLARO GONZALEZ JUAN MANUEL</v>
          </cell>
          <cell r="C297" t="str">
            <v>PEON</v>
          </cell>
          <cell r="D297">
            <v>354.88</v>
          </cell>
        </row>
        <row r="298">
          <cell r="A298">
            <v>4724</v>
          </cell>
          <cell r="B298" t="str">
            <v>TOSCANO HERNANDEZ SERGIO DAVID</v>
          </cell>
          <cell r="C298" t="str">
            <v>PEON</v>
          </cell>
          <cell r="D298">
            <v>354.88</v>
          </cell>
        </row>
        <row r="299">
          <cell r="A299">
            <v>4725</v>
          </cell>
          <cell r="B299" t="str">
            <v>FRAIDE BELTRAN JUAN JOSE</v>
          </cell>
          <cell r="C299" t="str">
            <v>PEON</v>
          </cell>
          <cell r="D299">
            <v>354.88</v>
          </cell>
        </row>
        <row r="300">
          <cell r="A300">
            <v>4726</v>
          </cell>
          <cell r="B300" t="str">
            <v>DELGADILLO GUZMAN JORGE DIEGO</v>
          </cell>
          <cell r="C300" t="str">
            <v>PEON</v>
          </cell>
          <cell r="D300">
            <v>354.88</v>
          </cell>
        </row>
        <row r="301">
          <cell r="A301">
            <v>4727</v>
          </cell>
          <cell r="B301" t="str">
            <v>GARCÍA PONCIANO JOEL ANDRÉS</v>
          </cell>
          <cell r="C301" t="str">
            <v>PEON</v>
          </cell>
          <cell r="D301">
            <v>354.88</v>
          </cell>
        </row>
        <row r="302">
          <cell r="A302">
            <v>4731</v>
          </cell>
          <cell r="B302" t="str">
            <v>MEZA TORRES CESAR SANTIAGO</v>
          </cell>
          <cell r="C302" t="str">
            <v>PEON</v>
          </cell>
          <cell r="D302">
            <v>354.88</v>
          </cell>
        </row>
        <row r="303">
          <cell r="A303">
            <v>4732</v>
          </cell>
          <cell r="B303" t="str">
            <v>GONZALEZ QUINTERO ROBERTO CARLOS</v>
          </cell>
          <cell r="C303" t="str">
            <v>PEON</v>
          </cell>
          <cell r="D303">
            <v>354.88</v>
          </cell>
        </row>
        <row r="304">
          <cell r="A304">
            <v>4733</v>
          </cell>
          <cell r="B304" t="str">
            <v>ROMERO LOPEZ JONATHAN ISRAEL</v>
          </cell>
          <cell r="C304" t="str">
            <v>PEON</v>
          </cell>
          <cell r="D304">
            <v>354.88</v>
          </cell>
        </row>
        <row r="305">
          <cell r="A305">
            <v>4736</v>
          </cell>
          <cell r="B305" t="str">
            <v>ZUÑIGA VELAZQUEZ DAGOBERTO</v>
          </cell>
          <cell r="C305" t="str">
            <v>PEON</v>
          </cell>
          <cell r="D305">
            <v>354.88</v>
          </cell>
        </row>
        <row r="306">
          <cell r="A306">
            <v>4737</v>
          </cell>
          <cell r="B306" t="str">
            <v>GUTIERREZ MENDOZA DIEGO ARTURO</v>
          </cell>
          <cell r="C306" t="str">
            <v>PEON</v>
          </cell>
          <cell r="D306">
            <v>354.88</v>
          </cell>
        </row>
        <row r="307">
          <cell r="A307">
            <v>4738</v>
          </cell>
          <cell r="B307" t="str">
            <v>SAUCEDO SALINAS SERGIO ALBERTO</v>
          </cell>
          <cell r="C307" t="str">
            <v>PEON</v>
          </cell>
          <cell r="D307">
            <v>354.88</v>
          </cell>
        </row>
        <row r="308">
          <cell r="A308">
            <v>4740</v>
          </cell>
          <cell r="B308" t="str">
            <v>RODRIGUEZ RAMOS EDGAR ISAAC</v>
          </cell>
          <cell r="C308" t="str">
            <v>OF</v>
          </cell>
          <cell r="D308">
            <v>638.79999999999995</v>
          </cell>
        </row>
        <row r="309">
          <cell r="A309">
            <v>4742</v>
          </cell>
          <cell r="B309" t="str">
            <v>HERNANDEZ CURIEL SALVADOR</v>
          </cell>
          <cell r="C309" t="str">
            <v>PEON</v>
          </cell>
          <cell r="D309">
            <v>354.88</v>
          </cell>
        </row>
        <row r="310">
          <cell r="A310">
            <v>4748</v>
          </cell>
          <cell r="B310" t="str">
            <v>SALAZAR GARCÍA FLAVIO CÉSAR</v>
          </cell>
          <cell r="C310" t="str">
            <v>OF</v>
          </cell>
          <cell r="D310">
            <v>638.79999999999995</v>
          </cell>
        </row>
        <row r="311">
          <cell r="A311">
            <v>4749</v>
          </cell>
          <cell r="B311" t="str">
            <v>REYNA SANCHEZ JORGE</v>
          </cell>
          <cell r="C311" t="str">
            <v>OF</v>
          </cell>
          <cell r="D311">
            <v>638.79999999999995</v>
          </cell>
          <cell r="F311"/>
        </row>
        <row r="312">
          <cell r="A312">
            <v>4750</v>
          </cell>
          <cell r="B312" t="str">
            <v>DIAZ IBARRA JUAN JOSE</v>
          </cell>
          <cell r="C312" t="str">
            <v>PEON</v>
          </cell>
          <cell r="D312">
            <v>354.88</v>
          </cell>
        </row>
        <row r="313">
          <cell r="A313">
            <v>4751</v>
          </cell>
          <cell r="B313" t="str">
            <v>GARZA MAGALLANES DANIEL</v>
          </cell>
          <cell r="C313" t="str">
            <v>OF</v>
          </cell>
          <cell r="D313">
            <v>638.79999999999995</v>
          </cell>
        </row>
        <row r="314">
          <cell r="A314">
            <v>4752</v>
          </cell>
          <cell r="B314" t="str">
            <v xml:space="preserve">RODRIGUEZ MALTA JULIO CESAR </v>
          </cell>
          <cell r="C314" t="str">
            <v>PEON</v>
          </cell>
          <cell r="D314">
            <v>354.88</v>
          </cell>
        </row>
        <row r="315">
          <cell r="A315">
            <v>4753</v>
          </cell>
          <cell r="B315" t="str">
            <v>VÁZQUEZ CISNEROS FRANCISCO</v>
          </cell>
          <cell r="C315" t="str">
            <v>PEON</v>
          </cell>
          <cell r="D315">
            <v>354.88</v>
          </cell>
        </row>
        <row r="316">
          <cell r="A316">
            <v>4754</v>
          </cell>
          <cell r="B316" t="str">
            <v>ALBA REYES JOSE DE JESUS</v>
          </cell>
          <cell r="C316" t="str">
            <v>OF</v>
          </cell>
          <cell r="D316">
            <v>638.79999999999995</v>
          </cell>
        </row>
        <row r="317">
          <cell r="A317">
            <v>4755</v>
          </cell>
          <cell r="B317" t="str">
            <v>FLORES ALBA JOSÉ DARIEL</v>
          </cell>
          <cell r="C317" t="str">
            <v>PEON</v>
          </cell>
          <cell r="D317">
            <v>354.88</v>
          </cell>
        </row>
        <row r="318">
          <cell r="A318">
            <v>4756</v>
          </cell>
          <cell r="B318" t="str">
            <v>ROBLES RUVALCABA MARTÍN ISMAEL</v>
          </cell>
          <cell r="C318" t="str">
            <v>PEON</v>
          </cell>
          <cell r="D318">
            <v>354.88</v>
          </cell>
        </row>
        <row r="319">
          <cell r="A319">
            <v>4757</v>
          </cell>
          <cell r="B319" t="str">
            <v xml:space="preserve">TELLO PÉREZ ARMANDO ABRAHAM </v>
          </cell>
          <cell r="C319" t="str">
            <v>PEON</v>
          </cell>
          <cell r="D319">
            <v>354.88</v>
          </cell>
        </row>
        <row r="320">
          <cell r="A320">
            <v>4759</v>
          </cell>
          <cell r="B320" t="str">
            <v>DELGADO AVIÑA JOSÉ GUADALUPE</v>
          </cell>
          <cell r="C320" t="str">
            <v>PEON</v>
          </cell>
          <cell r="D320">
            <v>354.88</v>
          </cell>
        </row>
        <row r="321">
          <cell r="A321">
            <v>4760</v>
          </cell>
          <cell r="B321" t="str">
            <v>AGUIRRE VELAZQUEZ JAVIER</v>
          </cell>
          <cell r="C321" t="str">
            <v>PEON</v>
          </cell>
          <cell r="D321">
            <v>354.88</v>
          </cell>
        </row>
        <row r="322">
          <cell r="A322">
            <v>4761</v>
          </cell>
          <cell r="B322" t="str">
            <v>LOPEZ RAMIREZ JORGE ALONSO</v>
          </cell>
          <cell r="C322" t="str">
            <v>PEON</v>
          </cell>
          <cell r="D322">
            <v>354.88</v>
          </cell>
        </row>
        <row r="323">
          <cell r="A323">
            <v>4762</v>
          </cell>
          <cell r="B323" t="str">
            <v>REYES BRAVO MIGUEL ANGEL</v>
          </cell>
          <cell r="C323" t="str">
            <v>PEON</v>
          </cell>
          <cell r="D323">
            <v>354.88</v>
          </cell>
        </row>
        <row r="324">
          <cell r="A324">
            <v>4763</v>
          </cell>
          <cell r="B324" t="str">
            <v>GARCÍA CASTRO JESÚS ANTONIO</v>
          </cell>
          <cell r="C324" t="str">
            <v>PEON</v>
          </cell>
          <cell r="D324">
            <v>354.88</v>
          </cell>
        </row>
        <row r="325">
          <cell r="A325">
            <v>4764</v>
          </cell>
          <cell r="B325" t="str">
            <v>HERNÁNDEZ GARCÍA LUIS ALFONSO</v>
          </cell>
          <cell r="C325" t="str">
            <v>PEON</v>
          </cell>
          <cell r="D325">
            <v>354.88</v>
          </cell>
        </row>
        <row r="326">
          <cell r="A326">
            <v>4765</v>
          </cell>
          <cell r="B326" t="str">
            <v>GARIBAY RUELAS JOSÉ MANUEL</v>
          </cell>
          <cell r="C326" t="str">
            <v>PEON</v>
          </cell>
          <cell r="D326">
            <v>354.88</v>
          </cell>
        </row>
        <row r="327">
          <cell r="A327">
            <v>4766</v>
          </cell>
          <cell r="B327" t="str">
            <v>SAUCEDO VEGA ALEJANDRO</v>
          </cell>
          <cell r="C327" t="str">
            <v>PEON</v>
          </cell>
          <cell r="D327">
            <v>354.88</v>
          </cell>
        </row>
        <row r="328">
          <cell r="A328">
            <v>4767</v>
          </cell>
          <cell r="B328" t="str">
            <v>PAZ VILLANUEVA BRANDON ÓMAR</v>
          </cell>
          <cell r="C328" t="str">
            <v>PEON</v>
          </cell>
          <cell r="D328">
            <v>354.88</v>
          </cell>
        </row>
        <row r="329">
          <cell r="A329">
            <v>4768</v>
          </cell>
          <cell r="B329" t="str">
            <v>RAMOS RODRIGUEZ SAUL ALEJANDRO</v>
          </cell>
          <cell r="C329" t="str">
            <v>PEON</v>
          </cell>
          <cell r="D329">
            <v>354.88</v>
          </cell>
        </row>
        <row r="330">
          <cell r="A330">
            <v>4769</v>
          </cell>
          <cell r="B330" t="str">
            <v>GUERRERO LÓPEZ LEONARDO DANIEL</v>
          </cell>
          <cell r="C330" t="str">
            <v>PEON</v>
          </cell>
          <cell r="D330">
            <v>354.88</v>
          </cell>
        </row>
        <row r="331">
          <cell r="A331">
            <v>4770</v>
          </cell>
          <cell r="B331" t="str">
            <v>BIZARRO XILONZOCHITL MAURICIO JORDÁN</v>
          </cell>
          <cell r="C331" t="str">
            <v>PEON</v>
          </cell>
          <cell r="D331">
            <v>354.88</v>
          </cell>
        </row>
        <row r="332">
          <cell r="A332">
            <v>4771</v>
          </cell>
          <cell r="B332" t="str">
            <v>TORRES BAÑUELOS DIEGO SALATIEL</v>
          </cell>
          <cell r="C332" t="str">
            <v>PEON</v>
          </cell>
          <cell r="D332">
            <v>354.88</v>
          </cell>
        </row>
        <row r="333">
          <cell r="A333">
            <v>4772</v>
          </cell>
          <cell r="B333" t="str">
            <v>MEDINA ALVARADO SERGIO IVÁN</v>
          </cell>
          <cell r="C333" t="str">
            <v>PEON</v>
          </cell>
          <cell r="D333">
            <v>354.88</v>
          </cell>
        </row>
        <row r="334">
          <cell r="A334">
            <v>4773</v>
          </cell>
          <cell r="B334" t="str">
            <v>MEZA NAVARRO ALEXIS RAMIRO</v>
          </cell>
          <cell r="C334" t="str">
            <v>PEON</v>
          </cell>
          <cell r="D334">
            <v>354.88</v>
          </cell>
        </row>
        <row r="335">
          <cell r="A335">
            <v>4774</v>
          </cell>
          <cell r="B335" t="str">
            <v>SALVADOR LEÓN JOSÉ ALFREDO</v>
          </cell>
          <cell r="C335" t="str">
            <v>PEON</v>
          </cell>
          <cell r="D335">
            <v>354.88</v>
          </cell>
        </row>
        <row r="336">
          <cell r="A336">
            <v>4775</v>
          </cell>
          <cell r="B336" t="str">
            <v>MORA JIMÉNEZ JOSUÉ</v>
          </cell>
          <cell r="C336" t="str">
            <v>PEON</v>
          </cell>
          <cell r="D336">
            <v>354.88</v>
          </cell>
        </row>
        <row r="337">
          <cell r="A337">
            <v>4776</v>
          </cell>
          <cell r="B337" t="str">
            <v>PÉREZ MARES JONATAN GUSTAVO</v>
          </cell>
          <cell r="C337" t="str">
            <v>PEON</v>
          </cell>
          <cell r="D337">
            <v>354.88</v>
          </cell>
        </row>
        <row r="338">
          <cell r="A338">
            <v>4777</v>
          </cell>
          <cell r="B338" t="str">
            <v>MEJÍA NAVARRO EMMANUEL</v>
          </cell>
          <cell r="C338" t="str">
            <v>PEON</v>
          </cell>
          <cell r="D338">
            <v>354.88</v>
          </cell>
        </row>
        <row r="339">
          <cell r="A339">
            <v>4778</v>
          </cell>
          <cell r="B339" t="str">
            <v>RODRÍGUEZ AYALA FERNANDO DE JESÚS</v>
          </cell>
          <cell r="C339" t="str">
            <v>PEON</v>
          </cell>
          <cell r="D339">
            <v>354.88</v>
          </cell>
        </row>
        <row r="340">
          <cell r="A340">
            <v>4779</v>
          </cell>
          <cell r="B340" t="str">
            <v>HERNÁNDEZ HUERTA LUIS ÁNGEL</v>
          </cell>
          <cell r="C340" t="str">
            <v>PEON</v>
          </cell>
          <cell r="D340">
            <v>405</v>
          </cell>
        </row>
        <row r="341">
          <cell r="A341">
            <v>4780</v>
          </cell>
          <cell r="B341" t="str">
            <v>VÁZQUEZ MARTÍNEZ CRISTOFER DE JESÚS</v>
          </cell>
          <cell r="C341" t="str">
            <v>PEON</v>
          </cell>
          <cell r="D341">
            <v>354.88</v>
          </cell>
        </row>
        <row r="342">
          <cell r="A342">
            <v>4781</v>
          </cell>
          <cell r="B342" t="str">
            <v>VEGA AGUIRRE ABRAHAM</v>
          </cell>
          <cell r="C342" t="str">
            <v>PEON</v>
          </cell>
          <cell r="D342">
            <v>354.88</v>
          </cell>
        </row>
        <row r="343">
          <cell r="A343">
            <v>4782</v>
          </cell>
          <cell r="B343" t="str">
            <v>RAMÍREZ VILLA FRANCISCO JAVIER</v>
          </cell>
          <cell r="C343" t="str">
            <v>PEON</v>
          </cell>
          <cell r="D343">
            <v>354.88</v>
          </cell>
        </row>
        <row r="344">
          <cell r="A344">
            <v>4783</v>
          </cell>
          <cell r="B344" t="str">
            <v>GONZÁLEZ CAMPOS ÓSCAR IVÁN</v>
          </cell>
          <cell r="C344" t="str">
            <v>PEON</v>
          </cell>
          <cell r="D344">
            <v>354.88</v>
          </cell>
        </row>
        <row r="345">
          <cell r="A345">
            <v>4784</v>
          </cell>
          <cell r="B345" t="str">
            <v>RODRÍGUEZ HERNÁNDEZ CARLOS OMAR</v>
          </cell>
          <cell r="C345" t="str">
            <v>PEON</v>
          </cell>
          <cell r="D345">
            <v>354.88</v>
          </cell>
        </row>
        <row r="346">
          <cell r="A346">
            <v>4785</v>
          </cell>
          <cell r="B346" t="str">
            <v>GARCÍA GARCÍA ELVIS RAUL</v>
          </cell>
          <cell r="C346" t="str">
            <v>PEON</v>
          </cell>
          <cell r="D346">
            <v>405</v>
          </cell>
        </row>
        <row r="347">
          <cell r="A347">
            <v>4787</v>
          </cell>
          <cell r="B347" t="str">
            <v>ESPINOZA LÓPEZ JONATHAN ARATH</v>
          </cell>
          <cell r="C347" t="str">
            <v>PEON</v>
          </cell>
          <cell r="D347">
            <v>354.88</v>
          </cell>
        </row>
        <row r="348">
          <cell r="A348">
            <v>4788</v>
          </cell>
          <cell r="B348" t="str">
            <v>SAUCEDO FLORES LUIS ENRIQUE</v>
          </cell>
          <cell r="C348" t="str">
            <v>OF</v>
          </cell>
          <cell r="D348">
            <v>638.79999999999995</v>
          </cell>
        </row>
        <row r="349">
          <cell r="A349">
            <v>4789</v>
          </cell>
          <cell r="B349" t="str">
            <v>MEJÍA ARÍAS HUGO ALONSO</v>
          </cell>
          <cell r="C349" t="str">
            <v>PEON</v>
          </cell>
          <cell r="D349">
            <v>354.88</v>
          </cell>
        </row>
        <row r="350">
          <cell r="A350">
            <v>4790</v>
          </cell>
          <cell r="B350" t="str">
            <v>CASTILLO OCHOA JESÚS ALONSO</v>
          </cell>
          <cell r="C350" t="str">
            <v>PEON</v>
          </cell>
          <cell r="D350">
            <v>354.88</v>
          </cell>
        </row>
        <row r="351">
          <cell r="A351">
            <v>4791</v>
          </cell>
          <cell r="B351" t="str">
            <v>MORA CUEVAS JUAN MANUEL</v>
          </cell>
          <cell r="C351" t="str">
            <v>PEON</v>
          </cell>
          <cell r="D351">
            <v>354.88</v>
          </cell>
        </row>
        <row r="352">
          <cell r="A352">
            <v>4792</v>
          </cell>
          <cell r="B352" t="str">
            <v>RUIZ RICO FRANCISCO JAVIER</v>
          </cell>
          <cell r="C352" t="str">
            <v>PEON</v>
          </cell>
          <cell r="D352">
            <v>354.88</v>
          </cell>
        </row>
        <row r="353">
          <cell r="A353">
            <v>4794</v>
          </cell>
          <cell r="B353" t="str">
            <v>CARBAJAL GALLARDO FRANCISCO</v>
          </cell>
          <cell r="C353" t="str">
            <v>PEON</v>
          </cell>
          <cell r="D353">
            <v>354.88</v>
          </cell>
        </row>
        <row r="354">
          <cell r="A354">
            <v>4795</v>
          </cell>
          <cell r="B354" t="str">
            <v>MORA RAMÍREZ CÉSAR ALEJANDRO</v>
          </cell>
          <cell r="C354" t="str">
            <v>PEON</v>
          </cell>
          <cell r="D354">
            <v>354.88</v>
          </cell>
        </row>
        <row r="355">
          <cell r="A355">
            <v>4796</v>
          </cell>
          <cell r="B355" t="str">
            <v>PRECIADO PARRA HÉCTOR</v>
          </cell>
          <cell r="C355" t="str">
            <v>PEON</v>
          </cell>
          <cell r="D355">
            <v>354.88</v>
          </cell>
        </row>
        <row r="356">
          <cell r="A356">
            <v>4797</v>
          </cell>
          <cell r="B356" t="str">
            <v>ALCALÁ BERNAL JONATHAN OMAR</v>
          </cell>
          <cell r="C356" t="str">
            <v>PEON</v>
          </cell>
          <cell r="D356">
            <v>354.88</v>
          </cell>
        </row>
        <row r="357">
          <cell r="A357">
            <v>4800</v>
          </cell>
          <cell r="B357" t="str">
            <v>LÓPEZ MATA KEVIN EDUARDO</v>
          </cell>
          <cell r="C357" t="str">
            <v>PEON</v>
          </cell>
          <cell r="D357">
            <v>192.77</v>
          </cell>
        </row>
        <row r="358">
          <cell r="A358">
            <v>4801</v>
          </cell>
          <cell r="B358" t="str">
            <v>ZAMORA MARTÍNEZ MIGUEL IGNACIO</v>
          </cell>
          <cell r="C358" t="str">
            <v>PEON</v>
          </cell>
          <cell r="D358">
            <v>354.88</v>
          </cell>
        </row>
        <row r="359">
          <cell r="A359">
            <v>4802</v>
          </cell>
          <cell r="B359" t="str">
            <v>VILLA JAVIER</v>
          </cell>
          <cell r="C359" t="str">
            <v>PEON</v>
          </cell>
          <cell r="D359">
            <v>354.88</v>
          </cell>
        </row>
        <row r="360">
          <cell r="A360">
            <v>4803</v>
          </cell>
          <cell r="B360" t="str">
            <v>GÓMEZ GARCÍA JUAN PABLO</v>
          </cell>
          <cell r="C360" t="str">
            <v>PEON</v>
          </cell>
          <cell r="D360">
            <v>354.88</v>
          </cell>
        </row>
        <row r="361">
          <cell r="A361">
            <v>4804</v>
          </cell>
          <cell r="B361" t="str">
            <v>SAUCEDO FLORES JUAN MANUEL</v>
          </cell>
          <cell r="C361" t="str">
            <v>OF</v>
          </cell>
          <cell r="D361">
            <v>638.79999999999995</v>
          </cell>
        </row>
        <row r="362">
          <cell r="A362">
            <v>4805</v>
          </cell>
          <cell r="B362" t="str">
            <v>LOMELÍ MADRIGAL MARCO ANTONIO</v>
          </cell>
          <cell r="C362" t="str">
            <v>OF</v>
          </cell>
          <cell r="D362">
            <v>638.79999999999995</v>
          </cell>
        </row>
        <row r="363">
          <cell r="A363">
            <v>4806</v>
          </cell>
          <cell r="B363" t="str">
            <v>CAMPOS LÓPEZ JESÚS</v>
          </cell>
          <cell r="C363" t="str">
            <v>PEON</v>
          </cell>
          <cell r="D363">
            <v>354.88</v>
          </cell>
        </row>
        <row r="364">
          <cell r="A364">
            <v>4807</v>
          </cell>
          <cell r="B364" t="str">
            <v>RAMÍREZ ROSALES EMILIO</v>
          </cell>
          <cell r="C364" t="str">
            <v>PEON</v>
          </cell>
          <cell r="D364">
            <v>354.88</v>
          </cell>
        </row>
        <row r="365">
          <cell r="A365">
            <v>4808</v>
          </cell>
          <cell r="B365" t="str">
            <v>FLORES MORENO HÉCTOR MANUEL</v>
          </cell>
          <cell r="C365" t="str">
            <v>PEON</v>
          </cell>
          <cell r="D365">
            <v>354.88</v>
          </cell>
        </row>
        <row r="366">
          <cell r="A366">
            <v>4809</v>
          </cell>
          <cell r="B366" t="str">
            <v>SÁNCHEZ MALDONADO JOSÉ LUIS</v>
          </cell>
          <cell r="C366" t="str">
            <v>PEON</v>
          </cell>
          <cell r="D366">
            <v>354.88</v>
          </cell>
        </row>
        <row r="367">
          <cell r="A367">
            <v>4811</v>
          </cell>
          <cell r="B367" t="str">
            <v>RUVALCABA HERNÁNDEZ JESÚS</v>
          </cell>
          <cell r="C367" t="str">
            <v>OF</v>
          </cell>
          <cell r="D367">
            <v>638.79999999999995</v>
          </cell>
        </row>
        <row r="368">
          <cell r="A368">
            <v>4813</v>
          </cell>
          <cell r="B368" t="str">
            <v>DÁVALOS ÁVILA JOSÉ ÁNGEL</v>
          </cell>
          <cell r="C368" t="str">
            <v>OF</v>
          </cell>
          <cell r="D368">
            <v>638.79999999999995</v>
          </cell>
        </row>
        <row r="369">
          <cell r="A369">
            <v>4814</v>
          </cell>
          <cell r="B369" t="str">
            <v>CUESTAS RAMÍREZ JOSÉ JESÚS</v>
          </cell>
          <cell r="C369" t="str">
            <v>PEON</v>
          </cell>
          <cell r="D369">
            <v>354.88</v>
          </cell>
        </row>
        <row r="370">
          <cell r="A370">
            <v>4815</v>
          </cell>
          <cell r="B370" t="str">
            <v>NÚÑEZ MUÑOZ ESTIVEN RAUDEL</v>
          </cell>
          <cell r="C370" t="str">
            <v>PEON</v>
          </cell>
          <cell r="D370">
            <v>354.88</v>
          </cell>
        </row>
        <row r="371">
          <cell r="A371">
            <v>4816</v>
          </cell>
          <cell r="B371" t="str">
            <v>XILONZÓCHITL SALDAÑA EDUARDO FRANCISCO</v>
          </cell>
          <cell r="C371" t="str">
            <v>OF</v>
          </cell>
          <cell r="D371">
            <v>638.79999999999995</v>
          </cell>
        </row>
        <row r="372">
          <cell r="A372">
            <v>4818</v>
          </cell>
          <cell r="B372" t="str">
            <v>COVARRUBIAS ROMERO ARNULFO ULISES</v>
          </cell>
          <cell r="C372" t="str">
            <v>PEON</v>
          </cell>
          <cell r="D372">
            <v>354.88</v>
          </cell>
        </row>
        <row r="373">
          <cell r="A373">
            <v>4819</v>
          </cell>
          <cell r="B373" t="str">
            <v>SEGURA DÁVALOS CARLOS ALBERTO</v>
          </cell>
          <cell r="C373" t="str">
            <v>PEON</v>
          </cell>
          <cell r="D373">
            <v>354.88</v>
          </cell>
        </row>
        <row r="374">
          <cell r="A374">
            <v>4820</v>
          </cell>
          <cell r="B374" t="str">
            <v>RODRÍGUEZ ROJAS ÓSCAR IVÁN</v>
          </cell>
          <cell r="C374" t="str">
            <v>PEON</v>
          </cell>
          <cell r="D374">
            <v>354.88</v>
          </cell>
        </row>
        <row r="375">
          <cell r="A375">
            <v>4821</v>
          </cell>
          <cell r="B375" t="str">
            <v>OROPEZA BRIONES DAVID ISRAEL</v>
          </cell>
          <cell r="C375" t="str">
            <v>PEON</v>
          </cell>
          <cell r="D375">
            <v>354.88</v>
          </cell>
        </row>
        <row r="376">
          <cell r="A376">
            <v>4823</v>
          </cell>
          <cell r="B376" t="str">
            <v>BERNAL OCEGUEDA ABRAHAM</v>
          </cell>
          <cell r="C376" t="str">
            <v>TOPOGRAFIA</v>
          </cell>
          <cell r="D376">
            <v>1057.71</v>
          </cell>
        </row>
        <row r="377">
          <cell r="A377">
            <v>4825</v>
          </cell>
          <cell r="B377" t="str">
            <v>BELTRÁN LÓPEZ HÉCTOR</v>
          </cell>
          <cell r="C377" t="str">
            <v>PEON</v>
          </cell>
          <cell r="D377">
            <v>509.05</v>
          </cell>
        </row>
        <row r="378">
          <cell r="A378">
            <v>4826</v>
          </cell>
          <cell r="B378" t="str">
            <v>ROMÁN VÁZQUEZ DAVID EMMANUEL</v>
          </cell>
          <cell r="C378" t="str">
            <v>OF</v>
          </cell>
          <cell r="D378">
            <v>638.79999999999995</v>
          </cell>
        </row>
        <row r="379">
          <cell r="A379">
            <v>4828</v>
          </cell>
          <cell r="B379" t="str">
            <v>ENRÍQUEZ CARRETERO ÁNGEL EDUARDO</v>
          </cell>
          <cell r="C379" t="str">
            <v>PEON</v>
          </cell>
          <cell r="D379">
            <v>354.88</v>
          </cell>
        </row>
        <row r="380">
          <cell r="A380">
            <v>4829</v>
          </cell>
          <cell r="B380" t="str">
            <v>HURTADO REAL DARIÉN JEAN CARLO</v>
          </cell>
          <cell r="C380" t="str">
            <v>PEON</v>
          </cell>
          <cell r="D380">
            <v>354.88</v>
          </cell>
        </row>
        <row r="381">
          <cell r="A381">
            <v>4830</v>
          </cell>
          <cell r="B381" t="str">
            <v>ENRÍQUEZ DE LOS SANTOS SERGIO</v>
          </cell>
          <cell r="C381" t="str">
            <v>OF</v>
          </cell>
          <cell r="D381">
            <v>638.79999999999995</v>
          </cell>
        </row>
        <row r="382">
          <cell r="A382">
            <v>4831</v>
          </cell>
          <cell r="B382" t="str">
            <v>RODRÍGUEZ BRIONES JUAN LUIS</v>
          </cell>
          <cell r="C382" t="str">
            <v>OF</v>
          </cell>
          <cell r="D382">
            <v>690</v>
          </cell>
        </row>
        <row r="383">
          <cell r="A383">
            <v>4832</v>
          </cell>
          <cell r="B383" t="str">
            <v xml:space="preserve">FLORES GARCÍA SERGIO </v>
          </cell>
          <cell r="C383" t="str">
            <v>OF</v>
          </cell>
          <cell r="D383">
            <v>638.79999999999995</v>
          </cell>
        </row>
        <row r="384">
          <cell r="A384">
            <v>4833</v>
          </cell>
          <cell r="B384" t="str">
            <v>ELVIRA DE LOS SANTOS JUAN FELIPE</v>
          </cell>
          <cell r="C384" t="str">
            <v>OF</v>
          </cell>
          <cell r="D384">
            <v>638.79999999999995</v>
          </cell>
        </row>
        <row r="385">
          <cell r="A385">
            <v>4836</v>
          </cell>
          <cell r="B385" t="str">
            <v>DE LA TORRE ROSAS ÓSCAR EDUARDO</v>
          </cell>
          <cell r="C385" t="str">
            <v>PEON</v>
          </cell>
          <cell r="D385">
            <v>354.88</v>
          </cell>
        </row>
        <row r="386">
          <cell r="A386">
            <v>4837</v>
          </cell>
          <cell r="B386" t="str">
            <v xml:space="preserve">ECHEVERRÍA MENDOZA JESÚS OSWALDO </v>
          </cell>
          <cell r="C386" t="str">
            <v>PEON</v>
          </cell>
          <cell r="D386">
            <v>354.88</v>
          </cell>
        </row>
        <row r="387">
          <cell r="A387">
            <v>4838</v>
          </cell>
          <cell r="B387" t="str">
            <v>TRINIDAD TRINIDAD JOSÉ OMAR</v>
          </cell>
          <cell r="C387" t="str">
            <v>OF</v>
          </cell>
          <cell r="D387">
            <v>638.79999999999995</v>
          </cell>
        </row>
        <row r="388">
          <cell r="A388">
            <v>4839</v>
          </cell>
          <cell r="B388" t="str">
            <v>GARCÍA HERNÁNDEZ LUIS FERNANDO</v>
          </cell>
          <cell r="C388" t="str">
            <v>PEON</v>
          </cell>
          <cell r="D388">
            <v>354.88</v>
          </cell>
        </row>
        <row r="389">
          <cell r="A389">
            <v>4840</v>
          </cell>
          <cell r="B389" t="str">
            <v>VÁZQUEZ HERNÁNDEZ FRANCISCO SERVANDO</v>
          </cell>
          <cell r="C389" t="str">
            <v>PEON</v>
          </cell>
          <cell r="D389">
            <v>402.57</v>
          </cell>
        </row>
        <row r="390">
          <cell r="A390">
            <v>4841</v>
          </cell>
          <cell r="B390" t="str">
            <v>LÓPEZ HERNÁNDEZ GABRIEL</v>
          </cell>
          <cell r="C390" t="str">
            <v>OF</v>
          </cell>
          <cell r="D390">
            <v>638.79999999999995</v>
          </cell>
        </row>
        <row r="391">
          <cell r="A391">
            <v>4842</v>
          </cell>
          <cell r="B391" t="str">
            <v>SOTO SANDOVAL JAIME</v>
          </cell>
          <cell r="C391" t="str">
            <v>OF</v>
          </cell>
          <cell r="D391">
            <v>638.79999999999995</v>
          </cell>
        </row>
        <row r="392">
          <cell r="A392">
            <v>4843</v>
          </cell>
          <cell r="B392" t="str">
            <v>VELAZCO SOTO JOSÉ ALFREDO</v>
          </cell>
          <cell r="C392" t="str">
            <v>PEON</v>
          </cell>
          <cell r="D392">
            <v>354.88</v>
          </cell>
        </row>
        <row r="393">
          <cell r="A393">
            <v>4844</v>
          </cell>
          <cell r="B393" t="str">
            <v>HERNÁNDEZ GARCÍA BRANDON MISAEL</v>
          </cell>
          <cell r="C393" t="str">
            <v>PEON</v>
          </cell>
          <cell r="D393">
            <v>354.88</v>
          </cell>
        </row>
        <row r="394">
          <cell r="A394">
            <v>4845</v>
          </cell>
          <cell r="B394" t="str">
            <v>TRINIDAD RODRÍGUEZ JULIO CÉSAR</v>
          </cell>
          <cell r="C394" t="str">
            <v>OF</v>
          </cell>
          <cell r="D394">
            <v>638.79999999999995</v>
          </cell>
        </row>
        <row r="395">
          <cell r="A395">
            <v>4846</v>
          </cell>
          <cell r="B395" t="str">
            <v>DE LOS SANTOS GENTIL LUIS ALEJANDRO</v>
          </cell>
          <cell r="C395" t="str">
            <v>PEON</v>
          </cell>
          <cell r="D395">
            <v>354.88</v>
          </cell>
        </row>
        <row r="396">
          <cell r="A396">
            <v>4847</v>
          </cell>
          <cell r="B396" t="str">
            <v>OCHOA AGUILAR JOSÉ LUIS</v>
          </cell>
          <cell r="C396" t="str">
            <v>PINTOR</v>
          </cell>
          <cell r="D396">
            <v>638.79999999999995</v>
          </cell>
        </row>
        <row r="397">
          <cell r="A397">
            <v>4848</v>
          </cell>
          <cell r="B397" t="str">
            <v>CERVANTES GARCÍA JUAN DANIEL</v>
          </cell>
          <cell r="C397" t="str">
            <v>PEON</v>
          </cell>
          <cell r="D397">
            <v>354.88</v>
          </cell>
        </row>
        <row r="398">
          <cell r="A398">
            <v>4850</v>
          </cell>
          <cell r="B398" t="str">
            <v>SUÁREZ TOVAR ÓSCAR IVÁN</v>
          </cell>
          <cell r="C398" t="str">
            <v>PEON</v>
          </cell>
          <cell r="D398">
            <v>402.57</v>
          </cell>
        </row>
        <row r="399">
          <cell r="A399">
            <v>4851</v>
          </cell>
          <cell r="B399" t="str">
            <v>XILONZOCHITL AGUILAR SERGIO ADRIÁN</v>
          </cell>
          <cell r="C399" t="str">
            <v>OF</v>
          </cell>
          <cell r="D399">
            <v>638.79999999999995</v>
          </cell>
        </row>
        <row r="400">
          <cell r="A400">
            <v>4853</v>
          </cell>
          <cell r="B400" t="str">
            <v>PAREDES SÁNCHEZ IVÁN</v>
          </cell>
          <cell r="C400" t="str">
            <v>PEON</v>
          </cell>
          <cell r="D400">
            <v>354.88</v>
          </cell>
        </row>
        <row r="401">
          <cell r="A401">
            <v>4854</v>
          </cell>
          <cell r="B401" t="str">
            <v>CERVANTES GARCÍA MIGUEL ÁNGEL</v>
          </cell>
          <cell r="C401" t="str">
            <v>PEON</v>
          </cell>
          <cell r="D401">
            <v>354.88</v>
          </cell>
        </row>
        <row r="402">
          <cell r="A402">
            <v>4855</v>
          </cell>
          <cell r="B402" t="str">
            <v>GUTIÉRREZ CONTRERAS ERIK EDOARDO</v>
          </cell>
          <cell r="C402" t="str">
            <v>PEON</v>
          </cell>
          <cell r="D402">
            <v>354.88</v>
          </cell>
        </row>
        <row r="403">
          <cell r="A403">
            <v>4856</v>
          </cell>
          <cell r="B403" t="str">
            <v>XILONZOCHITL MORA JESÚS CARLOS</v>
          </cell>
          <cell r="C403" t="str">
            <v>PEON</v>
          </cell>
          <cell r="D403">
            <v>354.88</v>
          </cell>
        </row>
        <row r="404">
          <cell r="A404">
            <v>4857</v>
          </cell>
          <cell r="B404" t="str">
            <v>GUTIÉRREZ FLORES EMMANUEL</v>
          </cell>
          <cell r="C404" t="str">
            <v>PEON</v>
          </cell>
          <cell r="D404">
            <v>402.57</v>
          </cell>
        </row>
        <row r="405">
          <cell r="A405">
            <v>4860</v>
          </cell>
          <cell r="B405" t="str">
            <v>GUARDADO REYES MARTÍN</v>
          </cell>
          <cell r="C405" t="str">
            <v>PEON</v>
          </cell>
          <cell r="D405">
            <v>354.88</v>
          </cell>
        </row>
        <row r="406">
          <cell r="A406">
            <v>4861</v>
          </cell>
          <cell r="B406" t="str">
            <v>GÓMEZ SIMÓN CÉSAR EFRAÍN</v>
          </cell>
          <cell r="C406" t="str">
            <v>OF</v>
          </cell>
          <cell r="D406">
            <v>638.79999999999995</v>
          </cell>
        </row>
        <row r="407">
          <cell r="A407">
            <v>4862</v>
          </cell>
          <cell r="B407" t="str">
            <v>GUILLÉN ROMERO EMMANUEL JOSUÉ</v>
          </cell>
          <cell r="C407" t="str">
            <v>OF</v>
          </cell>
          <cell r="D407">
            <v>638.79999999999995</v>
          </cell>
        </row>
        <row r="408">
          <cell r="A408">
            <v>4863</v>
          </cell>
          <cell r="B408" t="str">
            <v>RODRÍGUEZ RODRÍGUEZ JUAN LUIS</v>
          </cell>
          <cell r="C408" t="str">
            <v>PEON</v>
          </cell>
          <cell r="D408">
            <v>474</v>
          </cell>
        </row>
        <row r="409">
          <cell r="A409">
            <v>4864</v>
          </cell>
          <cell r="B409" t="str">
            <v>ALDANA SÁNCHEZ JAIME RODOLFO</v>
          </cell>
          <cell r="C409" t="str">
            <v>PEON</v>
          </cell>
          <cell r="D409">
            <v>354.88</v>
          </cell>
        </row>
        <row r="410">
          <cell r="A410">
            <v>4867</v>
          </cell>
          <cell r="B410" t="str">
            <v>GARCÍA GANCEDA PABLO YOSIMAR</v>
          </cell>
          <cell r="C410" t="str">
            <v>PEON</v>
          </cell>
          <cell r="D410">
            <v>354.88</v>
          </cell>
        </row>
        <row r="411">
          <cell r="A411">
            <v>4868</v>
          </cell>
          <cell r="B411" t="str">
            <v>ÁLVAREZ VALENCIA RAMÓN</v>
          </cell>
          <cell r="C411" t="str">
            <v>PEON</v>
          </cell>
          <cell r="D411">
            <v>354.88</v>
          </cell>
        </row>
        <row r="412">
          <cell r="A412">
            <v>4870</v>
          </cell>
          <cell r="B412" t="str">
            <v>SOLÓRZANO MÉNDEZ FRANCISCO</v>
          </cell>
          <cell r="C412" t="str">
            <v>PEON</v>
          </cell>
          <cell r="D412">
            <v>354.88</v>
          </cell>
        </row>
        <row r="413">
          <cell r="A413">
            <v>4871</v>
          </cell>
          <cell r="B413" t="str">
            <v>MEDINA JIMÉNEZ J. SANTOS</v>
          </cell>
          <cell r="C413" t="str">
            <v>PEON</v>
          </cell>
          <cell r="D413">
            <v>354.88</v>
          </cell>
        </row>
        <row r="414">
          <cell r="A414">
            <v>4872</v>
          </cell>
          <cell r="B414" t="str">
            <v>ARTEAGA CORTÉS NOÉ JULIÁN</v>
          </cell>
          <cell r="C414" t="str">
            <v>PEON</v>
          </cell>
          <cell r="D414">
            <v>354.88</v>
          </cell>
        </row>
        <row r="415">
          <cell r="A415">
            <v>4873</v>
          </cell>
          <cell r="B415" t="str">
            <v>REYES BARRAGÁN MANUEL</v>
          </cell>
          <cell r="C415" t="str">
            <v>PEON</v>
          </cell>
          <cell r="D415">
            <v>354.88</v>
          </cell>
        </row>
        <row r="416">
          <cell r="A416">
            <v>4875</v>
          </cell>
          <cell r="B416" t="str">
            <v>MARÍN TINOCO ÉDGAR</v>
          </cell>
          <cell r="C416" t="str">
            <v>PEON</v>
          </cell>
          <cell r="D416">
            <v>354.88</v>
          </cell>
        </row>
        <row r="417">
          <cell r="A417">
            <v>4876</v>
          </cell>
          <cell r="B417" t="str">
            <v>RAMOS GONZÁLEZ ÁNGEL GABRIEL</v>
          </cell>
          <cell r="C417" t="str">
            <v>PEON</v>
          </cell>
          <cell r="D417">
            <v>354.88</v>
          </cell>
        </row>
        <row r="418">
          <cell r="A418">
            <v>4880</v>
          </cell>
          <cell r="B418" t="str">
            <v>MARQUEZ CAMPOS VLADIMIR ULISES</v>
          </cell>
          <cell r="C418" t="str">
            <v>PEON</v>
          </cell>
          <cell r="D418">
            <v>354.88</v>
          </cell>
        </row>
        <row r="419">
          <cell r="A419">
            <v>4881</v>
          </cell>
          <cell r="B419" t="str">
            <v>MOLINA MORENO GUSTAVO</v>
          </cell>
          <cell r="C419" t="str">
            <v>PEON</v>
          </cell>
          <cell r="D419">
            <v>354.88</v>
          </cell>
        </row>
        <row r="420">
          <cell r="A420">
            <v>4882</v>
          </cell>
          <cell r="B420" t="str">
            <v>ROMERO RENTERÍA PEDRO</v>
          </cell>
          <cell r="C420" t="str">
            <v>PEON</v>
          </cell>
          <cell r="D420">
            <v>354.88</v>
          </cell>
        </row>
        <row r="421">
          <cell r="A421">
            <v>4883</v>
          </cell>
          <cell r="B421" t="str">
            <v>LEÓN RANGEL JUAN GABRIEL</v>
          </cell>
          <cell r="C421" t="str">
            <v>PEON</v>
          </cell>
          <cell r="D421">
            <v>354.88</v>
          </cell>
        </row>
        <row r="422">
          <cell r="A422">
            <v>4884</v>
          </cell>
          <cell r="B422" t="str">
            <v>VILLANUEVA SILVA JESÚS</v>
          </cell>
          <cell r="C422" t="str">
            <v>PEON</v>
          </cell>
          <cell r="D422">
            <v>354.88</v>
          </cell>
        </row>
        <row r="423">
          <cell r="A423">
            <v>4888</v>
          </cell>
          <cell r="B423" t="str">
            <v>MARÍN TINOCO FROILÁN</v>
          </cell>
          <cell r="C423" t="str">
            <v>PEON</v>
          </cell>
          <cell r="D423">
            <v>354.88</v>
          </cell>
        </row>
        <row r="424">
          <cell r="A424">
            <v>4889</v>
          </cell>
          <cell r="B424" t="str">
            <v>CASTAÑEDA ÁLVAREZ FERNANDO JESÚS</v>
          </cell>
          <cell r="C424" t="str">
            <v>PEON</v>
          </cell>
          <cell r="D424">
            <v>354.88</v>
          </cell>
        </row>
        <row r="425">
          <cell r="A425">
            <v>4890</v>
          </cell>
          <cell r="B425" t="str">
            <v>TORRES VALENCIA EDUARDO</v>
          </cell>
          <cell r="C425" t="str">
            <v>PEON</v>
          </cell>
          <cell r="D425">
            <v>354.88</v>
          </cell>
        </row>
        <row r="426">
          <cell r="A426">
            <v>4891</v>
          </cell>
          <cell r="B426" t="str">
            <v>ESTRADA DE LA CRUZ MARÍA CRUZ</v>
          </cell>
          <cell r="C426" t="str">
            <v>PEON</v>
          </cell>
          <cell r="D426">
            <v>354.88</v>
          </cell>
        </row>
        <row r="427">
          <cell r="A427">
            <v>4893</v>
          </cell>
          <cell r="B427" t="str">
            <v>VÁZQUEZ HERNÁNDEZ JOSÉ DE JESÚS</v>
          </cell>
          <cell r="C427" t="str">
            <v>PEON</v>
          </cell>
          <cell r="D427">
            <v>354.88</v>
          </cell>
        </row>
        <row r="428">
          <cell r="A428">
            <v>4894</v>
          </cell>
          <cell r="B428" t="str">
            <v>CÓRDOVA HERNÁNDEZ CARLOS</v>
          </cell>
          <cell r="C428" t="str">
            <v>PEON</v>
          </cell>
          <cell r="D428">
            <v>354.88</v>
          </cell>
        </row>
        <row r="429">
          <cell r="A429">
            <v>4895</v>
          </cell>
          <cell r="B429" t="str">
            <v>SUÁREZ GUERRERO HÉCTOR</v>
          </cell>
          <cell r="C429" t="str">
            <v>PEON</v>
          </cell>
          <cell r="D429">
            <v>354.88</v>
          </cell>
        </row>
        <row r="430">
          <cell r="A430">
            <v>4896</v>
          </cell>
          <cell r="B430" t="str">
            <v>SUÁREZ GUERRERO AGUSTÍN</v>
          </cell>
          <cell r="C430" t="str">
            <v>PEON</v>
          </cell>
          <cell r="D430">
            <v>354.88</v>
          </cell>
        </row>
        <row r="431">
          <cell r="A431">
            <v>4897</v>
          </cell>
          <cell r="B431" t="str">
            <v>SILVA MEZA FRANCISCO EMMANUEL</v>
          </cell>
          <cell r="C431" t="str">
            <v>PEON</v>
          </cell>
          <cell r="D431">
            <v>354.88</v>
          </cell>
        </row>
        <row r="432">
          <cell r="A432">
            <v>4898</v>
          </cell>
          <cell r="B432" t="str">
            <v>GARCÍA IBARRA DANIEL</v>
          </cell>
          <cell r="C432" t="str">
            <v>PEON</v>
          </cell>
          <cell r="D432">
            <v>354.88</v>
          </cell>
        </row>
        <row r="433">
          <cell r="A433">
            <v>4899</v>
          </cell>
          <cell r="B433" t="str">
            <v>ENRÍQUEZ XILONXÓCHITL OMAR OSVALDO</v>
          </cell>
          <cell r="C433" t="str">
            <v>PEON</v>
          </cell>
          <cell r="D433">
            <v>354.88</v>
          </cell>
        </row>
        <row r="434">
          <cell r="A434">
            <v>4900</v>
          </cell>
          <cell r="B434" t="str">
            <v>VÁZQUEZ MENA SAMUEL ISRAEL</v>
          </cell>
          <cell r="C434" t="str">
            <v>OF</v>
          </cell>
          <cell r="D434">
            <v>638.79999999999995</v>
          </cell>
        </row>
        <row r="435">
          <cell r="A435">
            <v>4901</v>
          </cell>
          <cell r="B435" t="str">
            <v>ALATORRE BORRAYO MIGUEL ÁNGEL</v>
          </cell>
          <cell r="C435" t="str">
            <v>PEON</v>
          </cell>
          <cell r="D435">
            <v>354.88</v>
          </cell>
        </row>
        <row r="436">
          <cell r="A436">
            <v>4902</v>
          </cell>
          <cell r="B436" t="str">
            <v>BALBINO GRAJEDA PEDRO EDUARDO</v>
          </cell>
          <cell r="C436" t="str">
            <v>PEON</v>
          </cell>
          <cell r="D436">
            <v>354.88</v>
          </cell>
        </row>
        <row r="437">
          <cell r="A437">
            <v>4903</v>
          </cell>
          <cell r="B437" t="str">
            <v>LÓPEZ HERNÁNDEZ HÉCTOR</v>
          </cell>
          <cell r="C437" t="str">
            <v>VELADOR</v>
          </cell>
          <cell r="D437">
            <v>354.88</v>
          </cell>
        </row>
        <row r="438">
          <cell r="A438">
            <v>4905</v>
          </cell>
          <cell r="B438" t="str">
            <v xml:space="preserve">RODRÍGUEZ GARZA JESÚS </v>
          </cell>
          <cell r="C438" t="str">
            <v>OF</v>
          </cell>
          <cell r="D438">
            <v>690</v>
          </cell>
        </row>
        <row r="439">
          <cell r="A439">
            <v>4906</v>
          </cell>
          <cell r="B439" t="str">
            <v>RODRÍGUEZ HUÍZAR CHRISTOPHER EMMANUEL</v>
          </cell>
          <cell r="C439" t="str">
            <v>PEON</v>
          </cell>
          <cell r="D439">
            <v>354.88</v>
          </cell>
        </row>
        <row r="440">
          <cell r="A440">
            <v>4907</v>
          </cell>
          <cell r="B440" t="str">
            <v>ROCHA DELGADO ALEJANDRO</v>
          </cell>
          <cell r="C440" t="str">
            <v>PEON</v>
          </cell>
          <cell r="D440">
            <v>522.59</v>
          </cell>
        </row>
        <row r="441">
          <cell r="A441">
            <v>4908</v>
          </cell>
          <cell r="B441" t="str">
            <v>MÉNDEZ VÉLEZ AGUSTÍN</v>
          </cell>
          <cell r="C441" t="str">
            <v>PINTOR</v>
          </cell>
          <cell r="D441">
            <v>690</v>
          </cell>
        </row>
        <row r="442">
          <cell r="A442">
            <v>4909</v>
          </cell>
          <cell r="B442" t="str">
            <v>ESCOTO MENDOZA LUIS ÁNGEL</v>
          </cell>
          <cell r="C442" t="str">
            <v>PEON</v>
          </cell>
          <cell r="D442">
            <v>354.88</v>
          </cell>
        </row>
        <row r="443">
          <cell r="A443">
            <v>4910</v>
          </cell>
          <cell r="B443" t="str">
            <v>VILLA LÓPEZ JOSÉ EFRAÍN</v>
          </cell>
          <cell r="C443" t="str">
            <v>OF</v>
          </cell>
          <cell r="D443">
            <v>638.79999999999995</v>
          </cell>
        </row>
        <row r="444">
          <cell r="A444">
            <v>4911</v>
          </cell>
          <cell r="B444" t="str">
            <v>VILLA LÓPEZ AMADO</v>
          </cell>
          <cell r="C444" t="str">
            <v>OF</v>
          </cell>
          <cell r="D444">
            <v>638.79999999999995</v>
          </cell>
        </row>
        <row r="445">
          <cell r="A445">
            <v>4912</v>
          </cell>
          <cell r="B445" t="str">
            <v>HERRERA PINEDA HÉCTOR</v>
          </cell>
          <cell r="C445" t="str">
            <v>OF</v>
          </cell>
          <cell r="D445">
            <v>638.79999999999995</v>
          </cell>
        </row>
        <row r="446">
          <cell r="A446">
            <v>4913</v>
          </cell>
          <cell r="B446" t="str">
            <v>GONZÁLEZ DANIEL JOSÉ BRAULIO</v>
          </cell>
          <cell r="C446" t="str">
            <v>PEON</v>
          </cell>
          <cell r="D446">
            <v>405</v>
          </cell>
        </row>
        <row r="447">
          <cell r="A447">
            <v>4915</v>
          </cell>
          <cell r="B447" t="str">
            <v>SALAZAR BAUTISTA ERICK EDUARDO</v>
          </cell>
          <cell r="C447" t="str">
            <v>PEON</v>
          </cell>
          <cell r="D447">
            <v>354.88</v>
          </cell>
        </row>
        <row r="448">
          <cell r="A448">
            <v>4916</v>
          </cell>
          <cell r="B448" t="str">
            <v>RODRÍGUEZ BRIONES RICARDO</v>
          </cell>
          <cell r="C448" t="str">
            <v>OF</v>
          </cell>
          <cell r="D448">
            <v>638.79999999999995</v>
          </cell>
        </row>
        <row r="449">
          <cell r="A449">
            <v>4917</v>
          </cell>
          <cell r="B449" t="str">
            <v>VILLA LÓPEZ ISAAC</v>
          </cell>
          <cell r="C449" t="str">
            <v>OF</v>
          </cell>
          <cell r="D449">
            <v>638.79999999999995</v>
          </cell>
        </row>
        <row r="450">
          <cell r="A450">
            <v>4918</v>
          </cell>
          <cell r="B450" t="str">
            <v>OCHOA AGUILAR JUAN PEDRO</v>
          </cell>
          <cell r="C450" t="str">
            <v>PEON</v>
          </cell>
          <cell r="D450">
            <v>354.88</v>
          </cell>
        </row>
        <row r="451">
          <cell r="A451">
            <v>4919</v>
          </cell>
          <cell r="B451" t="str">
            <v>MORQUECHO PLASCENCIA MARCO GUSTAVO</v>
          </cell>
          <cell r="C451" t="str">
            <v>PEON</v>
          </cell>
          <cell r="D451">
            <v>354.88</v>
          </cell>
        </row>
        <row r="452">
          <cell r="A452">
            <v>4920</v>
          </cell>
          <cell r="B452" t="str">
            <v>PINTO MARES VÍCTOR HUGO</v>
          </cell>
          <cell r="C452" t="str">
            <v>OF</v>
          </cell>
          <cell r="D452">
            <v>871.56</v>
          </cell>
        </row>
        <row r="453">
          <cell r="A453">
            <v>4921</v>
          </cell>
          <cell r="B453" t="str">
            <v>GUTIÉRREZ BARBOSA JOSUÉ ALEXANDER</v>
          </cell>
          <cell r="C453" t="str">
            <v>PEON</v>
          </cell>
          <cell r="D453">
            <v>509.05</v>
          </cell>
          <cell r="E453"/>
          <cell r="F453"/>
        </row>
        <row r="454">
          <cell r="A454">
            <v>4924</v>
          </cell>
          <cell r="B454" t="str">
            <v>VALENTÍN MENDOZA JUAN DIEGO</v>
          </cell>
          <cell r="C454" t="str">
            <v>PEON</v>
          </cell>
          <cell r="D454">
            <v>354.88</v>
          </cell>
        </row>
        <row r="455">
          <cell r="A455">
            <v>4928</v>
          </cell>
          <cell r="B455" t="str">
            <v>FLORES SÁNCHEZ HÉCTOR ARMANDO</v>
          </cell>
          <cell r="C455" t="str">
            <v>PEON</v>
          </cell>
          <cell r="D455">
            <v>509.05</v>
          </cell>
        </row>
        <row r="456">
          <cell r="A456">
            <v>4930</v>
          </cell>
          <cell r="B456" t="str">
            <v>VERA CAMACHO JOSÉ MANUEL</v>
          </cell>
          <cell r="C456" t="str">
            <v>PEON</v>
          </cell>
          <cell r="D456">
            <v>354.88</v>
          </cell>
        </row>
        <row r="457">
          <cell r="A457">
            <v>4932</v>
          </cell>
          <cell r="B457" t="str">
            <v>VERA CAMACHO MARIO</v>
          </cell>
          <cell r="C457" t="str">
            <v>PEON</v>
          </cell>
          <cell r="D457">
            <v>354.88</v>
          </cell>
        </row>
        <row r="458">
          <cell r="A458">
            <v>4933</v>
          </cell>
          <cell r="B458" t="str">
            <v>RODRÍGUEZ MURILLO MIGUEL ÁNGEL</v>
          </cell>
          <cell r="C458" t="str">
            <v>CHOFER</v>
          </cell>
          <cell r="D458">
            <v>367.69</v>
          </cell>
        </row>
        <row r="459">
          <cell r="A459">
            <v>4934</v>
          </cell>
          <cell r="B459" t="str">
            <v>MORALES JUÁREZ DIDIER</v>
          </cell>
          <cell r="C459" t="str">
            <v>OF</v>
          </cell>
          <cell r="D459">
            <v>638.79999999999995</v>
          </cell>
        </row>
        <row r="460">
          <cell r="A460">
            <v>4935</v>
          </cell>
          <cell r="B460" t="str">
            <v>ORTIZ ROBLES JOSÉ NOÉ</v>
          </cell>
          <cell r="C460" t="str">
            <v>OF</v>
          </cell>
          <cell r="D460">
            <v>690</v>
          </cell>
        </row>
        <row r="461">
          <cell r="A461">
            <v>4936</v>
          </cell>
          <cell r="B461" t="str">
            <v>VIDALES MELÉNDEZ FILIBERTO</v>
          </cell>
          <cell r="C461" t="str">
            <v>OF</v>
          </cell>
          <cell r="D461">
            <v>690</v>
          </cell>
        </row>
        <row r="462">
          <cell r="A462">
            <v>4937</v>
          </cell>
          <cell r="B462" t="str">
            <v>NAVA ESPÍRITU JOSÉ DE JESÚS</v>
          </cell>
          <cell r="C462" t="str">
            <v>PEON</v>
          </cell>
          <cell r="D462">
            <v>354.88</v>
          </cell>
        </row>
        <row r="463">
          <cell r="A463">
            <v>4938</v>
          </cell>
          <cell r="B463" t="str">
            <v>DÍAZ NAVA JOSÉ ALBERTO</v>
          </cell>
          <cell r="C463" t="str">
            <v>PEON</v>
          </cell>
          <cell r="D463">
            <v>354.88</v>
          </cell>
        </row>
        <row r="464">
          <cell r="A464">
            <v>4939</v>
          </cell>
          <cell r="B464" t="str">
            <v>HERNÁNDEZ CLEMENTE ATLAI</v>
          </cell>
          <cell r="C464" t="str">
            <v>PEON</v>
          </cell>
          <cell r="D464">
            <v>405</v>
          </cell>
        </row>
        <row r="465">
          <cell r="A465">
            <v>4940</v>
          </cell>
          <cell r="B465" t="str">
            <v>GONZÁLEZ HERNÁNDEZ LUIS ALBERTO</v>
          </cell>
          <cell r="C465" t="str">
            <v>PEON</v>
          </cell>
          <cell r="D465">
            <v>354.88</v>
          </cell>
        </row>
        <row r="466">
          <cell r="A466">
            <v>4941</v>
          </cell>
          <cell r="B466" t="str">
            <v>ORTIZ ROBLES MOISÉS</v>
          </cell>
          <cell r="C466" t="str">
            <v>OF</v>
          </cell>
          <cell r="D466">
            <v>638.79999999999995</v>
          </cell>
        </row>
        <row r="467">
          <cell r="A467">
            <v>4942</v>
          </cell>
          <cell r="B467" t="str">
            <v>VELÁZQUEZ GARROCHO CRISTIAN ISRAEL</v>
          </cell>
          <cell r="C467" t="str">
            <v>OF</v>
          </cell>
          <cell r="D467">
            <v>638.79999999999995</v>
          </cell>
        </row>
        <row r="468">
          <cell r="A468">
            <v>4943</v>
          </cell>
          <cell r="B468" t="str">
            <v>ESCOTO IBARRA JOSÉ LUIS</v>
          </cell>
          <cell r="C468" t="str">
            <v>OF</v>
          </cell>
          <cell r="D468">
            <v>638.79999999999995</v>
          </cell>
        </row>
        <row r="469">
          <cell r="A469">
            <v>4944</v>
          </cell>
          <cell r="B469" t="str">
            <v>LÓPEZ LÓPEZ ADRIÁN</v>
          </cell>
          <cell r="C469" t="str">
            <v>PEON</v>
          </cell>
          <cell r="D469">
            <v>354.88</v>
          </cell>
        </row>
        <row r="470">
          <cell r="A470">
            <v>4945</v>
          </cell>
          <cell r="B470" t="str">
            <v>VÁZQUEZ GALINDO OMAR AGUSTÍN</v>
          </cell>
          <cell r="C470" t="str">
            <v>PEON</v>
          </cell>
          <cell r="D470">
            <v>354.88</v>
          </cell>
        </row>
        <row r="471">
          <cell r="A471">
            <v>4946</v>
          </cell>
          <cell r="B471" t="str">
            <v>AGUILAR VILLA ABEL</v>
          </cell>
          <cell r="C471" t="str">
            <v>OF</v>
          </cell>
          <cell r="D471">
            <v>638.79999999999995</v>
          </cell>
        </row>
        <row r="472">
          <cell r="A472">
            <v>4947</v>
          </cell>
          <cell r="B472" t="str">
            <v>TRINIDAD BECERRA CARLOS ADRIÁN</v>
          </cell>
          <cell r="C472" t="str">
            <v>PEON</v>
          </cell>
          <cell r="D472">
            <v>354.88</v>
          </cell>
        </row>
        <row r="473">
          <cell r="A473">
            <v>4948</v>
          </cell>
          <cell r="B473" t="str">
            <v>CARRILLO GUTIÉRREZ MIGUEL ÁNGEL</v>
          </cell>
          <cell r="C473" t="str">
            <v>OF</v>
          </cell>
          <cell r="D473">
            <v>638.79999999999995</v>
          </cell>
        </row>
        <row r="474">
          <cell r="A474">
            <v>4949</v>
          </cell>
          <cell r="B474" t="str">
            <v>MARTÍNEZ FAJARDO VÍCTOR MIGUEL</v>
          </cell>
          <cell r="C474" t="str">
            <v>OF</v>
          </cell>
          <cell r="D474">
            <v>638.79999999999995</v>
          </cell>
        </row>
        <row r="475">
          <cell r="A475">
            <v>4951</v>
          </cell>
          <cell r="B475" t="str">
            <v>SÁNCHEZ QUINTERO ARTURO EMMANUEL</v>
          </cell>
          <cell r="C475" t="str">
            <v>PEON</v>
          </cell>
          <cell r="D475">
            <v>354.88</v>
          </cell>
          <cell r="E475"/>
          <cell r="F475"/>
        </row>
        <row r="476">
          <cell r="A476">
            <v>4952</v>
          </cell>
          <cell r="B476" t="str">
            <v>SÁNCHEZ CHACÓN JORGE</v>
          </cell>
          <cell r="C476" t="str">
            <v>PEON</v>
          </cell>
          <cell r="D476">
            <v>354.88</v>
          </cell>
        </row>
        <row r="477">
          <cell r="A477">
            <v>4953</v>
          </cell>
          <cell r="B477" t="str">
            <v>SERRANO HERNÁNDEZ JOSÉ OMAR</v>
          </cell>
          <cell r="C477" t="str">
            <v>PEON</v>
          </cell>
          <cell r="D477">
            <v>354.88</v>
          </cell>
        </row>
        <row r="478">
          <cell r="A478">
            <v>4954</v>
          </cell>
          <cell r="B478" t="str">
            <v>REYES RODRÍGUEZ VÍCTOR MANUEL</v>
          </cell>
          <cell r="C478" t="str">
            <v>PEON</v>
          </cell>
          <cell r="D478">
            <v>354.88</v>
          </cell>
        </row>
        <row r="479">
          <cell r="A479">
            <v>4955</v>
          </cell>
          <cell r="B479" t="str">
            <v>TRINIDAD NÚÑEZ EFRAÍN</v>
          </cell>
          <cell r="C479" t="str">
            <v>OF</v>
          </cell>
          <cell r="D479">
            <v>638.79999999999995</v>
          </cell>
        </row>
        <row r="480">
          <cell r="A480">
            <v>4956</v>
          </cell>
          <cell r="B480" t="str">
            <v>MEDINA AYALA LUIS ANTONIO</v>
          </cell>
          <cell r="C480" t="str">
            <v>PEON</v>
          </cell>
          <cell r="D480">
            <v>354.88</v>
          </cell>
        </row>
        <row r="481">
          <cell r="A481">
            <v>4957</v>
          </cell>
          <cell r="B481" t="str">
            <v>TRINIDAD NÚÑEZ IVÁN ALBINO</v>
          </cell>
          <cell r="C481" t="str">
            <v>OF</v>
          </cell>
          <cell r="D481">
            <v>638.79999999999995</v>
          </cell>
        </row>
        <row r="482">
          <cell r="A482">
            <v>4958</v>
          </cell>
          <cell r="B482" t="str">
            <v>MENDOZA ESPÍRITU FERNANDO JOSÉ</v>
          </cell>
          <cell r="C482" t="str">
            <v>OF</v>
          </cell>
          <cell r="D482">
            <v>638.79999999999995</v>
          </cell>
        </row>
        <row r="483">
          <cell r="A483">
            <v>4959</v>
          </cell>
          <cell r="B483" t="str">
            <v>TRINIDAD NÚÑEZ BERNARDO</v>
          </cell>
          <cell r="C483" t="str">
            <v>OF</v>
          </cell>
          <cell r="D483">
            <v>638.79999999999995</v>
          </cell>
        </row>
        <row r="484">
          <cell r="A484">
            <v>4960</v>
          </cell>
          <cell r="B484" t="str">
            <v>LÓPEZ RODRÍGUEZ ERASMO</v>
          </cell>
          <cell r="C484" t="str">
            <v>PEON</v>
          </cell>
          <cell r="D484">
            <v>354.88</v>
          </cell>
        </row>
        <row r="485">
          <cell r="A485">
            <v>4961</v>
          </cell>
          <cell r="B485" t="str">
            <v>TOSCANO VÁZQUEZ OMAR GUADALUPE</v>
          </cell>
          <cell r="C485" t="str">
            <v>OF</v>
          </cell>
          <cell r="D485">
            <v>638.79999999999995</v>
          </cell>
        </row>
        <row r="486">
          <cell r="A486">
            <v>4962</v>
          </cell>
          <cell r="B486" t="str">
            <v>GARCÍA DE LA TORRE JESÚS ALBERTO</v>
          </cell>
          <cell r="C486" t="str">
            <v>OF</v>
          </cell>
          <cell r="D486">
            <v>638.79999999999995</v>
          </cell>
        </row>
        <row r="487">
          <cell r="A487">
            <v>4963</v>
          </cell>
          <cell r="B487" t="str">
            <v>NAVA SÁNCHEZ JORGE</v>
          </cell>
          <cell r="C487" t="str">
            <v>PEON</v>
          </cell>
          <cell r="D487">
            <v>354.88</v>
          </cell>
        </row>
        <row r="488">
          <cell r="A488">
            <v>4964</v>
          </cell>
          <cell r="B488" t="str">
            <v>TRINIDAD CARRILLO CÉSAR</v>
          </cell>
          <cell r="C488" t="str">
            <v>OF</v>
          </cell>
          <cell r="D488">
            <v>638.79999999999995</v>
          </cell>
        </row>
        <row r="489">
          <cell r="A489">
            <v>4965</v>
          </cell>
          <cell r="B489" t="str">
            <v>CABRERA CRUZ ÉDGAR GERARDO</v>
          </cell>
          <cell r="C489" t="str">
            <v>PEON</v>
          </cell>
          <cell r="D489">
            <v>354.88</v>
          </cell>
        </row>
        <row r="490">
          <cell r="A490">
            <v>4966</v>
          </cell>
          <cell r="B490" t="str">
            <v>VELÁZQUEZ TALAVERA LEOPOLDO</v>
          </cell>
          <cell r="C490" t="str">
            <v>PEON</v>
          </cell>
          <cell r="D490">
            <v>354.88</v>
          </cell>
        </row>
        <row r="491">
          <cell r="A491">
            <v>4967</v>
          </cell>
          <cell r="B491" t="str">
            <v>DE LA TORRE ROSAS KEVIN OSVALDO</v>
          </cell>
          <cell r="C491" t="str">
            <v>PEON</v>
          </cell>
          <cell r="D491">
            <v>354.88</v>
          </cell>
        </row>
        <row r="492">
          <cell r="A492">
            <v>4968</v>
          </cell>
          <cell r="B492" t="str">
            <v>GUTIÉRREZ VILLA CARLOS CECILIO</v>
          </cell>
          <cell r="C492" t="str">
            <v>PEON</v>
          </cell>
          <cell r="D492">
            <v>354.88</v>
          </cell>
        </row>
        <row r="493">
          <cell r="A493">
            <v>4969</v>
          </cell>
          <cell r="B493" t="str">
            <v>ÁRIAS ÁVALOS OSVALDO DAMIÁN</v>
          </cell>
          <cell r="C493" t="str">
            <v>PEON</v>
          </cell>
          <cell r="D493">
            <v>354.88</v>
          </cell>
        </row>
        <row r="494">
          <cell r="A494">
            <v>4970</v>
          </cell>
          <cell r="B494" t="str">
            <v>GARCÍA GARCÍA VALENTE</v>
          </cell>
          <cell r="C494" t="str">
            <v>OF</v>
          </cell>
          <cell r="D494">
            <v>638.79999999999995</v>
          </cell>
        </row>
        <row r="495">
          <cell r="A495">
            <v>4971</v>
          </cell>
          <cell r="B495" t="str">
            <v>SAUCEDO FLORES MICHEL</v>
          </cell>
          <cell r="C495" t="str">
            <v>OF</v>
          </cell>
          <cell r="D495">
            <v>638.79999999999995</v>
          </cell>
        </row>
        <row r="496">
          <cell r="A496">
            <v>4972</v>
          </cell>
          <cell r="B496" t="str">
            <v>CARRANZA JIMÉNEZ BENJAMÍN AUSTREBERTO</v>
          </cell>
          <cell r="C496" t="str">
            <v>OF</v>
          </cell>
          <cell r="D496">
            <v>638.79999999999995</v>
          </cell>
        </row>
        <row r="497">
          <cell r="A497">
            <v>4973</v>
          </cell>
          <cell r="B497" t="str">
            <v>MARTÍNEZ CÓRDOVA JOSÉ RAÚL</v>
          </cell>
          <cell r="C497" t="str">
            <v>PEON</v>
          </cell>
          <cell r="D497">
            <v>354.88</v>
          </cell>
        </row>
        <row r="498">
          <cell r="A498">
            <v>4974</v>
          </cell>
          <cell r="B498" t="str">
            <v>JUSTO TORRES ISMAEL</v>
          </cell>
          <cell r="C498" t="str">
            <v>OF</v>
          </cell>
          <cell r="D498">
            <v>638.79999999999995</v>
          </cell>
        </row>
        <row r="499">
          <cell r="A499">
            <v>4975</v>
          </cell>
          <cell r="B499" t="str">
            <v>GARCÍA AGUILAR ÓSCAR</v>
          </cell>
          <cell r="C499" t="str">
            <v>PEON</v>
          </cell>
          <cell r="D499">
            <v>354.88</v>
          </cell>
        </row>
        <row r="500">
          <cell r="A500">
            <v>4976</v>
          </cell>
          <cell r="B500" t="str">
            <v>GARCÍA GARCÍA CARLOS EDUARDO</v>
          </cell>
          <cell r="C500" t="str">
            <v>PEON</v>
          </cell>
          <cell r="D500">
            <v>405</v>
          </cell>
        </row>
        <row r="501">
          <cell r="A501">
            <v>4977</v>
          </cell>
          <cell r="B501" t="str">
            <v>GARCÍA GUZMÁN ELIZABETH</v>
          </cell>
          <cell r="C501" t="str">
            <v>PEON</v>
          </cell>
          <cell r="D501">
            <v>354.88</v>
          </cell>
        </row>
        <row r="502">
          <cell r="A502">
            <v>4978</v>
          </cell>
          <cell r="B502" t="str">
            <v>JUSTO TORRES JOSÉ MARÍA</v>
          </cell>
          <cell r="C502" t="str">
            <v>OF</v>
          </cell>
          <cell r="D502">
            <v>638.79999999999995</v>
          </cell>
        </row>
        <row r="503">
          <cell r="A503">
            <v>4980</v>
          </cell>
          <cell r="B503" t="str">
            <v>FLORES RUIZ SERGIO YAHIR</v>
          </cell>
          <cell r="C503" t="str">
            <v>AYUDANTE MECÁNICO</v>
          </cell>
          <cell r="D503">
            <v>269.99</v>
          </cell>
        </row>
        <row r="504">
          <cell r="A504">
            <v>4981</v>
          </cell>
          <cell r="B504" t="str">
            <v>VIRAMONTES SALAMANCA ALBERTÍN</v>
          </cell>
          <cell r="C504" t="str">
            <v>PEON</v>
          </cell>
          <cell r="D504">
            <v>354.88</v>
          </cell>
        </row>
        <row r="505">
          <cell r="A505">
            <v>4982</v>
          </cell>
          <cell r="B505" t="str">
            <v>ÁVILA GONZÁLEZ RICARDO EMANUEL</v>
          </cell>
          <cell r="C505" t="str">
            <v>PEON</v>
          </cell>
          <cell r="D505">
            <v>354.88</v>
          </cell>
        </row>
        <row r="506">
          <cell r="A506">
            <v>4983</v>
          </cell>
          <cell r="B506" t="str">
            <v>ROJAS PÉREZ MANUEL</v>
          </cell>
          <cell r="C506" t="str">
            <v>OF</v>
          </cell>
          <cell r="D506">
            <v>638.79999999999995</v>
          </cell>
          <cell r="E506"/>
          <cell r="F506"/>
        </row>
        <row r="507">
          <cell r="A507">
            <v>4985</v>
          </cell>
          <cell r="B507" t="str">
            <v>HERNÁNDEZ HERNÁNDEZ JAIME</v>
          </cell>
          <cell r="C507" t="str">
            <v>OF</v>
          </cell>
          <cell r="D507">
            <v>638.79999999999995</v>
          </cell>
        </row>
        <row r="508">
          <cell r="A508">
            <v>4986</v>
          </cell>
          <cell r="B508" t="str">
            <v>MARTÍNEZ GONZÁLEZ JULIO CÉSAR</v>
          </cell>
          <cell r="C508" t="str">
            <v>PEON</v>
          </cell>
          <cell r="D508">
            <v>354.88</v>
          </cell>
        </row>
        <row r="509">
          <cell r="A509">
            <v>4987</v>
          </cell>
          <cell r="B509" t="str">
            <v>VILLA DÍAZ JOSÉ ARMANDO</v>
          </cell>
          <cell r="C509" t="str">
            <v>PEON</v>
          </cell>
          <cell r="D509">
            <v>354.88</v>
          </cell>
        </row>
        <row r="510">
          <cell r="A510">
            <v>4989</v>
          </cell>
          <cell r="B510" t="str">
            <v>BRACAMONTES GONZÁLEZ ELENA GORETTY</v>
          </cell>
          <cell r="C510" t="str">
            <v>PEON</v>
          </cell>
          <cell r="D510">
            <v>354.88</v>
          </cell>
        </row>
        <row r="511">
          <cell r="A511">
            <v>4990</v>
          </cell>
          <cell r="B511" t="str">
            <v>LÓPEZ GONZÁLEZ ANDRÉS</v>
          </cell>
          <cell r="C511" t="str">
            <v>PEON</v>
          </cell>
          <cell r="D511">
            <v>354.88</v>
          </cell>
        </row>
        <row r="512">
          <cell r="A512">
            <v>4991</v>
          </cell>
          <cell r="B512" t="str">
            <v>GARCÍA SÁNCHEZ JUAN DIEGO</v>
          </cell>
          <cell r="C512" t="str">
            <v>PEON</v>
          </cell>
          <cell r="D512">
            <v>405</v>
          </cell>
        </row>
        <row r="513">
          <cell r="A513">
            <v>4992</v>
          </cell>
          <cell r="B513" t="str">
            <v>LOMELÍ MADRIGAL MIGUEL ÁNGEL</v>
          </cell>
          <cell r="C513" t="str">
            <v>OF</v>
          </cell>
          <cell r="D513">
            <v>638.79999999999995</v>
          </cell>
        </row>
        <row r="514">
          <cell r="A514">
            <v>4993</v>
          </cell>
          <cell r="B514" t="str">
            <v>RANGEL BENITEZ PEDRO</v>
          </cell>
          <cell r="C514" t="str">
            <v>PEON</v>
          </cell>
          <cell r="D514">
            <v>354.88</v>
          </cell>
        </row>
        <row r="515">
          <cell r="A515">
            <v>4996</v>
          </cell>
          <cell r="B515" t="str">
            <v>HERNÁNDEZ RAMOS LINO JAVIER</v>
          </cell>
          <cell r="C515" t="str">
            <v>OF</v>
          </cell>
          <cell r="D515">
            <v>638.79999999999995</v>
          </cell>
        </row>
        <row r="516">
          <cell r="A516">
            <v>4997</v>
          </cell>
          <cell r="B516" t="str">
            <v>AGUILAR GARCÍA JUAN</v>
          </cell>
          <cell r="C516" t="str">
            <v>OF</v>
          </cell>
          <cell r="D516">
            <v>638.79999999999995</v>
          </cell>
        </row>
        <row r="517">
          <cell r="A517">
            <v>4999</v>
          </cell>
          <cell r="B517" t="str">
            <v>HERNÁNDEZ CORTÉS ULISES</v>
          </cell>
          <cell r="C517" t="str">
            <v>OF</v>
          </cell>
          <cell r="D517">
            <v>638.79999999999995</v>
          </cell>
        </row>
        <row r="518">
          <cell r="A518">
            <v>5000</v>
          </cell>
          <cell r="B518" t="str">
            <v>HERNÁNDEZ CASTELLÓN PABLO</v>
          </cell>
          <cell r="C518" t="str">
            <v>OF</v>
          </cell>
          <cell r="D518">
            <v>638.79999999999995</v>
          </cell>
        </row>
        <row r="519">
          <cell r="A519">
            <v>5001</v>
          </cell>
          <cell r="B519" t="str">
            <v>APARICIO HERNÁNDEZ FRANCISCO JAVIER</v>
          </cell>
          <cell r="C519" t="str">
            <v>OF</v>
          </cell>
          <cell r="D519">
            <v>638.79999999999995</v>
          </cell>
        </row>
        <row r="520">
          <cell r="A520">
            <v>5002</v>
          </cell>
          <cell r="B520" t="str">
            <v>FIGUEROA CÓRDOVA MARIO FERNANDO</v>
          </cell>
          <cell r="C520" t="str">
            <v>OF</v>
          </cell>
          <cell r="D520">
            <v>638.79999999999995</v>
          </cell>
        </row>
        <row r="521">
          <cell r="A521">
            <v>5003</v>
          </cell>
          <cell r="B521" t="str">
            <v>HERNÁNDEZ HERNÁNDEZ ROLANDO</v>
          </cell>
          <cell r="C521" t="str">
            <v>OF</v>
          </cell>
          <cell r="D521">
            <v>638.79999999999995</v>
          </cell>
        </row>
        <row r="522">
          <cell r="A522">
            <v>5004</v>
          </cell>
          <cell r="B522" t="str">
            <v>LÓPEZ MATA OCTAVIO DANIEL</v>
          </cell>
          <cell r="C522" t="str">
            <v>PEON</v>
          </cell>
          <cell r="D522">
            <v>428.64</v>
          </cell>
        </row>
        <row r="523">
          <cell r="A523">
            <v>5005</v>
          </cell>
          <cell r="B523" t="str">
            <v>TRINIDAD SÁNCHEZ RUBÉN</v>
          </cell>
          <cell r="C523" t="str">
            <v>OF</v>
          </cell>
          <cell r="D523">
            <v>638.79999999999995</v>
          </cell>
        </row>
        <row r="524">
          <cell r="A524">
            <v>5007</v>
          </cell>
          <cell r="B524" t="str">
            <v>AGUILAR AGUILAR ADRIÁN</v>
          </cell>
          <cell r="C524" t="str">
            <v>PEON</v>
          </cell>
          <cell r="D524">
            <v>354.88</v>
          </cell>
        </row>
        <row r="525">
          <cell r="A525">
            <v>5008</v>
          </cell>
          <cell r="B525" t="str">
            <v>JIMÉNEZ CARRILLO JAVIER</v>
          </cell>
          <cell r="C525" t="str">
            <v>PEON</v>
          </cell>
          <cell r="D525">
            <v>354.88</v>
          </cell>
        </row>
        <row r="526">
          <cell r="A526">
            <v>5009</v>
          </cell>
          <cell r="B526" t="str">
            <v>ORTIZ TAPIA ALEXÁDER ULISES</v>
          </cell>
          <cell r="C526" t="str">
            <v>PEON</v>
          </cell>
          <cell r="D526">
            <v>354.88</v>
          </cell>
        </row>
        <row r="527">
          <cell r="A527">
            <v>5010</v>
          </cell>
          <cell r="B527" t="str">
            <v>AGUILAR LARIOS PEDRO</v>
          </cell>
          <cell r="C527" t="str">
            <v>PEON</v>
          </cell>
          <cell r="D527">
            <v>354.88</v>
          </cell>
        </row>
        <row r="528">
          <cell r="A528">
            <v>5011</v>
          </cell>
          <cell r="B528" t="str">
            <v>GARCÍA ARCINIEGA J. TRINIDAD</v>
          </cell>
          <cell r="C528" t="str">
            <v>PEON</v>
          </cell>
          <cell r="D528">
            <v>354.88</v>
          </cell>
        </row>
        <row r="529">
          <cell r="A529">
            <v>5012</v>
          </cell>
          <cell r="B529" t="str">
            <v>NAVARRETE VERA JULIO ADRIÁN</v>
          </cell>
          <cell r="C529" t="str">
            <v>PEON</v>
          </cell>
          <cell r="D529">
            <v>354.88</v>
          </cell>
        </row>
        <row r="530">
          <cell r="A530">
            <v>5014</v>
          </cell>
          <cell r="B530" t="str">
            <v>TRINIDAD NÚÑEZ ANTONIO</v>
          </cell>
          <cell r="C530" t="str">
            <v>OF</v>
          </cell>
          <cell r="D530">
            <v>638.79999999999995</v>
          </cell>
        </row>
        <row r="531">
          <cell r="A531">
            <v>5015</v>
          </cell>
          <cell r="B531" t="str">
            <v>TRINIDAD NÚÑEZ CELEDONIO</v>
          </cell>
          <cell r="C531" t="str">
            <v>OF</v>
          </cell>
          <cell r="D531">
            <v>638.79999999999995</v>
          </cell>
        </row>
        <row r="532">
          <cell r="A532">
            <v>5016</v>
          </cell>
          <cell r="B532" t="str">
            <v>ÁVALOS LÓPEZ ENRIQUE LEONEL</v>
          </cell>
          <cell r="C532" t="str">
            <v>PEON</v>
          </cell>
          <cell r="D532">
            <v>354.88</v>
          </cell>
        </row>
        <row r="533">
          <cell r="A533">
            <v>5017</v>
          </cell>
          <cell r="B533" t="str">
            <v>MORALES RIVAS DIEGO ARMANDO</v>
          </cell>
          <cell r="C533" t="str">
            <v>PEON</v>
          </cell>
          <cell r="D533">
            <v>354.88</v>
          </cell>
        </row>
        <row r="534">
          <cell r="A534">
            <v>5018</v>
          </cell>
          <cell r="B534" t="str">
            <v>BELTRÁN ESPADAS PAULO FORTINO</v>
          </cell>
          <cell r="C534" t="str">
            <v>PEON</v>
          </cell>
          <cell r="D534">
            <v>402.57</v>
          </cell>
        </row>
        <row r="535">
          <cell r="A535">
            <v>5019</v>
          </cell>
          <cell r="B535" t="str">
            <v>SAHAGÚN HARO SALVADOR</v>
          </cell>
          <cell r="C535" t="str">
            <v>PEON</v>
          </cell>
          <cell r="D535">
            <v>354.88</v>
          </cell>
        </row>
        <row r="536">
          <cell r="A536">
            <v>5020</v>
          </cell>
          <cell r="B536" t="str">
            <v>MANZANO SÁNCHEZ JAIME ALEXÁNDER</v>
          </cell>
          <cell r="C536" t="str">
            <v>OF</v>
          </cell>
          <cell r="D536">
            <v>638.79999999999995</v>
          </cell>
        </row>
        <row r="537">
          <cell r="A537">
            <v>5021</v>
          </cell>
          <cell r="B537" t="str">
            <v>ZILONZOCHILT GARCÍA MOISÉS</v>
          </cell>
          <cell r="C537" t="str">
            <v>PEON</v>
          </cell>
          <cell r="D537">
            <v>354.88</v>
          </cell>
        </row>
        <row r="538">
          <cell r="A538">
            <v>5022</v>
          </cell>
          <cell r="B538" t="str">
            <v>HERNÁNDEZ RAMOS JOVANNI</v>
          </cell>
          <cell r="C538" t="str">
            <v>PEON</v>
          </cell>
          <cell r="D538">
            <v>354.88</v>
          </cell>
        </row>
        <row r="539">
          <cell r="A539">
            <v>5023</v>
          </cell>
          <cell r="B539" t="str">
            <v>MARTÍNEZ VALADEZ FERNANDO</v>
          </cell>
          <cell r="C539" t="str">
            <v>OF</v>
          </cell>
          <cell r="D539">
            <v>638.79999999999995</v>
          </cell>
        </row>
        <row r="540">
          <cell r="A540">
            <v>5025</v>
          </cell>
          <cell r="B540" t="str">
            <v>BECERRA HERNÁNDEZ ALAN</v>
          </cell>
          <cell r="C540" t="str">
            <v>PEON</v>
          </cell>
          <cell r="D540">
            <v>354.88</v>
          </cell>
        </row>
        <row r="541">
          <cell r="A541">
            <v>5026</v>
          </cell>
          <cell r="B541" t="str">
            <v>BECERRA NIÑO EDUARDO DAMIÁN</v>
          </cell>
          <cell r="C541" t="str">
            <v>PEON</v>
          </cell>
          <cell r="D541">
            <v>354.88</v>
          </cell>
        </row>
        <row r="542">
          <cell r="A542">
            <v>5027</v>
          </cell>
          <cell r="B542" t="str">
            <v>VALENTÍN BIZARRO DAVID ALEJANDRO</v>
          </cell>
          <cell r="C542" t="str">
            <v>PEON</v>
          </cell>
          <cell r="D542">
            <v>354.88</v>
          </cell>
        </row>
        <row r="543">
          <cell r="A543">
            <v>5028</v>
          </cell>
          <cell r="B543" t="str">
            <v>HERNÁNDEZ GARCÍA FRANCISCO JAVIER</v>
          </cell>
          <cell r="C543" t="str">
            <v>PEON</v>
          </cell>
          <cell r="D543">
            <v>354.88</v>
          </cell>
        </row>
        <row r="544">
          <cell r="A544">
            <v>5029</v>
          </cell>
          <cell r="B544" t="str">
            <v>LÓPEZ GRANADOS GILBERTO</v>
          </cell>
          <cell r="C544" t="str">
            <v>OF</v>
          </cell>
          <cell r="D544">
            <v>638.79999999999995</v>
          </cell>
        </row>
        <row r="545">
          <cell r="A545">
            <v>5030</v>
          </cell>
          <cell r="B545" t="str">
            <v>RAMOS PALACIOS MÁXIMO</v>
          </cell>
          <cell r="C545" t="str">
            <v>PEON</v>
          </cell>
          <cell r="D545">
            <v>354.88</v>
          </cell>
        </row>
        <row r="546">
          <cell r="A546">
            <v>5031</v>
          </cell>
          <cell r="B546" t="str">
            <v>BALTAZAR DELGADO JOSÉ ALBERTO</v>
          </cell>
          <cell r="C546" t="str">
            <v>PEON</v>
          </cell>
          <cell r="D546">
            <v>405</v>
          </cell>
        </row>
        <row r="547">
          <cell r="A547">
            <v>5032</v>
          </cell>
          <cell r="B547" t="str">
            <v>MENDOZA BAUTISTA JOSÉ HERIBERTO</v>
          </cell>
          <cell r="C547" t="str">
            <v>OF</v>
          </cell>
          <cell r="D547">
            <v>638.79999999999995</v>
          </cell>
        </row>
        <row r="548">
          <cell r="A548">
            <v>5033</v>
          </cell>
          <cell r="B548" t="str">
            <v>PÉREZ RITO MAURICIO</v>
          </cell>
          <cell r="C548" t="str">
            <v>PEON</v>
          </cell>
          <cell r="D548">
            <v>354.88</v>
          </cell>
        </row>
        <row r="549">
          <cell r="A549">
            <v>5034</v>
          </cell>
          <cell r="B549" t="str">
            <v>CHÁVEZ NUÑO CÉSAR ALEJANDRO</v>
          </cell>
          <cell r="C549" t="str">
            <v>PEON</v>
          </cell>
          <cell r="D549">
            <v>354.88</v>
          </cell>
        </row>
        <row r="550">
          <cell r="A550">
            <v>5035</v>
          </cell>
          <cell r="B550" t="str">
            <v>DOMÍNGUEZ MENDOZA LUIS ÁNGEL</v>
          </cell>
          <cell r="C550" t="str">
            <v>PEON</v>
          </cell>
          <cell r="D550">
            <v>405</v>
          </cell>
        </row>
        <row r="551">
          <cell r="A551">
            <v>5036</v>
          </cell>
          <cell r="B551" t="str">
            <v>BECERRA CARRILLO DIEGO ARMANDO</v>
          </cell>
          <cell r="C551" t="str">
            <v>PEON</v>
          </cell>
          <cell r="D551">
            <v>354.88</v>
          </cell>
        </row>
        <row r="552">
          <cell r="A552">
            <v>5037</v>
          </cell>
          <cell r="B552" t="str">
            <v>RENTERÍA JUAN MANUEL</v>
          </cell>
          <cell r="C552" t="str">
            <v>PEON</v>
          </cell>
          <cell r="D552">
            <v>354.88</v>
          </cell>
        </row>
        <row r="553">
          <cell r="A553">
            <v>5038</v>
          </cell>
          <cell r="B553" t="str">
            <v>AGUILAR ÁVALOS NICOLASA</v>
          </cell>
          <cell r="C553" t="str">
            <v>PEON</v>
          </cell>
          <cell r="D553">
            <v>354.88</v>
          </cell>
        </row>
        <row r="554">
          <cell r="A554">
            <v>5039</v>
          </cell>
          <cell r="B554" t="str">
            <v>JUSTO PRECIADO ARACELI</v>
          </cell>
          <cell r="C554" t="str">
            <v>PEON</v>
          </cell>
          <cell r="D554">
            <v>354.88</v>
          </cell>
        </row>
        <row r="555">
          <cell r="A555">
            <v>5040</v>
          </cell>
          <cell r="B555" t="str">
            <v>CHÁVEZ ORTIZ JORGE</v>
          </cell>
          <cell r="C555" t="str">
            <v>OF</v>
          </cell>
          <cell r="D555">
            <v>638.79999999999995</v>
          </cell>
        </row>
        <row r="556">
          <cell r="A556">
            <v>5041</v>
          </cell>
          <cell r="B556" t="str">
            <v>VEGA JIMÉNEZ JUAN</v>
          </cell>
          <cell r="C556" t="str">
            <v>OF</v>
          </cell>
          <cell r="D556">
            <v>638.79999999999995</v>
          </cell>
        </row>
        <row r="557">
          <cell r="A557">
            <v>5042</v>
          </cell>
          <cell r="B557" t="str">
            <v>CAMPOS DOMÍNGUEZ DAVID</v>
          </cell>
          <cell r="C557" t="str">
            <v>OF</v>
          </cell>
          <cell r="D557">
            <v>638.79999999999995</v>
          </cell>
        </row>
        <row r="558">
          <cell r="A558">
            <v>5043</v>
          </cell>
          <cell r="B558" t="str">
            <v>BERNAL GONZÁLEZ JOSÉ ALBERTO</v>
          </cell>
          <cell r="C558" t="str">
            <v>PEON</v>
          </cell>
          <cell r="D558">
            <v>354.88</v>
          </cell>
        </row>
        <row r="559">
          <cell r="A559">
            <v>5044</v>
          </cell>
          <cell r="B559" t="str">
            <v>OROPEZA LÓPEZ NÉSTOR JOAQUÍN</v>
          </cell>
          <cell r="C559" t="str">
            <v>PEON</v>
          </cell>
          <cell r="D559">
            <v>354.88</v>
          </cell>
        </row>
        <row r="560">
          <cell r="A560">
            <v>5045</v>
          </cell>
          <cell r="B560" t="str">
            <v>VILLA PRECIADO RICARDO SANTIAGO</v>
          </cell>
          <cell r="C560" t="str">
            <v>PEON</v>
          </cell>
          <cell r="D560">
            <v>354.88</v>
          </cell>
        </row>
        <row r="561">
          <cell r="A561">
            <v>5046</v>
          </cell>
          <cell r="B561" t="str">
            <v>FLORES REVELES ALEJANDRA</v>
          </cell>
          <cell r="C561" t="str">
            <v>PEON</v>
          </cell>
          <cell r="D561">
            <v>367.7</v>
          </cell>
        </row>
        <row r="562">
          <cell r="A562">
            <v>5047</v>
          </cell>
          <cell r="B562" t="str">
            <v>XILONZÓCHILT RAMÍREZ CHRISTIAN BENJAMÍN</v>
          </cell>
          <cell r="C562" t="str">
            <v>PEON</v>
          </cell>
          <cell r="D562">
            <v>354.88</v>
          </cell>
        </row>
        <row r="563">
          <cell r="A563">
            <v>5048</v>
          </cell>
          <cell r="B563" t="str">
            <v>GARCÍA PONCIANO ADRIÁN</v>
          </cell>
          <cell r="C563" t="str">
            <v>PEON</v>
          </cell>
          <cell r="D563">
            <v>354.88</v>
          </cell>
        </row>
        <row r="564">
          <cell r="A564">
            <v>5050</v>
          </cell>
          <cell r="B564" t="str">
            <v>ARCINIEGA LÓPEZ JUAN PABLO</v>
          </cell>
          <cell r="C564" t="str">
            <v>PEON</v>
          </cell>
          <cell r="D564">
            <v>354.88</v>
          </cell>
        </row>
        <row r="565">
          <cell r="A565">
            <v>5052</v>
          </cell>
          <cell r="B565" t="str">
            <v>ARCINIEGA PRECIADO FELIPE DE JESÚS</v>
          </cell>
          <cell r="C565" t="str">
            <v>PEON</v>
          </cell>
          <cell r="D565">
            <v>354.88</v>
          </cell>
        </row>
        <row r="566">
          <cell r="A566">
            <v>5053</v>
          </cell>
          <cell r="B566" t="str">
            <v>LUJANO PORTILLO JOSÉ DAVID</v>
          </cell>
          <cell r="C566" t="str">
            <v>OF</v>
          </cell>
          <cell r="D566">
            <v>638.79999999999995</v>
          </cell>
        </row>
        <row r="567">
          <cell r="A567">
            <v>5054</v>
          </cell>
          <cell r="B567" t="str">
            <v>LÓPEZ SILVA JAVIER EDUARDO</v>
          </cell>
          <cell r="C567" t="str">
            <v>PEON</v>
          </cell>
          <cell r="D567">
            <v>402.79</v>
          </cell>
        </row>
        <row r="568">
          <cell r="A568">
            <v>5055</v>
          </cell>
          <cell r="B568" t="str">
            <v>GARCÍA RENTERÍA MOISÉS</v>
          </cell>
          <cell r="C568" t="str">
            <v>PEON</v>
          </cell>
          <cell r="D568">
            <v>354.88</v>
          </cell>
        </row>
        <row r="569">
          <cell r="A569">
            <v>5057</v>
          </cell>
          <cell r="B569" t="str">
            <v>MACÍAS GONZÁLEZ MIGUEL ÁNGEL</v>
          </cell>
          <cell r="C569" t="str">
            <v>PEON</v>
          </cell>
          <cell r="D569">
            <v>354.88</v>
          </cell>
        </row>
        <row r="570">
          <cell r="A570">
            <v>5058</v>
          </cell>
          <cell r="B570" t="str">
            <v>ORTEGA GUTIÉRREZ VÍCTOR IVÁN</v>
          </cell>
          <cell r="C570" t="str">
            <v>PEON</v>
          </cell>
          <cell r="D570">
            <v>405</v>
          </cell>
        </row>
        <row r="571">
          <cell r="A571">
            <v>5059</v>
          </cell>
          <cell r="B571" t="str">
            <v>LÓPEZ BASULTO SAMARA VIANEY</v>
          </cell>
          <cell r="C571" t="str">
            <v>ASEO</v>
          </cell>
          <cell r="D571">
            <v>438.43</v>
          </cell>
        </row>
        <row r="572">
          <cell r="A572">
            <v>5060</v>
          </cell>
          <cell r="B572" t="str">
            <v>DÍAZ GONZÁLES ARMANDO FERMÍN</v>
          </cell>
          <cell r="C572" t="str">
            <v>OF</v>
          </cell>
          <cell r="D572">
            <v>638.79999999999995</v>
          </cell>
        </row>
        <row r="573">
          <cell r="A573">
            <v>5061</v>
          </cell>
          <cell r="B573" t="str">
            <v>NAVARRETE MUÑOZ ANA ROSÍO</v>
          </cell>
          <cell r="C573" t="str">
            <v>ASEO</v>
          </cell>
          <cell r="D573">
            <v>438.43</v>
          </cell>
        </row>
        <row r="574">
          <cell r="A574">
            <v>5062</v>
          </cell>
          <cell r="B574" t="str">
            <v>RAMOS PONCIANO PALEMÓN</v>
          </cell>
          <cell r="C574" t="str">
            <v>PEON</v>
          </cell>
          <cell r="D574">
            <v>354.88</v>
          </cell>
        </row>
        <row r="575">
          <cell r="A575">
            <v>5063</v>
          </cell>
          <cell r="B575" t="str">
            <v>ORTIZ FRAUSTRO JOSÉ ALBERTO</v>
          </cell>
          <cell r="C575" t="str">
            <v>PEON</v>
          </cell>
          <cell r="D575">
            <v>354.88</v>
          </cell>
        </row>
        <row r="576">
          <cell r="A576">
            <v>5064</v>
          </cell>
          <cell r="B576" t="str">
            <v>MURILLO FRANCISCO RUBÉN</v>
          </cell>
          <cell r="C576" t="str">
            <v>OF</v>
          </cell>
          <cell r="D576">
            <v>638.79999999999995</v>
          </cell>
        </row>
        <row r="577">
          <cell r="A577">
            <v>5065</v>
          </cell>
          <cell r="B577" t="str">
            <v>CÓRDOVA LÓPEZ AMADO</v>
          </cell>
          <cell r="C577" t="str">
            <v>OF</v>
          </cell>
          <cell r="D577">
            <v>638.79999999999995</v>
          </cell>
        </row>
        <row r="578">
          <cell r="A578">
            <v>5067</v>
          </cell>
          <cell r="B578" t="str">
            <v>ESCALANTE OLIVARES MARÍA CONCEPCIÓN</v>
          </cell>
          <cell r="C578" t="str">
            <v>ASEO</v>
          </cell>
          <cell r="D578">
            <v>438.43</v>
          </cell>
        </row>
        <row r="579">
          <cell r="A579">
            <v>5068</v>
          </cell>
          <cell r="B579" t="str">
            <v>SÁNCHEZ GUZMÁN CARLOS</v>
          </cell>
          <cell r="C579" t="str">
            <v>OF</v>
          </cell>
          <cell r="D579">
            <v>638.79999999999995</v>
          </cell>
        </row>
        <row r="580">
          <cell r="A580">
            <v>5069</v>
          </cell>
          <cell r="B580" t="str">
            <v>CAMACHO LÓPEZ ÓSCAR MANUEL</v>
          </cell>
          <cell r="C580" t="str">
            <v>PEON</v>
          </cell>
          <cell r="D580">
            <v>354.88</v>
          </cell>
        </row>
        <row r="581">
          <cell r="A581">
            <v>5070</v>
          </cell>
          <cell r="B581" t="str">
            <v>XILONZÓCHITL HERRERA BENJAMÍN</v>
          </cell>
          <cell r="C581" t="str">
            <v>OF</v>
          </cell>
          <cell r="D581">
            <v>638.79999999999995</v>
          </cell>
        </row>
        <row r="582">
          <cell r="A582">
            <v>5071</v>
          </cell>
          <cell r="B582" t="str">
            <v>LÓPEZ OLIVA FRANCISCO JAVIER</v>
          </cell>
          <cell r="C582" t="str">
            <v>OF</v>
          </cell>
          <cell r="D582">
            <v>638.79999999999995</v>
          </cell>
        </row>
        <row r="583">
          <cell r="A583">
            <v>5072</v>
          </cell>
          <cell r="B583" t="str">
            <v>XILONZÓCHITL RAMÍREZ LUIS ÁNGEL</v>
          </cell>
          <cell r="C583" t="str">
            <v>OF</v>
          </cell>
          <cell r="D583">
            <v>638.79999999999995</v>
          </cell>
        </row>
        <row r="584">
          <cell r="A584">
            <v>5073</v>
          </cell>
          <cell r="B584" t="str">
            <v>VERAR ÁLVAREZ JEFFIRI</v>
          </cell>
          <cell r="C584" t="str">
            <v>OF</v>
          </cell>
          <cell r="D584">
            <v>638.79999999999995</v>
          </cell>
        </row>
        <row r="585">
          <cell r="A585">
            <v>5074</v>
          </cell>
          <cell r="B585" t="str">
            <v>ENRIQUEZ ENRIQUEZ ANDRÉS</v>
          </cell>
          <cell r="C585" t="str">
            <v>OF</v>
          </cell>
          <cell r="D585">
            <v>638.79999999999995</v>
          </cell>
        </row>
        <row r="586">
          <cell r="A586">
            <v>5075</v>
          </cell>
          <cell r="B586" t="str">
            <v>LÓPEZ RODRÍGUEZ MANUEL</v>
          </cell>
          <cell r="C586" t="str">
            <v>OF</v>
          </cell>
          <cell r="D586">
            <v>638.79999999999995</v>
          </cell>
        </row>
        <row r="587">
          <cell r="A587">
            <v>5076</v>
          </cell>
          <cell r="B587" t="str">
            <v>VEGA BERNAL JUAN PABLO</v>
          </cell>
          <cell r="C587" t="str">
            <v>PEON</v>
          </cell>
          <cell r="D587">
            <v>405</v>
          </cell>
        </row>
        <row r="588">
          <cell r="A588">
            <v>5077</v>
          </cell>
          <cell r="B588" t="str">
            <v>PREZA ALVARÍN GERARDO</v>
          </cell>
          <cell r="C588" t="str">
            <v>PEON</v>
          </cell>
          <cell r="D588">
            <v>405</v>
          </cell>
        </row>
        <row r="589">
          <cell r="A589">
            <v>5078</v>
          </cell>
          <cell r="B589" t="str">
            <v>ORTIZ AGUILAR ÓSCAR RAMÓN</v>
          </cell>
          <cell r="C589" t="str">
            <v>PEON</v>
          </cell>
          <cell r="D589">
            <v>354.88</v>
          </cell>
        </row>
        <row r="590">
          <cell r="A590">
            <v>5079</v>
          </cell>
          <cell r="B590" t="str">
            <v>CISNEROS LUNA JOSÉ GABRIEL</v>
          </cell>
          <cell r="C590" t="str">
            <v>OF</v>
          </cell>
          <cell r="D590">
            <v>638.79999999999995</v>
          </cell>
        </row>
        <row r="591">
          <cell r="A591">
            <v>5080</v>
          </cell>
          <cell r="B591" t="str">
            <v>ÁLVAREZ VALLADARES FABIÁN</v>
          </cell>
          <cell r="C591" t="str">
            <v>PEON</v>
          </cell>
          <cell r="D591">
            <v>405</v>
          </cell>
        </row>
        <row r="592">
          <cell r="A592">
            <v>5081</v>
          </cell>
          <cell r="B592" t="str">
            <v>GARCÍA SAUCEDO BRIAN JOSUÉ</v>
          </cell>
          <cell r="C592" t="str">
            <v>PEON</v>
          </cell>
          <cell r="D592">
            <v>405</v>
          </cell>
        </row>
        <row r="593">
          <cell r="A593">
            <v>5082</v>
          </cell>
          <cell r="B593" t="str">
            <v>VIDALES CAMPOS GUSTAVO</v>
          </cell>
          <cell r="C593" t="str">
            <v>PEON</v>
          </cell>
          <cell r="D593">
            <v>405</v>
          </cell>
          <cell r="E593"/>
          <cell r="F593"/>
        </row>
        <row r="594">
          <cell r="A594">
            <v>5083</v>
          </cell>
          <cell r="B594" t="str">
            <v>DIAZ VILLA JUAN PABLO</v>
          </cell>
          <cell r="C594" t="str">
            <v>PEON</v>
          </cell>
          <cell r="D594">
            <v>405</v>
          </cell>
        </row>
        <row r="595">
          <cell r="A595">
            <v>5084</v>
          </cell>
          <cell r="B595" t="str">
            <v>HERNÁNDEZ GONZÁLEZ MARIO</v>
          </cell>
          <cell r="C595" t="str">
            <v>PEON</v>
          </cell>
          <cell r="D595">
            <v>405</v>
          </cell>
        </row>
        <row r="596">
          <cell r="A596">
            <v>5085</v>
          </cell>
          <cell r="B596"/>
        </row>
        <row r="597">
          <cell r="A597"/>
          <cell r="B597"/>
        </row>
        <row r="598">
          <cell r="A598"/>
          <cell r="B598"/>
        </row>
        <row r="599">
          <cell r="A599"/>
          <cell r="B599"/>
        </row>
        <row r="600">
          <cell r="A600"/>
          <cell r="B600"/>
        </row>
        <row r="601">
          <cell r="A601"/>
          <cell r="B601"/>
        </row>
        <row r="602">
          <cell r="A602"/>
          <cell r="B602"/>
        </row>
        <row r="603">
          <cell r="A603"/>
          <cell r="B603"/>
        </row>
        <row r="604">
          <cell r="A604"/>
          <cell r="B604"/>
        </row>
        <row r="605">
          <cell r="A605"/>
          <cell r="B605"/>
          <cell r="C605"/>
          <cell r="D605"/>
          <cell r="E605"/>
          <cell r="F605"/>
        </row>
        <row r="606">
          <cell r="A606"/>
          <cell r="B606"/>
          <cell r="C606"/>
          <cell r="D606"/>
          <cell r="E606"/>
          <cell r="F606"/>
        </row>
        <row r="607">
          <cell r="A607" t="str">
            <v>LISTA DE PRECIOS UNITARIOS</v>
          </cell>
          <cell r="B607"/>
          <cell r="C607"/>
          <cell r="D607"/>
          <cell r="E607"/>
          <cell r="F607"/>
        </row>
        <row r="608">
          <cell r="A608"/>
          <cell r="B608"/>
          <cell r="C608"/>
          <cell r="D608"/>
          <cell r="E608"/>
          <cell r="F608"/>
        </row>
        <row r="609">
          <cell r="A609" t="str">
            <v>CVE</v>
          </cell>
          <cell r="B609" t="str">
            <v>CONCEPTO</v>
          </cell>
          <cell r="C609" t="str">
            <v>UNIDAD</v>
          </cell>
          <cell r="D609" t="str">
            <v>P.UNIT.</v>
          </cell>
          <cell r="E609" t="str">
            <v>M</v>
          </cell>
          <cell r="F609" t="str">
            <v>SJA</v>
          </cell>
        </row>
        <row r="610">
          <cell r="A610"/>
          <cell r="B610"/>
          <cell r="C610"/>
          <cell r="D610"/>
          <cell r="E610"/>
          <cell r="F610"/>
        </row>
        <row r="611">
          <cell r="A611" t="str">
            <v>ABB01</v>
          </cell>
          <cell r="B611" t="str">
            <v>Abrir caja para amarre en boveda</v>
          </cell>
          <cell r="C611" t="str">
            <v>ML</v>
          </cell>
          <cell r="D611">
            <v>98.674999999999997</v>
          </cell>
          <cell r="E611"/>
          <cell r="F611">
            <v>113.47624999999999</v>
          </cell>
        </row>
        <row r="612">
          <cell r="A612" t="str">
            <v>ABB02</v>
          </cell>
          <cell r="B612" t="str">
            <v>Abrir caja para amarre en muro</v>
          </cell>
          <cell r="C612" t="str">
            <v>ML</v>
          </cell>
          <cell r="D612">
            <v>78.94</v>
          </cell>
          <cell r="E612"/>
          <cell r="F612">
            <v>90.780999999999992</v>
          </cell>
        </row>
        <row r="613">
          <cell r="A613" t="str">
            <v>ABB03</v>
          </cell>
          <cell r="B613" t="str">
            <v>Abrir caja para amarre en piso concreto y firme</v>
          </cell>
          <cell r="C613" t="str">
            <v>ML</v>
          </cell>
          <cell r="D613">
            <v>197.35</v>
          </cell>
          <cell r="E613"/>
          <cell r="F613">
            <v>226.95249999999999</v>
          </cell>
        </row>
        <row r="614">
          <cell r="A614" t="str">
            <v>ABB04</v>
          </cell>
          <cell r="B614" t="str">
            <v>Abrir hueco en concreto para anclado de castillo</v>
          </cell>
          <cell r="C614" t="str">
            <v>PZA</v>
          </cell>
          <cell r="D614">
            <v>88.130781499202541</v>
          </cell>
          <cell r="E614"/>
          <cell r="F614">
            <v>101.35039872408291</v>
          </cell>
        </row>
        <row r="615">
          <cell r="A615" t="str">
            <v>ABB05</v>
          </cell>
          <cell r="B615" t="str">
            <v>Abrir hueco en muro para amarre dalas</v>
          </cell>
          <cell r="C615" t="str">
            <v>PZA</v>
          </cell>
          <cell r="D615">
            <v>52.626666666666665</v>
          </cell>
          <cell r="E615"/>
          <cell r="F615">
            <v>60.520666666666664</v>
          </cell>
        </row>
        <row r="616">
          <cell r="A616" t="str">
            <v>ABB06</v>
          </cell>
          <cell r="B616" t="str">
            <v>Abrir ranura esp. 5 cms. p/poliducto,cobre</v>
          </cell>
          <cell r="C616" t="str">
            <v>ML</v>
          </cell>
          <cell r="D616">
            <v>20.773684210526316</v>
          </cell>
          <cell r="E616"/>
          <cell r="F616">
            <v>23.889736842105261</v>
          </cell>
        </row>
        <row r="617">
          <cell r="A617" t="str">
            <v>ABB06RT</v>
          </cell>
          <cell r="B617" t="str">
            <v>Abrir ranura esp. 5 cms. p/poliducto,cobre</v>
          </cell>
          <cell r="C617" t="str">
            <v>ML</v>
          </cell>
          <cell r="D617">
            <v>13.156666666666666</v>
          </cell>
          <cell r="E617"/>
          <cell r="F617">
            <v>15.130166666666666</v>
          </cell>
        </row>
        <row r="618">
          <cell r="A618" t="str">
            <v>ABB07</v>
          </cell>
          <cell r="B618" t="str">
            <v>Abrir caja de luz</v>
          </cell>
          <cell r="C618" t="str">
            <v>PZA</v>
          </cell>
          <cell r="D618">
            <v>19.734999999999999</v>
          </cell>
          <cell r="E618"/>
          <cell r="F618">
            <v>22.695249999999998</v>
          </cell>
        </row>
        <row r="619">
          <cell r="A619" t="str">
            <v>ABB08</v>
          </cell>
          <cell r="B619" t="str">
            <v>Abrir hueco en concreto p/ pata proteccion 20 x 20 x 30 rotomartillo</v>
          </cell>
          <cell r="C619" t="str">
            <v>PZA</v>
          </cell>
          <cell r="D619">
            <v>56.385714285714286</v>
          </cell>
          <cell r="E619"/>
          <cell r="F619">
            <v>64.843571428571423</v>
          </cell>
        </row>
        <row r="620">
          <cell r="A620" t="str">
            <v>ACCE</v>
          </cell>
          <cell r="B620" t="str">
            <v>Accesorios de baño, colocacion</v>
          </cell>
          <cell r="C620" t="str">
            <v>PZA</v>
          </cell>
          <cell r="D620">
            <v>39.47</v>
          </cell>
          <cell r="E620"/>
          <cell r="F620">
            <v>45.390499999999996</v>
          </cell>
        </row>
        <row r="621">
          <cell r="A621" t="str">
            <v>ACU20</v>
          </cell>
          <cell r="B621" t="str">
            <v>Acuñado de muro 20</v>
          </cell>
          <cell r="C621" t="str">
            <v>ML</v>
          </cell>
          <cell r="D621">
            <v>65.783333333333331</v>
          </cell>
          <cell r="E621">
            <v>1</v>
          </cell>
          <cell r="F621">
            <v>75.650833333333324</v>
          </cell>
        </row>
        <row r="622">
          <cell r="A622" t="str">
            <v>ACUCA</v>
          </cell>
          <cell r="B622" t="str">
            <v>Acuñado de muro capuchino</v>
          </cell>
          <cell r="C622" t="str">
            <v>ML</v>
          </cell>
          <cell r="D622">
            <v>52.626666666666665</v>
          </cell>
          <cell r="E622">
            <v>1</v>
          </cell>
          <cell r="F622">
            <v>60.520666666666664</v>
          </cell>
        </row>
        <row r="623">
          <cell r="A623" t="str">
            <v>ACUDE</v>
          </cell>
          <cell r="B623" t="str">
            <v>Acuñado de muro bajo decklosa</v>
          </cell>
          <cell r="C623" t="str">
            <v>ML</v>
          </cell>
          <cell r="D623">
            <v>31.576000000000001</v>
          </cell>
          <cell r="E623">
            <v>1</v>
          </cell>
          <cell r="F623">
            <v>36.312399999999997</v>
          </cell>
        </row>
        <row r="624">
          <cell r="A624" t="str">
            <v>ACUSO</v>
          </cell>
          <cell r="B624" t="str">
            <v>Acuñado de muro soga</v>
          </cell>
          <cell r="C624" t="str">
            <v>ML</v>
          </cell>
          <cell r="D624">
            <v>65.783333333333331</v>
          </cell>
          <cell r="E624">
            <v>1</v>
          </cell>
          <cell r="F624">
            <v>75.650833333333324</v>
          </cell>
        </row>
        <row r="625">
          <cell r="A625" t="str">
            <v>ACUTE</v>
          </cell>
          <cell r="B625" t="str">
            <v>Acuñado de muro tezon</v>
          </cell>
          <cell r="C625" t="str">
            <v>ML</v>
          </cell>
          <cell r="D625">
            <v>78.94</v>
          </cell>
          <cell r="E625">
            <v>1</v>
          </cell>
          <cell r="F625">
            <v>90.780999999999992</v>
          </cell>
        </row>
        <row r="626">
          <cell r="A626" t="str">
            <v>ADOBE</v>
          </cell>
          <cell r="B626" t="str">
            <v>Muro de adobe asentado con lodo y rajueleado</v>
          </cell>
          <cell r="C626" t="str">
            <v>M2</v>
          </cell>
          <cell r="D626">
            <v>138.49122807017542</v>
          </cell>
          <cell r="E626">
            <v>1</v>
          </cell>
          <cell r="F626">
            <v>159.26491228070174</v>
          </cell>
        </row>
        <row r="627">
          <cell r="A627" t="str">
            <v>ADOBE2R</v>
          </cell>
          <cell r="B627" t="str">
            <v>Pegado de muro de adobe a 2 rostros con varillas</v>
          </cell>
          <cell r="C627" t="str">
            <v>M2</v>
          </cell>
          <cell r="D627">
            <v>263.13333333333333</v>
          </cell>
          <cell r="E627">
            <v>1</v>
          </cell>
          <cell r="F627">
            <v>302.6033333333333</v>
          </cell>
        </row>
        <row r="628">
          <cell r="A628" t="str">
            <v>ADORE</v>
          </cell>
          <cell r="B628" t="str">
            <v>Recorte de pza de adobe para resaque vigas y castillos</v>
          </cell>
          <cell r="C628" t="str">
            <v>PZA</v>
          </cell>
          <cell r="D628">
            <v>60.723076923076924</v>
          </cell>
          <cell r="E628"/>
          <cell r="F628">
            <v>69.831538461538457</v>
          </cell>
        </row>
        <row r="629">
          <cell r="A629" t="str">
            <v>AFI01</v>
          </cell>
          <cell r="B629" t="str">
            <v>Afine de enjarre en boquillas</v>
          </cell>
          <cell r="C629" t="str">
            <v>ML</v>
          </cell>
          <cell r="D629">
            <v>9.8674999999999997</v>
          </cell>
          <cell r="E629">
            <v>1</v>
          </cell>
          <cell r="F629">
            <v>11.347624999999999</v>
          </cell>
        </row>
        <row r="630">
          <cell r="A630" t="str">
            <v>AFI02</v>
          </cell>
          <cell r="B630" t="str">
            <v>Afine de enjarre en boveda</v>
          </cell>
          <cell r="C630" t="str">
            <v>M2</v>
          </cell>
          <cell r="D630">
            <v>35.881818181818183</v>
          </cell>
          <cell r="E630">
            <v>1</v>
          </cell>
          <cell r="F630">
            <v>41.26409090909091</v>
          </cell>
        </row>
        <row r="631">
          <cell r="A631" t="str">
            <v>AFI02JP</v>
          </cell>
          <cell r="B631" t="str">
            <v>Lijado y afine de enjarre en boveda</v>
          </cell>
          <cell r="C631" t="str">
            <v>M2</v>
          </cell>
          <cell r="D631">
            <v>48.578461538461539</v>
          </cell>
          <cell r="E631">
            <v>1</v>
          </cell>
          <cell r="F631">
            <v>55.865230769230763</v>
          </cell>
        </row>
        <row r="632">
          <cell r="A632" t="str">
            <v>AFI03</v>
          </cell>
          <cell r="B632" t="str">
            <v>Afine de enjarre en muro</v>
          </cell>
          <cell r="C632" t="str">
            <v>M2</v>
          </cell>
          <cell r="D632">
            <v>16.445833333333333</v>
          </cell>
          <cell r="E632">
            <v>1</v>
          </cell>
          <cell r="F632">
            <v>18.912708333333331</v>
          </cell>
        </row>
        <row r="633">
          <cell r="A633" t="str">
            <v>AFI03JP</v>
          </cell>
          <cell r="B633" t="str">
            <v>Lijado y afine de enjarre en muro</v>
          </cell>
          <cell r="C633" t="str">
            <v>M2</v>
          </cell>
          <cell r="D633">
            <v>29.129151291512912</v>
          </cell>
          <cell r="E633">
            <v>1</v>
          </cell>
          <cell r="F633">
            <v>33.498523985239849</v>
          </cell>
        </row>
        <row r="634">
          <cell r="A634" t="str">
            <v>AFIEX</v>
          </cell>
          <cell r="B634" t="str">
            <v>Afinado de excavacion en cepas</v>
          </cell>
          <cell r="C634" t="str">
            <v>M3</v>
          </cell>
          <cell r="D634">
            <v>131.56666666666666</v>
          </cell>
          <cell r="E634"/>
          <cell r="F634">
            <v>151.30166666666665</v>
          </cell>
        </row>
        <row r="635">
          <cell r="A635" t="str">
            <v>AFIEXS</v>
          </cell>
          <cell r="B635" t="str">
            <v>Afinado de excavacion de maquina en sucio</v>
          </cell>
          <cell r="C635" t="str">
            <v>M3</v>
          </cell>
          <cell r="D635">
            <v>42.101333333333329</v>
          </cell>
          <cell r="E635"/>
          <cell r="F635">
            <v>48.416533333333327</v>
          </cell>
        </row>
        <row r="636">
          <cell r="A636" t="str">
            <v>AJUCCASO</v>
          </cell>
          <cell r="B636" t="str">
            <v>Ajuste de castillo de soga en muro de nivelacion</v>
          </cell>
          <cell r="C636" t="str">
            <v>PZA</v>
          </cell>
          <cell r="D636">
            <v>46.435294117647061</v>
          </cell>
          <cell r="E636">
            <v>1</v>
          </cell>
          <cell r="F636">
            <v>53.400588235294116</v>
          </cell>
        </row>
        <row r="637">
          <cell r="A637" t="str">
            <v>ANC01</v>
          </cell>
          <cell r="B637" t="str">
            <v>Anclado de castillo en hueco de piso y colado</v>
          </cell>
          <cell r="C637" t="str">
            <v>PZA</v>
          </cell>
          <cell r="D637">
            <v>65.783333333333331</v>
          </cell>
          <cell r="E637">
            <v>1</v>
          </cell>
          <cell r="F637">
            <v>75.650833333333324</v>
          </cell>
        </row>
        <row r="638">
          <cell r="A638" t="str">
            <v>ANC02</v>
          </cell>
          <cell r="B638" t="str">
            <v>Anclado y colado de castillo en mamposteo de 40 x40 x 50</v>
          </cell>
          <cell r="C638" t="str">
            <v>PZA</v>
          </cell>
          <cell r="D638">
            <v>112.77142857142857</v>
          </cell>
          <cell r="E638">
            <v>1</v>
          </cell>
          <cell r="F638">
            <v>129.68714285714285</v>
          </cell>
        </row>
        <row r="639">
          <cell r="A639" t="str">
            <v>ANC03</v>
          </cell>
          <cell r="B639" t="str">
            <v>Anclado de castillo en armados</v>
          </cell>
          <cell r="C639" t="str">
            <v>PZA</v>
          </cell>
          <cell r="D639">
            <v>52.626666666666665</v>
          </cell>
          <cell r="E639"/>
          <cell r="F639">
            <v>60.520666666666664</v>
          </cell>
        </row>
        <row r="640">
          <cell r="A640" t="str">
            <v>ANC04</v>
          </cell>
          <cell r="B640" t="str">
            <v>Anclaje de pata de proteccion con colado y parche 20 x 20</v>
          </cell>
          <cell r="C640" t="str">
            <v>PZA</v>
          </cell>
          <cell r="D640">
            <v>46.435294117647061</v>
          </cell>
          <cell r="E640">
            <v>1</v>
          </cell>
          <cell r="F640">
            <v>53.400588235294116</v>
          </cell>
        </row>
        <row r="641">
          <cell r="A641" t="str">
            <v>ANC05</v>
          </cell>
          <cell r="B641" t="str">
            <v>anclaje y colado de pata de polin para cruceta</v>
          </cell>
          <cell r="C641" t="str">
            <v>PZA</v>
          </cell>
          <cell r="D641">
            <v>31.959514170040485</v>
          </cell>
          <cell r="E641">
            <v>1</v>
          </cell>
          <cell r="F641">
            <v>36.753441295546558</v>
          </cell>
        </row>
        <row r="642">
          <cell r="A642" t="str">
            <v>AND01</v>
          </cell>
          <cell r="B642" t="str">
            <v>Andamio, torres, cuerpo de 2 crucetas armado</v>
          </cell>
          <cell r="C642" t="str">
            <v>PZA</v>
          </cell>
          <cell r="D642">
            <v>43.855555555555554</v>
          </cell>
          <cell r="E642"/>
          <cell r="F642">
            <v>50.43388888888888</v>
          </cell>
        </row>
        <row r="643">
          <cell r="A643" t="str">
            <v>AND02</v>
          </cell>
          <cell r="B643" t="str">
            <v>Andamios</v>
          </cell>
          <cell r="C643" t="str">
            <v>ML</v>
          </cell>
          <cell r="D643">
            <v>15.788</v>
          </cell>
          <cell r="E643"/>
          <cell r="F643">
            <v>18.156199999999998</v>
          </cell>
        </row>
        <row r="644">
          <cell r="A644" t="str">
            <v>APA01</v>
          </cell>
          <cell r="B644" t="str">
            <v>Apalillado de hormigon, piso o concreto</v>
          </cell>
          <cell r="C644" t="str">
            <v>M2</v>
          </cell>
          <cell r="D644">
            <v>39.47</v>
          </cell>
          <cell r="E644"/>
          <cell r="F644">
            <v>45.390499999999996</v>
          </cell>
        </row>
        <row r="645">
          <cell r="A645" t="str">
            <v>APAC</v>
          </cell>
          <cell r="B645" t="str">
            <v>Aparentado de dala o castillo hiladas de ladrillo</v>
          </cell>
          <cell r="C645" t="str">
            <v>ML</v>
          </cell>
          <cell r="D645">
            <v>75.540669856459331</v>
          </cell>
          <cell r="E645"/>
          <cell r="F645">
            <v>86.871770334928229</v>
          </cell>
        </row>
        <row r="646">
          <cell r="A646" t="str">
            <v>APU01</v>
          </cell>
          <cell r="B646" t="str">
            <v>Apuntalamiento de decklosa</v>
          </cell>
          <cell r="C646" t="str">
            <v>M2</v>
          </cell>
          <cell r="D646">
            <v>8.3094736842105252</v>
          </cell>
          <cell r="E646"/>
          <cell r="F646">
            <v>9.5558947368421041</v>
          </cell>
        </row>
        <row r="647">
          <cell r="A647" t="str">
            <v>APU02</v>
          </cell>
          <cell r="B647" t="str">
            <v>Apuntalar boveda, losa o cerramientos</v>
          </cell>
          <cell r="C647" t="str">
            <v>M2</v>
          </cell>
          <cell r="D647">
            <v>39.47</v>
          </cell>
          <cell r="E647"/>
          <cell r="F647">
            <v>45.390499999999996</v>
          </cell>
        </row>
        <row r="648">
          <cell r="A648" t="str">
            <v>ARC01</v>
          </cell>
          <cell r="B648" t="str">
            <v>Forjado de arco,incluye cimbra,cercha m.20</v>
          </cell>
          <cell r="C648" t="str">
            <v>ML</v>
          </cell>
          <cell r="D648">
            <v>394.7</v>
          </cell>
          <cell r="E648">
            <v>1</v>
          </cell>
          <cell r="F648">
            <v>453.90499999999997</v>
          </cell>
        </row>
        <row r="649">
          <cell r="A649" t="str">
            <v>ARC02</v>
          </cell>
          <cell r="B649" t="str">
            <v>Forjado de arco,incluye cimbra,cercha m.capuchino</v>
          </cell>
          <cell r="C649" t="str">
            <v>ML</v>
          </cell>
          <cell r="D649">
            <v>131.56666666666666</v>
          </cell>
          <cell r="E649">
            <v>1</v>
          </cell>
          <cell r="F649">
            <v>151.30166666666665</v>
          </cell>
        </row>
        <row r="650">
          <cell r="A650" t="str">
            <v>ARC03</v>
          </cell>
          <cell r="B650" t="str">
            <v>Forjado de arco,incluye cimbra,cercha m.soga</v>
          </cell>
          <cell r="C650" t="str">
            <v>ML</v>
          </cell>
          <cell r="D650">
            <v>197.35</v>
          </cell>
          <cell r="E650">
            <v>1</v>
          </cell>
          <cell r="F650">
            <v>226.95249999999999</v>
          </cell>
        </row>
        <row r="651">
          <cell r="A651" t="str">
            <v>ARC04</v>
          </cell>
          <cell r="B651" t="str">
            <v>Forjado de arco,incluye cimbra,cercha m.tezon</v>
          </cell>
          <cell r="C651" t="str">
            <v>ML</v>
          </cell>
          <cell r="D651">
            <v>375.90476190476187</v>
          </cell>
          <cell r="E651">
            <v>1</v>
          </cell>
          <cell r="F651">
            <v>432.29047619047611</v>
          </cell>
        </row>
        <row r="652">
          <cell r="A652" t="str">
            <v>ARM01</v>
          </cell>
          <cell r="B652" t="str">
            <v>Armado de castillos</v>
          </cell>
          <cell r="C652" t="str">
            <v>KG</v>
          </cell>
          <cell r="D652">
            <v>5.159477124183006</v>
          </cell>
          <cell r="E652"/>
          <cell r="F652">
            <v>5.9333986928104565</v>
          </cell>
        </row>
        <row r="653">
          <cell r="A653" t="str">
            <v>ARM02</v>
          </cell>
          <cell r="B653" t="str">
            <v>Armado de columnas</v>
          </cell>
          <cell r="C653" t="str">
            <v>KG</v>
          </cell>
          <cell r="D653">
            <v>5.159477124183006</v>
          </cell>
          <cell r="E653"/>
          <cell r="F653">
            <v>5.9333986928104565</v>
          </cell>
        </row>
        <row r="654">
          <cell r="A654" t="str">
            <v>ARM03</v>
          </cell>
          <cell r="B654" t="str">
            <v>Armado de dados</v>
          </cell>
          <cell r="C654" t="str">
            <v>KG</v>
          </cell>
          <cell r="D654">
            <v>5.159477124183006</v>
          </cell>
          <cell r="E654"/>
          <cell r="F654">
            <v>5.9333986928104565</v>
          </cell>
        </row>
        <row r="655">
          <cell r="A655" t="str">
            <v>ARM04</v>
          </cell>
          <cell r="B655" t="str">
            <v>Armado de dala o castillo lagartija</v>
          </cell>
          <cell r="C655" t="str">
            <v>ML</v>
          </cell>
          <cell r="D655">
            <v>26.313333333333333</v>
          </cell>
          <cell r="E655"/>
          <cell r="F655">
            <v>30.260333333333332</v>
          </cell>
        </row>
        <row r="656">
          <cell r="A656" t="str">
            <v>ARM05</v>
          </cell>
          <cell r="B656" t="str">
            <v>Armado de dalas diametros varios</v>
          </cell>
          <cell r="C656" t="str">
            <v>KG</v>
          </cell>
          <cell r="D656">
            <v>5.159477124183006</v>
          </cell>
          <cell r="E656"/>
          <cell r="F656">
            <v>5.9333986928104565</v>
          </cell>
        </row>
        <row r="657">
          <cell r="A657" t="str">
            <v>ARM06</v>
          </cell>
          <cell r="B657" t="str">
            <v>Armado de parrilla para losa de ovalines o closeds</v>
          </cell>
          <cell r="C657" t="str">
            <v>ML</v>
          </cell>
          <cell r="D657">
            <v>78.94</v>
          </cell>
          <cell r="E657"/>
          <cell r="F657">
            <v>90.780999999999992</v>
          </cell>
        </row>
        <row r="658">
          <cell r="A658" t="str">
            <v>ARM07</v>
          </cell>
          <cell r="B658" t="str">
            <v>Armado parrilla para losa de concreto</v>
          </cell>
          <cell r="C658" t="str">
            <v>KG</v>
          </cell>
          <cell r="D658">
            <v>5.159477124183006</v>
          </cell>
          <cell r="E658"/>
          <cell r="F658">
            <v>5.9333986928104565</v>
          </cell>
        </row>
        <row r="659">
          <cell r="A659" t="str">
            <v>ARM07g</v>
          </cell>
          <cell r="B659" t="str">
            <v>Armado parrilla para losa de concreto grandes superficies</v>
          </cell>
          <cell r="C659" t="str">
            <v>KG</v>
          </cell>
          <cell r="D659">
            <v>4.6421640693913551</v>
          </cell>
          <cell r="E659"/>
          <cell r="F659">
            <v>5.3384886798000579</v>
          </cell>
        </row>
        <row r="660">
          <cell r="A660" t="str">
            <v>ARM08</v>
          </cell>
          <cell r="B660" t="str">
            <v>Armado parrilla para zapata</v>
          </cell>
          <cell r="C660" t="str">
            <v>KG</v>
          </cell>
          <cell r="D660">
            <v>5.159477124183006</v>
          </cell>
          <cell r="E660"/>
          <cell r="F660">
            <v>5.9333986928104565</v>
          </cell>
        </row>
        <row r="661">
          <cell r="A661" t="str">
            <v>ARM09</v>
          </cell>
          <cell r="B661" t="str">
            <v>Armado de dala o castillo 3/8" estribos de alambron 20x20</v>
          </cell>
          <cell r="C661" t="str">
            <v>ML</v>
          </cell>
          <cell r="D661">
            <v>41.547368421052632</v>
          </cell>
          <cell r="E661"/>
          <cell r="F661">
            <v>47.779473684210522</v>
          </cell>
        </row>
        <row r="662">
          <cell r="A662" t="str">
            <v>ARM09A</v>
          </cell>
          <cell r="B662" t="str">
            <v>Armado de dala o castillo 3/8" estribos de varillas</v>
          </cell>
          <cell r="C662" t="str">
            <v>ML</v>
          </cell>
          <cell r="D662"/>
          <cell r="E662"/>
          <cell r="F662">
            <v>0</v>
          </cell>
        </row>
        <row r="663">
          <cell r="A663" t="str">
            <v>ARM10</v>
          </cell>
          <cell r="B663" t="str">
            <v>Armado de zapatas, dados, etc. A granel</v>
          </cell>
          <cell r="C663" t="str">
            <v>KG</v>
          </cell>
          <cell r="D663">
            <v>4.0425000000000004</v>
          </cell>
          <cell r="E663"/>
          <cell r="F663">
            <v>4.6488750000000003</v>
          </cell>
        </row>
        <row r="664">
          <cell r="A664" t="str">
            <v>ARMTL</v>
          </cell>
          <cell r="B664" t="str">
            <v>Armado de trabe de liga</v>
          </cell>
          <cell r="C664" t="str">
            <v>KG</v>
          </cell>
          <cell r="D664">
            <v>5.159477124183006</v>
          </cell>
          <cell r="E664"/>
          <cell r="F664">
            <v>5.9333986928104565</v>
          </cell>
        </row>
        <row r="665">
          <cell r="A665" t="str">
            <v>ARMEX</v>
          </cell>
          <cell r="B665" t="str">
            <v>Colocar armex incluye cortes y acarreos</v>
          </cell>
          <cell r="C665" t="str">
            <v>ML</v>
          </cell>
          <cell r="D665">
            <v>3.9470000000000001</v>
          </cell>
          <cell r="E665"/>
          <cell r="F665">
            <v>4.5390499999999996</v>
          </cell>
        </row>
        <row r="666">
          <cell r="A666" t="str">
            <v>BAJ01</v>
          </cell>
          <cell r="B666" t="str">
            <v>Bajar parrilla y centrar dado, castillo o columna c/hilos</v>
          </cell>
          <cell r="C666" t="str">
            <v>PZA</v>
          </cell>
          <cell r="D666">
            <v>213.35135135135133</v>
          </cell>
          <cell r="E666"/>
          <cell r="F666">
            <v>245.35405405405402</v>
          </cell>
        </row>
        <row r="667">
          <cell r="A667" t="str">
            <v>BANCA</v>
          </cell>
          <cell r="B667" t="str">
            <v>Forro de banca mampara con azulejo</v>
          </cell>
          <cell r="C667" t="str">
            <v>PZA</v>
          </cell>
          <cell r="D667">
            <v>526.26666666666665</v>
          </cell>
          <cell r="E667"/>
          <cell r="F667">
            <v>605.20666666666659</v>
          </cell>
        </row>
        <row r="668">
          <cell r="A668" t="str">
            <v>BAR01</v>
          </cell>
          <cell r="B668" t="str">
            <v>Barbas en dala lagartija para panel W</v>
          </cell>
          <cell r="C668" t="str">
            <v>PZA</v>
          </cell>
          <cell r="D668">
            <v>14.352727272727272</v>
          </cell>
          <cell r="E668"/>
          <cell r="F668">
            <v>16.505636363636363</v>
          </cell>
        </row>
        <row r="669">
          <cell r="A669" t="str">
            <v>BARRE</v>
          </cell>
          <cell r="B669" t="str">
            <v>Barreno en azulejo, rejillas y tubos</v>
          </cell>
          <cell r="C669" t="str">
            <v>PZA</v>
          </cell>
          <cell r="D669">
            <v>62.950558213716114</v>
          </cell>
          <cell r="E669"/>
          <cell r="F669">
            <v>72.393141945773522</v>
          </cell>
        </row>
        <row r="670">
          <cell r="A670" t="str">
            <v>BARREVA</v>
          </cell>
          <cell r="B670" t="str">
            <v>Barreno en concreto para varillas</v>
          </cell>
          <cell r="C670" t="str">
            <v>PZA</v>
          </cell>
          <cell r="D670">
            <v>17.542222222222222</v>
          </cell>
          <cell r="E670"/>
          <cell r="F670">
            <v>20.173555555555552</v>
          </cell>
        </row>
        <row r="671">
          <cell r="A671" t="str">
            <v>BARREVA2</v>
          </cell>
          <cell r="B671" t="str">
            <v>Barreno en concreto para anclaje de varillas</v>
          </cell>
          <cell r="C671" t="str">
            <v>PZA</v>
          </cell>
          <cell r="D671">
            <v>8.7711111111111109</v>
          </cell>
          <cell r="E671"/>
          <cell r="F671">
            <v>10.086777777777776</v>
          </cell>
        </row>
        <row r="672">
          <cell r="A672" t="str">
            <v>BAS01</v>
          </cell>
          <cell r="B672" t="str">
            <v>Bastones para malla lack, panel, armados</v>
          </cell>
          <cell r="C672" t="str">
            <v>PZA</v>
          </cell>
          <cell r="D672">
            <v>14.352727272727272</v>
          </cell>
          <cell r="E672"/>
          <cell r="F672">
            <v>16.505636363636363</v>
          </cell>
        </row>
        <row r="673">
          <cell r="A673" t="str">
            <v>BASEA</v>
          </cell>
          <cell r="B673" t="str">
            <v>Base para equipo de aire acondicionado 70 x 70</v>
          </cell>
          <cell r="C673" t="str">
            <v>PZA</v>
          </cell>
          <cell r="D673">
            <v>394.7</v>
          </cell>
          <cell r="E673"/>
          <cell r="F673">
            <v>453.90499999999997</v>
          </cell>
        </row>
        <row r="674">
          <cell r="A674" t="str">
            <v>BASET</v>
          </cell>
          <cell r="B674" t="str">
            <v>Base de ladrillo para tuberia, perfilada</v>
          </cell>
          <cell r="C674" t="str">
            <v>PZA</v>
          </cell>
          <cell r="D674">
            <v>78.94</v>
          </cell>
          <cell r="E674"/>
          <cell r="F674">
            <v>90.780999999999992</v>
          </cell>
        </row>
        <row r="675">
          <cell r="A675" t="str">
            <v>BAYO</v>
          </cell>
          <cell r="B675" t="str">
            <v xml:space="preserve">Bayoneteo de varillas </v>
          </cell>
          <cell r="C675" t="str">
            <v>PZA</v>
          </cell>
          <cell r="D675">
            <v>3.1576</v>
          </cell>
          <cell r="E675"/>
          <cell r="F675">
            <v>3.6312399999999996</v>
          </cell>
        </row>
        <row r="676">
          <cell r="A676" t="str">
            <v>BOL01</v>
          </cell>
          <cell r="B676" t="str">
            <v>Boleado apalillado en aristas muros</v>
          </cell>
          <cell r="C676" t="str">
            <v>ML</v>
          </cell>
          <cell r="D676">
            <v>31.576000000000001</v>
          </cell>
          <cell r="E676"/>
          <cell r="F676">
            <v>36.312399999999997</v>
          </cell>
        </row>
        <row r="677">
          <cell r="A677" t="str">
            <v>BOL02</v>
          </cell>
          <cell r="B677" t="str">
            <v>Boleado pulido en aristas muros</v>
          </cell>
          <cell r="C677" t="str">
            <v>ML</v>
          </cell>
          <cell r="D677">
            <v>39.47</v>
          </cell>
          <cell r="E677"/>
          <cell r="F677">
            <v>45.390499999999996</v>
          </cell>
        </row>
        <row r="678">
          <cell r="A678" t="str">
            <v>BOL03</v>
          </cell>
          <cell r="B678" t="str">
            <v>Boleado rustico en aristas de muros</v>
          </cell>
          <cell r="C678" t="str">
            <v>ML</v>
          </cell>
          <cell r="D678">
            <v>26.313333333333333</v>
          </cell>
          <cell r="E678"/>
          <cell r="F678">
            <v>30.260333333333332</v>
          </cell>
        </row>
        <row r="679">
          <cell r="A679" t="str">
            <v>BOND</v>
          </cell>
          <cell r="B679" t="str">
            <v>Aplicar festerbond en superficies</v>
          </cell>
          <cell r="C679" t="str">
            <v>M2</v>
          </cell>
          <cell r="D679">
            <v>9.8674999999999997</v>
          </cell>
          <cell r="E679"/>
          <cell r="F679">
            <v>11.347624999999999</v>
          </cell>
        </row>
        <row r="680">
          <cell r="A680" t="str">
            <v>BOQ01</v>
          </cell>
          <cell r="B680" t="str">
            <v>Boquilla 1 rostro en herreria</v>
          </cell>
          <cell r="C680" t="str">
            <v>ML</v>
          </cell>
          <cell r="D680">
            <v>39.47</v>
          </cell>
          <cell r="E680">
            <v>1</v>
          </cell>
          <cell r="F680">
            <v>45.390499999999996</v>
          </cell>
        </row>
        <row r="681">
          <cell r="A681" t="str">
            <v>BOQ02</v>
          </cell>
          <cell r="B681" t="str">
            <v>Boquilla boleada</v>
          </cell>
          <cell r="C681" t="str">
            <v>ML</v>
          </cell>
          <cell r="D681">
            <v>78.94</v>
          </cell>
          <cell r="E681">
            <v>1</v>
          </cell>
          <cell r="F681">
            <v>90.780999999999992</v>
          </cell>
        </row>
        <row r="682">
          <cell r="A682" t="str">
            <v>BOQ03</v>
          </cell>
          <cell r="B682" t="str">
            <v>Boquilla</v>
          </cell>
          <cell r="C682" t="str">
            <v>ML</v>
          </cell>
          <cell r="D682">
            <v>52.626666666666665</v>
          </cell>
          <cell r="E682">
            <v>1</v>
          </cell>
          <cell r="F682">
            <v>60.520666666666664</v>
          </cell>
        </row>
        <row r="683">
          <cell r="A683" t="str">
            <v>BOQ04</v>
          </cell>
          <cell r="B683" t="str">
            <v>Boquillas en azulejo</v>
          </cell>
          <cell r="C683" t="str">
            <v>ML</v>
          </cell>
          <cell r="D683">
            <v>98.674999999999997</v>
          </cell>
          <cell r="E683"/>
          <cell r="F683">
            <v>113.47624999999999</v>
          </cell>
        </row>
        <row r="684">
          <cell r="A684" t="str">
            <v>BOQ05</v>
          </cell>
          <cell r="B684" t="str">
            <v>Boquilla de arco</v>
          </cell>
          <cell r="C684" t="str">
            <v>ML</v>
          </cell>
          <cell r="D684">
            <v>98.674999999999997</v>
          </cell>
          <cell r="E684">
            <v>1</v>
          </cell>
          <cell r="F684">
            <v>113.47624999999999</v>
          </cell>
        </row>
        <row r="685">
          <cell r="A685" t="str">
            <v>BOQ06</v>
          </cell>
          <cell r="B685" t="str">
            <v>Boquilla terminado rustico</v>
          </cell>
          <cell r="C685" t="str">
            <v>ML</v>
          </cell>
          <cell r="D685">
            <v>78.94</v>
          </cell>
          <cell r="E685">
            <v>1</v>
          </cell>
          <cell r="F685">
            <v>90.780999999999992</v>
          </cell>
        </row>
        <row r="686">
          <cell r="A686" t="str">
            <v>BOQAF</v>
          </cell>
          <cell r="B686" t="str">
            <v>Boquilla terminado afinado esp max 30 cms</v>
          </cell>
          <cell r="C686" t="str">
            <v>ML</v>
          </cell>
          <cell r="D686">
            <v>71.763636363636365</v>
          </cell>
          <cell r="E686">
            <v>1</v>
          </cell>
          <cell r="F686">
            <v>82.528181818181821</v>
          </cell>
        </row>
        <row r="687">
          <cell r="A687" t="str">
            <v>BOV01</v>
          </cell>
          <cell r="B687" t="str">
            <v>Boveda de cuña en limpio</v>
          </cell>
          <cell r="C687" t="str">
            <v>M2</v>
          </cell>
          <cell r="D687">
            <v>157.88</v>
          </cell>
          <cell r="E687">
            <v>1</v>
          </cell>
          <cell r="F687">
            <v>181.56199999999998</v>
          </cell>
        </row>
        <row r="688">
          <cell r="A688" t="str">
            <v>BOV02</v>
          </cell>
          <cell r="B688" t="str">
            <v>Boveda de cuña en limpio 2a h.</v>
          </cell>
          <cell r="C688" t="str">
            <v>M2</v>
          </cell>
          <cell r="D688">
            <v>175.42222222222222</v>
          </cell>
          <cell r="E688">
            <v>1</v>
          </cell>
          <cell r="F688">
            <v>201.73555555555552</v>
          </cell>
        </row>
        <row r="689">
          <cell r="A689" t="str">
            <v>BOV03</v>
          </cell>
          <cell r="B689" t="str">
            <v>Boveda de cuña en losa inclinada</v>
          </cell>
          <cell r="C689" t="str">
            <v>M2</v>
          </cell>
          <cell r="D689">
            <v>112.77142857142857</v>
          </cell>
          <cell r="E689">
            <v>1</v>
          </cell>
          <cell r="F689">
            <v>129.68714285714285</v>
          </cell>
        </row>
        <row r="690">
          <cell r="A690" t="str">
            <v>BOV04</v>
          </cell>
          <cell r="B690" t="str">
            <v>Boveda de cuña en losa inclinada 2a h.</v>
          </cell>
          <cell r="C690" t="str">
            <v>M2</v>
          </cell>
          <cell r="D690">
            <v>129.68714285714285</v>
          </cell>
          <cell r="E690">
            <v>1</v>
          </cell>
          <cell r="F690">
            <v>149.14021428571425</v>
          </cell>
        </row>
        <row r="691">
          <cell r="A691" t="str">
            <v>BOV05</v>
          </cell>
          <cell r="B691" t="str">
            <v>Boveda de cuña en sucio</v>
          </cell>
          <cell r="C691" t="str">
            <v>M2</v>
          </cell>
          <cell r="D691">
            <v>121.44615384615385</v>
          </cell>
          <cell r="E691">
            <v>1</v>
          </cell>
          <cell r="F691">
            <v>139.66307692307691</v>
          </cell>
        </row>
        <row r="692">
          <cell r="A692" t="str">
            <v>BOV06</v>
          </cell>
          <cell r="B692" t="str">
            <v>Boveda de cuña en sucio 2a h.</v>
          </cell>
          <cell r="C692" t="str">
            <v>M2</v>
          </cell>
          <cell r="D692">
            <v>139.66307692307691</v>
          </cell>
          <cell r="E692">
            <v>1</v>
          </cell>
          <cell r="F692">
            <v>160.61253846153843</v>
          </cell>
        </row>
        <row r="693">
          <cell r="A693" t="str">
            <v>BROC1</v>
          </cell>
          <cell r="B693" t="str">
            <v>Colocar brocal en pozo de visita</v>
          </cell>
          <cell r="C693" t="str">
            <v>PZA</v>
          </cell>
          <cell r="D693">
            <v>157.88</v>
          </cell>
          <cell r="E693"/>
          <cell r="F693">
            <v>181.56199999999998</v>
          </cell>
        </row>
        <row r="694">
          <cell r="A694" t="str">
            <v>CAB01</v>
          </cell>
          <cell r="B694" t="str">
            <v>Caballete en aristas de teja</v>
          </cell>
          <cell r="C694" t="str">
            <v>ML</v>
          </cell>
          <cell r="D694">
            <v>112.77142857142857</v>
          </cell>
          <cell r="E694">
            <v>1</v>
          </cell>
          <cell r="F694">
            <v>129.68714285714285</v>
          </cell>
        </row>
        <row r="695">
          <cell r="A695" t="str">
            <v>CAJ01</v>
          </cell>
          <cell r="B695" t="str">
            <v>Abrir, forjar y terminar caja de luz cortesia</v>
          </cell>
          <cell r="C695" t="str">
            <v>PZA</v>
          </cell>
          <cell r="D695">
            <v>692.45614035087726</v>
          </cell>
          <cell r="E695"/>
          <cell r="F695">
            <v>796.32456140350882</v>
          </cell>
        </row>
        <row r="696">
          <cell r="A696" t="str">
            <v>CAL01</v>
          </cell>
          <cell r="B696" t="str">
            <v>Calavereado muro abultado en mamposteo</v>
          </cell>
          <cell r="C696" t="str">
            <v>M2</v>
          </cell>
          <cell r="D696">
            <v>98.674999999999997</v>
          </cell>
          <cell r="E696">
            <v>1</v>
          </cell>
          <cell r="F696">
            <v>113.47624999999999</v>
          </cell>
        </row>
        <row r="697">
          <cell r="A697" t="str">
            <v>CAL02</v>
          </cell>
          <cell r="B697" t="str">
            <v>Calavereado muro embutido en mamposteo</v>
          </cell>
          <cell r="C697" t="str">
            <v>M2</v>
          </cell>
          <cell r="D697">
            <v>69.245614035087712</v>
          </cell>
          <cell r="E697">
            <v>1</v>
          </cell>
          <cell r="F697">
            <v>79.632456140350868</v>
          </cell>
        </row>
        <row r="698">
          <cell r="A698" t="str">
            <v>CALAF</v>
          </cell>
          <cell r="B698" t="str">
            <v>Calafateo de junta de dilatacion</v>
          </cell>
          <cell r="C698" t="str">
            <v>ML</v>
          </cell>
          <cell r="D698">
            <v>26.313333333333333</v>
          </cell>
          <cell r="E698"/>
          <cell r="F698">
            <v>30.260333333333332</v>
          </cell>
        </row>
        <row r="699">
          <cell r="A699" t="str">
            <v>CAMI</v>
          </cell>
          <cell r="B699" t="str">
            <v>Cama individual terminada</v>
          </cell>
          <cell r="C699" t="str">
            <v>PZA</v>
          </cell>
          <cell r="D699">
            <v>2631.3333333333335</v>
          </cell>
          <cell r="E699"/>
          <cell r="F699">
            <v>3026.0333333333333</v>
          </cell>
        </row>
        <row r="700">
          <cell r="A700" t="str">
            <v>CAMK</v>
          </cell>
          <cell r="B700" t="str">
            <v>Cama king size terminada</v>
          </cell>
          <cell r="C700" t="str">
            <v>PZA</v>
          </cell>
          <cell r="D700">
            <v>3946.9999999999995</v>
          </cell>
          <cell r="E700"/>
          <cell r="F700">
            <v>4539.0499999999993</v>
          </cell>
        </row>
        <row r="701">
          <cell r="A701" t="str">
            <v>CAMM</v>
          </cell>
          <cell r="B701" t="str">
            <v>Cama matrimonial terminada</v>
          </cell>
          <cell r="C701" t="str">
            <v>PZA</v>
          </cell>
          <cell r="D701">
            <v>3157.6</v>
          </cell>
          <cell r="E701"/>
          <cell r="F701">
            <v>3631.24</v>
          </cell>
        </row>
        <row r="702">
          <cell r="A702" t="str">
            <v>CAMQ</v>
          </cell>
          <cell r="B702" t="str">
            <v>Cama queen size terminada</v>
          </cell>
          <cell r="C702" t="str">
            <v>PZA</v>
          </cell>
          <cell r="D702">
            <v>3588.181818181818</v>
          </cell>
          <cell r="E702"/>
          <cell r="F702">
            <v>4126.4090909090901</v>
          </cell>
        </row>
        <row r="703">
          <cell r="A703" t="str">
            <v>CAMT</v>
          </cell>
          <cell r="B703" t="str">
            <v>Cama para sentar tuberia</v>
          </cell>
          <cell r="C703" t="str">
            <v>ML</v>
          </cell>
          <cell r="D703">
            <v>13.156666666666666</v>
          </cell>
          <cell r="E703"/>
          <cell r="F703">
            <v>15.130166666666666</v>
          </cell>
        </row>
        <row r="704">
          <cell r="A704" t="str">
            <v>CANES</v>
          </cell>
          <cell r="B704" t="str">
            <v>Canes de varilla p/sujecion reglas boquillas</v>
          </cell>
          <cell r="C704" t="str">
            <v>PZA</v>
          </cell>
          <cell r="D704">
            <v>14.352727272727272</v>
          </cell>
          <cell r="E704"/>
          <cell r="F704">
            <v>16.505636363636363</v>
          </cell>
        </row>
        <row r="705">
          <cell r="A705" t="str">
            <v>CARR1</v>
          </cell>
          <cell r="B705" t="str">
            <v>Carrucha en fachadas para acarreo material</v>
          </cell>
          <cell r="C705" t="str">
            <v>PZA</v>
          </cell>
          <cell r="D705">
            <v>112.77142857142857</v>
          </cell>
          <cell r="E705"/>
          <cell r="F705">
            <v>129.68714285714285</v>
          </cell>
        </row>
        <row r="706">
          <cell r="A706" t="str">
            <v>CCA01</v>
          </cell>
          <cell r="B706" t="str">
            <v>C.y colar castillo 3 caras p/20</v>
          </cell>
          <cell r="C706" t="str">
            <v>ML</v>
          </cell>
          <cell r="D706">
            <v>98.674999999999997</v>
          </cell>
          <cell r="E706">
            <v>1</v>
          </cell>
          <cell r="F706">
            <v>113.47624999999999</v>
          </cell>
        </row>
        <row r="707">
          <cell r="A707" t="str">
            <v>CCA02</v>
          </cell>
          <cell r="B707" t="str">
            <v>C.y colar castillo 3 caras p/20 2a h.</v>
          </cell>
          <cell r="C707" t="str">
            <v>ML</v>
          </cell>
          <cell r="D707">
            <v>113.47624999999998</v>
          </cell>
          <cell r="E707">
            <v>1</v>
          </cell>
          <cell r="F707">
            <v>130.49768749999996</v>
          </cell>
        </row>
        <row r="708">
          <cell r="A708" t="str">
            <v>CCA03</v>
          </cell>
          <cell r="B708" t="str">
            <v>C.y colar castillo 3 caras p/capuchino o lagartija</v>
          </cell>
          <cell r="C708" t="str">
            <v>ML</v>
          </cell>
          <cell r="D708">
            <v>71.763636363636365</v>
          </cell>
          <cell r="E708">
            <v>1</v>
          </cell>
          <cell r="F708">
            <v>82.528181818181821</v>
          </cell>
        </row>
        <row r="709">
          <cell r="A709" t="str">
            <v>CCA04</v>
          </cell>
          <cell r="B709" t="str">
            <v>C.y colar castillo 3 caras p/capuchino 2a h.</v>
          </cell>
          <cell r="C709" t="str">
            <v>ML</v>
          </cell>
          <cell r="D709">
            <v>82.229166666666671</v>
          </cell>
          <cell r="E709">
            <v>1</v>
          </cell>
          <cell r="F709">
            <v>94.563541666666666</v>
          </cell>
        </row>
        <row r="710">
          <cell r="A710" t="str">
            <v>CCA05</v>
          </cell>
          <cell r="B710" t="str">
            <v>C.y colar castillo 3 caras p/soga</v>
          </cell>
          <cell r="C710" t="str">
            <v>ML</v>
          </cell>
          <cell r="D710">
            <v>78.94</v>
          </cell>
          <cell r="E710">
            <v>1</v>
          </cell>
          <cell r="F710">
            <v>90.780999999999992</v>
          </cell>
        </row>
        <row r="711">
          <cell r="A711" t="str">
            <v>CCA06</v>
          </cell>
          <cell r="B711" t="str">
            <v>C.y colar castillo 3 caras p/soga 2a h.</v>
          </cell>
          <cell r="C711" t="str">
            <v>ML</v>
          </cell>
          <cell r="D711">
            <v>90.780999999999992</v>
          </cell>
          <cell r="E711">
            <v>1</v>
          </cell>
          <cell r="F711">
            <v>104.39814999999999</v>
          </cell>
        </row>
        <row r="712">
          <cell r="A712" t="str">
            <v>CCA07</v>
          </cell>
          <cell r="B712" t="str">
            <v>C.y colar castillo 3 caras p/tezon</v>
          </cell>
          <cell r="C712" t="str">
            <v>ML</v>
          </cell>
          <cell r="D712">
            <v>112.77142857142857</v>
          </cell>
          <cell r="E712">
            <v>1</v>
          </cell>
          <cell r="F712">
            <v>129.68714285714285</v>
          </cell>
        </row>
        <row r="713">
          <cell r="A713" t="str">
            <v>CCA08</v>
          </cell>
          <cell r="B713" t="str">
            <v>C.y colar castillo 3 caras p/tezon 2a h.</v>
          </cell>
          <cell r="C713" t="str">
            <v>ML</v>
          </cell>
          <cell r="D713">
            <v>129.68714285714285</v>
          </cell>
          <cell r="E713">
            <v>1</v>
          </cell>
          <cell r="F713">
            <v>149.14021428571425</v>
          </cell>
        </row>
        <row r="714">
          <cell r="A714" t="str">
            <v>CCA09</v>
          </cell>
          <cell r="B714" t="str">
            <v>C.y colar castillo p/20</v>
          </cell>
          <cell r="C714" t="str">
            <v>ML</v>
          </cell>
          <cell r="D714">
            <v>83.094736842105263</v>
          </cell>
          <cell r="E714">
            <v>1</v>
          </cell>
          <cell r="F714">
            <v>95.558947368421045</v>
          </cell>
        </row>
        <row r="715">
          <cell r="A715" t="str">
            <v>CCA10</v>
          </cell>
          <cell r="B715" t="str">
            <v>C.y colar castillo p/20 2a h.</v>
          </cell>
          <cell r="C715" t="str">
            <v>ML</v>
          </cell>
          <cell r="D715">
            <v>95.684848484848487</v>
          </cell>
          <cell r="E715">
            <v>1</v>
          </cell>
          <cell r="F715">
            <v>110.03757575757575</v>
          </cell>
        </row>
        <row r="716">
          <cell r="A716" t="str">
            <v>CCA11</v>
          </cell>
          <cell r="B716" t="str">
            <v>C.y colar castillo p/capuchino o lagartija</v>
          </cell>
          <cell r="C716" t="str">
            <v>ML</v>
          </cell>
          <cell r="D716">
            <v>63.152000000000001</v>
          </cell>
          <cell r="E716">
            <v>1</v>
          </cell>
          <cell r="F716">
            <v>72.624799999999993</v>
          </cell>
        </row>
        <row r="717">
          <cell r="A717" t="str">
            <v>CCA12</v>
          </cell>
          <cell r="B717" t="str">
            <v>C.y colar castillo p/capuchino 2a h.</v>
          </cell>
          <cell r="C717" t="str">
            <v>ML</v>
          </cell>
          <cell r="D717">
            <v>72.422018348623851</v>
          </cell>
          <cell r="E717">
            <v>1</v>
          </cell>
          <cell r="F717">
            <v>83.285321100917429</v>
          </cell>
        </row>
        <row r="718">
          <cell r="A718" t="str">
            <v>CCA13</v>
          </cell>
          <cell r="B718" t="str">
            <v>C.y colar castillo p/soga</v>
          </cell>
          <cell r="C718" t="str">
            <v>ML</v>
          </cell>
          <cell r="D718">
            <v>68.643478260869557</v>
          </cell>
          <cell r="E718">
            <v>1</v>
          </cell>
          <cell r="F718">
            <v>78.939999999999984</v>
          </cell>
        </row>
        <row r="719">
          <cell r="A719" t="str">
            <v>CCA14</v>
          </cell>
          <cell r="B719" t="str">
            <v>C.y colar castillo p/soga 2a h.</v>
          </cell>
          <cell r="C719" t="str">
            <v>ML</v>
          </cell>
          <cell r="D719">
            <v>78.939999999999984</v>
          </cell>
          <cell r="E719">
            <v>1</v>
          </cell>
          <cell r="F719">
            <v>90.780999999999977</v>
          </cell>
        </row>
        <row r="720">
          <cell r="A720" t="str">
            <v>CCA15</v>
          </cell>
          <cell r="B720" t="str">
            <v>C.y colar castillo p/tezon</v>
          </cell>
          <cell r="C720" t="str">
            <v>ML</v>
          </cell>
          <cell r="D720">
            <v>92.870588235294122</v>
          </cell>
          <cell r="E720">
            <v>1</v>
          </cell>
          <cell r="F720">
            <v>106.80117647058823</v>
          </cell>
        </row>
        <row r="721">
          <cell r="A721" t="str">
            <v>CCA16</v>
          </cell>
          <cell r="B721" t="str">
            <v>C.y colar castillo p/tezon 2a h.</v>
          </cell>
          <cell r="C721" t="str">
            <v>ML</v>
          </cell>
          <cell r="D721">
            <v>106.80117647058822</v>
          </cell>
          <cell r="E721">
            <v>1</v>
          </cell>
          <cell r="F721">
            <v>122.82135294117644</v>
          </cell>
        </row>
        <row r="722">
          <cell r="A722" t="str">
            <v>CCA17</v>
          </cell>
          <cell r="B722" t="str">
            <v>C y colar castillo 4 caras</v>
          </cell>
          <cell r="C722" t="str">
            <v>ML</v>
          </cell>
          <cell r="D722">
            <v>131.56666666666666</v>
          </cell>
          <cell r="E722">
            <v>1</v>
          </cell>
          <cell r="F722">
            <v>151.30166666666665</v>
          </cell>
        </row>
        <row r="723">
          <cell r="A723" t="str">
            <v>CCA201</v>
          </cell>
          <cell r="B723" t="str">
            <v>Cimbrar y colar castillo de 1 rostro muro de 20 c/twinos</v>
          </cell>
          <cell r="C723" t="str">
            <v>ML</v>
          </cell>
          <cell r="D723">
            <v>112.77142857142857</v>
          </cell>
          <cell r="E723">
            <v>1</v>
          </cell>
          <cell r="F723">
            <v>129.68714285714285</v>
          </cell>
        </row>
        <row r="724">
          <cell r="A724" t="str">
            <v>CCA202</v>
          </cell>
          <cell r="B724" t="str">
            <v>Cimbrar y colar castillo de 2 rostros muro de 20 c/twinos</v>
          </cell>
          <cell r="C724" t="str">
            <v>ML</v>
          </cell>
          <cell r="D724">
            <v>143.52727272727273</v>
          </cell>
          <cell r="E724">
            <v>1</v>
          </cell>
          <cell r="F724">
            <v>165.05636363636364</v>
          </cell>
        </row>
        <row r="725">
          <cell r="A725" t="str">
            <v>CCA203</v>
          </cell>
          <cell r="B725" t="str">
            <v>Cimbrar y colar castillo de 20 a 3a h</v>
          </cell>
          <cell r="C725" t="str">
            <v>ML</v>
          </cell>
          <cell r="D725">
            <v>108.13698630136986</v>
          </cell>
          <cell r="E725">
            <v>1</v>
          </cell>
          <cell r="F725">
            <v>124.35753424657533</v>
          </cell>
        </row>
        <row r="726">
          <cell r="A726" t="str">
            <v>CCA25</v>
          </cell>
          <cell r="B726" t="str">
            <v>C.y colar castillo para muro de 25</v>
          </cell>
          <cell r="C726" t="str">
            <v>ML</v>
          </cell>
          <cell r="D726">
            <v>103.18954248366012</v>
          </cell>
          <cell r="E726">
            <v>1</v>
          </cell>
          <cell r="F726">
            <v>118.66797385620913</v>
          </cell>
        </row>
        <row r="727">
          <cell r="A727" t="str">
            <v>CCA252</v>
          </cell>
          <cell r="B727" t="str">
            <v>C.y colar castillo para muro de 25 2a h</v>
          </cell>
          <cell r="C727" t="str">
            <v>ML</v>
          </cell>
          <cell r="D727">
            <v>118.66797385620913</v>
          </cell>
          <cell r="E727">
            <v>1</v>
          </cell>
          <cell r="F727">
            <v>136.46816993464049</v>
          </cell>
        </row>
        <row r="728">
          <cell r="A728" t="str">
            <v>CCA253</v>
          </cell>
          <cell r="B728" t="str">
            <v>C.y colar castillo para muro de 25 3a h</v>
          </cell>
          <cell r="C728" t="str">
            <v>ML</v>
          </cell>
          <cell r="D728">
            <v>136.46816993464049</v>
          </cell>
          <cell r="E728">
            <v>1</v>
          </cell>
          <cell r="F728">
            <v>156.93839542483656</v>
          </cell>
        </row>
        <row r="729">
          <cell r="A729" t="str">
            <v>CCA253C</v>
          </cell>
          <cell r="B729" t="str">
            <v>C.y colar castillo 3 caras para muro 25</v>
          </cell>
          <cell r="C729" t="str">
            <v>ML</v>
          </cell>
          <cell r="D729">
            <v>123.34374999999999</v>
          </cell>
          <cell r="E729">
            <v>1</v>
          </cell>
          <cell r="F729">
            <v>141.84531249999998</v>
          </cell>
        </row>
        <row r="730">
          <cell r="A730" t="str">
            <v>CCA253C2</v>
          </cell>
          <cell r="B730" t="str">
            <v>C.y colar castillo 3 caras para muro 25 2a h</v>
          </cell>
          <cell r="C730" t="str">
            <v>ML</v>
          </cell>
          <cell r="D730">
            <v>141.84531249999998</v>
          </cell>
          <cell r="E730">
            <v>1</v>
          </cell>
          <cell r="F730">
            <v>163.12210937499995</v>
          </cell>
        </row>
        <row r="731">
          <cell r="A731" t="str">
            <v>CCA35</v>
          </cell>
          <cell r="B731" t="str">
            <v>C.y colar castillo para muro de 35</v>
          </cell>
          <cell r="C731" t="str">
            <v>ML</v>
          </cell>
          <cell r="D731">
            <v>205.93043478260867</v>
          </cell>
          <cell r="E731">
            <v>1</v>
          </cell>
          <cell r="F731">
            <v>236.81999999999996</v>
          </cell>
        </row>
        <row r="732">
          <cell r="A732" t="str">
            <v>CCASO3</v>
          </cell>
          <cell r="B732" t="str">
            <v>Cimbrar y colar castillo de soga a 3a h</v>
          </cell>
          <cell r="C732" t="str">
            <v>ML</v>
          </cell>
          <cell r="D732">
            <v>85.804347826086968</v>
          </cell>
          <cell r="E732">
            <v>1</v>
          </cell>
          <cell r="F732">
            <v>98.675000000000011</v>
          </cell>
        </row>
        <row r="733">
          <cell r="A733" t="str">
            <v>CCASO4</v>
          </cell>
          <cell r="B733" t="str">
            <v>Cimbrar y colar castillo de soga a 4a h</v>
          </cell>
          <cell r="C733" t="str">
            <v>ML</v>
          </cell>
          <cell r="D733">
            <v>98.674999999999997</v>
          </cell>
          <cell r="E733">
            <v>1</v>
          </cell>
          <cell r="F733">
            <v>113.47624999999999</v>
          </cell>
        </row>
        <row r="734">
          <cell r="A734" t="str">
            <v>CCASO5</v>
          </cell>
          <cell r="B734" t="str">
            <v>Cimbrar y colar castillo de soga a 5a h</v>
          </cell>
          <cell r="C734" t="str">
            <v>ML</v>
          </cell>
          <cell r="D734">
            <v>113.47624999999998</v>
          </cell>
          <cell r="E734">
            <v>1</v>
          </cell>
          <cell r="F734">
            <v>130.49768749999996</v>
          </cell>
        </row>
        <row r="735">
          <cell r="A735" t="str">
            <v>CCATE3</v>
          </cell>
          <cell r="B735" t="str">
            <v>Cimbrar y colar castillo de tezon a 3a h</v>
          </cell>
          <cell r="C735" t="str">
            <v>ML</v>
          </cell>
          <cell r="D735">
            <v>128.2775</v>
          </cell>
          <cell r="E735">
            <v>1</v>
          </cell>
          <cell r="F735">
            <v>147.519125</v>
          </cell>
        </row>
        <row r="736">
          <cell r="A736" t="str">
            <v>CCATE4</v>
          </cell>
          <cell r="B736" t="str">
            <v>Cimbrar y colar castillo de tezon a 4a h</v>
          </cell>
          <cell r="C736" t="str">
            <v>ML</v>
          </cell>
          <cell r="D736">
            <v>147.519125</v>
          </cell>
          <cell r="E736">
            <v>1</v>
          </cell>
          <cell r="F736">
            <v>169.64699374999998</v>
          </cell>
        </row>
        <row r="737">
          <cell r="A737" t="str">
            <v>CCATE5</v>
          </cell>
          <cell r="B737" t="str">
            <v>Cimbrar y colar castillo de tezon a 5a h</v>
          </cell>
          <cell r="C737" t="str">
            <v>ML</v>
          </cell>
          <cell r="D737">
            <v>169.64699375000001</v>
          </cell>
          <cell r="E737">
            <v>1</v>
          </cell>
          <cell r="F737">
            <v>195.09404281249999</v>
          </cell>
        </row>
        <row r="738">
          <cell r="A738" t="str">
            <v>CCATE1R</v>
          </cell>
          <cell r="B738" t="str">
            <v>Cimbrar y colar castillo de 1 rostro muro tezon c/twinos</v>
          </cell>
          <cell r="C738" t="str">
            <v>ML</v>
          </cell>
          <cell r="D738">
            <v>119.42511346444779</v>
          </cell>
          <cell r="E738">
            <v>1</v>
          </cell>
          <cell r="F738">
            <v>137.33888048411495</v>
          </cell>
        </row>
        <row r="739">
          <cell r="A739" t="str">
            <v>CCE20</v>
          </cell>
          <cell r="B739" t="str">
            <v>C. y colar cerramiento muro 20</v>
          </cell>
          <cell r="C739" t="str">
            <v>ML</v>
          </cell>
          <cell r="D739">
            <v>131.56666666666666</v>
          </cell>
          <cell r="E739">
            <v>1</v>
          </cell>
          <cell r="F739">
            <v>151.30166666666665</v>
          </cell>
        </row>
        <row r="740">
          <cell r="A740" t="str">
            <v>CCE25</v>
          </cell>
          <cell r="B740" t="str">
            <v>C. y colar cerramiento muro de 25</v>
          </cell>
          <cell r="C740" t="str">
            <v>ML</v>
          </cell>
          <cell r="D740">
            <v>167.95744680851064</v>
          </cell>
          <cell r="E740">
            <v>1</v>
          </cell>
          <cell r="F740">
            <v>193.15106382978723</v>
          </cell>
        </row>
        <row r="741">
          <cell r="A741" t="str">
            <v>CCE35</v>
          </cell>
          <cell r="B741" t="str">
            <v>C. y colar cerramiento muro de 35</v>
          </cell>
          <cell r="C741" t="str">
            <v>ML</v>
          </cell>
          <cell r="D741">
            <v>335.91489361702128</v>
          </cell>
          <cell r="E741">
            <v>1</v>
          </cell>
          <cell r="F741">
            <v>386.30212765957447</v>
          </cell>
        </row>
        <row r="742">
          <cell r="A742" t="str">
            <v>CCECA</v>
          </cell>
          <cell r="B742" t="str">
            <v>C. y colar cerramiento muro capuchino o lagartija</v>
          </cell>
          <cell r="C742" t="str">
            <v>ML</v>
          </cell>
          <cell r="D742">
            <v>71.763636363636365</v>
          </cell>
          <cell r="E742">
            <v>1</v>
          </cell>
          <cell r="F742">
            <v>82.528181818181821</v>
          </cell>
        </row>
        <row r="743">
          <cell r="A743" t="str">
            <v>CCESO</v>
          </cell>
          <cell r="B743" t="str">
            <v>C. y colar cerramiento muro soga</v>
          </cell>
          <cell r="C743" t="str">
            <v>ML</v>
          </cell>
          <cell r="D743">
            <v>87.711111111111109</v>
          </cell>
          <cell r="E743">
            <v>1</v>
          </cell>
          <cell r="F743">
            <v>100.86777777777776</v>
          </cell>
        </row>
        <row r="744">
          <cell r="A744" t="str">
            <v>CCETE</v>
          </cell>
          <cell r="B744" t="str">
            <v>C. y colar cerramiento muro tezon</v>
          </cell>
          <cell r="C744" t="str">
            <v>ML</v>
          </cell>
          <cell r="D744">
            <v>157.88</v>
          </cell>
          <cell r="E744">
            <v>1</v>
          </cell>
          <cell r="F744">
            <v>181.56199999999998</v>
          </cell>
        </row>
        <row r="745">
          <cell r="A745" t="str">
            <v>CDA01</v>
          </cell>
          <cell r="B745" t="str">
            <v>C. y colar dala corona 20</v>
          </cell>
          <cell r="C745" t="str">
            <v>ML</v>
          </cell>
          <cell r="D745">
            <v>92.870588235294122</v>
          </cell>
          <cell r="E745">
            <v>1</v>
          </cell>
          <cell r="F745">
            <v>106.80117647058823</v>
          </cell>
        </row>
        <row r="746">
          <cell r="A746" t="str">
            <v>CDA02</v>
          </cell>
          <cell r="B746" t="str">
            <v>C. y colar dala corona capuchino</v>
          </cell>
          <cell r="C746" t="str">
            <v>ML</v>
          </cell>
          <cell r="D746">
            <v>71.763636363636365</v>
          </cell>
          <cell r="E746">
            <v>1</v>
          </cell>
          <cell r="F746">
            <v>82.528181818181821</v>
          </cell>
        </row>
        <row r="747">
          <cell r="A747" t="str">
            <v>CDA03</v>
          </cell>
          <cell r="B747" t="str">
            <v>C. y colar dala corona soga</v>
          </cell>
          <cell r="C747" t="str">
            <v>ML</v>
          </cell>
          <cell r="D747">
            <v>78.94</v>
          </cell>
          <cell r="E747">
            <v>1</v>
          </cell>
          <cell r="F747">
            <v>90.780999999999992</v>
          </cell>
        </row>
        <row r="748">
          <cell r="A748" t="str">
            <v>CDA04</v>
          </cell>
          <cell r="B748" t="str">
            <v>C. y colar dala corona tezon</v>
          </cell>
          <cell r="C748" t="str">
            <v>ML</v>
          </cell>
          <cell r="D748">
            <v>98.674999999999997</v>
          </cell>
          <cell r="E748">
            <v>1</v>
          </cell>
          <cell r="F748">
            <v>113.47624999999999</v>
          </cell>
        </row>
        <row r="749">
          <cell r="A749" t="str">
            <v>CDA05</v>
          </cell>
          <cell r="B749" t="str">
            <v>C. y colar dala desplante 20</v>
          </cell>
          <cell r="C749" t="str">
            <v>ML</v>
          </cell>
          <cell r="D749">
            <v>83.094736842105263</v>
          </cell>
          <cell r="E749">
            <v>1</v>
          </cell>
          <cell r="F749">
            <v>95.558947368421045</v>
          </cell>
        </row>
        <row r="750">
          <cell r="A750" t="str">
            <v>CDA06</v>
          </cell>
          <cell r="B750" t="str">
            <v>C. y colar dala desplante capuchino o lagartija</v>
          </cell>
          <cell r="C750" t="str">
            <v>ML</v>
          </cell>
          <cell r="D750">
            <v>65.783333333333331</v>
          </cell>
          <cell r="E750">
            <v>1</v>
          </cell>
          <cell r="F750">
            <v>75.650833333333324</v>
          </cell>
        </row>
        <row r="751">
          <cell r="A751" t="str">
            <v>CDA07</v>
          </cell>
          <cell r="B751" t="str">
            <v>C. y colar dala desplante soga</v>
          </cell>
          <cell r="C751" t="str">
            <v>ML</v>
          </cell>
          <cell r="D751">
            <v>65.783333333333331</v>
          </cell>
          <cell r="E751">
            <v>1</v>
          </cell>
          <cell r="F751">
            <v>75.650833333333324</v>
          </cell>
        </row>
        <row r="752">
          <cell r="A752" t="str">
            <v>CDA08</v>
          </cell>
          <cell r="B752" t="str">
            <v>C. y colar dala desplante tezon</v>
          </cell>
          <cell r="C752" t="str">
            <v>ML</v>
          </cell>
          <cell r="D752">
            <v>87.711111111111109</v>
          </cell>
          <cell r="E752">
            <v>1</v>
          </cell>
          <cell r="F752">
            <v>100.86777777777776</v>
          </cell>
        </row>
        <row r="753">
          <cell r="A753" t="str">
            <v>CDA09</v>
          </cell>
          <cell r="B753" t="str">
            <v>C. y colar dala intermedia 20</v>
          </cell>
          <cell r="C753" t="str">
            <v>ML</v>
          </cell>
          <cell r="D753">
            <v>87.711111111111109</v>
          </cell>
          <cell r="E753">
            <v>1</v>
          </cell>
          <cell r="F753">
            <v>100.86777777777776</v>
          </cell>
        </row>
        <row r="754">
          <cell r="A754" t="str">
            <v>CDA10</v>
          </cell>
          <cell r="B754" t="str">
            <v>C. y colar dala intermedia capuchino</v>
          </cell>
          <cell r="C754" t="str">
            <v>ML</v>
          </cell>
          <cell r="D754">
            <v>75.180952380952377</v>
          </cell>
          <cell r="E754">
            <v>1</v>
          </cell>
          <cell r="F754">
            <v>86.458095238095225</v>
          </cell>
        </row>
        <row r="755">
          <cell r="A755" t="str">
            <v>CDA11</v>
          </cell>
          <cell r="B755" t="str">
            <v>C. y colar dala intermedia soga</v>
          </cell>
          <cell r="C755" t="str">
            <v>ML</v>
          </cell>
          <cell r="D755">
            <v>75.180952380952377</v>
          </cell>
          <cell r="E755">
            <v>1</v>
          </cell>
          <cell r="F755">
            <v>86.458095238095225</v>
          </cell>
        </row>
        <row r="756">
          <cell r="A756" t="str">
            <v>CDA12</v>
          </cell>
          <cell r="B756" t="str">
            <v>C. y colar dala intermedia tezon</v>
          </cell>
          <cell r="C756" t="str">
            <v>ML</v>
          </cell>
          <cell r="D756">
            <v>92.870588235294122</v>
          </cell>
          <cell r="E756">
            <v>1</v>
          </cell>
          <cell r="F756">
            <v>106.80117647058823</v>
          </cell>
        </row>
        <row r="757">
          <cell r="A757" t="str">
            <v>CDA201</v>
          </cell>
          <cell r="B757" t="str">
            <v>Cimbrar y colar dala de 1 rostro muro de 20 c/twinos</v>
          </cell>
          <cell r="C757" t="str">
            <v>ML</v>
          </cell>
          <cell r="D757">
            <v>112.77142857142857</v>
          </cell>
          <cell r="E757">
            <v>1</v>
          </cell>
          <cell r="F757">
            <v>129.68714285714285</v>
          </cell>
        </row>
        <row r="758">
          <cell r="A758" t="str">
            <v>CDA202</v>
          </cell>
          <cell r="B758" t="str">
            <v>Cimbrar y colar dala de 2 rostro muro de 20 c/twinos</v>
          </cell>
          <cell r="C758" t="str">
            <v>ML</v>
          </cell>
          <cell r="D758">
            <v>143.52727272727273</v>
          </cell>
          <cell r="E758">
            <v>1</v>
          </cell>
          <cell r="F758">
            <v>165.05636363636364</v>
          </cell>
        </row>
        <row r="759">
          <cell r="A759" t="str">
            <v>CDA25D</v>
          </cell>
          <cell r="B759" t="str">
            <v>C. y colar dala desplante muro de 25</v>
          </cell>
          <cell r="C759" t="str">
            <v>ML</v>
          </cell>
          <cell r="D759">
            <v>97.456790123456798</v>
          </cell>
          <cell r="E759">
            <v>1</v>
          </cell>
          <cell r="F759">
            <v>112.07530864197531</v>
          </cell>
        </row>
        <row r="760">
          <cell r="A760" t="str">
            <v>CDA25I</v>
          </cell>
          <cell r="B760" t="str">
            <v>C. y colar dala intermedia muro de 25</v>
          </cell>
          <cell r="C760" t="str">
            <v>ML</v>
          </cell>
          <cell r="D760">
            <v>112.0753086419753</v>
          </cell>
          <cell r="E760">
            <v>1</v>
          </cell>
          <cell r="F760">
            <v>128.88660493827157</v>
          </cell>
        </row>
        <row r="761">
          <cell r="A761" t="str">
            <v>CDA25C</v>
          </cell>
          <cell r="B761" t="str">
            <v>C. y colar dala corona muro de 25</v>
          </cell>
          <cell r="C761" t="str">
            <v>ML</v>
          </cell>
          <cell r="D761">
            <v>119.60606060606061</v>
          </cell>
          <cell r="E761">
            <v>1</v>
          </cell>
          <cell r="F761">
            <v>137.54696969696968</v>
          </cell>
        </row>
        <row r="762">
          <cell r="A762" t="str">
            <v>CDA301</v>
          </cell>
          <cell r="B762" t="str">
            <v>Cimbrar y colar dala de 1 rostro muro de 30 c/twinos</v>
          </cell>
          <cell r="C762" t="str">
            <v>ML</v>
          </cell>
          <cell r="D762">
            <v>157.88</v>
          </cell>
          <cell r="E762">
            <v>1</v>
          </cell>
          <cell r="F762">
            <v>181.56199999999998</v>
          </cell>
        </row>
        <row r="763">
          <cell r="A763" t="str">
            <v>CDATE1</v>
          </cell>
          <cell r="B763" t="str">
            <v>Cimbrar y colar dala de 1 rostro muro tezon c/twinos</v>
          </cell>
          <cell r="C763" t="str">
            <v>ML</v>
          </cell>
          <cell r="D763">
            <v>119.42511346444779</v>
          </cell>
          <cell r="E763">
            <v>1</v>
          </cell>
          <cell r="F763">
            <v>137.33888048411495</v>
          </cell>
        </row>
        <row r="764">
          <cell r="A764" t="str">
            <v>CDATE2</v>
          </cell>
          <cell r="B764" t="str">
            <v>Cimbrar y colar dala de 2 rostros muro tezon c/twinos</v>
          </cell>
          <cell r="C764" t="str">
            <v>ML</v>
          </cell>
          <cell r="D764">
            <v>137.33888048411495</v>
          </cell>
          <cell r="E764">
            <v>1</v>
          </cell>
          <cell r="F764">
            <v>157.93971255673219</v>
          </cell>
        </row>
        <row r="765">
          <cell r="A765" t="str">
            <v>CDA20X40</v>
          </cell>
          <cell r="B765" t="str">
            <v>Cimbrar y colar dala 20x40 con trompo</v>
          </cell>
          <cell r="C765" t="str">
            <v>ML</v>
          </cell>
          <cell r="D765">
            <v>80</v>
          </cell>
          <cell r="E765"/>
          <cell r="F765"/>
        </row>
        <row r="766">
          <cell r="A766" t="str">
            <v>CEL01</v>
          </cell>
          <cell r="B766" t="str">
            <v>Celosia, instalacion</v>
          </cell>
          <cell r="C766" t="str">
            <v>M2</v>
          </cell>
          <cell r="D766">
            <v>263.13333333333333</v>
          </cell>
          <cell r="E766"/>
          <cell r="F766">
            <v>302.6033333333333</v>
          </cell>
        </row>
        <row r="767">
          <cell r="A767" t="str">
            <v>CELOT</v>
          </cell>
          <cell r="B767" t="str">
            <v>Celotex, colocacion</v>
          </cell>
          <cell r="C767" t="str">
            <v>ML</v>
          </cell>
          <cell r="D767">
            <v>7.8940000000000001</v>
          </cell>
          <cell r="E767"/>
          <cell r="F767">
            <v>9.0780999999999992</v>
          </cell>
        </row>
        <row r="768">
          <cell r="A768" t="str">
            <v>CESP</v>
          </cell>
          <cell r="B768" t="str">
            <v>Cesped plantado en rollo incluye acarreos, preparacion</v>
          </cell>
          <cell r="C768" t="str">
            <v>M2</v>
          </cell>
          <cell r="D768">
            <v>7.8940000000000001</v>
          </cell>
          <cell r="E768"/>
          <cell r="F768">
            <v>9.0780999999999992</v>
          </cell>
        </row>
        <row r="769">
          <cell r="A769" t="str">
            <v>CIM01</v>
          </cell>
          <cell r="B769" t="str">
            <v>Cimbra perimetral en losa de concreto o piso</v>
          </cell>
          <cell r="C769" t="str">
            <v>ML</v>
          </cell>
          <cell r="D769">
            <v>7.8940000000000001</v>
          </cell>
          <cell r="E769"/>
          <cell r="F769">
            <v>9.0780999999999992</v>
          </cell>
        </row>
        <row r="770">
          <cell r="A770" t="str">
            <v>CIM02</v>
          </cell>
          <cell r="B770" t="str">
            <v>Cimbra perimetral en piso</v>
          </cell>
          <cell r="C770" t="str">
            <v>ML</v>
          </cell>
          <cell r="D770">
            <v>7.8940000000000001</v>
          </cell>
          <cell r="E770"/>
          <cell r="F770">
            <v>9.0780999999999992</v>
          </cell>
        </row>
        <row r="771">
          <cell r="A771" t="str">
            <v>CIM03</v>
          </cell>
          <cell r="B771" t="str">
            <v>Cimbra y descimbra de castillo</v>
          </cell>
          <cell r="C771" t="str">
            <v>ML</v>
          </cell>
          <cell r="D771">
            <v>39.47</v>
          </cell>
          <cell r="E771"/>
          <cell r="F771">
            <v>45.390499999999996</v>
          </cell>
        </row>
        <row r="772">
          <cell r="A772" t="str">
            <v>CIM04</v>
          </cell>
          <cell r="B772" t="str">
            <v>Cimbra y descimbra de columna o dado</v>
          </cell>
          <cell r="C772" t="str">
            <v>ML</v>
          </cell>
          <cell r="D772">
            <v>78.94</v>
          </cell>
          <cell r="E772"/>
          <cell r="F772">
            <v>90.780999999999992</v>
          </cell>
        </row>
        <row r="773">
          <cell r="A773" t="str">
            <v>CIM05</v>
          </cell>
          <cell r="B773" t="str">
            <v>Cimbra y descimbra de dala</v>
          </cell>
          <cell r="C773" t="str">
            <v>ML</v>
          </cell>
          <cell r="D773">
            <v>39.47</v>
          </cell>
          <cell r="E773"/>
          <cell r="F773">
            <v>45.390499999999996</v>
          </cell>
        </row>
        <row r="774">
          <cell r="A774" t="str">
            <v>CIM06</v>
          </cell>
          <cell r="B774" t="str">
            <v>Cimbra de losa con triplay</v>
          </cell>
          <cell r="C774" t="str">
            <v>M2</v>
          </cell>
          <cell r="D774">
            <v>52.626666666666665</v>
          </cell>
          <cell r="E774"/>
          <cell r="F774">
            <v>60.520666666666664</v>
          </cell>
        </row>
        <row r="775">
          <cell r="A775" t="str">
            <v>CMA01</v>
          </cell>
          <cell r="B775" t="str">
            <v>C. y colar macizo en muro</v>
          </cell>
          <cell r="C775" t="str">
            <v>PZA</v>
          </cell>
          <cell r="D775">
            <v>98.674999999999997</v>
          </cell>
          <cell r="E775">
            <v>1</v>
          </cell>
          <cell r="F775">
            <v>113.47624999999999</v>
          </cell>
        </row>
        <row r="776">
          <cell r="A776" t="str">
            <v>CMA02</v>
          </cell>
          <cell r="B776" t="str">
            <v>Colado de macizo en acuñados</v>
          </cell>
          <cell r="C776" t="str">
            <v>PZA</v>
          </cell>
          <cell r="D776">
            <v>78.94</v>
          </cell>
          <cell r="E776">
            <v>1</v>
          </cell>
          <cell r="F776">
            <v>90.780999999999992</v>
          </cell>
        </row>
        <row r="777">
          <cell r="A777" t="str">
            <v>COL01</v>
          </cell>
          <cell r="B777" t="str">
            <v>Columna redonda diametro 50 cms terminada</v>
          </cell>
          <cell r="C777" t="str">
            <v>ML</v>
          </cell>
          <cell r="D777">
            <v>526.26666666666665</v>
          </cell>
          <cell r="E777"/>
          <cell r="F777">
            <v>605.20666666666659</v>
          </cell>
        </row>
        <row r="778">
          <cell r="A778" t="str">
            <v>COL02</v>
          </cell>
          <cell r="B778" t="str">
            <v>Columna cuadrada forjada con ladrillo 50 cms esp.</v>
          </cell>
          <cell r="C778" t="str">
            <v>ML</v>
          </cell>
          <cell r="D778">
            <v>315.76</v>
          </cell>
          <cell r="E778"/>
          <cell r="F778">
            <v>363.12399999999997</v>
          </cell>
        </row>
        <row r="779">
          <cell r="A779" t="str">
            <v>COM01</v>
          </cell>
          <cell r="B779" t="str">
            <v>Compactacion de terreno suelto con bailarina</v>
          </cell>
          <cell r="C779" t="str">
            <v>M2</v>
          </cell>
          <cell r="D779">
            <v>13.156666666666666</v>
          </cell>
          <cell r="E779"/>
          <cell r="F779">
            <v>15.130166666666666</v>
          </cell>
        </row>
        <row r="780">
          <cell r="A780" t="str">
            <v>COM02</v>
          </cell>
          <cell r="B780" t="str">
            <v>Compactacion terreno con pizon en capas de 10-15</v>
          </cell>
          <cell r="C780" t="str">
            <v>M2</v>
          </cell>
          <cell r="D780">
            <v>52.626666666666665</v>
          </cell>
          <cell r="E780"/>
          <cell r="F780">
            <v>60.520666666666664</v>
          </cell>
        </row>
        <row r="781">
          <cell r="A781" t="str">
            <v>COM03</v>
          </cell>
          <cell r="B781" t="str">
            <v>compactación de ajuste tierra suelta</v>
          </cell>
          <cell r="C781" t="str">
            <v>M2</v>
          </cell>
          <cell r="D781">
            <v>6.5783333333333331</v>
          </cell>
          <cell r="E781"/>
          <cell r="F781">
            <v>7.5650833333333329</v>
          </cell>
        </row>
        <row r="782">
          <cell r="A782" t="str">
            <v>CON01</v>
          </cell>
          <cell r="B782" t="str">
            <v>Colar concreto hecho en obra</v>
          </cell>
          <cell r="C782" t="str">
            <v>M3</v>
          </cell>
          <cell r="D782">
            <v>394.7</v>
          </cell>
          <cell r="E782">
            <v>1</v>
          </cell>
          <cell r="F782">
            <v>453.90499999999997</v>
          </cell>
        </row>
        <row r="783">
          <cell r="A783" t="str">
            <v>CON02</v>
          </cell>
          <cell r="B783" t="str">
            <v>Colar concreto premezclado vaciado con carretilla</v>
          </cell>
          <cell r="C783" t="str">
            <v>M3</v>
          </cell>
          <cell r="D783">
            <v>197.35</v>
          </cell>
          <cell r="E783"/>
          <cell r="F783">
            <v>226.95249999999999</v>
          </cell>
        </row>
        <row r="784">
          <cell r="A784" t="str">
            <v>CON03</v>
          </cell>
          <cell r="B784" t="str">
            <v>Colar concreto premezclado vaciado con bomba</v>
          </cell>
          <cell r="C784" t="str">
            <v>M3</v>
          </cell>
          <cell r="D784">
            <v>39.47</v>
          </cell>
          <cell r="E784"/>
          <cell r="F784">
            <v>45.390499999999996</v>
          </cell>
        </row>
        <row r="785">
          <cell r="A785" t="str">
            <v>CONT1</v>
          </cell>
          <cell r="B785" t="str">
            <v>Contracimbra de ladrillo p/zapata</v>
          </cell>
          <cell r="C785" t="str">
            <v>ML</v>
          </cell>
          <cell r="D785">
            <v>39.47</v>
          </cell>
          <cell r="E785">
            <v>1</v>
          </cell>
          <cell r="F785">
            <v>45.390499999999996</v>
          </cell>
        </row>
        <row r="786">
          <cell r="A786" t="str">
            <v>COR01</v>
          </cell>
          <cell r="B786" t="str">
            <v>Corte de piso con maquina losa de 15-20 cms</v>
          </cell>
          <cell r="C786" t="str">
            <v>ML</v>
          </cell>
          <cell r="D786">
            <v>19.388771929824561</v>
          </cell>
          <cell r="E786"/>
          <cell r="F786">
            <v>22.297087719298244</v>
          </cell>
        </row>
        <row r="787">
          <cell r="A787" t="str">
            <v>COR01a</v>
          </cell>
          <cell r="B787" t="str">
            <v>Corte de piso de concreto espesor de 5-10 cms</v>
          </cell>
          <cell r="C787" t="str">
            <v>ML</v>
          </cell>
          <cell r="D787">
            <v>12.431496062992126</v>
          </cell>
          <cell r="E787"/>
          <cell r="F787">
            <v>14.296220472440945</v>
          </cell>
        </row>
        <row r="788">
          <cell r="A788" t="str">
            <v>COR01b</v>
          </cell>
          <cell r="B788" t="str">
            <v>Corte de losa de concreto de 3 cms para marcar losas</v>
          </cell>
          <cell r="C788" t="str">
            <v>ML</v>
          </cell>
          <cell r="D788">
            <v>6.0723076923076924</v>
          </cell>
          <cell r="E788"/>
          <cell r="F788">
            <v>6.9831538461538454</v>
          </cell>
        </row>
        <row r="789">
          <cell r="A789" t="str">
            <v>COR02</v>
          </cell>
          <cell r="B789" t="str">
            <v>Corte de varilla</v>
          </cell>
          <cell r="C789" t="str">
            <v>PZA</v>
          </cell>
          <cell r="D789">
            <v>3.1576</v>
          </cell>
          <cell r="E789"/>
          <cell r="F789">
            <v>3.6312399999999996</v>
          </cell>
        </row>
        <row r="790">
          <cell r="A790" t="str">
            <v>COR03</v>
          </cell>
          <cell r="B790" t="str">
            <v>Corte de ladrillo de azotea con cincel y marro</v>
          </cell>
          <cell r="C790" t="str">
            <v>ML</v>
          </cell>
          <cell r="D790">
            <v>26.313333333333333</v>
          </cell>
          <cell r="E790"/>
          <cell r="F790">
            <v>30.260333333333332</v>
          </cell>
        </row>
        <row r="791">
          <cell r="A791" t="str">
            <v>COR04</v>
          </cell>
          <cell r="B791" t="str">
            <v>Corte de viga de 4 " con segueta</v>
          </cell>
          <cell r="C791" t="str">
            <v>PZA</v>
          </cell>
          <cell r="D791">
            <v>157.88</v>
          </cell>
          <cell r="E791"/>
          <cell r="F791">
            <v>181.56199999999998</v>
          </cell>
        </row>
        <row r="792">
          <cell r="A792" t="str">
            <v>CRU01</v>
          </cell>
          <cell r="B792" t="str">
            <v>Crucetas colocacion y habilitado a nivel</v>
          </cell>
          <cell r="C792" t="str">
            <v>PZA</v>
          </cell>
          <cell r="D792">
            <v>26.313333333333333</v>
          </cell>
          <cell r="E792"/>
          <cell r="F792">
            <v>30.260333333333332</v>
          </cell>
        </row>
        <row r="793">
          <cell r="A793" t="str">
            <v>CUAR</v>
          </cell>
          <cell r="B793" t="str">
            <v>Instalacion de cuarteron en cubiertas, junteado</v>
          </cell>
          <cell r="C793" t="str">
            <v>M2</v>
          </cell>
          <cell r="D793">
            <v>692.45614035087726</v>
          </cell>
          <cell r="E793"/>
          <cell r="F793">
            <v>796.32456140350882</v>
          </cell>
        </row>
        <row r="794">
          <cell r="A794" t="str">
            <v>CHA01</v>
          </cell>
          <cell r="B794" t="str">
            <v>Chaflan en boquilla ( botaguas )</v>
          </cell>
          <cell r="C794" t="str">
            <v>ML</v>
          </cell>
          <cell r="D794">
            <v>39.47</v>
          </cell>
          <cell r="E794">
            <v>1</v>
          </cell>
          <cell r="F794">
            <v>45.390499999999996</v>
          </cell>
        </row>
        <row r="795">
          <cell r="A795" t="str">
            <v>CHA02</v>
          </cell>
          <cell r="B795" t="str">
            <v>Chaflan en arista de muros corte a 45</v>
          </cell>
          <cell r="C795" t="str">
            <v>ML</v>
          </cell>
          <cell r="D795">
            <v>26.313333333333333</v>
          </cell>
          <cell r="E795"/>
          <cell r="F795">
            <v>30.260333333333332</v>
          </cell>
        </row>
        <row r="796">
          <cell r="A796" t="str">
            <v>DADO</v>
          </cell>
          <cell r="B796" t="str">
            <v>Cimbra y colado de dado revoltura hecha en obra</v>
          </cell>
          <cell r="C796" t="str">
            <v>ML</v>
          </cell>
          <cell r="D796">
            <v>394.7</v>
          </cell>
          <cell r="E796">
            <v>1</v>
          </cell>
          <cell r="F796">
            <v>453.90499999999997</v>
          </cell>
        </row>
        <row r="797">
          <cell r="A797" t="str">
            <v>DADO2</v>
          </cell>
          <cell r="B797" t="str">
            <v>Colado de dado rev. Premezclada</v>
          </cell>
          <cell r="C797" t="str">
            <v>M3</v>
          </cell>
          <cell r="D797">
            <v>263.13333333333333</v>
          </cell>
          <cell r="E797"/>
          <cell r="F797">
            <v>302.6033333333333</v>
          </cell>
        </row>
        <row r="798">
          <cell r="A798" t="str">
            <v>DECK</v>
          </cell>
          <cell r="B798" t="str">
            <v>Colado de decklosa concreto premezclado incluye aplanado</v>
          </cell>
          <cell r="C798" t="str">
            <v>M2</v>
          </cell>
          <cell r="D798">
            <v>49.337499999999999</v>
          </cell>
          <cell r="E798"/>
          <cell r="F798">
            <v>56.738124999999997</v>
          </cell>
        </row>
        <row r="799">
          <cell r="A799" t="str">
            <v>DEM01</v>
          </cell>
          <cell r="B799" t="str">
            <v>Demoler boveda de ladrillo</v>
          </cell>
          <cell r="C799" t="str">
            <v>M2</v>
          </cell>
          <cell r="D799">
            <v>63.70596491228072</v>
          </cell>
          <cell r="E799"/>
          <cell r="F799">
            <v>73.261859649122826</v>
          </cell>
        </row>
        <row r="800">
          <cell r="A800" t="str">
            <v>DEM02</v>
          </cell>
          <cell r="B800" t="str">
            <v>Demoler losa armada en piso esp. 10 cms</v>
          </cell>
          <cell r="C800" t="str">
            <v>M2</v>
          </cell>
          <cell r="D800">
            <v>157.88</v>
          </cell>
          <cell r="E800"/>
          <cell r="F800">
            <v>181.56199999999998</v>
          </cell>
        </row>
        <row r="801">
          <cell r="A801" t="str">
            <v>DEM02R</v>
          </cell>
          <cell r="B801" t="str">
            <v>Demoler losa armada en piso esp. 10 cms con rotomartillo</v>
          </cell>
          <cell r="C801" t="str">
            <v>M2</v>
          </cell>
          <cell r="D801">
            <v>78.94</v>
          </cell>
          <cell r="E801"/>
          <cell r="F801">
            <v>90.780999999999992</v>
          </cell>
        </row>
        <row r="802">
          <cell r="A802" t="str">
            <v>DEM03</v>
          </cell>
          <cell r="B802" t="str">
            <v>Demoler losa armada en piso esp. 15 cms</v>
          </cell>
          <cell r="C802" t="str">
            <v>M2</v>
          </cell>
          <cell r="D802">
            <v>236.82</v>
          </cell>
          <cell r="E802"/>
          <cell r="F802">
            <v>272.34299999999996</v>
          </cell>
        </row>
        <row r="803">
          <cell r="A803" t="str">
            <v>DEM03R</v>
          </cell>
          <cell r="B803" t="str">
            <v>Demoler losa armada en piso esp. 15 cms con rotomartillo</v>
          </cell>
          <cell r="C803" t="str">
            <v>M2</v>
          </cell>
          <cell r="D803">
            <v>118.41</v>
          </cell>
          <cell r="E803"/>
          <cell r="F803">
            <v>136.17149999999998</v>
          </cell>
        </row>
        <row r="804">
          <cell r="A804" t="str">
            <v>DEM04</v>
          </cell>
          <cell r="B804" t="str">
            <v>Demoler losa armada en piso esp. 20 cms</v>
          </cell>
          <cell r="C804" t="str">
            <v>M2</v>
          </cell>
          <cell r="D804">
            <v>315.76</v>
          </cell>
          <cell r="E804"/>
          <cell r="F804">
            <v>363.12399999999997</v>
          </cell>
        </row>
        <row r="805">
          <cell r="A805" t="str">
            <v>DEM04R</v>
          </cell>
          <cell r="B805" t="str">
            <v>Demoler losa armada en piso esp. 20 cms con rotomartillo</v>
          </cell>
          <cell r="C805" t="str">
            <v>M2</v>
          </cell>
          <cell r="D805">
            <v>157.88</v>
          </cell>
          <cell r="E805"/>
          <cell r="F805">
            <v>181.56199999999998</v>
          </cell>
        </row>
        <row r="806">
          <cell r="A806" t="str">
            <v>DEM05</v>
          </cell>
          <cell r="B806" t="str">
            <v>Demoler losa armada esp. 10 cms</v>
          </cell>
          <cell r="C806" t="str">
            <v>M2</v>
          </cell>
          <cell r="D806">
            <v>112.77142857142857</v>
          </cell>
          <cell r="E806"/>
          <cell r="F806">
            <v>129.68714285714285</v>
          </cell>
        </row>
        <row r="807">
          <cell r="A807" t="str">
            <v>DEM06</v>
          </cell>
          <cell r="B807" t="str">
            <v>Demoler media caña</v>
          </cell>
          <cell r="C807" t="str">
            <v>ML</v>
          </cell>
          <cell r="D807">
            <v>17.542222222222222</v>
          </cell>
          <cell r="E807"/>
          <cell r="F807">
            <v>20.173555555555552</v>
          </cell>
        </row>
        <row r="808">
          <cell r="A808" t="str">
            <v>DEM07</v>
          </cell>
          <cell r="B808" t="str">
            <v>Demoler muro de tablaroca y canales</v>
          </cell>
          <cell r="C808" t="str">
            <v>M2</v>
          </cell>
          <cell r="D808">
            <v>19.734999999999999</v>
          </cell>
          <cell r="E808"/>
          <cell r="F808">
            <v>22.695249999999998</v>
          </cell>
        </row>
        <row r="809">
          <cell r="A809" t="str">
            <v>DEM08</v>
          </cell>
          <cell r="B809" t="str">
            <v>Demoler plafond de tablaroca incluye alambres y canales</v>
          </cell>
          <cell r="C809" t="str">
            <v>M2</v>
          </cell>
          <cell r="D809">
            <v>21.927777777777777</v>
          </cell>
          <cell r="E809"/>
          <cell r="F809">
            <v>25.21694444444444</v>
          </cell>
        </row>
        <row r="810">
          <cell r="A810" t="str">
            <v>DEM09</v>
          </cell>
          <cell r="B810" t="str">
            <v>Demoler plafond metal desplegado</v>
          </cell>
          <cell r="C810" t="str">
            <v>M2</v>
          </cell>
          <cell r="D810">
            <v>43.855555555555554</v>
          </cell>
          <cell r="E810"/>
          <cell r="F810">
            <v>50.43388888888888</v>
          </cell>
        </row>
        <row r="811">
          <cell r="A811" t="str">
            <v>DEM10</v>
          </cell>
          <cell r="B811" t="str">
            <v>Demoler tubo de drenaje 6"</v>
          </cell>
          <cell r="C811" t="str">
            <v>ML</v>
          </cell>
          <cell r="D811">
            <v>17.542222222222222</v>
          </cell>
          <cell r="E811"/>
          <cell r="F811">
            <v>20.173555555555552</v>
          </cell>
        </row>
        <row r="812">
          <cell r="A812" t="str">
            <v>DEM11</v>
          </cell>
          <cell r="B812" t="str">
            <v>Demolicion de boquilla</v>
          </cell>
          <cell r="C812" t="str">
            <v>ML</v>
          </cell>
          <cell r="D812">
            <v>13.156666666666666</v>
          </cell>
          <cell r="E812"/>
          <cell r="F812">
            <v>15.130166666666666</v>
          </cell>
        </row>
        <row r="813">
          <cell r="A813" t="str">
            <v>DEM12</v>
          </cell>
          <cell r="B813" t="str">
            <v>Demolicion de castillo muro de 20</v>
          </cell>
          <cell r="C813" t="str">
            <v>ML</v>
          </cell>
          <cell r="D813">
            <v>98.674999999999997</v>
          </cell>
          <cell r="E813"/>
          <cell r="F813">
            <v>113.47624999999999</v>
          </cell>
        </row>
        <row r="814">
          <cell r="A814" t="str">
            <v>DEM12R</v>
          </cell>
          <cell r="B814" t="str">
            <v>Demolicion de castillo muro de 20 con rotomartillo</v>
          </cell>
          <cell r="C814" t="str">
            <v>ML</v>
          </cell>
          <cell r="D814">
            <v>49.337499999999999</v>
          </cell>
          <cell r="E814"/>
          <cell r="F814">
            <v>56.738124999999997</v>
          </cell>
        </row>
        <row r="815">
          <cell r="A815" t="str">
            <v>DEM13</v>
          </cell>
          <cell r="B815" t="str">
            <v>Demolicion de castillo muro de capuchino</v>
          </cell>
          <cell r="C815" t="str">
            <v>ML</v>
          </cell>
          <cell r="D815">
            <v>52.626666666666665</v>
          </cell>
          <cell r="E815"/>
          <cell r="F815">
            <v>60.520666666666664</v>
          </cell>
        </row>
        <row r="816">
          <cell r="A816" t="str">
            <v>DEM14</v>
          </cell>
          <cell r="B816" t="str">
            <v>Demolicion de castillo muro de soga</v>
          </cell>
          <cell r="C816" t="str">
            <v>ML</v>
          </cell>
          <cell r="D816">
            <v>87.711111111111109</v>
          </cell>
          <cell r="E816"/>
          <cell r="F816">
            <v>100.86777777777776</v>
          </cell>
        </row>
        <row r="817">
          <cell r="A817" t="str">
            <v>DEM14R</v>
          </cell>
          <cell r="B817" t="str">
            <v>Demolicion de castillo muro de soga con rotomartillo</v>
          </cell>
          <cell r="C817" t="str">
            <v>ML</v>
          </cell>
          <cell r="D817">
            <v>43.855555555555554</v>
          </cell>
          <cell r="E817"/>
          <cell r="F817">
            <v>50.43388888888888</v>
          </cell>
        </row>
        <row r="818">
          <cell r="A818" t="str">
            <v>DEM15</v>
          </cell>
          <cell r="B818" t="str">
            <v>Demolicion de castillo muro de tezon</v>
          </cell>
          <cell r="C818" t="str">
            <v>ML</v>
          </cell>
          <cell r="D818">
            <v>98.674999999999997</v>
          </cell>
          <cell r="E818"/>
          <cell r="F818">
            <v>113.47624999999999</v>
          </cell>
        </row>
        <row r="819">
          <cell r="A819" t="str">
            <v>DEM15R</v>
          </cell>
          <cell r="B819" t="str">
            <v>Demolicion de castillo muro de tezon con rotomartillo</v>
          </cell>
          <cell r="C819" t="str">
            <v>ML</v>
          </cell>
          <cell r="D819">
            <v>49.337499999999999</v>
          </cell>
          <cell r="E819"/>
          <cell r="F819">
            <v>56.738124999999997</v>
          </cell>
        </row>
        <row r="820">
          <cell r="A820" t="str">
            <v>DEM16</v>
          </cell>
          <cell r="B820" t="str">
            <v>Demolicion de cerramiento con marro y cincel</v>
          </cell>
          <cell r="C820" t="str">
            <v>ML</v>
          </cell>
          <cell r="D820">
            <v>98.674999999999997</v>
          </cell>
          <cell r="E820"/>
          <cell r="F820">
            <v>113.47624999999999</v>
          </cell>
        </row>
        <row r="821">
          <cell r="A821" t="str">
            <v>DEM17</v>
          </cell>
          <cell r="B821" t="str">
            <v>Demolicion de cimiento de piedra c/marro</v>
          </cell>
          <cell r="C821" t="str">
            <v>M3</v>
          </cell>
          <cell r="D821">
            <v>227.52130325814537</v>
          </cell>
          <cell r="E821"/>
          <cell r="F821">
            <v>261.64949874686715</v>
          </cell>
        </row>
        <row r="822">
          <cell r="A822" t="str">
            <v>DEM18</v>
          </cell>
          <cell r="B822" t="str">
            <v>Demolicion de dala muro de 20</v>
          </cell>
          <cell r="C822" t="str">
            <v>ML</v>
          </cell>
          <cell r="D822">
            <v>98.674999999999997</v>
          </cell>
          <cell r="E822"/>
          <cell r="F822">
            <v>113.47624999999999</v>
          </cell>
        </row>
        <row r="823">
          <cell r="A823" t="str">
            <v>DEM18R</v>
          </cell>
          <cell r="B823" t="str">
            <v>Demolicion de dala muro de 20 con rotomartillo</v>
          </cell>
          <cell r="C823" t="str">
            <v>ML</v>
          </cell>
          <cell r="D823">
            <v>49.337499999999999</v>
          </cell>
          <cell r="E823"/>
          <cell r="F823">
            <v>56.738124999999997</v>
          </cell>
        </row>
        <row r="824">
          <cell r="A824" t="str">
            <v>DEM19</v>
          </cell>
          <cell r="B824" t="str">
            <v>Demolicion de dala muro de capuchino</v>
          </cell>
          <cell r="C824" t="str">
            <v>ML</v>
          </cell>
          <cell r="D824">
            <v>52.626666666666665</v>
          </cell>
          <cell r="E824"/>
          <cell r="F824">
            <v>60.520666666666664</v>
          </cell>
        </row>
        <row r="825">
          <cell r="A825" t="str">
            <v>DEM20</v>
          </cell>
          <cell r="B825" t="str">
            <v>Demolicion de dala muro de soga</v>
          </cell>
          <cell r="C825" t="str">
            <v>ML</v>
          </cell>
          <cell r="D825">
            <v>87.711111111111109</v>
          </cell>
          <cell r="E825"/>
          <cell r="F825">
            <v>100.86777777777776</v>
          </cell>
        </row>
        <row r="826">
          <cell r="A826" t="str">
            <v>DEM20R</v>
          </cell>
          <cell r="B826" t="str">
            <v>Demolicion de dala muro de soga con rotomartillo</v>
          </cell>
          <cell r="C826" t="str">
            <v>ML</v>
          </cell>
          <cell r="D826">
            <v>43.855555555555554</v>
          </cell>
          <cell r="E826"/>
          <cell r="F826">
            <v>50.43388888888888</v>
          </cell>
        </row>
        <row r="827">
          <cell r="A827" t="str">
            <v>DEM21</v>
          </cell>
          <cell r="B827" t="str">
            <v>Demolicion de dala muro de tezon</v>
          </cell>
          <cell r="C827" t="str">
            <v>ML</v>
          </cell>
          <cell r="D827">
            <v>98.674999999999997</v>
          </cell>
          <cell r="E827"/>
          <cell r="F827">
            <v>113.47624999999999</v>
          </cell>
        </row>
        <row r="828">
          <cell r="A828" t="str">
            <v>DEM21R</v>
          </cell>
          <cell r="B828" t="str">
            <v>Demolicion de dala muro de tezon con rotomartillo</v>
          </cell>
          <cell r="C828" t="str">
            <v>ML</v>
          </cell>
          <cell r="D828">
            <v>49.337499999999999</v>
          </cell>
          <cell r="E828"/>
          <cell r="F828">
            <v>56.738124999999997</v>
          </cell>
        </row>
        <row r="829">
          <cell r="A829" t="str">
            <v>DEM22</v>
          </cell>
          <cell r="B829" t="str">
            <v>Demolicion de enjarre con barra</v>
          </cell>
          <cell r="C829" t="str">
            <v>M2</v>
          </cell>
          <cell r="D829">
            <v>31.576000000000001</v>
          </cell>
          <cell r="E829"/>
          <cell r="F829">
            <v>36.312399999999997</v>
          </cell>
        </row>
        <row r="830">
          <cell r="A830" t="str">
            <v>DEM23</v>
          </cell>
          <cell r="B830" t="str">
            <v>Demolicion de firme de hormigon</v>
          </cell>
          <cell r="C830" t="str">
            <v>M2</v>
          </cell>
          <cell r="D830">
            <v>28.192857142857143</v>
          </cell>
          <cell r="E830"/>
          <cell r="F830">
            <v>32.421785714285711</v>
          </cell>
        </row>
        <row r="831">
          <cell r="A831" t="str">
            <v>DEM24</v>
          </cell>
          <cell r="B831" t="str">
            <v>Demolicion de firme de ladrillo</v>
          </cell>
          <cell r="C831" t="str">
            <v>M2</v>
          </cell>
          <cell r="D831">
            <v>31.576000000000001</v>
          </cell>
          <cell r="E831"/>
          <cell r="F831">
            <v>36.312399999999997</v>
          </cell>
        </row>
        <row r="832">
          <cell r="A832" t="str">
            <v>DEM25</v>
          </cell>
          <cell r="B832" t="str">
            <v>Demolicion de losa de concreto esp. 10 cms</v>
          </cell>
          <cell r="C832" t="str">
            <v>M2</v>
          </cell>
          <cell r="D832">
            <v>78.94</v>
          </cell>
          <cell r="E832"/>
          <cell r="F832">
            <v>90.780999999999992</v>
          </cell>
        </row>
        <row r="833">
          <cell r="A833" t="str">
            <v>DEM25A</v>
          </cell>
          <cell r="B833" t="str">
            <v>Demolicion de losa de concreto esp. 15 cms</v>
          </cell>
          <cell r="C833" t="str">
            <v>M2</v>
          </cell>
          <cell r="D833">
            <v>118.41</v>
          </cell>
          <cell r="E833"/>
          <cell r="F833">
            <v>136.17149999999998</v>
          </cell>
        </row>
        <row r="834">
          <cell r="A834" t="str">
            <v>DEM25R</v>
          </cell>
          <cell r="B834" t="str">
            <v>Demolicion de losa de concreto esp. 10 cms con rotomartillo</v>
          </cell>
          <cell r="C834" t="str">
            <v>M2</v>
          </cell>
          <cell r="D834">
            <v>39.47</v>
          </cell>
          <cell r="E834"/>
          <cell r="F834">
            <v>45.390499999999996</v>
          </cell>
        </row>
        <row r="835">
          <cell r="A835" t="str">
            <v>DEM25AR</v>
          </cell>
          <cell r="B835" t="str">
            <v>Demolicion de losa de concreto esp. 15 cms con rotomartillo</v>
          </cell>
          <cell r="C835" t="str">
            <v>M2</v>
          </cell>
          <cell r="D835">
            <v>59.204999999999998</v>
          </cell>
          <cell r="E835"/>
          <cell r="F835">
            <v>68.08574999999999</v>
          </cell>
        </row>
        <row r="836">
          <cell r="A836" t="str">
            <v>DEM26</v>
          </cell>
          <cell r="B836" t="str">
            <v xml:space="preserve">Demolicion de losa de concreto esp. 5 cms </v>
          </cell>
          <cell r="C836" t="str">
            <v>M2</v>
          </cell>
          <cell r="D836">
            <v>32.891666666666666</v>
          </cell>
          <cell r="E836"/>
          <cell r="F836">
            <v>37.825416666666662</v>
          </cell>
        </row>
        <row r="837">
          <cell r="A837" t="str">
            <v>DEM26A</v>
          </cell>
          <cell r="B837" t="str">
            <v>Demolición de azulejo en muros</v>
          </cell>
          <cell r="C837" t="str">
            <v>M2</v>
          </cell>
          <cell r="D837">
            <v>32.891666666666666</v>
          </cell>
          <cell r="E837"/>
          <cell r="F837">
            <v>37.825416666666662</v>
          </cell>
        </row>
        <row r="838">
          <cell r="A838" t="str">
            <v>DEM27</v>
          </cell>
          <cell r="B838" t="str">
            <v>Demolicion de losa de concreto esp. 7 cms</v>
          </cell>
          <cell r="C838" t="str">
            <v>M2</v>
          </cell>
          <cell r="D838">
            <v>49.337499999999999</v>
          </cell>
          <cell r="E838"/>
          <cell r="F838">
            <v>56.738124999999997</v>
          </cell>
        </row>
        <row r="839">
          <cell r="A839" t="str">
            <v>DEM28</v>
          </cell>
          <cell r="B839" t="str">
            <v>Demolicion de machuelo de concreto</v>
          </cell>
          <cell r="C839" t="str">
            <v>ML</v>
          </cell>
          <cell r="D839">
            <v>78.94</v>
          </cell>
          <cell r="E839"/>
          <cell r="F839">
            <v>90.780999999999992</v>
          </cell>
        </row>
        <row r="840">
          <cell r="A840" t="str">
            <v>DEM29</v>
          </cell>
          <cell r="B840" t="str">
            <v>Demolicion de machuelo de ladrillo</v>
          </cell>
          <cell r="C840" t="str">
            <v>ML</v>
          </cell>
          <cell r="D840">
            <v>26.313333333333333</v>
          </cell>
          <cell r="E840"/>
          <cell r="F840">
            <v>30.260333333333332</v>
          </cell>
        </row>
        <row r="841">
          <cell r="A841" t="str">
            <v>DEM30</v>
          </cell>
          <cell r="B841" t="str">
            <v>Demolicion de muro de 20</v>
          </cell>
          <cell r="C841" t="str">
            <v>M2</v>
          </cell>
          <cell r="D841">
            <v>21.335135135135136</v>
          </cell>
          <cell r="E841"/>
          <cell r="F841">
            <v>24.535405405405406</v>
          </cell>
        </row>
        <row r="842">
          <cell r="A842" t="str">
            <v>DEM31</v>
          </cell>
          <cell r="B842" t="str">
            <v>Demolicion de muro de capuchino</v>
          </cell>
          <cell r="C842" t="str">
            <v>M2</v>
          </cell>
          <cell r="D842">
            <v>10.61766081871346</v>
          </cell>
          <cell r="E842"/>
          <cell r="F842">
            <v>12.210309941520478</v>
          </cell>
        </row>
        <row r="843">
          <cell r="A843" t="str">
            <v>DEM32</v>
          </cell>
          <cell r="B843" t="str">
            <v>Demolicion de muro de soga</v>
          </cell>
          <cell r="C843" t="str">
            <v>M2</v>
          </cell>
          <cell r="D843">
            <v>16.110204081632652</v>
          </cell>
          <cell r="E843"/>
          <cell r="F843">
            <v>18.526734693877547</v>
          </cell>
        </row>
        <row r="844">
          <cell r="A844" t="str">
            <v>DEM33</v>
          </cell>
          <cell r="B844" t="str">
            <v>Demolicion de muro de tezon</v>
          </cell>
          <cell r="C844" t="str">
            <v>M2</v>
          </cell>
          <cell r="D844">
            <v>24.668749999999999</v>
          </cell>
          <cell r="E844"/>
          <cell r="F844">
            <v>28.369062499999998</v>
          </cell>
        </row>
        <row r="845">
          <cell r="A845" t="str">
            <v>DEM34</v>
          </cell>
          <cell r="B845" t="str">
            <v>Demolicion de piso de cemento esp. 10 cms</v>
          </cell>
          <cell r="C845" t="str">
            <v>M2</v>
          </cell>
          <cell r="D845">
            <v>56.385714285714286</v>
          </cell>
          <cell r="E845"/>
          <cell r="F845">
            <v>64.843571428571423</v>
          </cell>
        </row>
        <row r="846">
          <cell r="A846" t="str">
            <v>DEM35</v>
          </cell>
          <cell r="B846" t="str">
            <v>Demolicion de piso de cemento esp. 5 cms</v>
          </cell>
          <cell r="C846" t="str">
            <v>M2</v>
          </cell>
          <cell r="D846">
            <v>28.192857142857147</v>
          </cell>
          <cell r="E846"/>
          <cell r="F846">
            <v>32.421785714285718</v>
          </cell>
        </row>
        <row r="847">
          <cell r="A847" t="str">
            <v>DEM36</v>
          </cell>
          <cell r="B847" t="str">
            <v>Demolicion de piso de cemento esp. 7 cms</v>
          </cell>
          <cell r="C847" t="str">
            <v>M2</v>
          </cell>
          <cell r="D847">
            <v>39.470000000000006</v>
          </cell>
          <cell r="E847"/>
          <cell r="F847">
            <v>45.390500000000003</v>
          </cell>
        </row>
        <row r="848">
          <cell r="A848" t="str">
            <v>DEM37</v>
          </cell>
          <cell r="B848" t="str">
            <v>Demolicion de registro sanitario</v>
          </cell>
          <cell r="C848" t="str">
            <v>PZA</v>
          </cell>
          <cell r="D848">
            <v>157.88</v>
          </cell>
          <cell r="E848"/>
          <cell r="F848">
            <v>181.56199999999998</v>
          </cell>
        </row>
        <row r="849">
          <cell r="A849" t="str">
            <v>DEM38</v>
          </cell>
          <cell r="B849" t="str">
            <v>Demoler zavaleta</v>
          </cell>
          <cell r="C849" t="str">
            <v>ML</v>
          </cell>
          <cell r="D849">
            <v>26.313333333333333</v>
          </cell>
          <cell r="E849"/>
          <cell r="F849">
            <v>30.260333333333332</v>
          </cell>
        </row>
        <row r="850">
          <cell r="A850" t="str">
            <v>DEM39</v>
          </cell>
          <cell r="B850" t="str">
            <v>Demoler trabe de concreto</v>
          </cell>
          <cell r="C850" t="str">
            <v>ML</v>
          </cell>
          <cell r="D850">
            <v>157.88</v>
          </cell>
          <cell r="E850"/>
          <cell r="F850">
            <v>181.56199999999998</v>
          </cell>
        </row>
        <row r="851">
          <cell r="A851" t="str">
            <v>DEM40</v>
          </cell>
          <cell r="B851" t="str">
            <v>Demolicion de hilada de ladrillo</v>
          </cell>
          <cell r="C851" t="str">
            <v>ML</v>
          </cell>
          <cell r="D851">
            <v>10.525333333333332</v>
          </cell>
          <cell r="E851"/>
          <cell r="F851">
            <v>12.104133333333332</v>
          </cell>
        </row>
        <row r="852">
          <cell r="A852" t="str">
            <v>DEM41</v>
          </cell>
          <cell r="B852" t="str">
            <v>Demoler enchape de viga</v>
          </cell>
          <cell r="C852" t="str">
            <v>ML</v>
          </cell>
          <cell r="D852">
            <v>22.554285714285715</v>
          </cell>
          <cell r="E852"/>
          <cell r="F852">
            <v>25.937428571428569</v>
          </cell>
        </row>
        <row r="853">
          <cell r="A853" t="str">
            <v>DEM42</v>
          </cell>
          <cell r="B853" t="str">
            <v>Demoler concreto armado en volumen</v>
          </cell>
          <cell r="C853" t="str">
            <v>M3</v>
          </cell>
          <cell r="D853">
            <v>789.4</v>
          </cell>
          <cell r="E853"/>
          <cell r="F853">
            <v>907.81</v>
          </cell>
        </row>
        <row r="854">
          <cell r="A854" t="str">
            <v>DEM43</v>
          </cell>
          <cell r="B854" t="str">
            <v>Demolicion de piso de mosaico incluyendo mortero</v>
          </cell>
          <cell r="C854" t="str">
            <v>M2</v>
          </cell>
          <cell r="D854">
            <v>15.926491228070162</v>
          </cell>
          <cell r="E854"/>
          <cell r="F854">
            <v>18.315464912280685</v>
          </cell>
        </row>
        <row r="855">
          <cell r="A855" t="str">
            <v>DEM44</v>
          </cell>
          <cell r="B855" t="str">
            <v>Demolicion de enladrillado, relleno y chaflanes de azotea</v>
          </cell>
          <cell r="C855" t="str">
            <v>M2</v>
          </cell>
          <cell r="D855">
            <v>17.696101364522395</v>
          </cell>
          <cell r="E855"/>
          <cell r="F855">
            <v>20.350516569200753</v>
          </cell>
        </row>
        <row r="856">
          <cell r="A856" t="str">
            <v>DENTAR</v>
          </cell>
          <cell r="B856" t="str">
            <v>Dentado de muro para crecimiento</v>
          </cell>
          <cell r="C856" t="str">
            <v>ML</v>
          </cell>
          <cell r="D856">
            <v>31.576000000000001</v>
          </cell>
          <cell r="E856"/>
          <cell r="F856">
            <v>36.312399999999997</v>
          </cell>
        </row>
        <row r="857">
          <cell r="A857" t="str">
            <v>DES01</v>
          </cell>
          <cell r="B857" t="str">
            <v>Descubrir tuberia por recubrimiento</v>
          </cell>
          <cell r="C857" t="str">
            <v>ML</v>
          </cell>
          <cell r="D857">
            <v>26.313333333333333</v>
          </cell>
          <cell r="E857"/>
          <cell r="F857">
            <v>30.260333333333332</v>
          </cell>
        </row>
        <row r="858">
          <cell r="A858" t="str">
            <v>DES02</v>
          </cell>
          <cell r="B858" t="str">
            <v>Descubrir varilla en dala, castillo o dado</v>
          </cell>
          <cell r="C858" t="str">
            <v>PZA</v>
          </cell>
          <cell r="D858">
            <v>26.313333333333333</v>
          </cell>
          <cell r="E858"/>
          <cell r="F858">
            <v>30.260333333333332</v>
          </cell>
        </row>
        <row r="859">
          <cell r="A859" t="str">
            <v>DES03</v>
          </cell>
          <cell r="B859" t="str">
            <v>Desmontar cesped con recuperacion</v>
          </cell>
          <cell r="C859" t="str">
            <v>M2</v>
          </cell>
          <cell r="D859">
            <v>15.788</v>
          </cell>
          <cell r="E859"/>
          <cell r="F859">
            <v>18.156199999999998</v>
          </cell>
        </row>
        <row r="860">
          <cell r="A860" t="str">
            <v>DES04</v>
          </cell>
          <cell r="B860" t="str">
            <v>Desmontar cristales con junquillo</v>
          </cell>
          <cell r="C860" t="str">
            <v>M2</v>
          </cell>
          <cell r="D860">
            <v>21.927777777777777</v>
          </cell>
          <cell r="E860"/>
          <cell r="F860">
            <v>25.21694444444444</v>
          </cell>
        </row>
        <row r="861">
          <cell r="A861" t="str">
            <v>DES05</v>
          </cell>
          <cell r="B861" t="str">
            <v>Desmontar cristales con mastique</v>
          </cell>
          <cell r="C861" t="str">
            <v>M2</v>
          </cell>
          <cell r="D861">
            <v>26.313333333333333</v>
          </cell>
          <cell r="E861"/>
          <cell r="F861">
            <v>30.260333333333332</v>
          </cell>
        </row>
        <row r="862">
          <cell r="A862" t="str">
            <v>DES06</v>
          </cell>
          <cell r="B862" t="str">
            <v>Desmontar herreria demoliendo anclas</v>
          </cell>
          <cell r="C862" t="str">
            <v>M2</v>
          </cell>
          <cell r="D862">
            <v>39.47</v>
          </cell>
          <cell r="E862"/>
          <cell r="F862">
            <v>45.390499999999996</v>
          </cell>
        </row>
        <row r="863">
          <cell r="A863" t="str">
            <v>DES07</v>
          </cell>
          <cell r="B863" t="str">
            <v>Desmontar puerta de madera o aluminio con todo y marco</v>
          </cell>
          <cell r="C863" t="str">
            <v>PZA</v>
          </cell>
          <cell r="D863">
            <v>78.94</v>
          </cell>
          <cell r="E863"/>
          <cell r="F863">
            <v>90.780999999999992</v>
          </cell>
        </row>
        <row r="864">
          <cell r="A864" t="str">
            <v>DES08</v>
          </cell>
          <cell r="B864" t="str">
            <v>Desmontar ladrillo de azotea</v>
          </cell>
          <cell r="C864" t="str">
            <v>M2</v>
          </cell>
          <cell r="D864">
            <v>15.926491228070162</v>
          </cell>
          <cell r="E864"/>
          <cell r="F864">
            <v>18.315464912280685</v>
          </cell>
        </row>
        <row r="865">
          <cell r="A865" t="str">
            <v>DES09</v>
          </cell>
          <cell r="B865" t="str">
            <v>Despegar tecata impermeabilizante o mezcla</v>
          </cell>
          <cell r="C865" t="str">
            <v>M2</v>
          </cell>
          <cell r="D865">
            <v>15.788</v>
          </cell>
          <cell r="E865"/>
          <cell r="F865">
            <v>18.156199999999998</v>
          </cell>
        </row>
        <row r="866">
          <cell r="A866" t="str">
            <v>DES10</v>
          </cell>
          <cell r="B866" t="str">
            <v>Descimbrar losa</v>
          </cell>
          <cell r="C866" t="str">
            <v>M2</v>
          </cell>
          <cell r="D866">
            <v>15.788</v>
          </cell>
          <cell r="E866"/>
          <cell r="F866">
            <v>18.156199999999998</v>
          </cell>
        </row>
        <row r="867">
          <cell r="A867" t="str">
            <v>DES11</v>
          </cell>
          <cell r="B867" t="str">
            <v>Desmontar teja colocada en losas, incluye acomodo</v>
          </cell>
          <cell r="C867" t="str">
            <v>M2</v>
          </cell>
          <cell r="D867">
            <v>15.788</v>
          </cell>
          <cell r="E867"/>
          <cell r="F867">
            <v>18.156199999999998</v>
          </cell>
        </row>
        <row r="868">
          <cell r="A868" t="str">
            <v>DES12</v>
          </cell>
          <cell r="B868" t="str">
            <v xml:space="preserve">Desmontar empedrado </v>
          </cell>
          <cell r="C868" t="str">
            <v>M2</v>
          </cell>
          <cell r="D868">
            <v>12.741192982456145</v>
          </cell>
          <cell r="E868"/>
          <cell r="F868">
            <v>14.652371929824564</v>
          </cell>
        </row>
        <row r="869">
          <cell r="A869" t="str">
            <v>DES13</v>
          </cell>
          <cell r="B869" t="str">
            <v>Desmontaje de muebles sanitarios</v>
          </cell>
          <cell r="C869" t="str">
            <v>PZA</v>
          </cell>
          <cell r="D869">
            <v>131.56666666666666</v>
          </cell>
          <cell r="E869"/>
          <cell r="F869">
            <v>151.30166666666665</v>
          </cell>
        </row>
        <row r="870">
          <cell r="A870" t="str">
            <v>DES14</v>
          </cell>
          <cell r="B870" t="str">
            <v>Desapuntalar decklosa</v>
          </cell>
          <cell r="C870" t="str">
            <v>M2</v>
          </cell>
          <cell r="D870">
            <v>5.5396491228070177</v>
          </cell>
          <cell r="E870"/>
          <cell r="F870">
            <v>6.3705964912280697</v>
          </cell>
        </row>
        <row r="871">
          <cell r="A871" t="str">
            <v>DESBA</v>
          </cell>
          <cell r="B871" t="str">
            <v>Desbastar piso con maquina</v>
          </cell>
          <cell r="C871" t="str">
            <v>M2</v>
          </cell>
          <cell r="D871">
            <v>50.929032258064517</v>
          </cell>
          <cell r="E871"/>
          <cell r="F871">
            <v>58.568387096774188</v>
          </cell>
        </row>
        <row r="872">
          <cell r="A872" t="str">
            <v>DESPA1</v>
          </cell>
          <cell r="B872" t="str">
            <v>Despatillado de piso o azulejo</v>
          </cell>
          <cell r="C872" t="str">
            <v>ML</v>
          </cell>
          <cell r="D872">
            <v>65.783333333333331</v>
          </cell>
          <cell r="E872"/>
          <cell r="F872">
            <v>75.650833333333324</v>
          </cell>
        </row>
        <row r="873">
          <cell r="A873" t="str">
            <v>DESPA2</v>
          </cell>
          <cell r="B873" t="str">
            <v>Despatillado de piso o azulejo en cartabon</v>
          </cell>
          <cell r="C873" t="str">
            <v>ML</v>
          </cell>
          <cell r="D873">
            <v>65.783333333333331</v>
          </cell>
          <cell r="E873"/>
          <cell r="F873">
            <v>75.650833333333324</v>
          </cell>
        </row>
        <row r="874">
          <cell r="A874" t="str">
            <v>DESPA3</v>
          </cell>
          <cell r="B874" t="str">
            <v>Despalme de terreno con pala de 10 a 20 cms prof.</v>
          </cell>
          <cell r="C874" t="str">
            <v>M2</v>
          </cell>
          <cell r="D874">
            <v>39.47</v>
          </cell>
          <cell r="E874"/>
          <cell r="F874">
            <v>45.390499999999996</v>
          </cell>
        </row>
        <row r="875">
          <cell r="A875" t="str">
            <v>DESTAJ</v>
          </cell>
          <cell r="B875" t="str">
            <v>Destajos y nominas</v>
          </cell>
          <cell r="C875" t="str">
            <v>LOTE</v>
          </cell>
          <cell r="D875">
            <v>100</v>
          </cell>
          <cell r="E875"/>
          <cell r="F875">
            <v>100</v>
          </cell>
        </row>
        <row r="876">
          <cell r="A876" t="str">
            <v>DIAFE</v>
          </cell>
          <cell r="B876" t="str">
            <v>Dia festivo ( 1 oficial + 1 peon )</v>
          </cell>
          <cell r="C876" t="str">
            <v>JORNAL</v>
          </cell>
          <cell r="D876">
            <v>789.4</v>
          </cell>
          <cell r="E876"/>
          <cell r="F876"/>
        </row>
        <row r="877">
          <cell r="A877" t="str">
            <v>DOM</v>
          </cell>
          <cell r="B877" t="str">
            <v>Domingo trabajado</v>
          </cell>
          <cell r="C877" t="str">
            <v>LOTE</v>
          </cell>
          <cell r="D877">
            <v>100</v>
          </cell>
          <cell r="E877"/>
          <cell r="F877">
            <v>100</v>
          </cell>
        </row>
        <row r="878">
          <cell r="A878" t="str">
            <v>DUCTO</v>
          </cell>
          <cell r="B878" t="str">
            <v>Recibir ducto de aire en muro o boveda colando y resanando</v>
          </cell>
          <cell r="C878" t="str">
            <v>PZA</v>
          </cell>
          <cell r="D878">
            <v>263.13333333333333</v>
          </cell>
          <cell r="E878"/>
          <cell r="F878">
            <v>302.6033333333333</v>
          </cell>
        </row>
        <row r="879">
          <cell r="A879" t="str">
            <v>DUELA</v>
          </cell>
          <cell r="B879" t="str">
            <v>Instalacion de duela aparente lecho bajo de cubierta machihembrada</v>
          </cell>
          <cell r="C879" t="str">
            <v>M2</v>
          </cell>
          <cell r="D879">
            <v>50.961910910264685</v>
          </cell>
          <cell r="E879"/>
          <cell r="F879">
            <v>58.606197546804381</v>
          </cell>
        </row>
        <row r="880">
          <cell r="A880" t="str">
            <v>DUROCK</v>
          </cell>
          <cell r="B880" t="str">
            <v>Instalacion de bastidor de metal y hojas de durock a 2 rostros</v>
          </cell>
          <cell r="C880" t="str">
            <v>M2</v>
          </cell>
          <cell r="D880">
            <v>219.27777777777777</v>
          </cell>
          <cell r="E880"/>
          <cell r="F880">
            <v>219.27777777777777</v>
          </cell>
        </row>
        <row r="881">
          <cell r="A881" t="str">
            <v>DURM</v>
          </cell>
          <cell r="B881" t="str">
            <v>Acarreo, nivelacion, fijar y colocar durmiente de madera</v>
          </cell>
          <cell r="C881" t="str">
            <v>ML</v>
          </cell>
          <cell r="D881">
            <v>65.783333333333331</v>
          </cell>
          <cell r="E881"/>
          <cell r="F881">
            <v>75.650833333333324</v>
          </cell>
        </row>
        <row r="882">
          <cell r="A882" t="str">
            <v>EMP01</v>
          </cell>
          <cell r="B882" t="str">
            <v>Empedrado ( piedra bola 4" a 8 " )</v>
          </cell>
          <cell r="C882" t="str">
            <v>M2</v>
          </cell>
          <cell r="D882">
            <v>121.44615384615385</v>
          </cell>
          <cell r="E882"/>
          <cell r="F882">
            <v>139.66307692307691</v>
          </cell>
        </row>
        <row r="883">
          <cell r="A883" t="str">
            <v>EMP02</v>
          </cell>
          <cell r="B883" t="str">
            <v>Empedrado ( piedra castilla 4" a 8 " )</v>
          </cell>
          <cell r="C883" t="str">
            <v>M2</v>
          </cell>
          <cell r="D883">
            <v>121.44615384615385</v>
          </cell>
          <cell r="E883"/>
          <cell r="F883">
            <v>139.66307692307691</v>
          </cell>
        </row>
        <row r="884">
          <cell r="A884" t="str">
            <v>ENC01</v>
          </cell>
          <cell r="B884" t="str">
            <v>Enchape de bajante</v>
          </cell>
          <cell r="C884" t="str">
            <v>ML</v>
          </cell>
          <cell r="D884">
            <v>60.723076923076924</v>
          </cell>
          <cell r="E884">
            <v>1</v>
          </cell>
          <cell r="F884">
            <v>69.831538461538457</v>
          </cell>
        </row>
        <row r="885">
          <cell r="A885" t="str">
            <v>ENC02</v>
          </cell>
          <cell r="B885" t="str">
            <v xml:space="preserve">Enchape de muro </v>
          </cell>
          <cell r="C885" t="str">
            <v>M2</v>
          </cell>
          <cell r="D885">
            <v>52.626666666666665</v>
          </cell>
          <cell r="E885">
            <v>1</v>
          </cell>
          <cell r="F885">
            <v>60.520666666666664</v>
          </cell>
        </row>
        <row r="886">
          <cell r="A886" t="str">
            <v>ENC03</v>
          </cell>
          <cell r="B886" t="str">
            <v xml:space="preserve">Enchape de viga </v>
          </cell>
          <cell r="C886" t="str">
            <v>ML</v>
          </cell>
          <cell r="D886">
            <v>26.313333333333333</v>
          </cell>
          <cell r="E886">
            <v>1</v>
          </cell>
          <cell r="F886">
            <v>30.260333333333332</v>
          </cell>
        </row>
        <row r="887">
          <cell r="A887" t="str">
            <v>ENC04</v>
          </cell>
          <cell r="B887" t="str">
            <v>Enchape de muro con rajuela de piedra a 1 rostro</v>
          </cell>
          <cell r="C887" t="str">
            <v>M2</v>
          </cell>
          <cell r="D887">
            <v>98.674999999999997</v>
          </cell>
          <cell r="E887">
            <v>1</v>
          </cell>
          <cell r="F887">
            <v>113.47624999999999</v>
          </cell>
        </row>
        <row r="888">
          <cell r="A888" t="str">
            <v>ENCAR</v>
          </cell>
          <cell r="B888" t="str">
            <v>Encartonado de piso</v>
          </cell>
          <cell r="C888" t="str">
            <v>M2</v>
          </cell>
          <cell r="D888">
            <v>3.1576</v>
          </cell>
          <cell r="E888"/>
          <cell r="F888">
            <v>3.6312399999999996</v>
          </cell>
        </row>
        <row r="889">
          <cell r="A889" t="str">
            <v>ENJ01</v>
          </cell>
          <cell r="B889" t="str">
            <v>Enjarre apalillado</v>
          </cell>
          <cell r="C889" t="str">
            <v>M2</v>
          </cell>
          <cell r="D889">
            <v>80.964102564102561</v>
          </cell>
          <cell r="E889">
            <v>1</v>
          </cell>
          <cell r="F889">
            <v>93.108717948717938</v>
          </cell>
        </row>
        <row r="890">
          <cell r="A890" t="str">
            <v>ENJ02</v>
          </cell>
          <cell r="B890" t="str">
            <v>Enjarre apalillado 2a h.</v>
          </cell>
          <cell r="C890" t="str">
            <v>M2</v>
          </cell>
          <cell r="D890">
            <v>93.108717948717938</v>
          </cell>
          <cell r="E890">
            <v>1</v>
          </cell>
          <cell r="F890">
            <v>107.07502564102562</v>
          </cell>
        </row>
        <row r="891">
          <cell r="A891" t="str">
            <v>ENJ03</v>
          </cell>
          <cell r="B891" t="str">
            <v>Enjarre apalillado en boveda</v>
          </cell>
          <cell r="C891" t="str">
            <v>M2</v>
          </cell>
          <cell r="D891">
            <v>98.674999999999997</v>
          </cell>
          <cell r="E891">
            <v>1</v>
          </cell>
          <cell r="F891">
            <v>113.47624999999999</v>
          </cell>
        </row>
        <row r="892">
          <cell r="A892" t="str">
            <v>ENJ04</v>
          </cell>
          <cell r="B892" t="str">
            <v>Enjarre apalillado en boveda 2a h.</v>
          </cell>
          <cell r="C892" t="str">
            <v>M2</v>
          </cell>
          <cell r="D892">
            <v>113.47624999999998</v>
          </cell>
          <cell r="E892">
            <v>1</v>
          </cell>
          <cell r="F892">
            <v>130.49768749999996</v>
          </cell>
        </row>
        <row r="893">
          <cell r="A893" t="str">
            <v>ENJ05</v>
          </cell>
          <cell r="B893" t="str">
            <v>Enjarre apalillado en muro curvo</v>
          </cell>
          <cell r="C893" t="str">
            <v>M2</v>
          </cell>
          <cell r="D893">
            <v>110.79298245614035</v>
          </cell>
          <cell r="E893">
            <v>1</v>
          </cell>
          <cell r="F893">
            <v>127.4119298245614</v>
          </cell>
        </row>
        <row r="894">
          <cell r="A894" t="str">
            <v>ENJ06</v>
          </cell>
          <cell r="B894" t="str">
            <v>Enjarre apalillado en muro curvo 2a h.</v>
          </cell>
          <cell r="C894" t="str">
            <v>M2</v>
          </cell>
          <cell r="D894">
            <v>127.32258064516128</v>
          </cell>
          <cell r="E894">
            <v>1</v>
          </cell>
          <cell r="F894">
            <v>146.42096774193547</v>
          </cell>
        </row>
        <row r="895">
          <cell r="A895" t="str">
            <v>ENJ06-3</v>
          </cell>
          <cell r="B895" t="str">
            <v>Enjarre apalillado en muro curvo 3a h.</v>
          </cell>
          <cell r="C895" t="str">
            <v>M2</v>
          </cell>
          <cell r="D895">
            <v>146.42096774193547</v>
          </cell>
          <cell r="E895">
            <v>1</v>
          </cell>
          <cell r="F895">
            <v>168.38411290322577</v>
          </cell>
        </row>
        <row r="896">
          <cell r="A896" t="str">
            <v>ENJ07</v>
          </cell>
          <cell r="B896" t="str">
            <v>Enjarre de contrahuella escalones</v>
          </cell>
          <cell r="C896" t="str">
            <v>ML</v>
          </cell>
          <cell r="D896">
            <v>31.576000000000001</v>
          </cell>
          <cell r="E896">
            <v>1</v>
          </cell>
          <cell r="F896">
            <v>36.312399999999997</v>
          </cell>
        </row>
        <row r="897">
          <cell r="A897" t="str">
            <v>ENJ08</v>
          </cell>
          <cell r="B897" t="str">
            <v xml:space="preserve">Enjarre apalillado en losa inclinada </v>
          </cell>
          <cell r="C897" t="str">
            <v>M2</v>
          </cell>
          <cell r="D897">
            <v>110.79298245614035</v>
          </cell>
          <cell r="E897">
            <v>1</v>
          </cell>
          <cell r="F897">
            <v>127.4119298245614</v>
          </cell>
        </row>
        <row r="898">
          <cell r="A898" t="str">
            <v>ENJ09</v>
          </cell>
          <cell r="B898" t="str">
            <v>Enjarre apalillado en losa inclinada 2a h</v>
          </cell>
          <cell r="C898" t="str">
            <v>M2</v>
          </cell>
          <cell r="D898">
            <v>127.32258064516128</v>
          </cell>
          <cell r="E898">
            <v>1</v>
          </cell>
          <cell r="F898">
            <v>146.42096774193547</v>
          </cell>
        </row>
        <row r="899">
          <cell r="A899" t="str">
            <v>ENJ10</v>
          </cell>
          <cell r="B899" t="str">
            <v>Enjarre de losa inclinada pulido</v>
          </cell>
          <cell r="C899" t="str">
            <v>M2</v>
          </cell>
          <cell r="D899">
            <v>116.33263157894737</v>
          </cell>
          <cell r="E899">
            <v>1</v>
          </cell>
          <cell r="F899">
            <v>133.78252631578945</v>
          </cell>
        </row>
        <row r="900">
          <cell r="A900" t="str">
            <v>ENJ11</v>
          </cell>
          <cell r="B900" t="str">
            <v>Enjarre de losa inclinada pulido 2a h.</v>
          </cell>
          <cell r="C900" t="str">
            <v>M2</v>
          </cell>
          <cell r="D900">
            <v>133.69808541973489</v>
          </cell>
          <cell r="E900">
            <v>1</v>
          </cell>
          <cell r="F900">
            <v>153.75279823269511</v>
          </cell>
        </row>
        <row r="901">
          <cell r="A901" t="str">
            <v>ENJ12</v>
          </cell>
          <cell r="B901" t="str">
            <v>Enjarre de muro mamposteo incluye zarpeado cemento</v>
          </cell>
          <cell r="C901" t="str">
            <v>M2</v>
          </cell>
          <cell r="D901">
            <v>112.77142857142857</v>
          </cell>
          <cell r="E901">
            <v>1</v>
          </cell>
          <cell r="F901">
            <v>129.68714285714285</v>
          </cell>
        </row>
        <row r="902">
          <cell r="A902" t="str">
            <v>ENJ13</v>
          </cell>
          <cell r="B902" t="str">
            <v>Enjarre de pretil</v>
          </cell>
          <cell r="C902" t="str">
            <v>ML</v>
          </cell>
          <cell r="D902">
            <v>62.950558213716114</v>
          </cell>
          <cell r="E902">
            <v>1</v>
          </cell>
          <cell r="F902">
            <v>72.393141945773522</v>
          </cell>
        </row>
        <row r="903">
          <cell r="A903" t="str">
            <v>ENJ14</v>
          </cell>
          <cell r="B903" t="str">
            <v>Enjarre en muro de panel incluye zarpeo</v>
          </cell>
          <cell r="C903" t="str">
            <v>M2</v>
          </cell>
          <cell r="D903">
            <v>124.6421052631579</v>
          </cell>
          <cell r="E903">
            <v>1</v>
          </cell>
          <cell r="F903">
            <v>143.33842105263159</v>
          </cell>
        </row>
        <row r="904">
          <cell r="A904" t="str">
            <v>ENJ15</v>
          </cell>
          <cell r="B904" t="str">
            <v>Enjarre en boveda de panel incluye zarpeo</v>
          </cell>
          <cell r="C904" t="str">
            <v>M2</v>
          </cell>
          <cell r="D904">
            <v>143.41390205371246</v>
          </cell>
          <cell r="E904">
            <v>1</v>
          </cell>
          <cell r="F904">
            <v>164.92598736176933</v>
          </cell>
        </row>
        <row r="905">
          <cell r="A905" t="str">
            <v>ENJ16</v>
          </cell>
          <cell r="B905" t="str">
            <v xml:space="preserve">Enjarre pulido </v>
          </cell>
          <cell r="C905" t="str">
            <v>M2</v>
          </cell>
          <cell r="D905">
            <v>96.943859649122814</v>
          </cell>
          <cell r="E905">
            <v>1</v>
          </cell>
          <cell r="F905">
            <v>111.48543859649122</v>
          </cell>
        </row>
        <row r="906">
          <cell r="A906" t="str">
            <v>ENJ17</v>
          </cell>
          <cell r="B906" t="str">
            <v>Enjarre pulido 2a h.</v>
          </cell>
          <cell r="C906" t="str">
            <v>M2</v>
          </cell>
          <cell r="D906">
            <v>110.79298245614035</v>
          </cell>
          <cell r="E906">
            <v>1</v>
          </cell>
          <cell r="F906">
            <v>127.4119298245614</v>
          </cell>
        </row>
        <row r="907">
          <cell r="A907" t="str">
            <v>ENJ18</v>
          </cell>
          <cell r="B907" t="str">
            <v>Enjarre pulido en boveda</v>
          </cell>
          <cell r="C907" t="str">
            <v>M2</v>
          </cell>
          <cell r="D907">
            <v>98.674999999999997</v>
          </cell>
          <cell r="E907">
            <v>1</v>
          </cell>
          <cell r="F907">
            <v>113.47624999999999</v>
          </cell>
        </row>
        <row r="908">
          <cell r="A908" t="str">
            <v>ENJ19</v>
          </cell>
          <cell r="B908" t="str">
            <v>Enjarre pulido en boveda 2a h.</v>
          </cell>
          <cell r="C908" t="str">
            <v>M2</v>
          </cell>
          <cell r="D908">
            <v>113.47624999999998</v>
          </cell>
          <cell r="E908">
            <v>1</v>
          </cell>
          <cell r="F908">
            <v>130.49768749999996</v>
          </cell>
        </row>
        <row r="909">
          <cell r="A909" t="str">
            <v>ENJ20</v>
          </cell>
          <cell r="B909" t="str">
            <v>Enjarre pulido en muro curvo</v>
          </cell>
          <cell r="C909" t="str">
            <v>M2</v>
          </cell>
          <cell r="D909">
            <v>113.31100478468899</v>
          </cell>
          <cell r="E909">
            <v>1</v>
          </cell>
          <cell r="F909">
            <v>130.30765550239232</v>
          </cell>
        </row>
        <row r="910">
          <cell r="A910" t="str">
            <v>ENJ21</v>
          </cell>
          <cell r="B910" t="str">
            <v>Enjarre pulido en muro curvo 2a h.</v>
          </cell>
          <cell r="C910" t="str">
            <v>M2</v>
          </cell>
          <cell r="D910">
            <v>130.24533715925395</v>
          </cell>
          <cell r="E910">
            <v>1</v>
          </cell>
          <cell r="F910">
            <v>149.78213773314204</v>
          </cell>
        </row>
        <row r="911">
          <cell r="A911" t="str">
            <v>ENJ22</v>
          </cell>
          <cell r="B911" t="str">
            <v>Enjarre rustico</v>
          </cell>
          <cell r="C911" t="str">
            <v>M2</v>
          </cell>
          <cell r="D911">
            <v>113.31100478468899</v>
          </cell>
          <cell r="E911">
            <v>1</v>
          </cell>
          <cell r="F911">
            <v>130.30765550239232</v>
          </cell>
        </row>
        <row r="912">
          <cell r="A912" t="str">
            <v>ENJ23</v>
          </cell>
          <cell r="B912" t="str">
            <v>Enjarre rustico 2a h.</v>
          </cell>
          <cell r="C912" t="str">
            <v>M2</v>
          </cell>
          <cell r="D912">
            <v>130.24533715925395</v>
          </cell>
          <cell r="E912">
            <v>1</v>
          </cell>
          <cell r="F912">
            <v>149.78213773314204</v>
          </cell>
        </row>
        <row r="913">
          <cell r="A913" t="str">
            <v>ENJ24</v>
          </cell>
          <cell r="B913" t="str">
            <v>Enjarre apalillado a 15 mts altura</v>
          </cell>
          <cell r="C913" t="str">
            <v>M2</v>
          </cell>
          <cell r="D913">
            <v>175.42222222222222</v>
          </cell>
          <cell r="E913">
            <v>1</v>
          </cell>
          <cell r="F913">
            <v>201.73555555555552</v>
          </cell>
        </row>
        <row r="914">
          <cell r="A914" t="str">
            <v>ENJ25</v>
          </cell>
          <cell r="B914" t="str">
            <v>Enjarre repellado en muro con terminado pendiente</v>
          </cell>
          <cell r="C914" t="str">
            <v>M2</v>
          </cell>
          <cell r="D914">
            <v>80.551020408163254</v>
          </cell>
          <cell r="E914">
            <v>1</v>
          </cell>
          <cell r="F914">
            <v>92.63367346938773</v>
          </cell>
        </row>
        <row r="915">
          <cell r="A915" t="str">
            <v>ENJ252</v>
          </cell>
          <cell r="B915" t="str">
            <v>Enjarre repellado en muro con terminado pendiente 2a h</v>
          </cell>
          <cell r="C915" t="str">
            <v>M2</v>
          </cell>
          <cell r="D915">
            <v>92.633673469387745</v>
          </cell>
          <cell r="E915">
            <v>1</v>
          </cell>
          <cell r="F915">
            <v>106.52872448979589</v>
          </cell>
        </row>
        <row r="916">
          <cell r="A916" t="str">
            <v>ENJ253</v>
          </cell>
          <cell r="B916" t="str">
            <v>Enjarre repellado en muro con terminado pendiente 3a h</v>
          </cell>
          <cell r="C916" t="str">
            <v>M2</v>
          </cell>
          <cell r="D916">
            <v>104.71632653061225</v>
          </cell>
          <cell r="E916">
            <v>1</v>
          </cell>
          <cell r="F916">
            <v>120.42377551020408</v>
          </cell>
        </row>
        <row r="917">
          <cell r="A917" t="str">
            <v>ENJ254</v>
          </cell>
          <cell r="B917" t="str">
            <v>Enjarre repellado en muro con terminado pendiente 4a h</v>
          </cell>
          <cell r="C917" t="str">
            <v>M2</v>
          </cell>
          <cell r="D917">
            <v>116.79897959183671</v>
          </cell>
          <cell r="E917">
            <v>1</v>
          </cell>
          <cell r="F917">
            <v>134.3188265306122</v>
          </cell>
        </row>
        <row r="918">
          <cell r="A918" t="str">
            <v>ENJ26</v>
          </cell>
          <cell r="B918" t="str">
            <v>Enjarre repellado en boveda con terminado pendiente</v>
          </cell>
          <cell r="C918" t="str">
            <v>M2</v>
          </cell>
          <cell r="D918">
            <v>96.858895705521462</v>
          </cell>
          <cell r="E918">
            <v>1</v>
          </cell>
          <cell r="F918">
            <v>111.38773006134967</v>
          </cell>
        </row>
        <row r="919">
          <cell r="A919" t="str">
            <v>ENJ262</v>
          </cell>
          <cell r="B919" t="str">
            <v>Enjarre repellado en boveda con terminado pendiente 2a h</v>
          </cell>
          <cell r="C919" t="str">
            <v>M2</v>
          </cell>
          <cell r="D919">
            <v>111.38773006134967</v>
          </cell>
          <cell r="E919">
            <v>1</v>
          </cell>
          <cell r="F919">
            <v>128.09588957055212</v>
          </cell>
        </row>
        <row r="920">
          <cell r="A920" t="str">
            <v>ENJ3AH</v>
          </cell>
          <cell r="B920" t="str">
            <v>Enjarre apalillado a 3a h</v>
          </cell>
          <cell r="C920" t="str">
            <v>M2</v>
          </cell>
          <cell r="D920">
            <v>116.51579241071425</v>
          </cell>
          <cell r="E920">
            <v>1</v>
          </cell>
          <cell r="F920">
            <v>133.99316127232137</v>
          </cell>
        </row>
        <row r="921">
          <cell r="A921" t="str">
            <v>ENJ4AH</v>
          </cell>
          <cell r="B921" t="str">
            <v>Enjarre apalillado 4a h.</v>
          </cell>
          <cell r="C921" t="str">
            <v>M2</v>
          </cell>
          <cell r="D921">
            <v>133.99316127232137</v>
          </cell>
          <cell r="E921">
            <v>1</v>
          </cell>
          <cell r="F921">
            <v>154.09213546316957</v>
          </cell>
        </row>
        <row r="922">
          <cell r="A922" t="str">
            <v>ENJ5AH</v>
          </cell>
          <cell r="B922" t="str">
            <v>Enjarre apalillado 5a h.</v>
          </cell>
          <cell r="C922" t="str">
            <v>M2</v>
          </cell>
          <cell r="D922">
            <v>154.09213546316957</v>
          </cell>
          <cell r="E922">
            <v>1</v>
          </cell>
          <cell r="F922">
            <v>177.20595578264499</v>
          </cell>
        </row>
        <row r="923">
          <cell r="A923" t="str">
            <v>ENJAFB</v>
          </cell>
          <cell r="B923" t="str">
            <v>Enjarre de boveda terminado afinado con esponja</v>
          </cell>
          <cell r="C923" t="str">
            <v>M2</v>
          </cell>
          <cell r="D923">
            <v>108.27496012759171</v>
          </cell>
          <cell r="E923">
            <v>1</v>
          </cell>
          <cell r="F923">
            <v>124.51620414673046</v>
          </cell>
        </row>
        <row r="924">
          <cell r="A924" t="str">
            <v>ENJAFB2</v>
          </cell>
          <cell r="B924" t="str">
            <v>Enjarre de boveda terminado afinado con esponja 2a h</v>
          </cell>
          <cell r="C924" t="str">
            <v>M2</v>
          </cell>
          <cell r="D924">
            <v>124.5281207133059</v>
          </cell>
          <cell r="E924">
            <v>1</v>
          </cell>
          <cell r="F924">
            <v>143.20733882030177</v>
          </cell>
        </row>
        <row r="925">
          <cell r="A925" t="str">
            <v>ENJAFB3</v>
          </cell>
          <cell r="B925" t="str">
            <v>Enjarre de boveda terminado afinado con esponja 3a h</v>
          </cell>
          <cell r="C925" t="str">
            <v>M2</v>
          </cell>
          <cell r="D925">
            <v>143.18769716088326</v>
          </cell>
          <cell r="E925">
            <v>1</v>
          </cell>
          <cell r="F925">
            <v>164.66585173501574</v>
          </cell>
        </row>
        <row r="926">
          <cell r="A926" t="str">
            <v>ENJAFM</v>
          </cell>
          <cell r="B926" t="str">
            <v>Enjarre de muro terminado afinado con esponja</v>
          </cell>
          <cell r="C926" t="str">
            <v>M2</v>
          </cell>
          <cell r="D926">
            <v>96.943859649122814</v>
          </cell>
          <cell r="E926">
            <v>1</v>
          </cell>
          <cell r="F926">
            <v>111.48543859649122</v>
          </cell>
        </row>
        <row r="927">
          <cell r="A927" t="str">
            <v>ENJAFM2</v>
          </cell>
          <cell r="B927" t="str">
            <v>Enjarre de muro terminado afinado con esponja 2a h</v>
          </cell>
          <cell r="C927" t="str">
            <v>M2</v>
          </cell>
          <cell r="D927">
            <v>110.79298245614035</v>
          </cell>
          <cell r="E927">
            <v>1</v>
          </cell>
          <cell r="F927">
            <v>127.4119298245614</v>
          </cell>
        </row>
        <row r="928">
          <cell r="A928" t="str">
            <v>ENJAFM3</v>
          </cell>
          <cell r="B928" t="str">
            <v>Enjarre de muro terminado afinado con esponja 3a h</v>
          </cell>
          <cell r="C928" t="str">
            <v>M2</v>
          </cell>
          <cell r="D928">
            <v>124.6421052631579</v>
          </cell>
          <cell r="E928">
            <v>1</v>
          </cell>
          <cell r="F928">
            <v>143.33842105263159</v>
          </cell>
        </row>
        <row r="929">
          <cell r="A929" t="str">
            <v>ENJAFM4</v>
          </cell>
          <cell r="B929" t="str">
            <v>Enjarre de muro terminado afinado con esponja 4a h</v>
          </cell>
          <cell r="C929" t="str">
            <v>M2</v>
          </cell>
          <cell r="D929">
            <v>143.33917546934455</v>
          </cell>
          <cell r="E929">
            <v>1</v>
          </cell>
          <cell r="F929">
            <v>164.84005178974621</v>
          </cell>
        </row>
        <row r="930">
          <cell r="A930" t="str">
            <v>ENJAFM5</v>
          </cell>
          <cell r="B930" t="str">
            <v>Enjarre de muro terminado afinado con esponja 5a h</v>
          </cell>
          <cell r="C930" t="str">
            <v>M2</v>
          </cell>
          <cell r="D930">
            <v>164.84005178974621</v>
          </cell>
          <cell r="E930">
            <v>1</v>
          </cell>
          <cell r="F930">
            <v>189.56605955820814</v>
          </cell>
        </row>
        <row r="931">
          <cell r="A931" t="str">
            <v>ENJAFMJP</v>
          </cell>
          <cell r="B931" t="str">
            <v>Enjarre de muro terminado afinado con esponja PUERTA PLATA</v>
          </cell>
          <cell r="C931" t="str">
            <v>M2</v>
          </cell>
          <cell r="D931">
            <v>109.63888888888889</v>
          </cell>
          <cell r="E931">
            <v>1</v>
          </cell>
          <cell r="F931">
            <v>126.08472222222221</v>
          </cell>
        </row>
        <row r="932">
          <cell r="A932" t="str">
            <v>ENJAFM2JP</v>
          </cell>
          <cell r="B932" t="str">
            <v>Enjarre de muro terminado afinado con esponja 2a h PUERTA PLATA</v>
          </cell>
          <cell r="C932" t="str">
            <v>M2</v>
          </cell>
          <cell r="D932">
            <v>126.08472222222221</v>
          </cell>
          <cell r="E932">
            <v>1</v>
          </cell>
          <cell r="F932">
            <v>144.99743055555552</v>
          </cell>
        </row>
        <row r="933">
          <cell r="A933" t="str">
            <v>ENJRYF</v>
          </cell>
          <cell r="B933" t="str">
            <v>Enjarre de fachadas terminado rayado</v>
          </cell>
          <cell r="C933" t="str">
            <v>M2</v>
          </cell>
          <cell r="D933">
            <v>107.4013605442177</v>
          </cell>
          <cell r="E933">
            <v>1</v>
          </cell>
          <cell r="F933">
            <v>123.51156462585034</v>
          </cell>
        </row>
        <row r="934">
          <cell r="A934" t="str">
            <v>ENJRYF2</v>
          </cell>
          <cell r="B934" t="str">
            <v>Enjarre de fachadas terminado rayado 2do nivel</v>
          </cell>
          <cell r="C934" t="str">
            <v>M2</v>
          </cell>
          <cell r="D934">
            <v>123.51156462585034</v>
          </cell>
          <cell r="E934">
            <v>1</v>
          </cell>
          <cell r="F934">
            <v>142.03829931972788</v>
          </cell>
        </row>
        <row r="935">
          <cell r="A935" t="str">
            <v>ENJRYF3</v>
          </cell>
          <cell r="B935" t="str">
            <v>Enjarre de fachadas terminado rayado 3er nivel</v>
          </cell>
          <cell r="C935" t="str">
            <v>M2</v>
          </cell>
          <cell r="D935">
            <v>142.03829931972788</v>
          </cell>
          <cell r="E935">
            <v>1</v>
          </cell>
          <cell r="F935">
            <v>163.34404421768704</v>
          </cell>
        </row>
        <row r="936">
          <cell r="A936" t="str">
            <v>ENJRYF4</v>
          </cell>
          <cell r="B936" t="str">
            <v>Enjarre de fachadas terminado rayado 4to nivel</v>
          </cell>
          <cell r="C936" t="str">
            <v>M2</v>
          </cell>
          <cell r="D936">
            <v>163.34404421768704</v>
          </cell>
          <cell r="E936">
            <v>1</v>
          </cell>
          <cell r="F936">
            <v>187.84565085034009</v>
          </cell>
        </row>
        <row r="937">
          <cell r="A937" t="str">
            <v>ENJ25JP</v>
          </cell>
          <cell r="B937" t="str">
            <v>Enjarre repellado en muro con terminado pendiente PUERTA PLATA</v>
          </cell>
          <cell r="C937" t="str">
            <v>M2</v>
          </cell>
          <cell r="D937">
            <v>93.309692671394785</v>
          </cell>
          <cell r="E937">
            <v>1</v>
          </cell>
          <cell r="F937">
            <v>107.306146572104</v>
          </cell>
        </row>
        <row r="938">
          <cell r="A938" t="str">
            <v>ENJ252JP</v>
          </cell>
          <cell r="B938" t="str">
            <v>Enjarre repellado en muro con terminado pendiente 2ha alt PUERTA PLATA</v>
          </cell>
          <cell r="C938" t="str">
            <v>M2</v>
          </cell>
          <cell r="D938">
            <v>107.306146572104</v>
          </cell>
          <cell r="E938">
            <v>1</v>
          </cell>
          <cell r="F938">
            <v>123.40206855791959</v>
          </cell>
        </row>
        <row r="939">
          <cell r="A939" t="str">
            <v>ENJ253JP</v>
          </cell>
          <cell r="B939" t="str">
            <v>Enjarre repellado en muro con terminado pendiente 3ha alt PUERTA PLATA</v>
          </cell>
          <cell r="C939" t="str">
            <v>M2</v>
          </cell>
          <cell r="D939">
            <v>123.40206855791959</v>
          </cell>
          <cell r="E939">
            <v>1</v>
          </cell>
          <cell r="F939">
            <v>141.91237884160751</v>
          </cell>
        </row>
        <row r="940">
          <cell r="A940" t="str">
            <v>ENJ26JP</v>
          </cell>
          <cell r="B940" t="str">
            <v>Enjarre repellado en boveda con terminado pendiente PUERTA PLATA</v>
          </cell>
          <cell r="C940" t="str">
            <v>M2</v>
          </cell>
          <cell r="D940">
            <v>109.63888888888889</v>
          </cell>
          <cell r="E940">
            <v>1</v>
          </cell>
          <cell r="F940">
            <v>126.08472222222221</v>
          </cell>
        </row>
        <row r="941">
          <cell r="A941" t="str">
            <v>ENJ262JP</v>
          </cell>
          <cell r="B941" t="str">
            <v>Enjarre repellado en boveda con terminado pendiente 2a h PUERTA PLATA</v>
          </cell>
          <cell r="C941" t="str">
            <v>M2</v>
          </cell>
          <cell r="D941">
            <v>126.08472222222221</v>
          </cell>
          <cell r="E941">
            <v>1</v>
          </cell>
          <cell r="F941">
            <v>144.99743055555552</v>
          </cell>
        </row>
        <row r="942">
          <cell r="A942" t="str">
            <v>ENL01</v>
          </cell>
          <cell r="B942" t="str">
            <v>Enladrillado de azotea ordinario</v>
          </cell>
          <cell r="C942" t="str">
            <v>M2</v>
          </cell>
          <cell r="D942">
            <v>77.392156862745097</v>
          </cell>
          <cell r="E942">
            <v>1</v>
          </cell>
          <cell r="F942">
            <v>89.000980392156848</v>
          </cell>
        </row>
        <row r="943">
          <cell r="A943" t="str">
            <v>ENL02</v>
          </cell>
          <cell r="B943" t="str">
            <v>Enladrillado de azotea con crest</v>
          </cell>
          <cell r="C943" t="str">
            <v>M2</v>
          </cell>
          <cell r="D943">
            <v>85.064655172413794</v>
          </cell>
          <cell r="E943">
            <v>1</v>
          </cell>
          <cell r="F943">
            <v>97.824353448275858</v>
          </cell>
        </row>
        <row r="944">
          <cell r="A944" t="str">
            <v>ESC01</v>
          </cell>
          <cell r="B944" t="str">
            <v>Escalon colado con revoltura de concreto</v>
          </cell>
          <cell r="C944" t="str">
            <v>ML</v>
          </cell>
          <cell r="D944">
            <v>98.674999999999997</v>
          </cell>
          <cell r="E944">
            <v>1</v>
          </cell>
          <cell r="F944">
            <v>113.47624999999999</v>
          </cell>
        </row>
        <row r="945">
          <cell r="A945" t="str">
            <v>ESC02</v>
          </cell>
          <cell r="B945" t="str">
            <v>Escalon curvo forjado con ladrillo</v>
          </cell>
          <cell r="C945" t="str">
            <v>ML</v>
          </cell>
          <cell r="D945">
            <v>98.674999999999997</v>
          </cell>
          <cell r="E945">
            <v>1</v>
          </cell>
          <cell r="F945">
            <v>113.47624999999999</v>
          </cell>
        </row>
        <row r="946">
          <cell r="A946" t="str">
            <v>ESC03</v>
          </cell>
          <cell r="B946" t="str">
            <v>Escalon forjado con ladrillo</v>
          </cell>
          <cell r="C946" t="str">
            <v>ML</v>
          </cell>
          <cell r="D946">
            <v>87.711111111111109</v>
          </cell>
          <cell r="E946">
            <v>1</v>
          </cell>
          <cell r="F946">
            <v>100.86777777777776</v>
          </cell>
        </row>
        <row r="947">
          <cell r="A947" t="str">
            <v>ESC04</v>
          </cell>
          <cell r="B947" t="str">
            <v>Escuadras de varilla</v>
          </cell>
          <cell r="C947" t="str">
            <v>PZA</v>
          </cell>
          <cell r="D947">
            <v>10.525333333333332</v>
          </cell>
          <cell r="E947"/>
          <cell r="F947">
            <v>12.104133333333332</v>
          </cell>
        </row>
        <row r="948">
          <cell r="A948" t="str">
            <v>ESC05</v>
          </cell>
          <cell r="B948" t="str">
            <v>Escalon forjado con piedra en huella y peralte</v>
          </cell>
          <cell r="C948" t="str">
            <v>ML</v>
          </cell>
          <cell r="D948">
            <v>263.13333333333333</v>
          </cell>
          <cell r="E948">
            <v>1</v>
          </cell>
          <cell r="F948">
            <v>302.6033333333333</v>
          </cell>
        </row>
        <row r="949">
          <cell r="A949" t="str">
            <v>ESQ01</v>
          </cell>
          <cell r="B949" t="str">
            <v>Esquina con muro de piedra</v>
          </cell>
          <cell r="C949" t="str">
            <v>ML</v>
          </cell>
          <cell r="D949">
            <v>263.13333333333333</v>
          </cell>
          <cell r="E949"/>
          <cell r="F949">
            <v>302.6033333333333</v>
          </cell>
        </row>
        <row r="950">
          <cell r="A950" t="str">
            <v>ESQ02</v>
          </cell>
          <cell r="B950" t="str">
            <v>Esquina de muro de piedra RV</v>
          </cell>
          <cell r="C950" t="str">
            <v>ML</v>
          </cell>
          <cell r="D950">
            <v>250</v>
          </cell>
          <cell r="E950"/>
          <cell r="F950"/>
        </row>
        <row r="951">
          <cell r="A951" t="str">
            <v>EST01</v>
          </cell>
          <cell r="B951" t="str">
            <v>Estrias en enjarre</v>
          </cell>
          <cell r="C951" t="str">
            <v>ML</v>
          </cell>
          <cell r="D951">
            <v>43.855555555555554</v>
          </cell>
          <cell r="E951"/>
          <cell r="F951">
            <v>50.43388888888888</v>
          </cell>
        </row>
        <row r="952">
          <cell r="A952" t="str">
            <v>EST02</v>
          </cell>
          <cell r="B952" t="str">
            <v>Estrias en piso</v>
          </cell>
          <cell r="C952" t="str">
            <v>ML</v>
          </cell>
          <cell r="D952">
            <v>11.04055944055944</v>
          </cell>
          <cell r="E952"/>
          <cell r="F952">
            <v>12.696643356643355</v>
          </cell>
        </row>
        <row r="953">
          <cell r="A953" t="str">
            <v>EST03</v>
          </cell>
          <cell r="B953" t="str">
            <v>Estriado de piso en losa colada para rampa</v>
          </cell>
          <cell r="C953" t="str">
            <v>M2</v>
          </cell>
          <cell r="D953">
            <v>201.44178628389153</v>
          </cell>
          <cell r="E953"/>
          <cell r="F953">
            <v>231.65805422647523</v>
          </cell>
        </row>
        <row r="954">
          <cell r="A954" t="str">
            <v>EXC01</v>
          </cell>
          <cell r="B954" t="str">
            <v>Excavacion de cepa para drenaje/cimiento</v>
          </cell>
          <cell r="C954" t="str">
            <v>M3</v>
          </cell>
          <cell r="D954">
            <v>188.85167464114832</v>
          </cell>
          <cell r="E954"/>
          <cell r="F954">
            <v>217.17942583732057</v>
          </cell>
        </row>
        <row r="955">
          <cell r="A955" t="str">
            <v>EXC02</v>
          </cell>
          <cell r="B955" t="str">
            <v>Excavacion para zapata o registro</v>
          </cell>
          <cell r="C955" t="str">
            <v>M3</v>
          </cell>
          <cell r="D955">
            <v>188.85167464114832</v>
          </cell>
          <cell r="E955"/>
          <cell r="F955">
            <v>217.17942583732057</v>
          </cell>
        </row>
        <row r="956">
          <cell r="A956" t="str">
            <v>EXC03</v>
          </cell>
          <cell r="B956" t="str">
            <v>Excavacion terreno A 0.00-1.50 prof.</v>
          </cell>
          <cell r="C956" t="str">
            <v>M3</v>
          </cell>
          <cell r="D956">
            <v>188.85167464114832</v>
          </cell>
          <cell r="E956"/>
          <cell r="F956">
            <v>217.17942583732057</v>
          </cell>
        </row>
        <row r="957">
          <cell r="A957" t="str">
            <v>EXC04</v>
          </cell>
          <cell r="B957" t="str">
            <v>Excavacion terreno A1.50- 3.00 prof.</v>
          </cell>
          <cell r="C957" t="str">
            <v>M3</v>
          </cell>
          <cell r="D957">
            <v>217.17942583732057</v>
          </cell>
          <cell r="E957"/>
          <cell r="F957">
            <v>249.75633971291862</v>
          </cell>
        </row>
        <row r="958">
          <cell r="A958" t="str">
            <v>EXC05</v>
          </cell>
          <cell r="B958" t="str">
            <v>Excavacion terreno B 0.00-1.50 prof.</v>
          </cell>
          <cell r="C958" t="str">
            <v>M3</v>
          </cell>
          <cell r="D958">
            <v>315.76</v>
          </cell>
          <cell r="E958"/>
          <cell r="F958">
            <v>363.12399999999997</v>
          </cell>
        </row>
        <row r="959">
          <cell r="A959" t="str">
            <v>EXC06</v>
          </cell>
          <cell r="B959" t="str">
            <v>Excavacion terreno B 1.50- 3.00 prof.</v>
          </cell>
          <cell r="C959" t="str">
            <v>M3</v>
          </cell>
          <cell r="D959">
            <v>363.12399999999991</v>
          </cell>
          <cell r="E959"/>
          <cell r="F959">
            <v>417.59259999999989</v>
          </cell>
        </row>
        <row r="960">
          <cell r="A960" t="str">
            <v>EXC07</v>
          </cell>
          <cell r="B960" t="str">
            <v>Excavacion terreno C 0.00-1.50  prof.</v>
          </cell>
          <cell r="C960" t="str">
            <v>M3</v>
          </cell>
          <cell r="D960">
            <v>377.70334928229664</v>
          </cell>
          <cell r="E960"/>
          <cell r="F960">
            <v>434.35885167464113</v>
          </cell>
        </row>
        <row r="961">
          <cell r="A961" t="str">
            <v>EXC08</v>
          </cell>
          <cell r="B961" t="str">
            <v>Excavacion terreno C 1.50-3.00 prof.</v>
          </cell>
          <cell r="C961" t="str">
            <v>M3</v>
          </cell>
          <cell r="D961">
            <v>434.35885167464113</v>
          </cell>
          <cell r="E961"/>
          <cell r="F961">
            <v>499.51267942583723</v>
          </cell>
        </row>
        <row r="962">
          <cell r="A962" t="str">
            <v>EXC09</v>
          </cell>
          <cell r="B962" t="str">
            <v>Excavacion superficial de terrenos</v>
          </cell>
          <cell r="C962" t="str">
            <v>M3</v>
          </cell>
          <cell r="D962">
            <v>146.18518518518516</v>
          </cell>
          <cell r="E962"/>
          <cell r="F962">
            <v>168.11296296296291</v>
          </cell>
        </row>
        <row r="963">
          <cell r="A963" t="str">
            <v>EXC10</v>
          </cell>
          <cell r="B963" t="str">
            <v>Excavacion de terreno con piedra</v>
          </cell>
          <cell r="C963" t="str">
            <v>M3</v>
          </cell>
          <cell r="D963">
            <v>377.70334928229664</v>
          </cell>
          <cell r="E963"/>
          <cell r="F963">
            <v>434.35885167464113</v>
          </cell>
        </row>
        <row r="964">
          <cell r="A964" t="str">
            <v>FIR01</v>
          </cell>
          <cell r="B964" t="str">
            <v>Firme de hormigon en entrepiso espesor promedio 7 cms</v>
          </cell>
          <cell r="C964" t="str">
            <v>M2</v>
          </cell>
          <cell r="D964">
            <v>45.367816091954026</v>
          </cell>
          <cell r="E964">
            <v>1</v>
          </cell>
          <cell r="F964">
            <v>52.172988505747128</v>
          </cell>
        </row>
        <row r="965">
          <cell r="A965" t="str">
            <v>FIR02</v>
          </cell>
          <cell r="B965" t="str">
            <v>Firme de hormigon en piso espesor promedio 7 cms</v>
          </cell>
          <cell r="C965" t="str">
            <v>M2</v>
          </cell>
          <cell r="D965">
            <v>39.47</v>
          </cell>
          <cell r="E965">
            <v>1</v>
          </cell>
          <cell r="F965">
            <v>45.390499999999996</v>
          </cell>
        </row>
        <row r="966">
          <cell r="A966" t="str">
            <v>FIR03</v>
          </cell>
          <cell r="B966" t="str">
            <v>Firme de ladrillo</v>
          </cell>
          <cell r="C966" t="str">
            <v>M2</v>
          </cell>
          <cell r="D966">
            <v>50.602564102564102</v>
          </cell>
          <cell r="E966">
            <v>1</v>
          </cell>
          <cell r="F966">
            <v>58.19294871794871</v>
          </cell>
        </row>
        <row r="967">
          <cell r="A967" t="str">
            <v>FLECHA</v>
          </cell>
          <cell r="B967" t="str">
            <v>Flecha de estacionamiento pintada</v>
          </cell>
          <cell r="C967" t="str">
            <v>PZA</v>
          </cell>
          <cell r="D967">
            <v>131.56666666666666</v>
          </cell>
          <cell r="E967"/>
          <cell r="F967">
            <v>151.30166666666665</v>
          </cell>
        </row>
        <row r="968">
          <cell r="A968" t="str">
            <v>FLETE</v>
          </cell>
          <cell r="B968" t="str">
            <v>Flete de escombro, basura o material</v>
          </cell>
          <cell r="C968" t="str">
            <v>VIAJE</v>
          </cell>
          <cell r="D968">
            <v>5</v>
          </cell>
          <cell r="E968"/>
          <cell r="F968">
            <v>5.75</v>
          </cell>
        </row>
        <row r="969">
          <cell r="A969" t="str">
            <v>FLOR</v>
          </cell>
          <cell r="B969" t="str">
            <v>Flor de teja en esquina incluye cortes y figurado en curva</v>
          </cell>
          <cell r="C969" t="str">
            <v>PZA</v>
          </cell>
          <cell r="D969">
            <v>150</v>
          </cell>
          <cell r="E969"/>
          <cell r="F969">
            <v>172.5</v>
          </cell>
        </row>
        <row r="970">
          <cell r="A970" t="str">
            <v>FONDEO</v>
          </cell>
          <cell r="B970" t="str">
            <v>Fondeo de muro aparente de ladrillo</v>
          </cell>
          <cell r="C970" t="str">
            <v>M2</v>
          </cell>
          <cell r="D970">
            <v>18.885167464114833</v>
          </cell>
          <cell r="E970"/>
          <cell r="F970">
            <v>21.717942583732057</v>
          </cell>
        </row>
        <row r="971">
          <cell r="A971" t="str">
            <v>FUERA</v>
          </cell>
          <cell r="B971" t="str">
            <v>Labores fuera de turno</v>
          </cell>
          <cell r="C971" t="str">
            <v>LOTE</v>
          </cell>
          <cell r="D971">
            <v>100</v>
          </cell>
          <cell r="E971"/>
          <cell r="F971">
            <v>100</v>
          </cell>
        </row>
        <row r="972">
          <cell r="A972" t="str">
            <v>GALL1</v>
          </cell>
          <cell r="B972" t="str">
            <v xml:space="preserve">Gallada de material o escombro </v>
          </cell>
          <cell r="C972" t="str">
            <v>VIAJE</v>
          </cell>
          <cell r="D972">
            <v>438.55555555555554</v>
          </cell>
          <cell r="E972"/>
          <cell r="F972">
            <v>504.33888888888885</v>
          </cell>
        </row>
        <row r="973">
          <cell r="A973" t="str">
            <v>GAR01</v>
          </cell>
          <cell r="B973" t="str">
            <v>Gargola hecha en obra</v>
          </cell>
          <cell r="C973" t="str">
            <v>PZA</v>
          </cell>
          <cell r="D973">
            <v>394.7</v>
          </cell>
          <cell r="E973"/>
          <cell r="F973">
            <v>453.90499999999997</v>
          </cell>
        </row>
        <row r="974">
          <cell r="A974" t="str">
            <v>GAR02</v>
          </cell>
          <cell r="B974" t="str">
            <v>Gargola instalar prefabricada</v>
          </cell>
          <cell r="C974" t="str">
            <v>PZA</v>
          </cell>
          <cell r="D974">
            <v>131.56666666666666</v>
          </cell>
          <cell r="E974"/>
          <cell r="F974">
            <v>151.30166666666665</v>
          </cell>
        </row>
        <row r="975">
          <cell r="A975" t="str">
            <v>GOT01</v>
          </cell>
          <cell r="B975" t="str">
            <v>Gotero abultado</v>
          </cell>
          <cell r="C975" t="str">
            <v>ML</v>
          </cell>
          <cell r="D975">
            <v>98.674999999999997</v>
          </cell>
          <cell r="E975">
            <v>1</v>
          </cell>
          <cell r="F975">
            <v>113.47624999999999</v>
          </cell>
        </row>
        <row r="976">
          <cell r="A976" t="str">
            <v>GOT02</v>
          </cell>
          <cell r="B976" t="str">
            <v>Gotero embutido</v>
          </cell>
          <cell r="C976" t="str">
            <v>ML</v>
          </cell>
          <cell r="D976">
            <v>78.94</v>
          </cell>
          <cell r="E976"/>
          <cell r="F976">
            <v>90.780999999999992</v>
          </cell>
        </row>
        <row r="977">
          <cell r="A977" t="str">
            <v>GOT03</v>
          </cell>
          <cell r="B977" t="str">
            <v>Gotero teja de barro</v>
          </cell>
          <cell r="C977" t="str">
            <v>ML</v>
          </cell>
          <cell r="D977">
            <v>52.626666666666665</v>
          </cell>
          <cell r="E977"/>
          <cell r="F977">
            <v>60.520666666666664</v>
          </cell>
        </row>
        <row r="978">
          <cell r="A978" t="str">
            <v>GRA01</v>
          </cell>
          <cell r="B978" t="str">
            <v>Gradinado de piso de cantera</v>
          </cell>
          <cell r="C978" t="str">
            <v>M2</v>
          </cell>
          <cell r="D978">
            <v>157.88</v>
          </cell>
          <cell r="E978"/>
          <cell r="F978">
            <v>181.56199999999998</v>
          </cell>
        </row>
        <row r="979">
          <cell r="A979" t="str">
            <v>GRAP1</v>
          </cell>
          <cell r="B979" t="str">
            <v>Grapas en columnas metalicas o vigueria</v>
          </cell>
          <cell r="C979" t="str">
            <v>PZA</v>
          </cell>
          <cell r="D979">
            <v>10.525333333333332</v>
          </cell>
          <cell r="E979"/>
          <cell r="F979">
            <v>12.104133333333332</v>
          </cell>
        </row>
        <row r="980">
          <cell r="A980" t="str">
            <v>GROUT</v>
          </cell>
          <cell r="B980" t="str">
            <v>Cimbrar y colar placa y dado con festergrout</v>
          </cell>
          <cell r="C980" t="str">
            <v>PZA</v>
          </cell>
          <cell r="D980">
            <v>157.88</v>
          </cell>
          <cell r="E980"/>
          <cell r="F980">
            <v>181.56199999999998</v>
          </cell>
        </row>
        <row r="981">
          <cell r="A981" t="str">
            <v>HAB01</v>
          </cell>
          <cell r="B981" t="str">
            <v>Habilitar cimbra para castillo o dala</v>
          </cell>
          <cell r="C981" t="str">
            <v>ML</v>
          </cell>
          <cell r="D981">
            <v>31.576000000000001</v>
          </cell>
          <cell r="E981"/>
          <cell r="F981">
            <v>36.312399999999997</v>
          </cell>
        </row>
        <row r="982">
          <cell r="A982" t="str">
            <v>HAB02</v>
          </cell>
          <cell r="B982" t="str">
            <v xml:space="preserve">Habilitar cimbra para columna o dado </v>
          </cell>
          <cell r="C982" t="str">
            <v>ML</v>
          </cell>
          <cell r="D982">
            <v>52.626666666666665</v>
          </cell>
          <cell r="E982"/>
          <cell r="F982">
            <v>60.520666666666664</v>
          </cell>
        </row>
        <row r="983">
          <cell r="A983" t="str">
            <v>HAB03</v>
          </cell>
          <cell r="B983" t="str">
            <v>Habilitar cimbra para losa</v>
          </cell>
          <cell r="C983" t="str">
            <v>M2</v>
          </cell>
          <cell r="D983">
            <v>39.47</v>
          </cell>
          <cell r="E983"/>
          <cell r="F983">
            <v>45.390499999999996</v>
          </cell>
        </row>
        <row r="984">
          <cell r="A984" t="str">
            <v>HEC01</v>
          </cell>
          <cell r="B984" t="str">
            <v>Hechura de mezcla y revoltura</v>
          </cell>
          <cell r="C984" t="str">
            <v>%</v>
          </cell>
          <cell r="D984">
            <v>0</v>
          </cell>
          <cell r="E984"/>
          <cell r="F984">
            <v>0</v>
          </cell>
        </row>
        <row r="985">
          <cell r="A985" t="str">
            <v>HEDO</v>
          </cell>
          <cell r="B985" t="str">
            <v>Horas extras dobles oficial</v>
          </cell>
          <cell r="C985" t="str">
            <v>HE</v>
          </cell>
          <cell r="D985">
            <v>159.69999999999999</v>
          </cell>
          <cell r="E985"/>
          <cell r="F985">
            <v>0</v>
          </cell>
        </row>
        <row r="986">
          <cell r="A986" t="str">
            <v>HEDP</v>
          </cell>
          <cell r="B986" t="str">
            <v>Horas extras dobles peon</v>
          </cell>
          <cell r="C986" t="str">
            <v>HE</v>
          </cell>
          <cell r="D986">
            <v>88.72</v>
          </cell>
          <cell r="E986"/>
          <cell r="F986">
            <v>62.2</v>
          </cell>
        </row>
        <row r="987">
          <cell r="A987" t="str">
            <v>HEDPA</v>
          </cell>
          <cell r="B987" t="str">
            <v>Horas extras dobles oficial y peon</v>
          </cell>
          <cell r="C987" t="str">
            <v>HE</v>
          </cell>
          <cell r="D987">
            <v>197.35</v>
          </cell>
          <cell r="E987"/>
          <cell r="F987">
            <v>0</v>
          </cell>
        </row>
        <row r="988">
          <cell r="A988" t="str">
            <v>HERRE</v>
          </cell>
          <cell r="B988" t="str">
            <v>Recibir herreria ventanas o puertas</v>
          </cell>
          <cell r="C988" t="str">
            <v>M2</v>
          </cell>
          <cell r="D988">
            <v>197.35</v>
          </cell>
          <cell r="E988"/>
          <cell r="F988">
            <v>226.95249999999999</v>
          </cell>
        </row>
        <row r="989">
          <cell r="A989" t="str">
            <v>HETO</v>
          </cell>
          <cell r="B989" t="str">
            <v>Horas extras triples oficial</v>
          </cell>
          <cell r="C989" t="str">
            <v>HE</v>
          </cell>
          <cell r="D989">
            <v>239.54999999999998</v>
          </cell>
          <cell r="E989"/>
          <cell r="F989">
            <v>0</v>
          </cell>
        </row>
        <row r="990">
          <cell r="A990" t="str">
            <v>HETP</v>
          </cell>
          <cell r="B990" t="str">
            <v>Horas extras triples peon</v>
          </cell>
          <cell r="C990" t="str">
            <v>HE</v>
          </cell>
          <cell r="D990">
            <v>133.07999999999998</v>
          </cell>
          <cell r="E990"/>
          <cell r="F990">
            <v>93.300000000000011</v>
          </cell>
        </row>
        <row r="991">
          <cell r="A991" t="str">
            <v>HETPA</v>
          </cell>
          <cell r="B991" t="str">
            <v>Horas extras triples oficial y peon</v>
          </cell>
          <cell r="C991" t="str">
            <v>HE</v>
          </cell>
          <cell r="D991">
            <v>296.02499999999998</v>
          </cell>
          <cell r="E991"/>
          <cell r="F991">
            <v>0</v>
          </cell>
        </row>
        <row r="992">
          <cell r="A992" t="str">
            <v>HIL20</v>
          </cell>
          <cell r="B992" t="str">
            <v>Hilada de ladrillo de 20</v>
          </cell>
          <cell r="C992" t="str">
            <v>ML</v>
          </cell>
          <cell r="D992">
            <v>39.47</v>
          </cell>
          <cell r="E992">
            <v>1</v>
          </cell>
          <cell r="F992">
            <v>45.390499999999996</v>
          </cell>
        </row>
        <row r="993">
          <cell r="A993" t="str">
            <v>HILCA</v>
          </cell>
          <cell r="B993" t="str">
            <v>Hilada de ladrillo de capuchino</v>
          </cell>
          <cell r="C993" t="str">
            <v>ML</v>
          </cell>
          <cell r="D993">
            <v>22.554285714285715</v>
          </cell>
          <cell r="E993">
            <v>1</v>
          </cell>
          <cell r="F993">
            <v>25.937428571428569</v>
          </cell>
        </row>
        <row r="994">
          <cell r="A994" t="str">
            <v>HILSO</v>
          </cell>
          <cell r="B994" t="str">
            <v>Hilada de ladrillo de soga</v>
          </cell>
          <cell r="C994" t="str">
            <v>ML</v>
          </cell>
          <cell r="D994">
            <v>17.542222222222222</v>
          </cell>
          <cell r="E994">
            <v>1</v>
          </cell>
          <cell r="F994">
            <v>20.173555555555552</v>
          </cell>
        </row>
        <row r="995">
          <cell r="A995" t="str">
            <v>HILTE</v>
          </cell>
          <cell r="B995" t="str">
            <v>Hilada de ladrillo de tezon</v>
          </cell>
          <cell r="C995" t="str">
            <v>ML</v>
          </cell>
          <cell r="D995">
            <v>22.554285714285715</v>
          </cell>
          <cell r="E995">
            <v>1</v>
          </cell>
          <cell r="F995">
            <v>25.937428571428569</v>
          </cell>
        </row>
        <row r="996">
          <cell r="A996" t="str">
            <v>HILTEJ</v>
          </cell>
          <cell r="B996" t="str">
            <v>Hilada de teja al inicio losa con mortero</v>
          </cell>
          <cell r="C996" t="str">
            <v>ML</v>
          </cell>
          <cell r="D996">
            <v>26.313333333333333</v>
          </cell>
          <cell r="E996">
            <v>1</v>
          </cell>
          <cell r="F996">
            <v>30.260333333333332</v>
          </cell>
        </row>
        <row r="997">
          <cell r="A997" t="str">
            <v>HILLA</v>
          </cell>
          <cell r="B997" t="str">
            <v>Hilada de ladrillo de azotea</v>
          </cell>
          <cell r="C997" t="str">
            <v>ML</v>
          </cell>
          <cell r="D997">
            <v>17.542222222222222</v>
          </cell>
          <cell r="E997">
            <v>1</v>
          </cell>
          <cell r="F997">
            <v>20.173555555555552</v>
          </cell>
        </row>
        <row r="998">
          <cell r="A998" t="str">
            <v>HOR01</v>
          </cell>
          <cell r="B998" t="str">
            <v>Hormigon en azotea esp. 15-30 cms. prom.</v>
          </cell>
          <cell r="C998" t="str">
            <v>M2</v>
          </cell>
          <cell r="D998">
            <v>78.94</v>
          </cell>
          <cell r="E998">
            <v>1</v>
          </cell>
          <cell r="F998">
            <v>90.780999999999992</v>
          </cell>
        </row>
        <row r="999">
          <cell r="A999" t="str">
            <v>HOR02</v>
          </cell>
          <cell r="B999" t="str">
            <v>Hormigon premezclado hasta 20 cms espesor</v>
          </cell>
          <cell r="C999" t="str">
            <v>M2</v>
          </cell>
          <cell r="D999">
            <v>31.576000000000001</v>
          </cell>
          <cell r="E999"/>
          <cell r="F999">
            <v>36.312399999999997</v>
          </cell>
        </row>
        <row r="1000">
          <cell r="A1000" t="str">
            <v>HUEMP</v>
          </cell>
          <cell r="B1000" t="str">
            <v>Hueco para micropilote</v>
          </cell>
          <cell r="C1000" t="str">
            <v>ML</v>
          </cell>
          <cell r="D1000">
            <v>86.93832599118943</v>
          </cell>
          <cell r="E1000"/>
          <cell r="F1000">
            <v>99.979074889867832</v>
          </cell>
        </row>
        <row r="1001">
          <cell r="A1001" t="str">
            <v>HUPOL</v>
          </cell>
          <cell r="B1001" t="str">
            <v>Hueco para anclaje de polines de crucetas</v>
          </cell>
          <cell r="C1001" t="str">
            <v>PZA</v>
          </cell>
          <cell r="D1001">
            <v>25.464516129032258</v>
          </cell>
          <cell r="E1001"/>
          <cell r="F1001">
            <v>29.284193548387094</v>
          </cell>
        </row>
        <row r="1002">
          <cell r="A1002" t="str">
            <v>IMP01</v>
          </cell>
          <cell r="B1002" t="str">
            <v>Impermeabilizar azotea, 2 capas membrana</v>
          </cell>
          <cell r="C1002" t="str">
            <v>M2</v>
          </cell>
          <cell r="D1002">
            <v>41.547368421052632</v>
          </cell>
          <cell r="E1002"/>
          <cell r="F1002">
            <v>47.779473684210522</v>
          </cell>
        </row>
        <row r="1003">
          <cell r="A1003" t="str">
            <v>IMP02</v>
          </cell>
          <cell r="B1003" t="str">
            <v>Impermeabilizar dala</v>
          </cell>
          <cell r="C1003" t="str">
            <v>ML</v>
          </cell>
          <cell r="D1003">
            <v>15.788</v>
          </cell>
          <cell r="E1003"/>
          <cell r="F1003">
            <v>18.156199999999998</v>
          </cell>
        </row>
        <row r="1004">
          <cell r="A1004" t="str">
            <v>IMP03</v>
          </cell>
          <cell r="B1004" t="str">
            <v>Impermeabilizar muro de enrase o divisorio</v>
          </cell>
          <cell r="C1004" t="str">
            <v>M2</v>
          </cell>
          <cell r="D1004">
            <v>19.734999999999999</v>
          </cell>
          <cell r="E1004"/>
          <cell r="F1004">
            <v>22.695249999999998</v>
          </cell>
        </row>
        <row r="1005">
          <cell r="A1005" t="str">
            <v>IMP04</v>
          </cell>
          <cell r="B1005" t="str">
            <v>Impermeabilizar piso, 2 capas membrana</v>
          </cell>
          <cell r="C1005" t="str">
            <v>M2</v>
          </cell>
          <cell r="D1005">
            <v>39.47</v>
          </cell>
          <cell r="E1005"/>
          <cell r="F1005">
            <v>45.390499999999996</v>
          </cell>
        </row>
        <row r="1006">
          <cell r="A1006" t="str">
            <v>INSADO</v>
          </cell>
          <cell r="B1006" t="str">
            <v>Instalacion de adocreto junteado con color</v>
          </cell>
          <cell r="C1006" t="str">
            <v>M2</v>
          </cell>
          <cell r="D1006">
            <v>92.870588235294122</v>
          </cell>
          <cell r="E1006"/>
          <cell r="F1006">
            <v>106.80117647058823</v>
          </cell>
        </row>
        <row r="1007">
          <cell r="A1007" t="str">
            <v>INS01</v>
          </cell>
          <cell r="B1007" t="str">
            <v>Instalacion de azulejo</v>
          </cell>
          <cell r="C1007" t="str">
            <v>M2</v>
          </cell>
          <cell r="D1007">
            <v>121.07361963190185</v>
          </cell>
          <cell r="E1007"/>
          <cell r="F1007">
            <v>139.23466257668713</v>
          </cell>
        </row>
        <row r="1008">
          <cell r="A1008" t="str">
            <v>INS02</v>
          </cell>
          <cell r="B1008" t="str">
            <v>Instalacion de keralita</v>
          </cell>
          <cell r="C1008" t="str">
            <v>M2</v>
          </cell>
          <cell r="D1008">
            <v>98.674999999999997</v>
          </cell>
          <cell r="E1008"/>
          <cell r="F1008">
            <v>113.47624999999999</v>
          </cell>
        </row>
        <row r="1009">
          <cell r="A1009" t="str">
            <v>INS03</v>
          </cell>
          <cell r="B1009" t="str">
            <v>Instalacion de lavadero</v>
          </cell>
          <cell r="C1009" t="str">
            <v>PZA</v>
          </cell>
          <cell r="D1009">
            <v>464.35294117647061</v>
          </cell>
          <cell r="E1009"/>
          <cell r="F1009">
            <v>534.00588235294117</v>
          </cell>
        </row>
        <row r="1010">
          <cell r="A1010" t="str">
            <v>INS04</v>
          </cell>
          <cell r="B1010" t="str">
            <v>Instalacion de teja</v>
          </cell>
          <cell r="C1010" t="str">
            <v>M2</v>
          </cell>
          <cell r="D1010">
            <v>71.763636363636365</v>
          </cell>
          <cell r="E1010"/>
          <cell r="F1010">
            <v>82.528181818181821</v>
          </cell>
        </row>
        <row r="1011">
          <cell r="A1011" t="str">
            <v>INS04A</v>
          </cell>
          <cell r="B1011" t="str">
            <v>Instalacion de teja con cama inferior pegada con crest</v>
          </cell>
          <cell r="C1011" t="str">
            <v>M2</v>
          </cell>
          <cell r="D1011">
            <v>89.197740112994353</v>
          </cell>
          <cell r="E1011"/>
          <cell r="F1011">
            <v>102.5774011299435</v>
          </cell>
        </row>
        <row r="1012">
          <cell r="A1012" t="str">
            <v>INS05</v>
          </cell>
          <cell r="B1012" t="str">
            <v>Instalacion de tiratrim</v>
          </cell>
          <cell r="C1012" t="str">
            <v>ML</v>
          </cell>
          <cell r="D1012">
            <v>21</v>
          </cell>
          <cell r="E1012"/>
          <cell r="F1012">
            <v>24.15</v>
          </cell>
        </row>
        <row r="1013">
          <cell r="A1013" t="str">
            <v>INS06</v>
          </cell>
          <cell r="B1013" t="str">
            <v>Instalacion de tubo drenaje de 4,6 y 8 "</v>
          </cell>
          <cell r="C1013" t="str">
            <v>ML</v>
          </cell>
          <cell r="D1013">
            <v>39.47</v>
          </cell>
          <cell r="E1013"/>
          <cell r="F1013">
            <v>45.390499999999996</v>
          </cell>
        </row>
        <row r="1014">
          <cell r="A1014" t="str">
            <v>INS07</v>
          </cell>
          <cell r="B1014" t="str">
            <v>Instalacion de vitropiso</v>
          </cell>
          <cell r="C1014" t="str">
            <v>M2</v>
          </cell>
          <cell r="D1014">
            <v>98.674999999999997</v>
          </cell>
          <cell r="E1014"/>
          <cell r="F1014">
            <v>113.47624999999999</v>
          </cell>
        </row>
        <row r="1015">
          <cell r="A1015" t="str">
            <v>INS07C</v>
          </cell>
          <cell r="B1015" t="str">
            <v>Instalaciones de vitropiso en casa habitacion</v>
          </cell>
          <cell r="C1015" t="str">
            <v>M2</v>
          </cell>
          <cell r="D1015">
            <v>45</v>
          </cell>
          <cell r="E1015"/>
          <cell r="F1015">
            <v>51.749999999999993</v>
          </cell>
        </row>
        <row r="1016">
          <cell r="A1016" t="str">
            <v>INS0750</v>
          </cell>
          <cell r="B1016" t="str">
            <v>Instalacion de piso de 50 x 50</v>
          </cell>
          <cell r="C1016" t="str">
            <v>M2</v>
          </cell>
          <cell r="D1016">
            <v>126.304</v>
          </cell>
          <cell r="E1016"/>
          <cell r="F1016">
            <v>145.24959999999999</v>
          </cell>
        </row>
        <row r="1017">
          <cell r="A1017" t="str">
            <v>INS08</v>
          </cell>
          <cell r="B1017" t="str">
            <v>Instalar adoquin en piso, incluye cama y acarreos</v>
          </cell>
          <cell r="C1017" t="str">
            <v>M2</v>
          </cell>
          <cell r="D1017">
            <v>112.77142857142857</v>
          </cell>
          <cell r="E1017"/>
          <cell r="F1017">
            <v>129.68714285714285</v>
          </cell>
        </row>
        <row r="1018">
          <cell r="A1018" t="str">
            <v>INS09</v>
          </cell>
          <cell r="B1018" t="str">
            <v>Instalar azulejo de alberca</v>
          </cell>
          <cell r="C1018" t="str">
            <v>M2</v>
          </cell>
          <cell r="D1018">
            <v>78.94</v>
          </cell>
          <cell r="E1018"/>
          <cell r="F1018">
            <v>90.780999999999992</v>
          </cell>
        </row>
        <row r="1019">
          <cell r="A1019" t="str">
            <v>INS10</v>
          </cell>
          <cell r="B1019" t="str">
            <v>Instalar cantera blanco limon junteada</v>
          </cell>
          <cell r="C1019" t="str">
            <v>M2</v>
          </cell>
          <cell r="D1019">
            <v>197.35</v>
          </cell>
          <cell r="E1019"/>
          <cell r="F1019">
            <v>226.95249999999999</v>
          </cell>
        </row>
        <row r="1020">
          <cell r="A1020" t="str">
            <v>INS11</v>
          </cell>
          <cell r="B1020" t="str">
            <v>Instalar cantera sangre de pichón junteada</v>
          </cell>
          <cell r="C1020" t="str">
            <v>M2</v>
          </cell>
          <cell r="D1020">
            <v>197.35</v>
          </cell>
          <cell r="E1020"/>
          <cell r="F1020">
            <v>226.95249999999999</v>
          </cell>
        </row>
        <row r="1021">
          <cell r="A1021" t="str">
            <v>INS12</v>
          </cell>
          <cell r="B1021" t="str">
            <v>Instalar marmol 30 x 30</v>
          </cell>
          <cell r="C1021" t="str">
            <v>M2</v>
          </cell>
          <cell r="D1021">
            <v>131.56666666666666</v>
          </cell>
          <cell r="E1021"/>
          <cell r="F1021">
            <v>151.30166666666665</v>
          </cell>
        </row>
        <row r="1022">
          <cell r="A1022" t="str">
            <v>INS13</v>
          </cell>
          <cell r="B1022" t="str">
            <v>Instalar panel W en bovedas</v>
          </cell>
          <cell r="C1022" t="str">
            <v>M2</v>
          </cell>
          <cell r="D1022">
            <v>60.723076923076924</v>
          </cell>
          <cell r="E1022"/>
          <cell r="F1022">
            <v>69.831538461538457</v>
          </cell>
        </row>
        <row r="1023">
          <cell r="A1023" t="str">
            <v>INS14</v>
          </cell>
          <cell r="B1023" t="str">
            <v>Instalar panel W en muro</v>
          </cell>
          <cell r="C1023" t="str">
            <v>M2</v>
          </cell>
          <cell r="D1023">
            <v>52.626666666666665</v>
          </cell>
          <cell r="E1023"/>
          <cell r="F1023">
            <v>60.520666666666664</v>
          </cell>
        </row>
        <row r="1024">
          <cell r="A1024" t="str">
            <v>INS15</v>
          </cell>
          <cell r="B1024" t="str">
            <v>Instalar piedrita bola en cenefas</v>
          </cell>
          <cell r="C1024" t="str">
            <v>ML</v>
          </cell>
          <cell r="D1024">
            <v>197.35</v>
          </cell>
          <cell r="E1024"/>
          <cell r="F1024">
            <v>226.95249999999999</v>
          </cell>
        </row>
        <row r="1025">
          <cell r="A1025" t="str">
            <v>INS16</v>
          </cell>
          <cell r="B1025" t="str">
            <v>Instalar piso de barro</v>
          </cell>
          <cell r="C1025" t="str">
            <v>M2</v>
          </cell>
          <cell r="D1025">
            <v>131.56666666666666</v>
          </cell>
          <cell r="E1025"/>
          <cell r="F1025">
            <v>151.30166666666665</v>
          </cell>
        </row>
        <row r="1026">
          <cell r="A1026" t="str">
            <v>INS17</v>
          </cell>
          <cell r="B1026" t="str">
            <v>Instalar piso y azulejo en cartabon</v>
          </cell>
          <cell r="C1026" t="str">
            <v>M2</v>
          </cell>
          <cell r="D1026">
            <v>98.674999999999997</v>
          </cell>
          <cell r="E1026"/>
          <cell r="F1026">
            <v>113.47624999999999</v>
          </cell>
        </row>
        <row r="1027">
          <cell r="A1027" t="str">
            <v>INS18</v>
          </cell>
          <cell r="B1027" t="str">
            <v>Instalar piedrita de rajuela a canto en juntas de piso</v>
          </cell>
          <cell r="C1027" t="str">
            <v>ML</v>
          </cell>
          <cell r="D1027">
            <v>394.7</v>
          </cell>
          <cell r="E1027"/>
          <cell r="F1027">
            <v>453.90499999999997</v>
          </cell>
        </row>
        <row r="1028">
          <cell r="A1028" t="str">
            <v>INS19</v>
          </cell>
          <cell r="B1028" t="str">
            <v xml:space="preserve">Instalacion de loseta de vinil en pisos </v>
          </cell>
          <cell r="C1028" t="str">
            <v>M2</v>
          </cell>
          <cell r="D1028">
            <v>56.385714285714286</v>
          </cell>
          <cell r="E1028"/>
          <cell r="F1028">
            <v>64.843571428571423</v>
          </cell>
        </row>
        <row r="1029">
          <cell r="A1029" t="str">
            <v>INS20</v>
          </cell>
          <cell r="B1029" t="str">
            <v>Instalacion de piso san andres medidas variables</v>
          </cell>
          <cell r="C1029" t="str">
            <v>M2</v>
          </cell>
          <cell r="D1029">
            <v>200</v>
          </cell>
          <cell r="E1029"/>
          <cell r="F1029"/>
        </row>
        <row r="1030">
          <cell r="A1030" t="str">
            <v>INS21</v>
          </cell>
          <cell r="B1030" t="str">
            <v>Instalacion de piedra laja de cubrecanto 60 cms ancho para bancas</v>
          </cell>
          <cell r="C1030" t="str">
            <v>ML</v>
          </cell>
          <cell r="D1030">
            <v>600</v>
          </cell>
          <cell r="E1030"/>
          <cell r="F1030"/>
        </row>
        <row r="1031">
          <cell r="A1031" t="str">
            <v>INS22</v>
          </cell>
          <cell r="B1031" t="str">
            <v>Corte, base de cemento y pegado de piso san andres 20 x 20</v>
          </cell>
          <cell r="C1031" t="str">
            <v>M2</v>
          </cell>
          <cell r="D1031">
            <v>320</v>
          </cell>
          <cell r="E1031"/>
          <cell r="F1031"/>
        </row>
        <row r="1032">
          <cell r="A1032" t="str">
            <v>INS23</v>
          </cell>
          <cell r="B1032" t="str">
            <v>corte e instalación de varilla con epóxico</v>
          </cell>
          <cell r="C1032" t="str">
            <v>PZA</v>
          </cell>
          <cell r="D1032">
            <v>10.525333333333332</v>
          </cell>
          <cell r="E1032"/>
          <cell r="F1032">
            <v>12.104133333333332</v>
          </cell>
        </row>
        <row r="1033">
          <cell r="A1033" t="str">
            <v>JAB01</v>
          </cell>
          <cell r="B1033" t="str">
            <v>Jaboneras con azulejo</v>
          </cell>
          <cell r="C1033" t="str">
            <v>PZA</v>
          </cell>
          <cell r="D1033">
            <v>315.76</v>
          </cell>
          <cell r="E1033"/>
          <cell r="F1033">
            <v>363.12399999999997</v>
          </cell>
        </row>
        <row r="1034">
          <cell r="A1034" t="str">
            <v>JUNT1</v>
          </cell>
          <cell r="B1034" t="str">
            <v>Junta de dilatacion en azotea</v>
          </cell>
          <cell r="C1034" t="str">
            <v>ML</v>
          </cell>
          <cell r="D1034">
            <v>33.168067226890756</v>
          </cell>
          <cell r="E1034"/>
          <cell r="F1034">
            <v>38.143277310924368</v>
          </cell>
        </row>
        <row r="1035">
          <cell r="A1035" t="str">
            <v>JUNT2</v>
          </cell>
          <cell r="B1035" t="str">
            <v xml:space="preserve">Junteo de ladrillo cuarteron con color </v>
          </cell>
          <cell r="C1035" t="str">
            <v>M2</v>
          </cell>
          <cell r="D1035">
            <v>69.245614035087712</v>
          </cell>
          <cell r="E1035"/>
          <cell r="F1035">
            <v>79.632456140350868</v>
          </cell>
        </row>
        <row r="1036">
          <cell r="A1036" t="str">
            <v>JUNT3</v>
          </cell>
          <cell r="B1036" t="str">
            <v>Junteo de ladrillo peron colocando alambre recocido</v>
          </cell>
          <cell r="C1036" t="str">
            <v>M2</v>
          </cell>
          <cell r="D1036">
            <v>41.547368421052632</v>
          </cell>
          <cell r="E1036"/>
          <cell r="F1036">
            <v>47.779473684210522</v>
          </cell>
        </row>
        <row r="1037">
          <cell r="A1037" t="str">
            <v>LAVP</v>
          </cell>
          <cell r="B1037" t="str">
            <v>Lavado de piso con acido muriatico p/porosidad</v>
          </cell>
          <cell r="C1037" t="str">
            <v>M2</v>
          </cell>
          <cell r="D1037">
            <v>26.313333333333333</v>
          </cell>
          <cell r="E1037"/>
          <cell r="F1037">
            <v>30.260333333333332</v>
          </cell>
        </row>
        <row r="1038">
          <cell r="A1038" t="str">
            <v>LEC01</v>
          </cell>
          <cell r="B1038" t="str">
            <v>Lechadeado de boveda</v>
          </cell>
          <cell r="C1038" t="str">
            <v>M2</v>
          </cell>
          <cell r="D1038">
            <v>7.5180952380952375</v>
          </cell>
          <cell r="E1038">
            <v>1</v>
          </cell>
          <cell r="F1038">
            <v>8.6458095238095218</v>
          </cell>
        </row>
        <row r="1039">
          <cell r="A1039" t="str">
            <v>LEC02</v>
          </cell>
          <cell r="B1039" t="str">
            <v>Lechadeo de ladrillo azotea</v>
          </cell>
          <cell r="C1039" t="str">
            <v>M2</v>
          </cell>
          <cell r="D1039">
            <v>7.5180952380952375</v>
          </cell>
          <cell r="E1039">
            <v>1</v>
          </cell>
          <cell r="F1039">
            <v>8.6458095238095218</v>
          </cell>
        </row>
        <row r="1040">
          <cell r="A1040" t="str">
            <v>LEC03</v>
          </cell>
          <cell r="B1040" t="str">
            <v>Lechadeo de firme</v>
          </cell>
          <cell r="C1040" t="str">
            <v>M2</v>
          </cell>
          <cell r="D1040">
            <v>7.5180952380952375</v>
          </cell>
          <cell r="E1040">
            <v>1</v>
          </cell>
          <cell r="F1040">
            <v>8.6458095238095218</v>
          </cell>
        </row>
        <row r="1041">
          <cell r="A1041" t="str">
            <v>LEC04</v>
          </cell>
          <cell r="B1041" t="str">
            <v>Lechadeo sobre ladrillo azotea ya lechadeado</v>
          </cell>
          <cell r="C1041" t="str">
            <v>M2</v>
          </cell>
          <cell r="D1041">
            <v>8.7711111111111109</v>
          </cell>
          <cell r="E1041">
            <v>1</v>
          </cell>
          <cell r="F1041">
            <v>10.086777777777776</v>
          </cell>
        </row>
        <row r="1042">
          <cell r="A1042" t="str">
            <v>LEC05</v>
          </cell>
          <cell r="B1042" t="str">
            <v>Lechada de cemento en terraplen afinado</v>
          </cell>
          <cell r="C1042" t="str">
            <v>M2</v>
          </cell>
          <cell r="D1042">
            <v>6.3151999999999999</v>
          </cell>
          <cell r="E1042">
            <v>1</v>
          </cell>
          <cell r="F1042">
            <v>7.2624799999999992</v>
          </cell>
        </row>
        <row r="1043">
          <cell r="A1043" t="str">
            <v>LEC06</v>
          </cell>
          <cell r="B1043" t="str">
            <v>Lechadeo de terminado ladrillo de azotea</v>
          </cell>
          <cell r="C1043" t="str">
            <v>M2</v>
          </cell>
          <cell r="D1043">
            <v>26.313333333333333</v>
          </cell>
          <cell r="E1043">
            <v>1</v>
          </cell>
          <cell r="F1043">
            <v>30.260333333333332</v>
          </cell>
        </row>
        <row r="1044">
          <cell r="A1044" t="str">
            <v>LIJ01</v>
          </cell>
          <cell r="B1044" t="str">
            <v>Lijar muro, lavar con thinner y mano extra</v>
          </cell>
          <cell r="C1044" t="str">
            <v>M2</v>
          </cell>
          <cell r="D1044">
            <v>3</v>
          </cell>
          <cell r="E1044"/>
          <cell r="F1044">
            <v>3.4499999999999997</v>
          </cell>
        </row>
        <row r="1045">
          <cell r="A1045" t="str">
            <v>LOS10</v>
          </cell>
          <cell r="B1045" t="str">
            <v>Colado de losa esp. 10 cms rev. hecho/obra</v>
          </cell>
          <cell r="C1045" t="str">
            <v>M2</v>
          </cell>
          <cell r="D1045">
            <v>92.870588235294122</v>
          </cell>
          <cell r="E1045">
            <v>1</v>
          </cell>
          <cell r="F1045">
            <v>106.80117647058823</v>
          </cell>
        </row>
        <row r="1046">
          <cell r="A1046" t="str">
            <v>LOS11</v>
          </cell>
          <cell r="B1046" t="str">
            <v>Colado de losa esp. 10 cms rev. premezclada</v>
          </cell>
          <cell r="C1046" t="str">
            <v>M2</v>
          </cell>
          <cell r="D1046">
            <v>39.47</v>
          </cell>
          <cell r="E1046"/>
          <cell r="F1046">
            <v>45.390499999999996</v>
          </cell>
        </row>
        <row r="1047">
          <cell r="A1047" t="str">
            <v>LOS12</v>
          </cell>
          <cell r="B1047" t="str">
            <v>Colado de losa esp. 12 cms rev. hecho/obra</v>
          </cell>
          <cell r="C1047" t="str">
            <v>M2</v>
          </cell>
          <cell r="D1047">
            <v>111.1830985915493</v>
          </cell>
          <cell r="E1047">
            <v>1</v>
          </cell>
          <cell r="F1047">
            <v>127.86056338028168</v>
          </cell>
        </row>
        <row r="1048">
          <cell r="A1048" t="str">
            <v>LOS13</v>
          </cell>
          <cell r="B1048" t="str">
            <v>Colado de losa esp. 12 cms rev. premezclada</v>
          </cell>
          <cell r="C1048" t="str">
            <v>M2</v>
          </cell>
          <cell r="D1048">
            <v>43.136612021857921</v>
          </cell>
          <cell r="E1048"/>
          <cell r="F1048">
            <v>49.607103825136605</v>
          </cell>
        </row>
        <row r="1049">
          <cell r="A1049" t="str">
            <v>LOS14</v>
          </cell>
          <cell r="B1049" t="str">
            <v>Colado de losa esp. 15 cms rev. hecho/obra</v>
          </cell>
          <cell r="C1049" t="str">
            <v>M2</v>
          </cell>
          <cell r="D1049">
            <v>138.49122807017542</v>
          </cell>
          <cell r="E1049">
            <v>1</v>
          </cell>
          <cell r="F1049">
            <v>159.26491228070174</v>
          </cell>
        </row>
        <row r="1050">
          <cell r="A1050" t="str">
            <v>LOS15</v>
          </cell>
          <cell r="B1050" t="str">
            <v>Colado de losa esp. 15 cms rev. premezclada</v>
          </cell>
          <cell r="C1050" t="str">
            <v>M2</v>
          </cell>
          <cell r="D1050">
            <v>49.337499999999999</v>
          </cell>
          <cell r="E1050"/>
          <cell r="F1050">
            <v>56.738124999999997</v>
          </cell>
        </row>
        <row r="1051">
          <cell r="A1051" t="str">
            <v>LOS16</v>
          </cell>
          <cell r="B1051" t="str">
            <v>Colado de losa esp. 20 cms rev. hecho/obra</v>
          </cell>
          <cell r="C1051" t="str">
            <v>M2</v>
          </cell>
          <cell r="D1051">
            <v>185.74117647058824</v>
          </cell>
          <cell r="E1051">
            <v>1</v>
          </cell>
          <cell r="F1051">
            <v>213.60235294117646</v>
          </cell>
        </row>
        <row r="1052">
          <cell r="A1052" t="str">
            <v>LOS17</v>
          </cell>
          <cell r="B1052" t="str">
            <v>Colado de losa esp. 20 cms rev. premezclada</v>
          </cell>
          <cell r="C1052" t="str">
            <v>M2</v>
          </cell>
          <cell r="D1052">
            <v>58.044117647058826</v>
          </cell>
          <cell r="E1052"/>
          <cell r="F1052">
            <v>66.750735294117646</v>
          </cell>
        </row>
        <row r="1053">
          <cell r="A1053" t="str">
            <v>LOTE</v>
          </cell>
          <cell r="B1053" t="str">
            <v>Lote</v>
          </cell>
          <cell r="C1053" t="str">
            <v>LOTE</v>
          </cell>
          <cell r="D1053">
            <v>100</v>
          </cell>
          <cell r="E1053"/>
          <cell r="F1053">
            <v>100</v>
          </cell>
        </row>
        <row r="1054">
          <cell r="A1054" t="str">
            <v>LOTE150</v>
          </cell>
          <cell r="B1054" t="str">
            <v>Lote</v>
          </cell>
          <cell r="C1054" t="str">
            <v>LOTE</v>
          </cell>
          <cell r="D1054">
            <v>150</v>
          </cell>
          <cell r="E1054"/>
          <cell r="F1054">
            <v>150</v>
          </cell>
        </row>
        <row r="1055">
          <cell r="A1055" t="str">
            <v>LOTE10</v>
          </cell>
          <cell r="B1055" t="str">
            <v>Lote</v>
          </cell>
          <cell r="C1055" t="str">
            <v>LOTE</v>
          </cell>
          <cell r="D1055">
            <v>1000</v>
          </cell>
          <cell r="E1055"/>
          <cell r="F1055">
            <v>1000</v>
          </cell>
        </row>
        <row r="1056">
          <cell r="A1056" t="str">
            <v>LOTE11</v>
          </cell>
          <cell r="B1056" t="str">
            <v>Lote</v>
          </cell>
          <cell r="C1056" t="str">
            <v>LOTE</v>
          </cell>
          <cell r="D1056">
            <v>1100</v>
          </cell>
          <cell r="E1056"/>
          <cell r="F1056">
            <v>1100</v>
          </cell>
        </row>
        <row r="1057">
          <cell r="A1057" t="str">
            <v>LOTE12</v>
          </cell>
          <cell r="B1057" t="str">
            <v>Lote</v>
          </cell>
          <cell r="C1057" t="str">
            <v>LOTE</v>
          </cell>
          <cell r="D1057">
            <v>1200</v>
          </cell>
          <cell r="E1057"/>
          <cell r="F1057">
            <v>1200</v>
          </cell>
        </row>
        <row r="1058">
          <cell r="A1058" t="str">
            <v>LOTE13</v>
          </cell>
          <cell r="B1058" t="str">
            <v>Lote</v>
          </cell>
          <cell r="C1058" t="str">
            <v>LOTE</v>
          </cell>
          <cell r="D1058">
            <v>1300</v>
          </cell>
          <cell r="E1058"/>
          <cell r="F1058">
            <v>1300</v>
          </cell>
        </row>
        <row r="1059">
          <cell r="A1059" t="str">
            <v>LOTE14</v>
          </cell>
          <cell r="B1059" t="str">
            <v>Lote</v>
          </cell>
          <cell r="C1059" t="str">
            <v>LOTE</v>
          </cell>
          <cell r="D1059">
            <v>1400</v>
          </cell>
          <cell r="E1059"/>
          <cell r="F1059">
            <v>1400</v>
          </cell>
        </row>
        <row r="1060">
          <cell r="A1060" t="str">
            <v>LOTE15</v>
          </cell>
          <cell r="B1060" t="str">
            <v>Lote</v>
          </cell>
          <cell r="C1060" t="str">
            <v>LOTE</v>
          </cell>
          <cell r="D1060">
            <v>1500</v>
          </cell>
          <cell r="E1060"/>
          <cell r="F1060">
            <v>1500</v>
          </cell>
        </row>
        <row r="1061">
          <cell r="A1061" t="str">
            <v>LOTE16</v>
          </cell>
          <cell r="B1061" t="str">
            <v>Lote</v>
          </cell>
          <cell r="C1061" t="str">
            <v>LOTE</v>
          </cell>
          <cell r="D1061">
            <v>1600</v>
          </cell>
          <cell r="E1061"/>
          <cell r="F1061">
            <v>1600</v>
          </cell>
        </row>
        <row r="1062">
          <cell r="A1062" t="str">
            <v>LOTE17</v>
          </cell>
          <cell r="B1062" t="str">
            <v>Lote</v>
          </cell>
          <cell r="C1062" t="str">
            <v>LOTE</v>
          </cell>
          <cell r="D1062">
            <v>1700</v>
          </cell>
          <cell r="E1062"/>
          <cell r="F1062">
            <v>1700</v>
          </cell>
        </row>
        <row r="1063">
          <cell r="A1063" t="str">
            <v>LOTE18</v>
          </cell>
          <cell r="B1063" t="str">
            <v>Lote</v>
          </cell>
          <cell r="C1063" t="str">
            <v>LOTE</v>
          </cell>
          <cell r="D1063">
            <v>1800</v>
          </cell>
          <cell r="E1063"/>
          <cell r="F1063">
            <v>1800</v>
          </cell>
        </row>
        <row r="1064">
          <cell r="A1064" t="str">
            <v>LOTE19</v>
          </cell>
          <cell r="B1064" t="str">
            <v>Lote</v>
          </cell>
          <cell r="C1064" t="str">
            <v>LOTE</v>
          </cell>
          <cell r="D1064">
            <v>1900</v>
          </cell>
          <cell r="E1064"/>
          <cell r="F1064">
            <v>1900</v>
          </cell>
        </row>
        <row r="1065">
          <cell r="A1065" t="str">
            <v>LOTE2</v>
          </cell>
          <cell r="B1065" t="str">
            <v>Lote</v>
          </cell>
          <cell r="C1065" t="str">
            <v>LOTE</v>
          </cell>
          <cell r="D1065">
            <v>200</v>
          </cell>
          <cell r="E1065"/>
          <cell r="F1065">
            <v>200</v>
          </cell>
        </row>
        <row r="1066">
          <cell r="A1066" t="str">
            <v>LOTE20</v>
          </cell>
          <cell r="B1066" t="str">
            <v>Lote</v>
          </cell>
          <cell r="C1066" t="str">
            <v>LOTE</v>
          </cell>
          <cell r="D1066">
            <v>2000</v>
          </cell>
          <cell r="E1066"/>
          <cell r="F1066">
            <v>2000</v>
          </cell>
        </row>
        <row r="1067">
          <cell r="A1067" t="str">
            <v>LOTE21</v>
          </cell>
          <cell r="B1067" t="str">
            <v>Lote</v>
          </cell>
          <cell r="C1067" t="str">
            <v>LOTE</v>
          </cell>
          <cell r="D1067">
            <v>2100</v>
          </cell>
          <cell r="E1067"/>
          <cell r="F1067">
            <v>2100</v>
          </cell>
        </row>
        <row r="1068">
          <cell r="A1068" t="str">
            <v>LOTE22</v>
          </cell>
          <cell r="B1068" t="str">
            <v>Lote</v>
          </cell>
          <cell r="C1068" t="str">
            <v>LOTE</v>
          </cell>
          <cell r="D1068">
            <v>2200</v>
          </cell>
          <cell r="E1068"/>
          <cell r="F1068">
            <v>2200</v>
          </cell>
        </row>
        <row r="1069">
          <cell r="A1069" t="str">
            <v>LOTE23</v>
          </cell>
          <cell r="B1069" t="str">
            <v>Lote</v>
          </cell>
          <cell r="C1069" t="str">
            <v>LOTE</v>
          </cell>
          <cell r="D1069">
            <v>2300</v>
          </cell>
          <cell r="E1069"/>
          <cell r="F1069">
            <v>2300</v>
          </cell>
        </row>
        <row r="1070">
          <cell r="A1070" t="str">
            <v>LOTE24</v>
          </cell>
          <cell r="B1070" t="str">
            <v>Lote</v>
          </cell>
          <cell r="C1070" t="str">
            <v>LOTE</v>
          </cell>
          <cell r="D1070">
            <v>2400</v>
          </cell>
          <cell r="E1070"/>
          <cell r="F1070">
            <v>2400</v>
          </cell>
        </row>
        <row r="1071">
          <cell r="A1071" t="str">
            <v>LOTE25</v>
          </cell>
          <cell r="B1071" t="str">
            <v>Lote</v>
          </cell>
          <cell r="C1071" t="str">
            <v>LOTE</v>
          </cell>
          <cell r="D1071">
            <v>2500</v>
          </cell>
          <cell r="E1071"/>
          <cell r="F1071">
            <v>2500</v>
          </cell>
        </row>
        <row r="1072">
          <cell r="A1072" t="str">
            <v>LOTE26</v>
          </cell>
          <cell r="B1072" t="str">
            <v>Lote</v>
          </cell>
          <cell r="C1072" t="str">
            <v>LOTE</v>
          </cell>
          <cell r="D1072">
            <v>2600</v>
          </cell>
          <cell r="E1072"/>
          <cell r="F1072">
            <v>2600</v>
          </cell>
        </row>
        <row r="1073">
          <cell r="A1073" t="str">
            <v>LOTE27</v>
          </cell>
          <cell r="B1073" t="str">
            <v>Lote</v>
          </cell>
          <cell r="C1073" t="str">
            <v>LOTE</v>
          </cell>
          <cell r="D1073">
            <v>2700</v>
          </cell>
          <cell r="E1073"/>
          <cell r="F1073">
            <v>2700</v>
          </cell>
        </row>
        <row r="1074">
          <cell r="A1074" t="str">
            <v>LOTE28</v>
          </cell>
          <cell r="B1074" t="str">
            <v>Lote</v>
          </cell>
          <cell r="C1074" t="str">
            <v>LOTE</v>
          </cell>
          <cell r="D1074">
            <v>2800</v>
          </cell>
          <cell r="E1074"/>
          <cell r="F1074">
            <v>2800</v>
          </cell>
        </row>
        <row r="1075">
          <cell r="A1075" t="str">
            <v>LOTE29</v>
          </cell>
          <cell r="B1075" t="str">
            <v>Lote</v>
          </cell>
          <cell r="C1075" t="str">
            <v>LOTE</v>
          </cell>
          <cell r="D1075">
            <v>2900</v>
          </cell>
          <cell r="E1075"/>
          <cell r="F1075">
            <v>2900</v>
          </cell>
        </row>
        <row r="1076">
          <cell r="A1076" t="str">
            <v>LOTE3</v>
          </cell>
          <cell r="B1076" t="str">
            <v>Lote</v>
          </cell>
          <cell r="C1076" t="str">
            <v>LOTE</v>
          </cell>
          <cell r="D1076">
            <v>300</v>
          </cell>
          <cell r="E1076"/>
          <cell r="F1076">
            <v>300</v>
          </cell>
        </row>
        <row r="1077">
          <cell r="A1077" t="str">
            <v>LOTE30</v>
          </cell>
          <cell r="B1077" t="str">
            <v>Lote</v>
          </cell>
          <cell r="C1077" t="str">
            <v>LOTE</v>
          </cell>
          <cell r="D1077">
            <v>3000</v>
          </cell>
          <cell r="E1077"/>
          <cell r="F1077">
            <v>3000</v>
          </cell>
        </row>
        <row r="1078">
          <cell r="A1078" t="str">
            <v>LOTE4</v>
          </cell>
          <cell r="B1078" t="str">
            <v>Lote</v>
          </cell>
          <cell r="C1078" t="str">
            <v>LOTE</v>
          </cell>
          <cell r="D1078">
            <v>400</v>
          </cell>
          <cell r="E1078"/>
          <cell r="F1078">
            <v>400</v>
          </cell>
        </row>
        <row r="1079">
          <cell r="A1079" t="str">
            <v>LOTE5</v>
          </cell>
          <cell r="B1079" t="str">
            <v>Lote</v>
          </cell>
          <cell r="C1079" t="str">
            <v>LOTE</v>
          </cell>
          <cell r="D1079">
            <v>500</v>
          </cell>
          <cell r="E1079"/>
          <cell r="F1079">
            <v>500</v>
          </cell>
        </row>
        <row r="1080">
          <cell r="A1080" t="str">
            <v>LOTE6</v>
          </cell>
          <cell r="B1080" t="str">
            <v>Lote</v>
          </cell>
          <cell r="C1080" t="str">
            <v>LOTE</v>
          </cell>
          <cell r="D1080">
            <v>600</v>
          </cell>
          <cell r="E1080"/>
          <cell r="F1080">
            <v>600</v>
          </cell>
        </row>
        <row r="1081">
          <cell r="A1081" t="str">
            <v>LOTE7</v>
          </cell>
          <cell r="B1081" t="str">
            <v>Lote</v>
          </cell>
          <cell r="C1081" t="str">
            <v>LOTE</v>
          </cell>
          <cell r="D1081">
            <v>700</v>
          </cell>
          <cell r="E1081"/>
          <cell r="F1081">
            <v>700</v>
          </cell>
        </row>
        <row r="1082">
          <cell r="A1082" t="str">
            <v>LOTE8</v>
          </cell>
          <cell r="B1082" t="str">
            <v>Lote</v>
          </cell>
          <cell r="C1082" t="str">
            <v>LOTE</v>
          </cell>
          <cell r="D1082">
            <v>800</v>
          </cell>
          <cell r="E1082"/>
          <cell r="F1082">
            <v>800</v>
          </cell>
        </row>
        <row r="1083">
          <cell r="A1083" t="str">
            <v>LOTE9</v>
          </cell>
          <cell r="B1083" t="str">
            <v>Lote</v>
          </cell>
          <cell r="C1083" t="str">
            <v>LOTE</v>
          </cell>
          <cell r="D1083">
            <v>900</v>
          </cell>
          <cell r="E1083"/>
          <cell r="F1083">
            <v>900</v>
          </cell>
        </row>
        <row r="1084">
          <cell r="A1084" t="str">
            <v>MSCUR1</v>
          </cell>
          <cell r="B1084" t="str">
            <v xml:space="preserve">Muro de soga curvo </v>
          </cell>
          <cell r="C1084" t="str">
            <v>M2</v>
          </cell>
          <cell r="D1084">
            <v>129.40983606557378</v>
          </cell>
          <cell r="E1084">
            <v>1</v>
          </cell>
          <cell r="F1084">
            <v>148.82131147540983</v>
          </cell>
        </row>
        <row r="1085">
          <cell r="A1085" t="str">
            <v>MSCUR2</v>
          </cell>
          <cell r="B1085" t="str">
            <v>Muro de soga curvo  2a h</v>
          </cell>
          <cell r="C1085" t="str">
            <v>M2</v>
          </cell>
          <cell r="D1085">
            <v>148.82131147540983</v>
          </cell>
          <cell r="E1085">
            <v>1</v>
          </cell>
          <cell r="F1085">
            <v>171.14450819672129</v>
          </cell>
        </row>
        <row r="1086">
          <cell r="A1086" t="str">
            <v>M201</v>
          </cell>
          <cell r="B1086" t="str">
            <v>Muro de 20 de ladrillo</v>
          </cell>
          <cell r="C1086" t="str">
            <v>M2</v>
          </cell>
          <cell r="D1086">
            <v>129.40983606557378</v>
          </cell>
          <cell r="E1086">
            <v>1</v>
          </cell>
          <cell r="F1086">
            <v>148.82131147540983</v>
          </cell>
        </row>
        <row r="1087">
          <cell r="A1087" t="str">
            <v>M202</v>
          </cell>
          <cell r="B1087" t="str">
            <v>Muro de 20 de ladrillo 2a h.</v>
          </cell>
          <cell r="C1087" t="str">
            <v>M2</v>
          </cell>
          <cell r="D1087">
            <v>148.82131147540983</v>
          </cell>
          <cell r="E1087">
            <v>1</v>
          </cell>
          <cell r="F1087">
            <v>171.14450819672129</v>
          </cell>
        </row>
        <row r="1088">
          <cell r="A1088" t="str">
            <v>M203</v>
          </cell>
          <cell r="B1088" t="str">
            <v>Muro de 20 en limpio 1 rostro</v>
          </cell>
          <cell r="C1088" t="str">
            <v>M2</v>
          </cell>
          <cell r="D1088">
            <v>171.14450819672129</v>
          </cell>
          <cell r="E1088">
            <v>1</v>
          </cell>
          <cell r="F1088">
            <v>196.81618442622946</v>
          </cell>
        </row>
        <row r="1089">
          <cell r="A1089" t="str">
            <v>M201R2</v>
          </cell>
          <cell r="B1089" t="str">
            <v>Muro de 20 1 rostro a 2a h</v>
          </cell>
          <cell r="C1089" t="str">
            <v>M2</v>
          </cell>
          <cell r="D1089">
            <v>191.11789473684206</v>
          </cell>
          <cell r="E1089">
            <v>1</v>
          </cell>
          <cell r="F1089">
            <v>219.78557894736835</v>
          </cell>
        </row>
        <row r="1090">
          <cell r="A1090" t="str">
            <v>M203A</v>
          </cell>
          <cell r="B1090" t="str">
            <v>Muro de 20 de ladrillo 3a h</v>
          </cell>
          <cell r="C1090" t="str">
            <v>M2</v>
          </cell>
          <cell r="D1090">
            <v>148.82131147540983</v>
          </cell>
          <cell r="E1090">
            <v>1</v>
          </cell>
          <cell r="F1090">
            <v>171.14450819672129</v>
          </cell>
        </row>
        <row r="1091">
          <cell r="A1091" t="str">
            <v>M204</v>
          </cell>
          <cell r="B1091" t="str">
            <v>Muro de 20 en limpio 2 rostros</v>
          </cell>
          <cell r="C1091" t="str">
            <v>M2</v>
          </cell>
          <cell r="D1091">
            <v>207.73684210526315</v>
          </cell>
          <cell r="E1091">
            <v>1</v>
          </cell>
          <cell r="F1091">
            <v>238.89736842105262</v>
          </cell>
        </row>
        <row r="1092">
          <cell r="A1092" t="str">
            <v>M25</v>
          </cell>
          <cell r="B1092" t="str">
            <v>Muro de 25 cms de espesor</v>
          </cell>
          <cell r="C1092" t="str">
            <v>M2</v>
          </cell>
          <cell r="D1092">
            <v>153.28155339805824</v>
          </cell>
          <cell r="E1092">
            <v>1</v>
          </cell>
          <cell r="F1092">
            <v>176.27378640776695</v>
          </cell>
        </row>
        <row r="1093">
          <cell r="A1093" t="str">
            <v>M252</v>
          </cell>
          <cell r="B1093" t="str">
            <v>Muro de 25 cms de espesor  a 2a h</v>
          </cell>
          <cell r="C1093" t="str">
            <v>M2</v>
          </cell>
          <cell r="D1093">
            <v>176.27378640776698</v>
          </cell>
          <cell r="E1093">
            <v>1</v>
          </cell>
          <cell r="F1093">
            <v>202.71485436893201</v>
          </cell>
        </row>
        <row r="1094">
          <cell r="A1094" t="str">
            <v>M253</v>
          </cell>
          <cell r="B1094" t="str">
            <v>Muro de 25 cms de espesor  a 3a h</v>
          </cell>
          <cell r="C1094" t="str">
            <v>M2</v>
          </cell>
          <cell r="D1094">
            <v>202.71485436893198</v>
          </cell>
          <cell r="E1094">
            <v>1</v>
          </cell>
          <cell r="F1094">
            <v>233.12208252427175</v>
          </cell>
        </row>
        <row r="1095">
          <cell r="A1095" t="str">
            <v>M254</v>
          </cell>
          <cell r="B1095" t="str">
            <v>Muro de 25 cms de espesor  a 4a h</v>
          </cell>
          <cell r="C1095" t="str">
            <v>M2</v>
          </cell>
          <cell r="D1095">
            <v>233.12208252427175</v>
          </cell>
          <cell r="E1095">
            <v>1</v>
          </cell>
          <cell r="F1095">
            <v>268.09039490291246</v>
          </cell>
        </row>
        <row r="1096">
          <cell r="A1096" t="str">
            <v>M255</v>
          </cell>
          <cell r="B1096" t="str">
            <v>Muro de 25 cms de espesor  a 5a h</v>
          </cell>
          <cell r="C1096" t="str">
            <v>M2</v>
          </cell>
          <cell r="D1096">
            <v>268.09039490291252</v>
          </cell>
          <cell r="E1096">
            <v>1</v>
          </cell>
          <cell r="F1096">
            <v>308.30395413834935</v>
          </cell>
        </row>
        <row r="1097">
          <cell r="A1097" t="str">
            <v>M301R</v>
          </cell>
          <cell r="B1097" t="str">
            <v>Muro de 30 cms espesor 1 rostro</v>
          </cell>
          <cell r="C1097" t="str">
            <v>M2</v>
          </cell>
          <cell r="D1097">
            <v>245.15527950310556</v>
          </cell>
          <cell r="E1097">
            <v>1</v>
          </cell>
          <cell r="F1097">
            <v>281.92857142857139</v>
          </cell>
        </row>
        <row r="1098">
          <cell r="A1098" t="str">
            <v>M301R2</v>
          </cell>
          <cell r="B1098" t="str">
            <v>Muro de 30 cms espesor 1 rostro 2a h</v>
          </cell>
          <cell r="C1098" t="str">
            <v>M2</v>
          </cell>
          <cell r="D1098">
            <v>281.92857142857139</v>
          </cell>
          <cell r="E1098">
            <v>1</v>
          </cell>
          <cell r="F1098">
            <v>324.2178571428571</v>
          </cell>
        </row>
        <row r="1099">
          <cell r="A1099" t="str">
            <v>M301R3</v>
          </cell>
          <cell r="B1099" t="str">
            <v>Muro de 30 cms espesor 1 rostro 3a h</v>
          </cell>
          <cell r="C1099" t="str">
            <v>M2</v>
          </cell>
          <cell r="D1099">
            <v>324.21785714285704</v>
          </cell>
          <cell r="E1099">
            <v>1</v>
          </cell>
          <cell r="F1099">
            <v>372.85053571428557</v>
          </cell>
        </row>
        <row r="1100">
          <cell r="A1100" t="str">
            <v>M35</v>
          </cell>
          <cell r="B1100" t="str">
            <v xml:space="preserve">Muro de 35 cms de espesor </v>
          </cell>
          <cell r="C1100" t="str">
            <v>M2</v>
          </cell>
          <cell r="D1100">
            <v>197.35</v>
          </cell>
          <cell r="E1100">
            <v>1</v>
          </cell>
          <cell r="F1100">
            <v>226.95249999999999</v>
          </cell>
        </row>
        <row r="1101">
          <cell r="A1101" t="str">
            <v>MACH1</v>
          </cell>
          <cell r="B1101" t="str">
            <v>Machuelo forjado con ladrillo</v>
          </cell>
          <cell r="C1101" t="str">
            <v>ML</v>
          </cell>
          <cell r="D1101">
            <v>65.783333333333331</v>
          </cell>
          <cell r="E1101">
            <v>1</v>
          </cell>
          <cell r="F1101">
            <v>75.650833333333324</v>
          </cell>
        </row>
        <row r="1102">
          <cell r="A1102" t="str">
            <v>MACH2</v>
          </cell>
          <cell r="B1102" t="str">
            <v>barrenos, armar, cimbrar, colar y perfilar machuelo 20 X 20</v>
          </cell>
          <cell r="C1102" t="str">
            <v>ML</v>
          </cell>
          <cell r="D1102">
            <v>242.1472392638037</v>
          </cell>
          <cell r="E1102"/>
          <cell r="F1102">
            <v>278.46932515337426</v>
          </cell>
        </row>
        <row r="1103">
          <cell r="A1103" t="str">
            <v>MACH3</v>
          </cell>
          <cell r="B1103" t="str">
            <v>barrenos, colocar varillin , cimbrar, colar y perfilar machuelo 10 x 10</v>
          </cell>
          <cell r="C1103" t="str">
            <v>ML</v>
          </cell>
          <cell r="D1103">
            <v>131.56666666666666</v>
          </cell>
          <cell r="E1103"/>
          <cell r="F1103">
            <v>151.30166666666665</v>
          </cell>
        </row>
        <row r="1104">
          <cell r="A1104" t="str">
            <v>MALLA</v>
          </cell>
          <cell r="B1104" t="str">
            <v>Corte y colocacion de malla lack en piso</v>
          </cell>
          <cell r="C1104" t="str">
            <v>M2</v>
          </cell>
          <cell r="D1104">
            <v>15.788</v>
          </cell>
          <cell r="E1104"/>
          <cell r="F1104">
            <v>18.156199999999998</v>
          </cell>
        </row>
        <row r="1105">
          <cell r="A1105" t="str">
            <v>MAM01</v>
          </cell>
          <cell r="B1105" t="str">
            <v>Mamposteo 1 rostro de 0.00-1.50</v>
          </cell>
          <cell r="C1105" t="str">
            <v>M3</v>
          </cell>
          <cell r="D1105">
            <v>549.58227848101262</v>
          </cell>
          <cell r="E1105">
            <v>1</v>
          </cell>
          <cell r="F1105">
            <v>632.01962025316448</v>
          </cell>
        </row>
        <row r="1106">
          <cell r="A1106" t="str">
            <v>MAM02</v>
          </cell>
          <cell r="B1106" t="str">
            <v>Mamposteo 1 rostro de 1.50-3.00</v>
          </cell>
          <cell r="C1106" t="str">
            <v>M3</v>
          </cell>
          <cell r="D1106">
            <v>694.67200000000003</v>
          </cell>
          <cell r="E1106">
            <v>1</v>
          </cell>
          <cell r="F1106">
            <v>798.87279999999998</v>
          </cell>
        </row>
        <row r="1107">
          <cell r="A1107" t="str">
            <v>MAM02a</v>
          </cell>
          <cell r="B1107" t="str">
            <v>Mamposteo 1 rostro de 3.00-5.70</v>
          </cell>
          <cell r="C1107" t="str">
            <v>M3</v>
          </cell>
          <cell r="D1107">
            <v>877.1111111111112</v>
          </cell>
          <cell r="E1107">
            <v>1</v>
          </cell>
          <cell r="F1107">
            <v>1008.6777777777778</v>
          </cell>
        </row>
        <row r="1108">
          <cell r="A1108" t="str">
            <v>MAM03</v>
          </cell>
          <cell r="B1108" t="str">
            <v>Mamposteo 2 rostros de 0.00-1.50</v>
          </cell>
          <cell r="C1108" t="str">
            <v>M3</v>
          </cell>
          <cell r="D1108">
            <v>1021.5764705882355</v>
          </cell>
          <cell r="E1108">
            <v>1</v>
          </cell>
          <cell r="F1108">
            <v>1174.8129411764708</v>
          </cell>
        </row>
        <row r="1109">
          <cell r="A1109" t="str">
            <v>MAM03a</v>
          </cell>
          <cell r="B1109" t="str">
            <v>Mamposteo 2 rostros de 0.00-1.50</v>
          </cell>
          <cell r="C1109" t="str">
            <v>M3</v>
          </cell>
          <cell r="D1109">
            <v>826.99047619047622</v>
          </cell>
          <cell r="E1109">
            <v>1</v>
          </cell>
          <cell r="F1109">
            <v>951.03904761904755</v>
          </cell>
        </row>
        <row r="1110">
          <cell r="A1110" t="str">
            <v>MAM03a2</v>
          </cell>
          <cell r="B1110" t="str">
            <v>Mamposteo 2 rostros de 1.50-3.00</v>
          </cell>
          <cell r="C1110" t="str">
            <v>M3</v>
          </cell>
          <cell r="D1110">
            <v>954.2197802197802</v>
          </cell>
          <cell r="E1110">
            <v>1</v>
          </cell>
          <cell r="F1110">
            <v>1097.3527472527471</v>
          </cell>
        </row>
        <row r="1111">
          <cell r="A1111" t="str">
            <v>MAM04</v>
          </cell>
          <cell r="B1111" t="str">
            <v>Mamposteo 2 rostros de 1.50-3.00</v>
          </cell>
          <cell r="C1111" t="str">
            <v>M3</v>
          </cell>
          <cell r="D1111">
            <v>1296.0298507462685</v>
          </cell>
          <cell r="E1111">
            <v>1</v>
          </cell>
          <cell r="F1111">
            <v>1490.4343283582086</v>
          </cell>
        </row>
        <row r="1112">
          <cell r="A1112" t="str">
            <v>MAM05</v>
          </cell>
          <cell r="B1112" t="str">
            <v>Mamposteo en sucio de 0.00-1.50</v>
          </cell>
          <cell r="C1112" t="str">
            <v>M3</v>
          </cell>
          <cell r="D1112">
            <v>434.17</v>
          </cell>
          <cell r="E1112">
            <v>1</v>
          </cell>
          <cell r="F1112">
            <v>499.2955</v>
          </cell>
        </row>
        <row r="1113">
          <cell r="A1113" t="str">
            <v>MAM06</v>
          </cell>
          <cell r="B1113" t="str">
            <v>Mamposteo en sucio de 1.50-3.00</v>
          </cell>
          <cell r="C1113" t="str">
            <v>M3</v>
          </cell>
          <cell r="D1113">
            <v>510.78823529411773</v>
          </cell>
          <cell r="E1113">
            <v>1</v>
          </cell>
          <cell r="F1113">
            <v>587.40647058823538</v>
          </cell>
        </row>
        <row r="1114">
          <cell r="A1114" t="str">
            <v>MAM07</v>
          </cell>
          <cell r="B1114" t="str">
            <v>Mamposteo a 1 rostro con junta cerrada</v>
          </cell>
          <cell r="C1114" t="str">
            <v>M3</v>
          </cell>
          <cell r="D1114">
            <v>1847.5319148936173</v>
          </cell>
          <cell r="E1114">
            <v>1</v>
          </cell>
          <cell r="F1114">
            <v>2124.6617021276597</v>
          </cell>
        </row>
        <row r="1115">
          <cell r="A1115" t="str">
            <v>MAM08</v>
          </cell>
          <cell r="B1115" t="str">
            <v>Mamposteo a 2 rostros con junta cerrada</v>
          </cell>
          <cell r="C1115" t="str">
            <v>M3</v>
          </cell>
          <cell r="D1115">
            <v>2801.0967741935483</v>
          </cell>
          <cell r="E1115">
            <v>1</v>
          </cell>
          <cell r="F1115">
            <v>3221.2612903225804</v>
          </cell>
        </row>
        <row r="1116">
          <cell r="A1116" t="str">
            <v>MAMRV</v>
          </cell>
          <cell r="B1116" t="str">
            <v>Mamposteo muro de piedra a 2 rostros rancho viejo de 0.00 a 2.00</v>
          </cell>
          <cell r="C1116" t="str">
            <v>M3</v>
          </cell>
          <cell r="D1116">
            <v>1210.7361963190183</v>
          </cell>
          <cell r="E1116">
            <v>1</v>
          </cell>
          <cell r="F1116">
            <v>1392.3466257668708</v>
          </cell>
        </row>
        <row r="1117">
          <cell r="A1117" t="str">
            <v>MAMRV2</v>
          </cell>
          <cell r="B1117" t="str">
            <v>Mamposteo muro de piedra a 2 rostros rancho viejo de 2.00 a 4.00</v>
          </cell>
          <cell r="C1117" t="str">
            <v>M3</v>
          </cell>
          <cell r="D1117">
            <v>1513.4202453987727</v>
          </cell>
          <cell r="E1117">
            <v>1</v>
          </cell>
          <cell r="F1117">
            <v>1740.4332822085885</v>
          </cell>
        </row>
        <row r="1118">
          <cell r="A1118" t="str">
            <v>MAMP1R0-2</v>
          </cell>
          <cell r="B1118" t="str">
            <v>Muro de piedra en limpio a 1 rostro de 0.00 a 2.00 alto</v>
          </cell>
          <cell r="C1118" t="str">
            <v>M3</v>
          </cell>
          <cell r="D1118">
            <v>2000</v>
          </cell>
          <cell r="E1118"/>
          <cell r="F1118"/>
        </row>
        <row r="1119">
          <cell r="A1119" t="str">
            <v>MAMP1R2-4</v>
          </cell>
          <cell r="B1119" t="str">
            <v>Muro de piedra en limpio a 1 rostro de 2.00 a 4.00 alto</v>
          </cell>
          <cell r="C1119" t="str">
            <v>M3</v>
          </cell>
          <cell r="D1119">
            <v>2340</v>
          </cell>
          <cell r="E1119"/>
          <cell r="F1119"/>
        </row>
        <row r="1120">
          <cell r="A1120" t="str">
            <v>MAMP1R4-6</v>
          </cell>
          <cell r="B1120" t="str">
            <v>Muro de piedra en limpio a 1 rostro de 4.00 a 6.00 alto</v>
          </cell>
          <cell r="C1120" t="str">
            <v>M3</v>
          </cell>
          <cell r="D1120">
            <v>2660</v>
          </cell>
          <cell r="E1120"/>
          <cell r="F1120"/>
        </row>
        <row r="1121">
          <cell r="A1121" t="str">
            <v>MAMP2R0-2</v>
          </cell>
          <cell r="B1121" t="str">
            <v>Muro de piedra en limpio a 2 rostros de 0.00 a 2.00 alto</v>
          </cell>
          <cell r="C1121" t="str">
            <v>M3</v>
          </cell>
          <cell r="D1121">
            <v>2300</v>
          </cell>
          <cell r="E1121"/>
          <cell r="F1121"/>
        </row>
        <row r="1122">
          <cell r="A1122" t="str">
            <v>MAMP2R2-4</v>
          </cell>
          <cell r="B1122" t="str">
            <v>Muro de piedra en limpio a 2 rostros de 2.00 a 4.00 alto</v>
          </cell>
          <cell r="C1122" t="str">
            <v>M3</v>
          </cell>
          <cell r="D1122">
            <v>2660</v>
          </cell>
          <cell r="E1122"/>
          <cell r="F1122"/>
        </row>
        <row r="1123">
          <cell r="A1123" t="str">
            <v>MAMP2R4-6</v>
          </cell>
          <cell r="B1123" t="str">
            <v>Muro de piedra en limpio a 2 rostros de 4.00 a 6.00 alto</v>
          </cell>
          <cell r="C1123" t="str">
            <v>M3</v>
          </cell>
          <cell r="D1123">
            <v>3000</v>
          </cell>
          <cell r="E1123"/>
          <cell r="F1123"/>
        </row>
        <row r="1124">
          <cell r="A1124" t="str">
            <v>MANDO</v>
          </cell>
          <cell r="B1124" t="str">
            <v>Mando intermedio de personal</v>
          </cell>
          <cell r="C1124" t="str">
            <v>LOTE</v>
          </cell>
          <cell r="D1124">
            <v>789.4</v>
          </cell>
          <cell r="E1124"/>
          <cell r="F1124">
            <v>907.81</v>
          </cell>
        </row>
        <row r="1125">
          <cell r="A1125" t="str">
            <v>MART1</v>
          </cell>
          <cell r="B1125" t="str">
            <v>Martelinado de piso concreto</v>
          </cell>
          <cell r="C1125" t="str">
            <v>M2</v>
          </cell>
          <cell r="D1125">
            <v>315.76</v>
          </cell>
          <cell r="E1125"/>
          <cell r="F1125">
            <v>363.12399999999997</v>
          </cell>
        </row>
        <row r="1126">
          <cell r="A1126" t="str">
            <v>MART2</v>
          </cell>
          <cell r="B1126" t="str">
            <v>Martelinado de escalones de concreto</v>
          </cell>
          <cell r="C1126" t="str">
            <v>ML</v>
          </cell>
          <cell r="D1126">
            <v>225.54285714285714</v>
          </cell>
          <cell r="E1126"/>
          <cell r="F1126">
            <v>259.37428571428569</v>
          </cell>
        </row>
        <row r="1127">
          <cell r="A1127" t="str">
            <v>MB203</v>
          </cell>
          <cell r="B1127" t="str">
            <v>Muro de 20 de block a 3a h</v>
          </cell>
          <cell r="C1127" t="str">
            <v>M2</v>
          </cell>
          <cell r="D1127">
            <v>146.18518518518516</v>
          </cell>
          <cell r="E1127">
            <v>1</v>
          </cell>
          <cell r="F1127">
            <v>168.11296296296291</v>
          </cell>
        </row>
        <row r="1128">
          <cell r="A1128" t="str">
            <v>MBO01</v>
          </cell>
          <cell r="B1128" t="str">
            <v>Muro de 20 de block</v>
          </cell>
          <cell r="C1128" t="str">
            <v>M2</v>
          </cell>
          <cell r="D1128">
            <v>112.77142857142857</v>
          </cell>
          <cell r="E1128">
            <v>1</v>
          </cell>
          <cell r="F1128">
            <v>129.68714285714285</v>
          </cell>
        </row>
        <row r="1129">
          <cell r="A1129" t="str">
            <v>MBO02</v>
          </cell>
          <cell r="B1129" t="str">
            <v>Muro de 20 de block 2a h.</v>
          </cell>
          <cell r="C1129" t="str">
            <v>M2</v>
          </cell>
          <cell r="D1129">
            <v>129.40983606557378</v>
          </cell>
          <cell r="E1129">
            <v>1</v>
          </cell>
          <cell r="F1129">
            <v>148.82131147540983</v>
          </cell>
        </row>
        <row r="1130">
          <cell r="A1130" t="str">
            <v>MBO03</v>
          </cell>
          <cell r="B1130" t="str">
            <v>Muro de capuchino de block</v>
          </cell>
          <cell r="C1130" t="str">
            <v>M2</v>
          </cell>
          <cell r="D1130">
            <v>78.94</v>
          </cell>
          <cell r="E1130">
            <v>1</v>
          </cell>
          <cell r="F1130">
            <v>90.780999999999992</v>
          </cell>
        </row>
        <row r="1131">
          <cell r="A1131" t="str">
            <v>MBO04</v>
          </cell>
          <cell r="B1131" t="str">
            <v>Muro de capuchino de block 2a h.</v>
          </cell>
          <cell r="C1131" t="str">
            <v>M2</v>
          </cell>
          <cell r="D1131">
            <v>90.780999999999977</v>
          </cell>
          <cell r="E1131">
            <v>1</v>
          </cell>
          <cell r="F1131">
            <v>104.39814999999997</v>
          </cell>
        </row>
        <row r="1132">
          <cell r="A1132" t="str">
            <v>MBO05</v>
          </cell>
          <cell r="B1132" t="str">
            <v>Muro de soga de block</v>
          </cell>
          <cell r="C1132" t="str">
            <v>M2</v>
          </cell>
          <cell r="D1132">
            <v>105.25333333333333</v>
          </cell>
          <cell r="E1132">
            <v>1</v>
          </cell>
          <cell r="F1132">
            <v>121.04133333333333</v>
          </cell>
        </row>
        <row r="1133">
          <cell r="A1133" t="str">
            <v>MBO06</v>
          </cell>
          <cell r="B1133" t="str">
            <v>Muro de soga de block 2a h.</v>
          </cell>
          <cell r="C1133" t="str">
            <v>M2</v>
          </cell>
          <cell r="D1133">
            <v>121.04133333333333</v>
          </cell>
          <cell r="E1133">
            <v>1</v>
          </cell>
          <cell r="F1133">
            <v>139.19753333333333</v>
          </cell>
        </row>
        <row r="1134">
          <cell r="A1134" t="str">
            <v>MBO07</v>
          </cell>
          <cell r="B1134" t="str">
            <v>Muro de tezon de block</v>
          </cell>
          <cell r="C1134" t="str">
            <v>M2</v>
          </cell>
          <cell r="D1134">
            <v>146.18518518518516</v>
          </cell>
          <cell r="E1134">
            <v>1</v>
          </cell>
          <cell r="F1134">
            <v>168.11296296296291</v>
          </cell>
        </row>
        <row r="1135">
          <cell r="A1135" t="str">
            <v>MBO08</v>
          </cell>
          <cell r="B1135" t="str">
            <v>Muro de tezon de block 2a h.</v>
          </cell>
          <cell r="C1135" t="str">
            <v>M2</v>
          </cell>
          <cell r="D1135">
            <v>168.11296296296294</v>
          </cell>
          <cell r="E1135">
            <v>1</v>
          </cell>
          <cell r="F1135">
            <v>193.32990740740738</v>
          </cell>
        </row>
        <row r="1136">
          <cell r="A1136" t="str">
            <v>MBSO3</v>
          </cell>
          <cell r="B1136" t="str">
            <v>Muro de soga de block a 3a h</v>
          </cell>
          <cell r="C1136" t="str">
            <v>M2</v>
          </cell>
          <cell r="D1136">
            <v>136.82933333333332</v>
          </cell>
          <cell r="E1136">
            <v>1</v>
          </cell>
          <cell r="F1136">
            <v>157.35373333333331</v>
          </cell>
        </row>
        <row r="1137">
          <cell r="A1137" t="str">
            <v>MBSO4</v>
          </cell>
          <cell r="B1137" t="str">
            <v>Muro de soga de block a 4a h</v>
          </cell>
          <cell r="C1137" t="str">
            <v>M2</v>
          </cell>
          <cell r="D1137">
            <v>152.61733333333333</v>
          </cell>
          <cell r="E1137">
            <v>1</v>
          </cell>
          <cell r="F1137">
            <v>175.50993333333332</v>
          </cell>
        </row>
        <row r="1138">
          <cell r="A1138" t="str">
            <v>MBSO5</v>
          </cell>
          <cell r="B1138" t="str">
            <v>Muro de soga de block a 5a h</v>
          </cell>
          <cell r="C1138" t="str">
            <v>M2</v>
          </cell>
          <cell r="D1138">
            <v>168.40533333333332</v>
          </cell>
          <cell r="E1138">
            <v>1</v>
          </cell>
          <cell r="F1138">
            <v>193.66613333333331</v>
          </cell>
        </row>
        <row r="1139">
          <cell r="A1139" t="str">
            <v>MBTE3</v>
          </cell>
          <cell r="B1139" t="str">
            <v>Muro de tezon de block a 3a h</v>
          </cell>
          <cell r="C1139" t="str">
            <v>M2</v>
          </cell>
          <cell r="D1139">
            <v>171.60869565217394</v>
          </cell>
          <cell r="E1139">
            <v>1</v>
          </cell>
          <cell r="F1139">
            <v>197.35000000000002</v>
          </cell>
        </row>
        <row r="1140">
          <cell r="A1140" t="str">
            <v>MBTE4</v>
          </cell>
          <cell r="B1140" t="str">
            <v>Muro de tezon de block a 4a h</v>
          </cell>
          <cell r="C1140" t="str">
            <v>M2</v>
          </cell>
          <cell r="D1140">
            <v>197.35</v>
          </cell>
          <cell r="E1140">
            <v>1</v>
          </cell>
          <cell r="F1140">
            <v>226.95249999999999</v>
          </cell>
        </row>
        <row r="1141">
          <cell r="A1141" t="str">
            <v>MBTE5</v>
          </cell>
          <cell r="B1141" t="str">
            <v>Muro de tezon de block a 5a h</v>
          </cell>
          <cell r="C1141" t="str">
            <v>M2</v>
          </cell>
          <cell r="D1141">
            <v>226.95249999999996</v>
          </cell>
          <cell r="E1141">
            <v>1</v>
          </cell>
          <cell r="F1141">
            <v>260.99537499999991</v>
          </cell>
        </row>
        <row r="1142">
          <cell r="A1142" t="str">
            <v>MBHA</v>
          </cell>
          <cell r="B1142" t="str">
            <v>Muro de block hueco aparente con colado de escalerillas verticales</v>
          </cell>
          <cell r="C1142" t="str">
            <v>M2</v>
          </cell>
          <cell r="D1142">
            <v>146.18518518518516</v>
          </cell>
          <cell r="E1142">
            <v>1</v>
          </cell>
          <cell r="F1142">
            <v>168.11296296296291</v>
          </cell>
        </row>
        <row r="1143">
          <cell r="A1143" t="str">
            <v>MBHA2</v>
          </cell>
          <cell r="B1143" t="str">
            <v>Muro de block hueco aparente con colado de escalerillas verticales 2a h</v>
          </cell>
          <cell r="C1143" t="str">
            <v>M2</v>
          </cell>
          <cell r="D1143">
            <v>168.11296296296294</v>
          </cell>
          <cell r="E1143">
            <v>1</v>
          </cell>
          <cell r="F1143">
            <v>193.32990740740738</v>
          </cell>
        </row>
        <row r="1144">
          <cell r="A1144" t="str">
            <v>MPIÑASO</v>
          </cell>
          <cell r="B1144" t="str">
            <v xml:space="preserve">Muro de piña de soga </v>
          </cell>
          <cell r="C1144" t="str">
            <v>M2</v>
          </cell>
          <cell r="D1144">
            <v>83.094736842105263</v>
          </cell>
          <cell r="E1144">
            <v>1</v>
          </cell>
          <cell r="F1144">
            <v>95.558947368421045</v>
          </cell>
        </row>
        <row r="1145">
          <cell r="A1145" t="str">
            <v>MCA1</v>
          </cell>
          <cell r="B1145" t="str">
            <v>Muro de capuchino de ladrillo</v>
          </cell>
          <cell r="C1145" t="str">
            <v>M2</v>
          </cell>
          <cell r="D1145">
            <v>78.94</v>
          </cell>
          <cell r="E1145">
            <v>1</v>
          </cell>
          <cell r="F1145">
            <v>90.780999999999992</v>
          </cell>
        </row>
        <row r="1146">
          <cell r="A1146" t="str">
            <v>MCA2</v>
          </cell>
          <cell r="B1146" t="str">
            <v>Muro de capuchino de ladrillo 2a h.</v>
          </cell>
          <cell r="C1146" t="str">
            <v>M2</v>
          </cell>
          <cell r="D1146">
            <v>90.780999999999977</v>
          </cell>
          <cell r="E1146">
            <v>1</v>
          </cell>
          <cell r="F1146">
            <v>104.39814999999997</v>
          </cell>
        </row>
        <row r="1147">
          <cell r="A1147" t="str">
            <v>MPREF</v>
          </cell>
          <cell r="B1147" t="str">
            <v>Colocacion de muro de concreto prefabricado a nivel</v>
          </cell>
          <cell r="C1147" t="str">
            <v>M2</v>
          </cell>
          <cell r="D1147">
            <v>78.94</v>
          </cell>
          <cell r="E1147">
            <v>1</v>
          </cell>
          <cell r="F1147">
            <v>90.780999999999992</v>
          </cell>
        </row>
        <row r="1148">
          <cell r="A1148" t="str">
            <v>MED01</v>
          </cell>
          <cell r="B1148" t="str">
            <v>Media caña  de cemento blanco y marmolina</v>
          </cell>
          <cell r="C1148" t="str">
            <v>ML</v>
          </cell>
          <cell r="D1148">
            <v>19.734999999999999</v>
          </cell>
          <cell r="E1148">
            <v>1</v>
          </cell>
          <cell r="F1148">
            <v>22.695249999999998</v>
          </cell>
        </row>
        <row r="1149">
          <cell r="A1149" t="str">
            <v>MED02</v>
          </cell>
          <cell r="B1149" t="str">
            <v>Media caña con resina quimica del oeste</v>
          </cell>
          <cell r="C1149" t="str">
            <v>ML</v>
          </cell>
          <cell r="D1149">
            <v>16.445833333333333</v>
          </cell>
          <cell r="E1149">
            <v>1</v>
          </cell>
          <cell r="F1149">
            <v>18.912708333333331</v>
          </cell>
        </row>
        <row r="1150">
          <cell r="A1150" t="str">
            <v>MET01</v>
          </cell>
          <cell r="B1150" t="str">
            <v>Colocacion de metal desplegado</v>
          </cell>
          <cell r="C1150" t="str">
            <v>ML</v>
          </cell>
          <cell r="D1150">
            <v>26.313333333333333</v>
          </cell>
          <cell r="E1150"/>
          <cell r="F1150">
            <v>30.260333333333332</v>
          </cell>
        </row>
        <row r="1151">
          <cell r="A1151" t="str">
            <v>MHUA</v>
          </cell>
          <cell r="B1151" t="str">
            <v>Muro huacaleado en pozo de absorcion</v>
          </cell>
          <cell r="C1151" t="str">
            <v>M2</v>
          </cell>
          <cell r="D1151">
            <v>78.94</v>
          </cell>
          <cell r="E1151">
            <v>1</v>
          </cell>
          <cell r="F1151">
            <v>90.780999999999992</v>
          </cell>
        </row>
        <row r="1152">
          <cell r="A1152" t="str">
            <v>MOC20</v>
          </cell>
          <cell r="B1152" t="str">
            <v>Mocheta de 20</v>
          </cell>
          <cell r="C1152" t="str">
            <v>ML</v>
          </cell>
          <cell r="D1152">
            <v>242.8923076923077</v>
          </cell>
          <cell r="E1152">
            <v>1</v>
          </cell>
          <cell r="F1152">
            <v>279.32615384615383</v>
          </cell>
        </row>
        <row r="1153">
          <cell r="A1153" t="str">
            <v>MOCCA</v>
          </cell>
          <cell r="B1153" t="str">
            <v>Mocheta de capuchino</v>
          </cell>
          <cell r="C1153" t="str">
            <v>ML</v>
          </cell>
          <cell r="D1153">
            <v>166.18947368421053</v>
          </cell>
          <cell r="E1153">
            <v>1</v>
          </cell>
          <cell r="F1153">
            <v>191.11789473684209</v>
          </cell>
        </row>
        <row r="1154">
          <cell r="A1154" t="str">
            <v>MOCSO</v>
          </cell>
          <cell r="B1154" t="str">
            <v>Mocheta de soga</v>
          </cell>
          <cell r="C1154" t="str">
            <v>ML</v>
          </cell>
          <cell r="D1154">
            <v>166.18947368421053</v>
          </cell>
          <cell r="E1154">
            <v>1</v>
          </cell>
          <cell r="F1154">
            <v>191.11789473684209</v>
          </cell>
        </row>
        <row r="1155">
          <cell r="A1155" t="str">
            <v>MOCTE</v>
          </cell>
          <cell r="B1155" t="str">
            <v>Mocheta de tezon</v>
          </cell>
          <cell r="C1155" t="str">
            <v>ML</v>
          </cell>
          <cell r="D1155">
            <v>263.13333333333333</v>
          </cell>
          <cell r="E1155">
            <v>1</v>
          </cell>
          <cell r="F1155">
            <v>302.6033333333333</v>
          </cell>
        </row>
        <row r="1156">
          <cell r="A1156" t="str">
            <v>MOJ01</v>
          </cell>
          <cell r="B1156" t="str">
            <v>Mojonera de 30 x 30 x 40 c/varilla terminada</v>
          </cell>
          <cell r="C1156" t="str">
            <v>PZA</v>
          </cell>
          <cell r="D1156">
            <v>98.674999999999997</v>
          </cell>
          <cell r="E1156"/>
          <cell r="F1156">
            <v>113.47624999999999</v>
          </cell>
        </row>
        <row r="1157">
          <cell r="A1157" t="str">
            <v>MOL01</v>
          </cell>
          <cell r="B1157" t="str">
            <v>Moldura altura hasta 40 cms, incluye cercha</v>
          </cell>
          <cell r="C1157" t="str">
            <v>ML</v>
          </cell>
          <cell r="D1157">
            <v>526.26666666666665</v>
          </cell>
          <cell r="E1157"/>
          <cell r="F1157">
            <v>605.20666666666659</v>
          </cell>
        </row>
        <row r="1158">
          <cell r="A1158" t="str">
            <v>MOL02</v>
          </cell>
          <cell r="B1158" t="str">
            <v>Moldura en esquina ( remate ), altura hasta 40 cms</v>
          </cell>
          <cell r="C1158" t="str">
            <v>ML</v>
          </cell>
          <cell r="D1158">
            <v>526.26666666666665</v>
          </cell>
          <cell r="E1158"/>
          <cell r="F1158">
            <v>605.20666666666659</v>
          </cell>
        </row>
        <row r="1159">
          <cell r="A1159" t="str">
            <v>MOL03</v>
          </cell>
          <cell r="B1159" t="str">
            <v>Moldura 10-15 cms espesor c/media caña</v>
          </cell>
          <cell r="C1159" t="str">
            <v>ML</v>
          </cell>
          <cell r="D1159">
            <v>157.88</v>
          </cell>
          <cell r="E1159"/>
          <cell r="F1159">
            <v>181.56199999999998</v>
          </cell>
        </row>
        <row r="1160">
          <cell r="A1160" t="str">
            <v>MSO1</v>
          </cell>
          <cell r="B1160" t="str">
            <v>Muro de soga de ladrillo</v>
          </cell>
          <cell r="C1160" t="str">
            <v>M2</v>
          </cell>
          <cell r="D1160">
            <v>105.25333333333333</v>
          </cell>
          <cell r="E1160">
            <v>1</v>
          </cell>
          <cell r="F1160">
            <v>121.04133333333333</v>
          </cell>
        </row>
        <row r="1161">
          <cell r="A1161" t="str">
            <v>MSO2</v>
          </cell>
          <cell r="B1161" t="str">
            <v>Muro de soga de ladrillo 2a h.</v>
          </cell>
          <cell r="C1161" t="str">
            <v>M2</v>
          </cell>
          <cell r="D1161">
            <v>121.04133333333331</v>
          </cell>
          <cell r="E1161">
            <v>1</v>
          </cell>
          <cell r="F1161">
            <v>139.1975333333333</v>
          </cell>
        </row>
        <row r="1162">
          <cell r="A1162" t="str">
            <v>MSO3</v>
          </cell>
          <cell r="B1162" t="str">
            <v>Muro de soga en limpio 1 rostro</v>
          </cell>
          <cell r="C1162" t="str">
            <v>M2</v>
          </cell>
          <cell r="D1162">
            <v>124.6421052631579</v>
          </cell>
          <cell r="E1162">
            <v>1</v>
          </cell>
          <cell r="F1162">
            <v>143.33842105263159</v>
          </cell>
        </row>
        <row r="1163">
          <cell r="A1163" t="str">
            <v>MSO32a</v>
          </cell>
          <cell r="B1163" t="str">
            <v>Muro de soga en limpio 1 rostro a 2a h</v>
          </cell>
          <cell r="C1163" t="str">
            <v>M2</v>
          </cell>
          <cell r="D1163">
            <v>143.33842105263156</v>
          </cell>
          <cell r="E1163">
            <v>1</v>
          </cell>
          <cell r="F1163">
            <v>164.83918421052627</v>
          </cell>
        </row>
        <row r="1164">
          <cell r="A1164" t="str">
            <v>MSO33a</v>
          </cell>
          <cell r="B1164" t="str">
            <v>Muro de soga en limpio 1 rostro a 3a h</v>
          </cell>
          <cell r="C1164" t="str">
            <v>M2</v>
          </cell>
          <cell r="D1164">
            <v>164.8391842105263</v>
          </cell>
          <cell r="E1164">
            <v>1</v>
          </cell>
          <cell r="F1164">
            <v>189.56506184210522</v>
          </cell>
        </row>
        <row r="1165">
          <cell r="A1165" t="str">
            <v>MSO34a</v>
          </cell>
          <cell r="B1165" t="str">
            <v>Muro de soga en limpio 1 rostro a 4a h</v>
          </cell>
          <cell r="C1165" t="str">
            <v>M2</v>
          </cell>
          <cell r="D1165">
            <v>189.56506184210522</v>
          </cell>
          <cell r="E1165">
            <v>1</v>
          </cell>
          <cell r="F1165">
            <v>217.99982111842098</v>
          </cell>
        </row>
        <row r="1166">
          <cell r="A1166" t="str">
            <v>MSO4</v>
          </cell>
          <cell r="B1166" t="str">
            <v>Muro de soga en limpio 2 rostros</v>
          </cell>
          <cell r="C1166" t="str">
            <v>M2</v>
          </cell>
          <cell r="D1166">
            <v>157.88</v>
          </cell>
          <cell r="E1166">
            <v>1</v>
          </cell>
          <cell r="F1166">
            <v>181.56199999999998</v>
          </cell>
        </row>
        <row r="1167">
          <cell r="A1167" t="str">
            <v>MSO2R</v>
          </cell>
          <cell r="B1167" t="str">
            <v>Muro de soga a 2 rostros en limpio</v>
          </cell>
          <cell r="C1167" t="str">
            <v>M2</v>
          </cell>
          <cell r="D1167">
            <v>180.03859649122805</v>
          </cell>
          <cell r="E1167">
            <v>1</v>
          </cell>
          <cell r="F1167">
            <v>207.04438596491224</v>
          </cell>
        </row>
        <row r="1168">
          <cell r="A1168" t="str">
            <v>MSO2R2</v>
          </cell>
          <cell r="B1168" t="str">
            <v>Muro de soga a 2 rostros en limpio en 2a h</v>
          </cell>
          <cell r="C1168" t="str">
            <v>M2</v>
          </cell>
          <cell r="D1168">
            <v>207.73684210526315</v>
          </cell>
          <cell r="E1168">
            <v>1</v>
          </cell>
          <cell r="F1168">
            <v>238.89736842105262</v>
          </cell>
        </row>
        <row r="1169">
          <cell r="A1169" t="str">
            <v>M262R</v>
          </cell>
          <cell r="B1169" t="str">
            <v>Muro de 26 cms espesor a 2 rostros en limpio</v>
          </cell>
          <cell r="C1169" t="str">
            <v>M2</v>
          </cell>
          <cell r="D1169">
            <v>249.2842105263158</v>
          </cell>
          <cell r="E1169">
            <v>1</v>
          </cell>
          <cell r="F1169">
            <v>286.67684210526318</v>
          </cell>
        </row>
        <row r="1170">
          <cell r="A1170" t="str">
            <v>M262R2</v>
          </cell>
          <cell r="B1170" t="str">
            <v>Muro de 26 cms espesor a 2 rostros en limpio en 2a h</v>
          </cell>
          <cell r="C1170" t="str">
            <v>M2</v>
          </cell>
          <cell r="D1170">
            <v>288.06175438596489</v>
          </cell>
          <cell r="E1170">
            <v>1</v>
          </cell>
          <cell r="F1170">
            <v>331.27101754385961</v>
          </cell>
        </row>
        <row r="1171">
          <cell r="A1171" t="str">
            <v>MTEZ1</v>
          </cell>
          <cell r="B1171" t="str">
            <v>Muro de tezon de ladrillo</v>
          </cell>
          <cell r="C1171" t="str">
            <v>M2</v>
          </cell>
          <cell r="D1171">
            <v>146.18518518518516</v>
          </cell>
          <cell r="E1171">
            <v>1</v>
          </cell>
          <cell r="F1171">
            <v>168.11296296296291</v>
          </cell>
        </row>
        <row r="1172">
          <cell r="A1172" t="str">
            <v>MTEZ2</v>
          </cell>
          <cell r="B1172" t="str">
            <v>Muro de tezon de ladrillo 2a h.</v>
          </cell>
          <cell r="C1172" t="str">
            <v>M2</v>
          </cell>
          <cell r="D1172">
            <v>168.11296296296294</v>
          </cell>
          <cell r="E1172">
            <v>1</v>
          </cell>
          <cell r="F1172">
            <v>193.32990740740738</v>
          </cell>
        </row>
        <row r="1173">
          <cell r="A1173" t="str">
            <v>MUSOG</v>
          </cell>
          <cell r="B1173" t="str">
            <v>Murete de soga de nivelacion en cimentaciones</v>
          </cell>
          <cell r="C1173" t="str">
            <v>ML</v>
          </cell>
          <cell r="D1173">
            <v>56.385714285714286</v>
          </cell>
          <cell r="E1173">
            <v>1</v>
          </cell>
          <cell r="F1173">
            <v>64.843571428571423</v>
          </cell>
        </row>
        <row r="1174">
          <cell r="A1174" t="str">
            <v>MUTEZ</v>
          </cell>
          <cell r="B1174" t="str">
            <v>Murete de tezon de nivelacion en cimentaciones</v>
          </cell>
          <cell r="C1174" t="str">
            <v>ML</v>
          </cell>
          <cell r="D1174">
            <v>112.77142857142857</v>
          </cell>
          <cell r="E1174">
            <v>1</v>
          </cell>
          <cell r="F1174">
            <v>129.68714285714285</v>
          </cell>
        </row>
        <row r="1175">
          <cell r="A1175" t="str">
            <v>NIV01</v>
          </cell>
          <cell r="B1175" t="str">
            <v>Nivelacion de dado con pasta cemento</v>
          </cell>
          <cell r="C1175" t="str">
            <v>PZA</v>
          </cell>
          <cell r="D1175">
            <v>98.674999999999997</v>
          </cell>
          <cell r="E1175"/>
          <cell r="F1175">
            <v>113.47624999999999</v>
          </cell>
        </row>
        <row r="1176">
          <cell r="A1176" t="str">
            <v>NIV02</v>
          </cell>
          <cell r="B1176" t="str">
            <v>Nivelacion de muro de mamposteo esp. 80 cms</v>
          </cell>
          <cell r="C1176" t="str">
            <v>ML</v>
          </cell>
          <cell r="D1176">
            <v>71.763636363636365</v>
          </cell>
          <cell r="E1176">
            <v>1</v>
          </cell>
          <cell r="F1176">
            <v>82.528181818181821</v>
          </cell>
        </row>
        <row r="1177">
          <cell r="A1177" t="str">
            <v>NIV03</v>
          </cell>
          <cell r="B1177" t="str">
            <v>Nivelar muro de ladrillo</v>
          </cell>
          <cell r="C1177" t="str">
            <v>ML</v>
          </cell>
          <cell r="D1177">
            <v>39.47</v>
          </cell>
          <cell r="E1177"/>
          <cell r="F1177">
            <v>45.390499999999996</v>
          </cell>
        </row>
        <row r="1178">
          <cell r="A1178" t="str">
            <v>NIV04</v>
          </cell>
          <cell r="B1178" t="str">
            <v>Nivelar y recibir centro carga, resanado</v>
          </cell>
          <cell r="C1178" t="str">
            <v>PZA</v>
          </cell>
          <cell r="D1178">
            <v>263.13333333333333</v>
          </cell>
          <cell r="E1178"/>
          <cell r="F1178">
            <v>302.6033333333333</v>
          </cell>
        </row>
        <row r="1179">
          <cell r="A1179" t="str">
            <v>NIV05</v>
          </cell>
          <cell r="B1179" t="str">
            <v>Nivelacion de tierra para piso de 5-15 esp.</v>
          </cell>
          <cell r="C1179" t="str">
            <v>M2</v>
          </cell>
          <cell r="D1179">
            <v>22.554285714285715</v>
          </cell>
          <cell r="E1179"/>
          <cell r="F1179">
            <v>25.937428571428569</v>
          </cell>
        </row>
        <row r="1180">
          <cell r="A1180" t="str">
            <v>NIV06</v>
          </cell>
          <cell r="B1180" t="str">
            <v>Nivelacion de pisos con pasta para instalar vitropiso</v>
          </cell>
          <cell r="C1180" t="str">
            <v>M2</v>
          </cell>
          <cell r="D1180">
            <v>22.158596491228071</v>
          </cell>
          <cell r="E1180"/>
          <cell r="F1180">
            <v>25.482385964912279</v>
          </cell>
        </row>
        <row r="1181">
          <cell r="A1181" t="str">
            <v>NIV20</v>
          </cell>
          <cell r="B1181" t="str">
            <v>Nivelacion de muro de 20 sobre dala intermedia</v>
          </cell>
          <cell r="C1181" t="str">
            <v>ML</v>
          </cell>
          <cell r="D1181">
            <v>98.674999999999997</v>
          </cell>
          <cell r="E1181">
            <v>1</v>
          </cell>
          <cell r="F1181">
            <v>113.47624999999999</v>
          </cell>
        </row>
        <row r="1182">
          <cell r="A1182" t="str">
            <v>NIVSOG</v>
          </cell>
          <cell r="B1182" t="str">
            <v>Nivelacion de muro de soga sobre dala intermedia</v>
          </cell>
          <cell r="C1182" t="str">
            <v>ML</v>
          </cell>
          <cell r="D1182">
            <v>56.385714285714286</v>
          </cell>
          <cell r="E1182">
            <v>1</v>
          </cell>
          <cell r="F1182">
            <v>64.843571428571423</v>
          </cell>
        </row>
        <row r="1183">
          <cell r="A1183" t="str">
            <v>NOCT</v>
          </cell>
          <cell r="B1183" t="str">
            <v>Trabajo nocturno</v>
          </cell>
          <cell r="C1183" t="str">
            <v>LOTE</v>
          </cell>
          <cell r="D1183">
            <v>100</v>
          </cell>
          <cell r="E1183"/>
          <cell r="F1183">
            <v>100</v>
          </cell>
        </row>
        <row r="1184">
          <cell r="A1184" t="str">
            <v>NUCKET</v>
          </cell>
          <cell r="B1184" t="str">
            <v>Nucket aplicado en resanes de piso</v>
          </cell>
          <cell r="C1184" t="str">
            <v>PZA</v>
          </cell>
          <cell r="D1184">
            <v>60.723076923076924</v>
          </cell>
          <cell r="E1184"/>
          <cell r="F1184">
            <v>69.831538461538457</v>
          </cell>
        </row>
        <row r="1185">
          <cell r="A1185" t="str">
            <v>OFI01</v>
          </cell>
          <cell r="B1185" t="str">
            <v>Oficial por el dia</v>
          </cell>
          <cell r="C1185" t="str">
            <v>JORNAL</v>
          </cell>
          <cell r="D1185">
            <v>638.79999999999995</v>
          </cell>
          <cell r="E1185"/>
          <cell r="F1185"/>
        </row>
        <row r="1186">
          <cell r="A1186" t="str">
            <v>ORE01</v>
          </cell>
          <cell r="B1186" t="str">
            <v>Orejas de varillas para macizos acuñado</v>
          </cell>
          <cell r="C1186" t="str">
            <v>PZA</v>
          </cell>
          <cell r="D1186">
            <v>14.352727272727272</v>
          </cell>
          <cell r="E1186"/>
          <cell r="F1186">
            <v>16.505636363636363</v>
          </cell>
        </row>
        <row r="1187">
          <cell r="A1187" t="str">
            <v>OVA01</v>
          </cell>
          <cell r="B1187" t="str">
            <v>Recibir ovalines por debajo de losa</v>
          </cell>
          <cell r="C1187" t="str">
            <v>PZA</v>
          </cell>
          <cell r="D1187">
            <v>78.94</v>
          </cell>
          <cell r="E1187"/>
          <cell r="F1187">
            <v>90.780999999999992</v>
          </cell>
        </row>
        <row r="1188">
          <cell r="A1188" t="str">
            <v>PALMA</v>
          </cell>
          <cell r="B1188" t="str">
            <v>Derribar palma con todo y raiz alt. 10.00 mts</v>
          </cell>
          <cell r="C1188" t="str">
            <v>PZA</v>
          </cell>
          <cell r="D1188">
            <v>789.4</v>
          </cell>
          <cell r="E1188"/>
          <cell r="F1188">
            <v>907.81</v>
          </cell>
        </row>
        <row r="1189">
          <cell r="A1189" t="str">
            <v>PAS01</v>
          </cell>
          <cell r="B1189" t="str">
            <v>Pasada de boveda</v>
          </cell>
          <cell r="C1189" t="str">
            <v>PZA</v>
          </cell>
          <cell r="D1189">
            <v>98.674999999999997</v>
          </cell>
          <cell r="E1189"/>
          <cell r="F1189">
            <v>113.47624999999999</v>
          </cell>
        </row>
        <row r="1190">
          <cell r="A1190" t="str">
            <v>PAS02</v>
          </cell>
          <cell r="B1190" t="str">
            <v>Pasada de cimiento</v>
          </cell>
          <cell r="C1190" t="str">
            <v>PZA</v>
          </cell>
          <cell r="D1190">
            <v>263.13333333333333</v>
          </cell>
          <cell r="E1190"/>
          <cell r="F1190">
            <v>302.6033333333333</v>
          </cell>
        </row>
        <row r="1191">
          <cell r="A1191" t="str">
            <v>PAS03</v>
          </cell>
          <cell r="B1191" t="str">
            <v>Pasada de muro o registro (p/tuberia)</v>
          </cell>
          <cell r="C1191" t="str">
            <v>PZA</v>
          </cell>
          <cell r="D1191">
            <v>43.855555555555554</v>
          </cell>
          <cell r="E1191"/>
          <cell r="F1191">
            <v>50.43388888888888</v>
          </cell>
        </row>
        <row r="1192">
          <cell r="A1192" t="str">
            <v>PAS04</v>
          </cell>
          <cell r="B1192" t="str">
            <v>Pasada de concreto</v>
          </cell>
          <cell r="C1192" t="str">
            <v>PZA</v>
          </cell>
          <cell r="D1192">
            <v>100.72089314194577</v>
          </cell>
          <cell r="E1192"/>
          <cell r="F1192">
            <v>115.82902711323761</v>
          </cell>
        </row>
        <row r="1193">
          <cell r="A1193" t="str">
            <v>PAS05</v>
          </cell>
          <cell r="B1193" t="str">
            <v>Pasada de dala o castillo por ranuras de instalaciones</v>
          </cell>
          <cell r="C1193" t="str">
            <v>PZA</v>
          </cell>
          <cell r="D1193">
            <v>43.855555555555554</v>
          </cell>
          <cell r="E1193"/>
          <cell r="F1193">
            <v>50.43388888888888</v>
          </cell>
        </row>
        <row r="1194">
          <cell r="A1194" t="str">
            <v>PEO01</v>
          </cell>
          <cell r="B1194" t="str">
            <v>Peon por el dia</v>
          </cell>
          <cell r="C1194" t="str">
            <v>JORNAL</v>
          </cell>
          <cell r="D1194">
            <v>354.88</v>
          </cell>
          <cell r="E1194"/>
          <cell r="F1194">
            <v>248.8</v>
          </cell>
        </row>
        <row r="1195">
          <cell r="A1195" t="str">
            <v>PEOTEJ</v>
          </cell>
          <cell r="B1195" t="str">
            <v>Peon por el dia</v>
          </cell>
          <cell r="C1195" t="str">
            <v>JORNAL</v>
          </cell>
          <cell r="D1195">
            <v>250</v>
          </cell>
          <cell r="E1195"/>
          <cell r="F1195">
            <v>250</v>
          </cell>
        </row>
        <row r="1196">
          <cell r="A1196" t="str">
            <v>PER01</v>
          </cell>
          <cell r="B1196" t="str">
            <v>Perfilar dala o castillo con mortero cemento</v>
          </cell>
          <cell r="C1196" t="str">
            <v>ML</v>
          </cell>
          <cell r="D1196">
            <v>39.47</v>
          </cell>
          <cell r="E1196"/>
          <cell r="F1196">
            <v>45.390499999999996</v>
          </cell>
        </row>
        <row r="1197">
          <cell r="A1197" t="str">
            <v>PER02</v>
          </cell>
          <cell r="B1197" t="str">
            <v>Perfilar caja de luz chalupa con mezcla o yeso</v>
          </cell>
          <cell r="C1197" t="str">
            <v>PZA</v>
          </cell>
          <cell r="D1197">
            <v>52.626666666666665</v>
          </cell>
          <cell r="E1197"/>
          <cell r="F1197">
            <v>60.520666666666664</v>
          </cell>
        </row>
        <row r="1198">
          <cell r="A1198" t="str">
            <v>PER03</v>
          </cell>
          <cell r="B1198" t="str">
            <v>Perfilar caja de luz en boveda tipo MAGG</v>
          </cell>
          <cell r="C1198" t="str">
            <v>PZA</v>
          </cell>
          <cell r="D1198">
            <v>83.094736842105263</v>
          </cell>
          <cell r="E1198"/>
          <cell r="F1198">
            <v>95.558947368421045</v>
          </cell>
        </row>
        <row r="1199">
          <cell r="A1199" t="str">
            <v>PER04</v>
          </cell>
          <cell r="B1199" t="str">
            <v>Perfilar losa de concreto</v>
          </cell>
          <cell r="C1199" t="str">
            <v>M2</v>
          </cell>
          <cell r="D1199">
            <v>39.47</v>
          </cell>
          <cell r="E1199"/>
          <cell r="F1199">
            <v>45.390499999999996</v>
          </cell>
        </row>
        <row r="1200">
          <cell r="A1200" t="str">
            <v>PIC01</v>
          </cell>
          <cell r="B1200" t="str">
            <v>Picar piso para desplante de dala</v>
          </cell>
          <cell r="C1200" t="str">
            <v>ML</v>
          </cell>
          <cell r="D1200">
            <v>17.542222222222222</v>
          </cell>
          <cell r="E1200"/>
          <cell r="F1200">
            <v>20.173555555555552</v>
          </cell>
        </row>
        <row r="1201">
          <cell r="A1201" t="str">
            <v>PIC02</v>
          </cell>
          <cell r="B1201" t="str">
            <v>Picar piso,boveda o muro p/media caña</v>
          </cell>
          <cell r="C1201" t="str">
            <v>ML</v>
          </cell>
          <cell r="D1201">
            <v>15.788</v>
          </cell>
          <cell r="E1201"/>
          <cell r="F1201">
            <v>18.156199999999998</v>
          </cell>
        </row>
        <row r="1202">
          <cell r="A1202" t="str">
            <v>PIC03</v>
          </cell>
          <cell r="B1202" t="str">
            <v>Picar columna, dala o trabe</v>
          </cell>
          <cell r="C1202" t="str">
            <v>ML</v>
          </cell>
          <cell r="D1202">
            <v>26.313333333333333</v>
          </cell>
          <cell r="E1202"/>
          <cell r="F1202">
            <v>30.260333333333332</v>
          </cell>
        </row>
        <row r="1203">
          <cell r="A1203" t="str">
            <v>PIC04</v>
          </cell>
          <cell r="B1203" t="str">
            <v>Picar piso o muro para preparar superficie</v>
          </cell>
          <cell r="C1203" t="str">
            <v>M2</v>
          </cell>
          <cell r="D1203">
            <v>52.626666666666665</v>
          </cell>
          <cell r="E1203"/>
          <cell r="F1203">
            <v>60.520666666666664</v>
          </cell>
        </row>
        <row r="1204">
          <cell r="A1204" t="str">
            <v>PIN.30</v>
          </cell>
          <cell r="B1204" t="str">
            <v xml:space="preserve">Preparacion y pintura de postes de malla y </v>
          </cell>
          <cell r="C1204" t="str">
            <v>PZA</v>
          </cell>
          <cell r="D1204">
            <v>31.5</v>
          </cell>
          <cell r="F1204">
            <v>36.224999999999994</v>
          </cell>
        </row>
        <row r="1205">
          <cell r="A1205" t="str">
            <v>PIN01</v>
          </cell>
          <cell r="B1205" t="str">
            <v>Preparacion y pintura de muros,bovedas o pisos</v>
          </cell>
          <cell r="C1205" t="str">
            <v>M2</v>
          </cell>
          <cell r="D1205">
            <v>15</v>
          </cell>
          <cell r="E1205"/>
          <cell r="F1205">
            <v>17.25</v>
          </cell>
        </row>
        <row r="1206">
          <cell r="A1206" t="str">
            <v>PIN01-1</v>
          </cell>
          <cell r="B1206" t="str">
            <v>Preparacion y pintura de muros,bovedas o pisos</v>
          </cell>
          <cell r="C1206" t="str">
            <v>M2</v>
          </cell>
          <cell r="D1206">
            <v>15</v>
          </cell>
          <cell r="E1206"/>
          <cell r="F1206">
            <v>17.25</v>
          </cell>
        </row>
        <row r="1207">
          <cell r="A1207" t="str">
            <v>PIN02</v>
          </cell>
          <cell r="B1207" t="str">
            <v>Trazo y pintura de zoclos y cenefas</v>
          </cell>
          <cell r="C1207" t="str">
            <v>ML</v>
          </cell>
          <cell r="D1207">
            <v>5.25</v>
          </cell>
          <cell r="E1207"/>
          <cell r="F1207">
            <v>6.0374999999999996</v>
          </cell>
        </row>
        <row r="1208">
          <cell r="A1208" t="str">
            <v>PIN03</v>
          </cell>
          <cell r="B1208" t="str">
            <v>Pintura de tuberia con esmalte</v>
          </cell>
          <cell r="C1208" t="str">
            <v>ML</v>
          </cell>
          <cell r="D1208">
            <v>5.25</v>
          </cell>
          <cell r="E1208"/>
          <cell r="F1208"/>
        </row>
        <row r="1209">
          <cell r="A1209" t="str">
            <v>PIN04</v>
          </cell>
          <cell r="B1209" t="str">
            <v>Trazo y pintura de lineas de trafico en piso</v>
          </cell>
          <cell r="C1209" t="str">
            <v>ML</v>
          </cell>
          <cell r="D1209">
            <v>5.25</v>
          </cell>
          <cell r="E1209"/>
          <cell r="F1209">
            <v>6.0374999999999996</v>
          </cell>
        </row>
        <row r="1210">
          <cell r="A1210" t="str">
            <v>PIN05</v>
          </cell>
          <cell r="B1210" t="str">
            <v>Lijar muros, lavar con thinner y mano extra</v>
          </cell>
          <cell r="C1210" t="str">
            <v>M2</v>
          </cell>
          <cell r="D1210">
            <v>5.25</v>
          </cell>
          <cell r="E1210"/>
          <cell r="F1210">
            <v>6.0374999999999996</v>
          </cell>
        </row>
        <row r="1211">
          <cell r="A1211" t="str">
            <v>PIN06</v>
          </cell>
          <cell r="B1211" t="str">
            <v>Preparacion y pintura de estructuras de fierro</v>
          </cell>
          <cell r="C1211" t="str">
            <v>ML</v>
          </cell>
          <cell r="D1211">
            <v>5.7750000000000004</v>
          </cell>
          <cell r="E1211"/>
          <cell r="F1211">
            <v>6.6412500000000003</v>
          </cell>
        </row>
        <row r="1212">
          <cell r="A1212" t="str">
            <v>PIN07</v>
          </cell>
          <cell r="B1212" t="str">
            <v>Lijar muros y correr plaste, resane gral.</v>
          </cell>
          <cell r="C1212" t="str">
            <v>M2</v>
          </cell>
          <cell r="D1212">
            <v>5.25</v>
          </cell>
          <cell r="E1212"/>
          <cell r="F1212">
            <v>6.0374999999999996</v>
          </cell>
        </row>
        <row r="1213">
          <cell r="A1213" t="str">
            <v>PIN08</v>
          </cell>
          <cell r="B1213" t="str">
            <v>Trazo y pintura numeros estacionamiento</v>
          </cell>
          <cell r="C1213" t="str">
            <v>PZA</v>
          </cell>
          <cell r="D1213">
            <v>21</v>
          </cell>
          <cell r="E1213"/>
          <cell r="F1213">
            <v>24.15</v>
          </cell>
        </row>
        <row r="1214">
          <cell r="A1214" t="str">
            <v>PIN09</v>
          </cell>
          <cell r="B1214" t="str">
            <v>Pintura de tapas hidrantes contra incendio</v>
          </cell>
          <cell r="C1214" t="str">
            <v>PZA</v>
          </cell>
          <cell r="D1214">
            <v>36.75</v>
          </cell>
          <cell r="E1214"/>
          <cell r="F1214">
            <v>42.262499999999996</v>
          </cell>
        </row>
        <row r="1215">
          <cell r="A1215" t="str">
            <v>PIN10</v>
          </cell>
          <cell r="B1215" t="str">
            <v>Aplicar terracota en azotea a 2 manos</v>
          </cell>
          <cell r="C1215" t="str">
            <v>M2</v>
          </cell>
          <cell r="D1215">
            <v>12</v>
          </cell>
          <cell r="E1215"/>
          <cell r="F1215">
            <v>13.799999999999999</v>
          </cell>
        </row>
        <row r="1216">
          <cell r="A1216" t="str">
            <v>PIN11</v>
          </cell>
          <cell r="B1216" t="str">
            <v>Pintura de numeros de lockers</v>
          </cell>
          <cell r="C1216" t="str">
            <v>PZA</v>
          </cell>
          <cell r="D1216">
            <v>5.7750000000000004</v>
          </cell>
          <cell r="E1216"/>
          <cell r="F1216">
            <v>6.6412500000000003</v>
          </cell>
        </row>
        <row r="1217">
          <cell r="A1217" t="str">
            <v>PIN12</v>
          </cell>
          <cell r="B1217" t="str">
            <v>Preparacion y pintura de lamparas</v>
          </cell>
          <cell r="C1217" t="str">
            <v>PZA</v>
          </cell>
          <cell r="D1217">
            <v>21</v>
          </cell>
          <cell r="E1217"/>
          <cell r="F1217">
            <v>24.15</v>
          </cell>
        </row>
        <row r="1218">
          <cell r="A1218" t="str">
            <v>PINSOLE</v>
          </cell>
          <cell r="B1218" t="str">
            <v>Pintura de soleras de tension</v>
          </cell>
          <cell r="C1218" t="str">
            <v>ML</v>
          </cell>
          <cell r="D1218">
            <v>11.8125</v>
          </cell>
          <cell r="F1218">
            <v>13.584375</v>
          </cell>
        </row>
        <row r="1219">
          <cell r="A1219" t="str">
            <v>PIS3</v>
          </cell>
          <cell r="B1219" t="str">
            <v>Piso de cemento 3 cms espesor acabado pulido / apalillado</v>
          </cell>
          <cell r="C1219" t="str">
            <v>M2</v>
          </cell>
          <cell r="D1219">
            <v>43.855555555555554</v>
          </cell>
          <cell r="E1219">
            <v>1</v>
          </cell>
          <cell r="F1219">
            <v>50.43388888888888</v>
          </cell>
        </row>
        <row r="1220">
          <cell r="A1220" t="str">
            <v>PIS5</v>
          </cell>
          <cell r="B1220" t="str">
            <v>Piso de cemento 5 cms espesor acabado pulido / apalillado</v>
          </cell>
          <cell r="C1220" t="str">
            <v>M2</v>
          </cell>
          <cell r="D1220">
            <v>56.385714285714286</v>
          </cell>
          <cell r="E1220">
            <v>1</v>
          </cell>
          <cell r="F1220">
            <v>64.843571428571423</v>
          </cell>
        </row>
        <row r="1221">
          <cell r="A1221" t="str">
            <v>PIS08</v>
          </cell>
          <cell r="B1221" t="str">
            <v>Piso de cemento 8 cms espesor repellado</v>
          </cell>
          <cell r="C1221" t="str">
            <v>M2</v>
          </cell>
          <cell r="D1221">
            <v>67.470085470085479</v>
          </cell>
          <cell r="E1221">
            <v>1</v>
          </cell>
          <cell r="F1221">
            <v>77.590598290598294</v>
          </cell>
        </row>
        <row r="1222">
          <cell r="A1222" t="str">
            <v>PIS7</v>
          </cell>
          <cell r="B1222" t="str">
            <v>Piso de cemento 7 cms espesor acabado pulido / apalillado</v>
          </cell>
          <cell r="C1222" t="str">
            <v>M2</v>
          </cell>
          <cell r="D1222">
            <v>78.94</v>
          </cell>
          <cell r="E1222">
            <v>1</v>
          </cell>
          <cell r="F1222">
            <v>90.780999999999992</v>
          </cell>
        </row>
        <row r="1223">
          <cell r="A1223" t="str">
            <v>PIS72</v>
          </cell>
          <cell r="B1223" t="str">
            <v>Piso de cemento 7 cms espesor acabado pulido / apalillado a 2a h</v>
          </cell>
          <cell r="C1223" t="str">
            <v>M2</v>
          </cell>
          <cell r="D1223">
            <v>90.780999999999977</v>
          </cell>
          <cell r="E1223">
            <v>1</v>
          </cell>
          <cell r="F1223">
            <v>104.39814999999997</v>
          </cell>
        </row>
        <row r="1224">
          <cell r="A1224" t="str">
            <v>PISGRA</v>
          </cell>
          <cell r="B1224" t="str">
            <v>Piso de concreto /granito deslavado incluye malla y cimbra</v>
          </cell>
          <cell r="C1224" t="str">
            <v>M2</v>
          </cell>
          <cell r="D1224">
            <v>157.88</v>
          </cell>
          <cell r="E1224">
            <v>1</v>
          </cell>
          <cell r="F1224">
            <v>181.56199999999998</v>
          </cell>
        </row>
        <row r="1225">
          <cell r="A1225" t="str">
            <v>PLA01</v>
          </cell>
          <cell r="B1225" t="str">
            <v>Plantilla de piedra esp. 20 cms promedio</v>
          </cell>
          <cell r="C1225" t="str">
            <v>M2</v>
          </cell>
          <cell r="D1225">
            <v>65.783333333333331</v>
          </cell>
          <cell r="E1225">
            <v>1</v>
          </cell>
          <cell r="F1225">
            <v>75.650833333333324</v>
          </cell>
        </row>
        <row r="1226">
          <cell r="A1226" t="str">
            <v>PLA10</v>
          </cell>
          <cell r="B1226" t="str">
            <v>Plantilla de concreto pobre esp. 10 cms</v>
          </cell>
          <cell r="C1226" t="str">
            <v>M2</v>
          </cell>
          <cell r="D1226">
            <v>52.626666666666665</v>
          </cell>
          <cell r="E1226">
            <v>1</v>
          </cell>
          <cell r="F1226">
            <v>60.520666666666664</v>
          </cell>
        </row>
        <row r="1227">
          <cell r="A1227" t="str">
            <v>PLA5</v>
          </cell>
          <cell r="B1227" t="str">
            <v>Plantilla de concreto pobre esp. 5 cms</v>
          </cell>
          <cell r="C1227" t="str">
            <v>M2</v>
          </cell>
          <cell r="D1227">
            <v>26.313333333333333</v>
          </cell>
          <cell r="E1227">
            <v>1</v>
          </cell>
          <cell r="F1227">
            <v>30.260333333333332</v>
          </cell>
        </row>
        <row r="1228">
          <cell r="A1228" t="str">
            <v>PLA7</v>
          </cell>
          <cell r="B1228" t="str">
            <v>Plantilla de concreto pobre esp. 7 cms</v>
          </cell>
          <cell r="C1228" t="str">
            <v>M2</v>
          </cell>
          <cell r="D1228">
            <v>31.576000000000001</v>
          </cell>
          <cell r="E1228">
            <v>1</v>
          </cell>
          <cell r="F1228">
            <v>36.312399999999997</v>
          </cell>
        </row>
        <row r="1229">
          <cell r="A1229" t="str">
            <v>PLAS</v>
          </cell>
          <cell r="B1229" t="str">
            <v>Colocar plastico en muros o piso</v>
          </cell>
          <cell r="C1229" t="str">
            <v>M2</v>
          </cell>
          <cell r="D1229">
            <v>4.3855555555555554</v>
          </cell>
          <cell r="E1229"/>
          <cell r="F1229">
            <v>5.043388888888888</v>
          </cell>
        </row>
        <row r="1230">
          <cell r="A1230" t="str">
            <v>PODA</v>
          </cell>
          <cell r="B1230" t="str">
            <v>Poda de arbol diametro de 10 a 30 cms c/desenraice</v>
          </cell>
          <cell r="C1230" t="str">
            <v>PZA</v>
          </cell>
          <cell r="D1230">
            <v>212.35321637426898</v>
          </cell>
          <cell r="E1230"/>
          <cell r="F1230">
            <v>244.20619883040931</v>
          </cell>
        </row>
        <row r="1231">
          <cell r="A1231" t="str">
            <v>PORCE</v>
          </cell>
          <cell r="B1231" t="str">
            <v>Instalacion de porcelanato en muros y pisos</v>
          </cell>
          <cell r="C1231" t="str">
            <v>M2</v>
          </cell>
          <cell r="D1231">
            <v>100</v>
          </cell>
          <cell r="E1231"/>
          <cell r="F1231">
            <v>114.99999999999999</v>
          </cell>
        </row>
        <row r="1232">
          <cell r="A1232" t="str">
            <v>POSTE</v>
          </cell>
          <cell r="B1232" t="str">
            <v>Recibir poste de cedula  30 para puerta acceso</v>
          </cell>
          <cell r="C1232" t="str">
            <v>PZA</v>
          </cell>
          <cell r="D1232">
            <v>315.76</v>
          </cell>
          <cell r="E1232"/>
          <cell r="F1232">
            <v>363.12399999999997</v>
          </cell>
        </row>
        <row r="1233">
          <cell r="A1233" t="str">
            <v>POZO</v>
          </cell>
          <cell r="B1233" t="str">
            <v>Pozo de visita terminado diametro inf. 1.20 y sup. 0.60</v>
          </cell>
          <cell r="C1233" t="str">
            <v>ML</v>
          </cell>
          <cell r="D1233">
            <v>881.30781499202556</v>
          </cell>
          <cell r="E1233"/>
          <cell r="F1233">
            <v>1013.5039872408294</v>
          </cell>
        </row>
        <row r="1234">
          <cell r="A1234" t="str">
            <v>PRE20</v>
          </cell>
          <cell r="B1234" t="str">
            <v>Pretil de muro 20 alt. 70 cms c/ acarreo y nivelacion</v>
          </cell>
          <cell r="C1234" t="str">
            <v>ML</v>
          </cell>
          <cell r="D1234">
            <v>98.674999999999997</v>
          </cell>
          <cell r="E1234">
            <v>1</v>
          </cell>
          <cell r="F1234">
            <v>113.47624999999999</v>
          </cell>
        </row>
        <row r="1235">
          <cell r="A1235" t="str">
            <v>PRE25</v>
          </cell>
          <cell r="B1235" t="str">
            <v>Pretil de muro de 25 hasta 70 cms altura</v>
          </cell>
          <cell r="C1235" t="str">
            <v>ML</v>
          </cell>
          <cell r="D1235">
            <v>121.44615384615385</v>
          </cell>
          <cell r="E1235">
            <v>1</v>
          </cell>
          <cell r="F1235">
            <v>139.66307692307691</v>
          </cell>
        </row>
        <row r="1236">
          <cell r="A1236" t="str">
            <v>PRECA</v>
          </cell>
          <cell r="B1236" t="str">
            <v>Pretil de muro capuchino alt. 70 cms c/ acarreo y nivelacion</v>
          </cell>
          <cell r="C1236" t="str">
            <v>ML</v>
          </cell>
          <cell r="D1236">
            <v>71.763636363636365</v>
          </cell>
          <cell r="E1236">
            <v>1</v>
          </cell>
          <cell r="F1236">
            <v>82.528181818181821</v>
          </cell>
        </row>
        <row r="1237">
          <cell r="A1237" t="str">
            <v>PRESO</v>
          </cell>
          <cell r="B1237" t="str">
            <v>Pretil de muro soga alt. 70 cms</v>
          </cell>
          <cell r="C1237" t="str">
            <v>ML</v>
          </cell>
          <cell r="D1237">
            <v>56.385714285714286</v>
          </cell>
          <cell r="E1237">
            <v>1</v>
          </cell>
          <cell r="F1237">
            <v>64.843571428571423</v>
          </cell>
        </row>
        <row r="1238">
          <cell r="A1238" t="str">
            <v>PRETE</v>
          </cell>
          <cell r="B1238" t="str">
            <v>Pretil de muro tezon alt. 70 cms</v>
          </cell>
          <cell r="C1238" t="str">
            <v>ML</v>
          </cell>
          <cell r="D1238">
            <v>112.77142857142857</v>
          </cell>
          <cell r="E1238">
            <v>1</v>
          </cell>
          <cell r="F1238">
            <v>129.68714285714285</v>
          </cell>
        </row>
        <row r="1239">
          <cell r="A1239" t="str">
            <v>PUL01</v>
          </cell>
          <cell r="B1239" t="str">
            <v>Pulido de piso con maquina</v>
          </cell>
          <cell r="C1239" t="str">
            <v>M2</v>
          </cell>
          <cell r="D1239">
            <v>26.313333333333333</v>
          </cell>
          <cell r="E1239"/>
          <cell r="F1239">
            <v>30.260333333333332</v>
          </cell>
        </row>
        <row r="1240">
          <cell r="A1240" t="str">
            <v>RAJU</v>
          </cell>
          <cell r="B1240" t="str">
            <v>Instalacion de piedrita rajuela en muro de piedra</v>
          </cell>
          <cell r="C1240" t="str">
            <v>M2</v>
          </cell>
          <cell r="D1240">
            <v>191.13801452784503</v>
          </cell>
          <cell r="E1240"/>
          <cell r="F1240">
            <v>219.80871670702177</v>
          </cell>
        </row>
        <row r="1241">
          <cell r="A1241" t="str">
            <v>RAJUELA</v>
          </cell>
          <cell r="B1241" t="str">
            <v xml:space="preserve">Muro de piedra de rajuela </v>
          </cell>
          <cell r="C1241" t="str">
            <v>M2</v>
          </cell>
          <cell r="D1241">
            <v>1019.8966408268733</v>
          </cell>
          <cell r="E1241"/>
          <cell r="F1241">
            <v>1172.8811369509042</v>
          </cell>
        </row>
        <row r="1242">
          <cell r="A1242" t="str">
            <v>RASPT</v>
          </cell>
          <cell r="B1242" t="str">
            <v>Raspado de tecata de lechada de cemento suelta sobre ladrillo</v>
          </cell>
          <cell r="C1242" t="str">
            <v>M2</v>
          </cell>
          <cell r="D1242">
            <v>8.8696629213483149</v>
          </cell>
          <cell r="E1242"/>
          <cell r="F1242">
            <v>10.200112359550561</v>
          </cell>
        </row>
        <row r="1243">
          <cell r="A1243" t="str">
            <v>REB01</v>
          </cell>
          <cell r="B1243" t="str">
            <v>Rebajar castillo, dala</v>
          </cell>
          <cell r="C1243" t="str">
            <v>ML</v>
          </cell>
          <cell r="D1243">
            <v>60.723076923076924</v>
          </cell>
          <cell r="E1243"/>
          <cell r="F1243">
            <v>69.831538461538457</v>
          </cell>
        </row>
        <row r="1244">
          <cell r="A1244" t="str">
            <v>REB02</v>
          </cell>
          <cell r="B1244" t="str">
            <v>Rebajar trabe de concreto marro y cincel</v>
          </cell>
          <cell r="C1244" t="str">
            <v>ML</v>
          </cell>
          <cell r="D1244">
            <v>131.56666666666666</v>
          </cell>
          <cell r="E1244"/>
          <cell r="F1244">
            <v>151.30166666666665</v>
          </cell>
        </row>
        <row r="1245">
          <cell r="A1245" t="str">
            <v>REC01</v>
          </cell>
          <cell r="B1245" t="str">
            <v>Recibir caja con chalupa</v>
          </cell>
          <cell r="C1245" t="str">
            <v>PZA</v>
          </cell>
          <cell r="D1245">
            <v>39.47</v>
          </cell>
          <cell r="E1245">
            <v>1</v>
          </cell>
          <cell r="F1245">
            <v>45.390499999999996</v>
          </cell>
        </row>
        <row r="1246">
          <cell r="A1246" t="str">
            <v>REC02</v>
          </cell>
          <cell r="B1246" t="str">
            <v>Recibir cespol con revoltura</v>
          </cell>
          <cell r="C1246" t="str">
            <v>PZA</v>
          </cell>
          <cell r="D1246">
            <v>87.711111111111109</v>
          </cell>
          <cell r="E1246">
            <v>1</v>
          </cell>
          <cell r="F1246">
            <v>100.86777777777776</v>
          </cell>
        </row>
        <row r="1247">
          <cell r="A1247" t="str">
            <v>REC03</v>
          </cell>
          <cell r="B1247" t="str">
            <v>Recibir contramarco de registro</v>
          </cell>
          <cell r="C1247" t="str">
            <v>PZA</v>
          </cell>
          <cell r="D1247">
            <v>98.674999999999997</v>
          </cell>
          <cell r="E1247"/>
          <cell r="F1247">
            <v>113.47624999999999</v>
          </cell>
        </row>
        <row r="1248">
          <cell r="A1248" t="str">
            <v>REC04</v>
          </cell>
          <cell r="B1248" t="str">
            <v>Recibir placa o ancla en dado p/columna</v>
          </cell>
          <cell r="C1248" t="str">
            <v>PZA</v>
          </cell>
          <cell r="D1248">
            <v>197.35</v>
          </cell>
          <cell r="E1248"/>
          <cell r="F1248">
            <v>226.95249999999999</v>
          </cell>
        </row>
        <row r="1249">
          <cell r="A1249" t="str">
            <v>REC05</v>
          </cell>
          <cell r="B1249" t="str">
            <v>Recibir tuberia o poliducto</v>
          </cell>
          <cell r="C1249" t="str">
            <v>ML</v>
          </cell>
          <cell r="D1249">
            <v>15.788</v>
          </cell>
          <cell r="E1249"/>
          <cell r="F1249">
            <v>18.156199999999998</v>
          </cell>
        </row>
        <row r="1250">
          <cell r="A1250" t="str">
            <v>REC06</v>
          </cell>
          <cell r="B1250" t="str">
            <v>Recibir tubo de drenaje 10 "</v>
          </cell>
          <cell r="C1250" t="str">
            <v>ML</v>
          </cell>
          <cell r="D1250">
            <v>52.626666666666665</v>
          </cell>
          <cell r="E1250"/>
          <cell r="F1250">
            <v>60.520666666666664</v>
          </cell>
        </row>
        <row r="1251">
          <cell r="A1251" t="str">
            <v>REC07</v>
          </cell>
          <cell r="B1251" t="str">
            <v>Recibir tubo de drenaje 4 "</v>
          </cell>
          <cell r="C1251" t="str">
            <v>ML</v>
          </cell>
          <cell r="D1251">
            <v>26.313333333333333</v>
          </cell>
          <cell r="E1251"/>
          <cell r="F1251">
            <v>30.260333333333332</v>
          </cell>
        </row>
        <row r="1252">
          <cell r="A1252" t="str">
            <v>REC08</v>
          </cell>
          <cell r="B1252" t="str">
            <v>Recibir tubo de drenaje 6 "</v>
          </cell>
          <cell r="C1252" t="str">
            <v>ML</v>
          </cell>
          <cell r="D1252">
            <v>31.576000000000001</v>
          </cell>
          <cell r="E1252"/>
          <cell r="F1252">
            <v>36.312399999999997</v>
          </cell>
        </row>
        <row r="1253">
          <cell r="A1253" t="str">
            <v>REC09</v>
          </cell>
          <cell r="B1253" t="str">
            <v>Recibir tubo de drenaje 8 "</v>
          </cell>
          <cell r="C1253" t="str">
            <v>ML</v>
          </cell>
          <cell r="D1253">
            <v>39.47</v>
          </cell>
          <cell r="E1253"/>
          <cell r="F1253">
            <v>45.390499999999996</v>
          </cell>
        </row>
        <row r="1254">
          <cell r="A1254" t="str">
            <v>REC10</v>
          </cell>
          <cell r="B1254" t="str">
            <v>Recibir viga de acero sobre macizo</v>
          </cell>
          <cell r="C1254" t="str">
            <v>PZA</v>
          </cell>
          <cell r="D1254">
            <v>87.711111111111109</v>
          </cell>
          <cell r="E1254"/>
          <cell r="F1254">
            <v>100.86777777777776</v>
          </cell>
        </row>
        <row r="1255">
          <cell r="A1255" t="str">
            <v>REC11</v>
          </cell>
          <cell r="B1255" t="str">
            <v>Recorte de enjarre muros o bovedas</v>
          </cell>
          <cell r="C1255" t="str">
            <v>ML</v>
          </cell>
          <cell r="D1255">
            <v>11.079298245614035</v>
          </cell>
          <cell r="E1255"/>
          <cell r="F1255">
            <v>12.741192982456139</v>
          </cell>
        </row>
        <row r="1256">
          <cell r="A1256" t="str">
            <v>REC12</v>
          </cell>
          <cell r="B1256" t="str">
            <v>Recibir placa para anclado barandal</v>
          </cell>
          <cell r="C1256" t="str">
            <v>PZA</v>
          </cell>
          <cell r="D1256">
            <v>65.783333333333331</v>
          </cell>
          <cell r="E1256">
            <v>1</v>
          </cell>
          <cell r="F1256">
            <v>75.650833333333324</v>
          </cell>
        </row>
        <row r="1257">
          <cell r="A1257" t="str">
            <v>RECRES</v>
          </cell>
          <cell r="B1257" t="str">
            <v>Recibir y resanar ranura de poliducto en muro o piso</v>
          </cell>
          <cell r="C1257" t="str">
            <v>ML</v>
          </cell>
          <cell r="D1257">
            <v>26.534453781512603</v>
          </cell>
          <cell r="E1257">
            <v>1</v>
          </cell>
          <cell r="F1257">
            <v>30.514621848739491</v>
          </cell>
        </row>
        <row r="1258">
          <cell r="A1258" t="str">
            <v>REG01</v>
          </cell>
          <cell r="B1258" t="str">
            <v>Registro sanitario terminado alt hasta 1.50 con plantilla</v>
          </cell>
          <cell r="C1258" t="str">
            <v>PZA</v>
          </cell>
          <cell r="D1258">
            <v>631.52</v>
          </cell>
          <cell r="E1258"/>
          <cell r="F1258">
            <v>726.24799999999993</v>
          </cell>
        </row>
        <row r="1259">
          <cell r="A1259" t="str">
            <v>REG02</v>
          </cell>
          <cell r="B1259" t="str">
            <v>Registro caja arenera terminado incluye plantilla</v>
          </cell>
          <cell r="C1259" t="str">
            <v>PZA</v>
          </cell>
          <cell r="D1259">
            <v>451.08571428571429</v>
          </cell>
          <cell r="E1259"/>
          <cell r="F1259">
            <v>518.74857142857138</v>
          </cell>
        </row>
        <row r="1260">
          <cell r="A1260" t="str">
            <v>REG03</v>
          </cell>
          <cell r="B1260" t="str">
            <v>Registro caja arenera con trampa central</v>
          </cell>
          <cell r="C1260" t="str">
            <v>PZA</v>
          </cell>
          <cell r="D1260">
            <v>830.9473684210526</v>
          </cell>
          <cell r="E1260"/>
          <cell r="F1260">
            <v>955.58947368421047</v>
          </cell>
        </row>
        <row r="1261">
          <cell r="A1261" t="str">
            <v>RELL01</v>
          </cell>
          <cell r="B1261" t="str">
            <v>Relleno con grava</v>
          </cell>
          <cell r="C1261" t="str">
            <v>M3</v>
          </cell>
          <cell r="D1261">
            <v>52.626666666666665</v>
          </cell>
          <cell r="E1261"/>
          <cell r="F1261">
            <v>60.520666666666664</v>
          </cell>
        </row>
        <row r="1262">
          <cell r="A1262" t="str">
            <v>RELL02</v>
          </cell>
          <cell r="B1262" t="str">
            <v>Relleno con jalcreto</v>
          </cell>
          <cell r="C1262" t="str">
            <v>M3</v>
          </cell>
          <cell r="D1262">
            <v>263.13333333333333</v>
          </cell>
          <cell r="E1262">
            <v>1</v>
          </cell>
          <cell r="F1262">
            <v>302.6033333333333</v>
          </cell>
        </row>
        <row r="1263">
          <cell r="A1263" t="str">
            <v>RELL03</v>
          </cell>
          <cell r="B1263" t="str">
            <v>Relleno c/ material producto excavacion a cada 20 cms</v>
          </cell>
          <cell r="C1263" t="str">
            <v>M3</v>
          </cell>
          <cell r="D1263">
            <v>46.435294117647061</v>
          </cell>
          <cell r="E1263"/>
          <cell r="F1263">
            <v>53.400588235294116</v>
          </cell>
        </row>
        <row r="1264">
          <cell r="A1264" t="str">
            <v>RELL04</v>
          </cell>
          <cell r="B1264" t="str">
            <v>Relleno con suelo cemento batido a mano y compactado</v>
          </cell>
          <cell r="C1264" t="str">
            <v>M3</v>
          </cell>
          <cell r="D1264">
            <v>171.23644251626897</v>
          </cell>
          <cell r="E1264"/>
          <cell r="F1264">
            <v>196.92190889370929</v>
          </cell>
        </row>
        <row r="1265">
          <cell r="A1265" t="str">
            <v>RELL05</v>
          </cell>
          <cell r="B1265" t="str">
            <v>Relleno con suelo cemento batido a mano y compactado con pizon</v>
          </cell>
          <cell r="C1265" t="str">
            <v>M3</v>
          </cell>
          <cell r="D1265">
            <v>188.85167464114832</v>
          </cell>
          <cell r="E1265"/>
          <cell r="F1265">
            <v>217.17942583732057</v>
          </cell>
        </row>
        <row r="1266">
          <cell r="A1266" t="str">
            <v>RELLT</v>
          </cell>
          <cell r="B1266" t="str">
            <v>Relleno de cepas y zapatas con tepetate capas 20 cms</v>
          </cell>
          <cell r="C1266" t="str">
            <v>M3</v>
          </cell>
          <cell r="D1266">
            <v>131.56666666666666</v>
          </cell>
          <cell r="E1266"/>
          <cell r="F1266">
            <v>151.30166666666665</v>
          </cell>
        </row>
        <row r="1267">
          <cell r="A1267" t="str">
            <v>RELLZAP</v>
          </cell>
          <cell r="B1267" t="str">
            <v>Relleno de zapatas con suelo cemento batido capas 20 cms</v>
          </cell>
          <cell r="C1267" t="str">
            <v>M3</v>
          </cell>
          <cell r="D1267">
            <v>171.23644251626897</v>
          </cell>
          <cell r="E1267"/>
          <cell r="F1267">
            <v>196.92190889370929</v>
          </cell>
        </row>
        <row r="1268">
          <cell r="A1268" t="str">
            <v>REN01</v>
          </cell>
          <cell r="B1268" t="str">
            <v>Cimiento renchido de 0.00-1.50</v>
          </cell>
          <cell r="C1268" t="str">
            <v>M3</v>
          </cell>
          <cell r="D1268">
            <v>263.13333333333333</v>
          </cell>
          <cell r="E1268">
            <v>1</v>
          </cell>
          <cell r="F1268">
            <v>302.6033333333333</v>
          </cell>
        </row>
        <row r="1269">
          <cell r="A1269" t="str">
            <v>REN02</v>
          </cell>
          <cell r="B1269" t="str">
            <v>Cimiento renchido de 1.50-3.00</v>
          </cell>
          <cell r="C1269" t="str">
            <v>M3</v>
          </cell>
          <cell r="D1269">
            <v>368.87850467289718</v>
          </cell>
          <cell r="E1269">
            <v>1</v>
          </cell>
          <cell r="F1269">
            <v>424.21028037383172</v>
          </cell>
        </row>
        <row r="1270">
          <cell r="A1270" t="str">
            <v>REP01</v>
          </cell>
          <cell r="B1270" t="str">
            <v>Repatinar viga</v>
          </cell>
          <cell r="C1270" t="str">
            <v>ML</v>
          </cell>
          <cell r="D1270">
            <v>13.156666666666666</v>
          </cell>
          <cell r="E1270">
            <v>1</v>
          </cell>
          <cell r="F1270">
            <v>15.130166666666666</v>
          </cell>
        </row>
        <row r="1271">
          <cell r="A1271" t="str">
            <v>REP02</v>
          </cell>
          <cell r="B1271" t="str">
            <v>Repellado de hormigon, piso o concreto c/lechada</v>
          </cell>
          <cell r="C1271" t="str">
            <v>M2</v>
          </cell>
          <cell r="D1271">
            <v>26.313333333333333</v>
          </cell>
          <cell r="E1271">
            <v>1</v>
          </cell>
          <cell r="F1271">
            <v>30.260333333333332</v>
          </cell>
        </row>
        <row r="1272">
          <cell r="A1272" t="str">
            <v>REP03</v>
          </cell>
          <cell r="B1272" t="str">
            <v>Repizon esp. 15 cms con colado y perfilado</v>
          </cell>
          <cell r="C1272" t="str">
            <v>ML</v>
          </cell>
          <cell r="D1272">
            <v>394.7</v>
          </cell>
          <cell r="E1272">
            <v>1</v>
          </cell>
          <cell r="F1272">
            <v>453.90499999999997</v>
          </cell>
        </row>
        <row r="1273">
          <cell r="A1273" t="str">
            <v>REP03C</v>
          </cell>
          <cell r="B1273" t="str">
            <v>Repizon esp. 25 cms con colado y perfilado en cocinas</v>
          </cell>
          <cell r="C1273" t="str">
            <v>ML</v>
          </cell>
          <cell r="D1273">
            <v>394.7</v>
          </cell>
          <cell r="E1273">
            <v>1</v>
          </cell>
          <cell r="F1273">
            <v>453.90499999999997</v>
          </cell>
        </row>
        <row r="1274">
          <cell r="A1274" t="str">
            <v>RESID</v>
          </cell>
          <cell r="B1274" t="str">
            <v>RESIDENCIA DE OBRA</v>
          </cell>
          <cell r="C1274" t="str">
            <v>LOTE</v>
          </cell>
          <cell r="D1274">
            <v>100</v>
          </cell>
          <cell r="E1274"/>
          <cell r="F1274"/>
        </row>
        <row r="1275">
          <cell r="A1275" t="str">
            <v>RES01</v>
          </cell>
          <cell r="B1275" t="str">
            <v>Resane de enjarre por ranuras</v>
          </cell>
          <cell r="C1275" t="str">
            <v>ML</v>
          </cell>
          <cell r="D1275">
            <v>19.734999999999999</v>
          </cell>
          <cell r="E1275">
            <v>1</v>
          </cell>
          <cell r="F1275">
            <v>22.695249999999998</v>
          </cell>
        </row>
        <row r="1276">
          <cell r="A1276" t="str">
            <v>RESUMA1</v>
          </cell>
          <cell r="B1276" t="str">
            <v>Relleno de zanjas o zapatas suelo-cal /cemento con apoyo máquina</v>
          </cell>
          <cell r="C1276" t="str">
            <v>M3</v>
          </cell>
          <cell r="D1276">
            <v>70.000886760663306</v>
          </cell>
          <cell r="E1276">
            <v>1</v>
          </cell>
          <cell r="F1276">
            <v>80.501019774762796</v>
          </cell>
        </row>
        <row r="1277">
          <cell r="A1277" t="str">
            <v>SABT</v>
          </cell>
          <cell r="B1277" t="str">
            <v>Sabado por la tarde</v>
          </cell>
          <cell r="C1277" t="str">
            <v>LOTE</v>
          </cell>
          <cell r="D1277">
            <v>100</v>
          </cell>
          <cell r="E1277"/>
          <cell r="F1277">
            <v>100</v>
          </cell>
        </row>
        <row r="1278">
          <cell r="A1278" t="str">
            <v>SAR01</v>
          </cell>
          <cell r="B1278" t="str">
            <v>Sardinel cimbrado ,colado y perfilado</v>
          </cell>
          <cell r="C1278" t="str">
            <v>ML</v>
          </cell>
          <cell r="D1278">
            <v>197.35</v>
          </cell>
          <cell r="E1278">
            <v>1</v>
          </cell>
          <cell r="F1278">
            <v>226.95249999999999</v>
          </cell>
        </row>
        <row r="1279">
          <cell r="A1279" t="str">
            <v>ZAR02</v>
          </cell>
          <cell r="B1279" t="str">
            <v>Zarpeo de boveda</v>
          </cell>
          <cell r="C1279" t="str">
            <v>M2</v>
          </cell>
          <cell r="D1279">
            <v>31.576000000000001</v>
          </cell>
          <cell r="E1279">
            <v>1</v>
          </cell>
          <cell r="F1279">
            <v>36.312399999999997</v>
          </cell>
        </row>
        <row r="1280">
          <cell r="A1280" t="str">
            <v>ZAR03</v>
          </cell>
          <cell r="B1280" t="str">
            <v>Zarpeo de dalas y castillos</v>
          </cell>
          <cell r="C1280" t="str">
            <v>ML</v>
          </cell>
          <cell r="D1280">
            <v>8.7711111111111109</v>
          </cell>
          <cell r="E1280">
            <v>1</v>
          </cell>
          <cell r="F1280">
            <v>10.086777777777776</v>
          </cell>
        </row>
        <row r="1281">
          <cell r="A1281" t="str">
            <v>ZAR04</v>
          </cell>
          <cell r="B1281" t="str">
            <v>Zarpeo de muro con cemento</v>
          </cell>
          <cell r="C1281" t="str">
            <v>M2</v>
          </cell>
          <cell r="D1281">
            <v>21.050666666666665</v>
          </cell>
          <cell r="E1281">
            <v>1</v>
          </cell>
          <cell r="F1281">
            <v>24.208266666666663</v>
          </cell>
        </row>
        <row r="1282">
          <cell r="A1282" t="str">
            <v>ZAR04f</v>
          </cell>
          <cell r="B1282" t="str">
            <v>Zarpeo de muro con manoseo para cubrir porocidad</v>
          </cell>
          <cell r="C1282" t="str">
            <v>M2</v>
          </cell>
          <cell r="D1282">
            <v>30.361538461538462</v>
          </cell>
          <cell r="E1282">
            <v>1</v>
          </cell>
          <cell r="F1282">
            <v>34.915769230769229</v>
          </cell>
        </row>
        <row r="1283">
          <cell r="A1283" t="str">
            <v>ZAR05</v>
          </cell>
          <cell r="B1283" t="str">
            <v>Zarpeo de panel</v>
          </cell>
          <cell r="C1283" t="str">
            <v>M2</v>
          </cell>
          <cell r="D1283">
            <v>26.313333333333333</v>
          </cell>
          <cell r="E1283">
            <v>1</v>
          </cell>
          <cell r="F1283">
            <v>30.260333333333332</v>
          </cell>
        </row>
        <row r="1284">
          <cell r="A1284" t="str">
            <v>ZAR06</v>
          </cell>
          <cell r="B1284" t="str">
            <v>Zarpeo de vigas</v>
          </cell>
          <cell r="C1284" t="str">
            <v>ML</v>
          </cell>
          <cell r="D1284">
            <v>13.156666666666666</v>
          </cell>
          <cell r="E1284">
            <v>1</v>
          </cell>
          <cell r="F1284">
            <v>15.130166666666666</v>
          </cell>
        </row>
        <row r="1285">
          <cell r="A1285" t="str">
            <v>ZAR07</v>
          </cell>
          <cell r="B1285" t="str">
            <v>Zarpeo de columnas o vigas con crest y festerbond</v>
          </cell>
          <cell r="C1285" t="str">
            <v>ML</v>
          </cell>
          <cell r="D1285">
            <v>8.7711111111111109</v>
          </cell>
          <cell r="E1285">
            <v>1</v>
          </cell>
          <cell r="F1285">
            <v>10.086777777777776</v>
          </cell>
        </row>
        <row r="1286">
          <cell r="A1286" t="str">
            <v>SELLS</v>
          </cell>
          <cell r="B1286" t="str">
            <v>Sellado con silicon en esquinas muros ,muebles y puertas</v>
          </cell>
          <cell r="C1286" t="str">
            <v>ML</v>
          </cell>
          <cell r="D1286">
            <v>6.0723076923076924</v>
          </cell>
          <cell r="E1286"/>
          <cell r="F1286">
            <v>6.9831538461538454</v>
          </cell>
        </row>
        <row r="1287">
          <cell r="A1287" t="str">
            <v>SILL01</v>
          </cell>
          <cell r="B1287" t="str">
            <v>Silletas para mallalack</v>
          </cell>
          <cell r="C1287" t="str">
            <v>PZA</v>
          </cell>
          <cell r="D1287">
            <v>10.525333333333332</v>
          </cell>
          <cell r="E1287"/>
          <cell r="F1287">
            <v>12.104133333333332</v>
          </cell>
        </row>
        <row r="1288">
          <cell r="A1288" t="str">
            <v>SOL01</v>
          </cell>
          <cell r="B1288" t="str">
            <v>Soldadura estructural de perfiles metalicos</v>
          </cell>
          <cell r="C1288" t="str">
            <v>KG</v>
          </cell>
          <cell r="D1288">
            <v>5.25</v>
          </cell>
          <cell r="E1288"/>
          <cell r="F1288"/>
        </row>
        <row r="1289">
          <cell r="A1289" t="str">
            <v>SOL02</v>
          </cell>
          <cell r="B1289" t="str">
            <v>Soldadura estructural de perfiles laminares</v>
          </cell>
          <cell r="C1289" t="str">
            <v>KG</v>
          </cell>
          <cell r="D1289">
            <v>7.5600000000000005</v>
          </cell>
          <cell r="E1289"/>
          <cell r="F1289"/>
        </row>
        <row r="1290">
          <cell r="A1290" t="str">
            <v>SOL03</v>
          </cell>
          <cell r="B1290" t="str">
            <v>Punteada con soldadura en varillas</v>
          </cell>
          <cell r="C1290" t="str">
            <v>PZA</v>
          </cell>
          <cell r="D1290"/>
          <cell r="E1290"/>
          <cell r="F1290"/>
        </row>
        <row r="1291">
          <cell r="A1291" t="str">
            <v>TAP01</v>
          </cell>
          <cell r="B1291" t="str">
            <v>Tapa de registro armada,cimbrada y colada</v>
          </cell>
          <cell r="C1291" t="str">
            <v>PZA</v>
          </cell>
          <cell r="D1291">
            <v>98.674999999999997</v>
          </cell>
          <cell r="E1291">
            <v>1</v>
          </cell>
          <cell r="F1291">
            <v>113.47624999999999</v>
          </cell>
        </row>
        <row r="1292">
          <cell r="A1292" t="str">
            <v>TAP02</v>
          </cell>
          <cell r="B1292" t="str">
            <v>Taponeo de muro o pasada registro o cimiento</v>
          </cell>
          <cell r="C1292" t="str">
            <v>PZA</v>
          </cell>
          <cell r="D1292">
            <v>65.783333333333331</v>
          </cell>
          <cell r="E1292">
            <v>1</v>
          </cell>
          <cell r="F1292">
            <v>75.650833333333324</v>
          </cell>
        </row>
        <row r="1293">
          <cell r="A1293" t="str">
            <v>TELA1</v>
          </cell>
          <cell r="B1293" t="str">
            <v>Colocacion de tela de alambre en boveda</v>
          </cell>
          <cell r="C1293" t="str">
            <v>M2</v>
          </cell>
          <cell r="D1293">
            <v>31.576000000000001</v>
          </cell>
          <cell r="E1293"/>
          <cell r="F1293">
            <v>36.312399999999997</v>
          </cell>
        </row>
        <row r="1294">
          <cell r="A1294" t="str">
            <v>TELA2</v>
          </cell>
          <cell r="B1294" t="str">
            <v>Colocacion de tela de alambre en dala o castillos</v>
          </cell>
          <cell r="C1294" t="str">
            <v>ML</v>
          </cell>
          <cell r="D1294">
            <v>15.788</v>
          </cell>
          <cell r="E1294"/>
          <cell r="F1294">
            <v>18.156199999999998</v>
          </cell>
        </row>
        <row r="1295">
          <cell r="A1295" t="str">
            <v>TELA3</v>
          </cell>
          <cell r="B1295" t="str">
            <v>Colocacion de tela de alambre en muro</v>
          </cell>
          <cell r="C1295" t="str">
            <v>M2</v>
          </cell>
          <cell r="D1295">
            <v>22.554285714285715</v>
          </cell>
          <cell r="E1295"/>
          <cell r="F1295">
            <v>25.937428571428569</v>
          </cell>
        </row>
        <row r="1296">
          <cell r="A1296" t="str">
            <v>TELA4</v>
          </cell>
          <cell r="B1296" t="str">
            <v>Colocacion de tela de alambre en azotea</v>
          </cell>
          <cell r="C1296" t="str">
            <v>M2</v>
          </cell>
          <cell r="D1296">
            <v>15.788</v>
          </cell>
          <cell r="E1296"/>
          <cell r="F1296">
            <v>18.156199999999998</v>
          </cell>
        </row>
        <row r="1297">
          <cell r="A1297" t="str">
            <v>TELA5</v>
          </cell>
          <cell r="B1297" t="str">
            <v>Colocacion de tela de alambre sobre cimbra c/amarre a trabes</v>
          </cell>
          <cell r="C1297" t="str">
            <v>M2</v>
          </cell>
          <cell r="D1297">
            <v>7.8940000000000001</v>
          </cell>
          <cell r="E1297"/>
          <cell r="F1297">
            <v>9.0780999999999992</v>
          </cell>
        </row>
        <row r="1298">
          <cell r="A1298" t="str">
            <v>TIR01</v>
          </cell>
          <cell r="B1298" t="str">
            <v>Tirantes de varilla en boveda</v>
          </cell>
          <cell r="C1298" t="str">
            <v>ML</v>
          </cell>
          <cell r="D1298">
            <v>19.734999999999999</v>
          </cell>
          <cell r="E1298"/>
          <cell r="F1298">
            <v>22.695249999999998</v>
          </cell>
        </row>
        <row r="1299">
          <cell r="A1299" t="str">
            <v>TOPE</v>
          </cell>
          <cell r="B1299" t="str">
            <v>Tope, arm.cimbra, colado y anclado</v>
          </cell>
          <cell r="C1299" t="str">
            <v>PZA</v>
          </cell>
          <cell r="D1299">
            <v>98.674999999999997</v>
          </cell>
          <cell r="E1299"/>
          <cell r="F1299">
            <v>113.47624999999999</v>
          </cell>
        </row>
        <row r="1300">
          <cell r="A1300" t="str">
            <v>TOPE2</v>
          </cell>
          <cell r="B1300" t="str">
            <v>Trazo, nivelacion y recibir tope prefabricado con masilla</v>
          </cell>
          <cell r="C1300" t="str">
            <v>PZA</v>
          </cell>
          <cell r="D1300">
            <v>49.337499999999999</v>
          </cell>
          <cell r="E1300"/>
          <cell r="F1300">
            <v>56.738124999999997</v>
          </cell>
        </row>
        <row r="1301">
          <cell r="A1301" t="str">
            <v>TOPO1</v>
          </cell>
          <cell r="B1301" t="str">
            <v xml:space="preserve">Topografia </v>
          </cell>
          <cell r="C1301" t="str">
            <v>HORA</v>
          </cell>
          <cell r="D1301">
            <v>270</v>
          </cell>
          <cell r="E1301"/>
          <cell r="F1301"/>
        </row>
        <row r="1302">
          <cell r="A1302" t="str">
            <v>TOPO2</v>
          </cell>
          <cell r="B1302" t="str">
            <v xml:space="preserve">Topografia </v>
          </cell>
          <cell r="C1302" t="str">
            <v>HORA</v>
          </cell>
          <cell r="D1302">
            <v>297</v>
          </cell>
          <cell r="E1302"/>
          <cell r="F1302"/>
        </row>
        <row r="1303">
          <cell r="A1303" t="str">
            <v>TRA01</v>
          </cell>
          <cell r="B1303" t="str">
            <v>Traslapes en castillos y dalas</v>
          </cell>
          <cell r="C1303" t="str">
            <v>PZA</v>
          </cell>
          <cell r="D1303">
            <v>19.734999999999999</v>
          </cell>
          <cell r="E1303"/>
          <cell r="F1303">
            <v>22.695249999999998</v>
          </cell>
        </row>
        <row r="1304">
          <cell r="A1304" t="str">
            <v>TRA02</v>
          </cell>
          <cell r="B1304" t="str">
            <v>Traslapes en varillas muro de panel</v>
          </cell>
          <cell r="C1304" t="str">
            <v>PZA</v>
          </cell>
          <cell r="D1304">
            <v>9.8674999999999997</v>
          </cell>
          <cell r="E1304"/>
          <cell r="F1304">
            <v>11.347624999999999</v>
          </cell>
        </row>
        <row r="1305">
          <cell r="A1305" t="str">
            <v>TRA03</v>
          </cell>
          <cell r="B1305" t="str">
            <v>Traspaleo 0.00-10.00 mts</v>
          </cell>
          <cell r="C1305" t="str">
            <v>M3</v>
          </cell>
          <cell r="D1305">
            <v>71.763636363636365</v>
          </cell>
          <cell r="E1305"/>
          <cell r="F1305">
            <v>82.528181818181821</v>
          </cell>
        </row>
        <row r="1306">
          <cell r="A1306" t="str">
            <v>TRA04</v>
          </cell>
          <cell r="B1306" t="str">
            <v>Traspaleo de 0.00-30.00 mts acarreo carretilla</v>
          </cell>
          <cell r="C1306" t="str">
            <v>M3</v>
          </cell>
          <cell r="D1306">
            <v>143.52727272727273</v>
          </cell>
          <cell r="E1306"/>
          <cell r="F1306">
            <v>165.05636363636364</v>
          </cell>
        </row>
        <row r="1307">
          <cell r="A1307" t="str">
            <v>TRA05</v>
          </cell>
          <cell r="B1307" t="str">
            <v>Traspaleo de 0.00-50.00 mts acarreo carretilla</v>
          </cell>
          <cell r="C1307" t="str">
            <v>M3</v>
          </cell>
          <cell r="D1307">
            <v>197.35</v>
          </cell>
          <cell r="E1307"/>
          <cell r="F1307">
            <v>226.95249999999999</v>
          </cell>
        </row>
        <row r="1308">
          <cell r="A1308" t="str">
            <v>TRA06</v>
          </cell>
          <cell r="B1308" t="str">
            <v>Traspaleo a botes mezcla o escombro distancia 15 mts</v>
          </cell>
          <cell r="C1308" t="str">
            <v>M3</v>
          </cell>
          <cell r="D1308">
            <v>157.88</v>
          </cell>
          <cell r="E1308"/>
          <cell r="F1308">
            <v>181.56199999999998</v>
          </cell>
        </row>
        <row r="1309">
          <cell r="A1309" t="str">
            <v>TRA07</v>
          </cell>
          <cell r="B1309" t="str">
            <v>Trazo y nivelacion de terreno</v>
          </cell>
          <cell r="C1309" t="str">
            <v>M2</v>
          </cell>
          <cell r="D1309">
            <v>2.6313333333333331</v>
          </cell>
          <cell r="E1309"/>
          <cell r="F1309">
            <v>3.0260333333333329</v>
          </cell>
        </row>
        <row r="1310">
          <cell r="A1310" t="str">
            <v>TUBO38</v>
          </cell>
          <cell r="B1310" t="str">
            <v>Instalacion de tubo de concreto diametro 38 cms</v>
          </cell>
          <cell r="C1310" t="str">
            <v>ML</v>
          </cell>
          <cell r="D1310">
            <v>52.626666666666665</v>
          </cell>
          <cell r="E1310"/>
          <cell r="F1310">
            <v>60.520666666666664</v>
          </cell>
        </row>
        <row r="1311">
          <cell r="A1311" t="str">
            <v>TUBO45</v>
          </cell>
          <cell r="B1311" t="str">
            <v>Instalacion de tubo de concreto diametro 45 cms</v>
          </cell>
          <cell r="C1311" t="str">
            <v>ML</v>
          </cell>
          <cell r="D1311">
            <v>78.94</v>
          </cell>
          <cell r="E1311"/>
          <cell r="F1311">
            <v>90.780999999999992</v>
          </cell>
        </row>
        <row r="1312">
          <cell r="A1312" t="str">
            <v>VEL01</v>
          </cell>
          <cell r="B1312" t="str">
            <v>Velador</v>
          </cell>
          <cell r="C1312" t="str">
            <v>JORNAL</v>
          </cell>
          <cell r="D1312">
            <v>405.58</v>
          </cell>
          <cell r="E1312"/>
          <cell r="F1312">
            <v>240</v>
          </cell>
        </row>
        <row r="1313">
          <cell r="A1313" t="str">
            <v>VER01</v>
          </cell>
          <cell r="B1313" t="str">
            <v>Vertedero, forjado y terminado</v>
          </cell>
          <cell r="C1313" t="str">
            <v>ML</v>
          </cell>
          <cell r="D1313">
            <v>394.7</v>
          </cell>
          <cell r="E1313"/>
          <cell r="F1313">
            <v>453.90499999999997</v>
          </cell>
        </row>
        <row r="1314">
          <cell r="A1314" t="str">
            <v>VIAL</v>
          </cell>
          <cell r="B1314" t="str">
            <v>Instalacion de vialeta en pisos de estacionamiento</v>
          </cell>
          <cell r="C1314" t="str">
            <v>PZA</v>
          </cell>
          <cell r="D1314">
            <v>12.353677621283255</v>
          </cell>
          <cell r="E1314"/>
          <cell r="F1314">
            <v>14.206729264475742</v>
          </cell>
        </row>
        <row r="1315">
          <cell r="A1315" t="str">
            <v>VIGAMA</v>
          </cell>
          <cell r="B1315" t="str">
            <v>Corte, colocacion y nivelacion de viga de madera para cubiertas</v>
          </cell>
          <cell r="C1315" t="str">
            <v>ML</v>
          </cell>
          <cell r="D1315">
            <v>63.712671509281677</v>
          </cell>
          <cell r="E1315"/>
          <cell r="F1315">
            <v>73.26957223567392</v>
          </cell>
        </row>
        <row r="1316">
          <cell r="A1316" t="str">
            <v>VITRO</v>
          </cell>
          <cell r="B1316" t="str">
            <v>Vitroblock, instalacion por pza. incluye limpieza</v>
          </cell>
          <cell r="C1316" t="str">
            <v>PZA</v>
          </cell>
          <cell r="D1316">
            <v>34.321739130434779</v>
          </cell>
          <cell r="E1316"/>
          <cell r="F1316">
            <v>39.469999999999992</v>
          </cell>
        </row>
        <row r="1317">
          <cell r="A1317" t="str">
            <v>ZAP01</v>
          </cell>
          <cell r="B1317" t="str">
            <v>Colado de zapata rev. Hecha en obra, c/traspaleos</v>
          </cell>
          <cell r="C1317" t="str">
            <v>M3</v>
          </cell>
          <cell r="D1317">
            <v>394.7</v>
          </cell>
          <cell r="E1317">
            <v>1</v>
          </cell>
          <cell r="F1317">
            <v>453.90499999999997</v>
          </cell>
        </row>
        <row r="1318">
          <cell r="A1318" t="str">
            <v>ZAP02</v>
          </cell>
          <cell r="B1318" t="str">
            <v>Colado de zapata rev. Premezclada</v>
          </cell>
          <cell r="C1318" t="str">
            <v>M3</v>
          </cell>
          <cell r="D1318">
            <v>197.35</v>
          </cell>
          <cell r="E1318"/>
          <cell r="F1318">
            <v>226.95249999999999</v>
          </cell>
        </row>
        <row r="1319">
          <cell r="A1319" t="str">
            <v>ZAV01</v>
          </cell>
          <cell r="B1319" t="str">
            <v>Zavaleta con revoltura</v>
          </cell>
          <cell r="C1319" t="str">
            <v>ML</v>
          </cell>
          <cell r="D1319">
            <v>57.914513556618822</v>
          </cell>
          <cell r="E1319">
            <v>1</v>
          </cell>
          <cell r="F1319">
            <v>66.601690590111644</v>
          </cell>
        </row>
        <row r="1320">
          <cell r="A1320" t="str">
            <v>ZAV02</v>
          </cell>
          <cell r="B1320" t="str">
            <v>Zavaleta de 1/2 ladrillo</v>
          </cell>
          <cell r="C1320" t="str">
            <v>ML</v>
          </cell>
          <cell r="D1320">
            <v>37.770334928229666</v>
          </cell>
          <cell r="E1320">
            <v>1</v>
          </cell>
          <cell r="F1320">
            <v>43.435885167464114</v>
          </cell>
        </row>
        <row r="1321">
          <cell r="A1321" t="str">
            <v>ZAV03</v>
          </cell>
          <cell r="B1321" t="str">
            <v>Zavaleta ladrillo entero</v>
          </cell>
          <cell r="C1321" t="str">
            <v>ML</v>
          </cell>
          <cell r="D1321">
            <v>37.770334928229666</v>
          </cell>
          <cell r="E1321">
            <v>1</v>
          </cell>
          <cell r="F1321">
            <v>43.435885167464114</v>
          </cell>
        </row>
        <row r="1322">
          <cell r="A1322" t="str">
            <v>ZOC01</v>
          </cell>
          <cell r="B1322" t="str">
            <v>Zoclo de ceramica cortado</v>
          </cell>
          <cell r="C1322" t="str">
            <v>ML</v>
          </cell>
          <cell r="D1322">
            <v>56.385714285714286</v>
          </cell>
          <cell r="F1322">
            <v>64.843571428571423</v>
          </cell>
        </row>
        <row r="1323">
          <cell r="A1323" t="str">
            <v>ZOC01C</v>
          </cell>
          <cell r="B1323" t="str">
            <v>Zoclo de ceramica en casa habitacion</v>
          </cell>
          <cell r="C1323" t="str">
            <v>ML</v>
          </cell>
          <cell r="D1323">
            <v>30</v>
          </cell>
          <cell r="F1323">
            <v>34.5</v>
          </cell>
        </row>
        <row r="1324">
          <cell r="A1324" t="str">
            <v>ZOC02</v>
          </cell>
          <cell r="B1324" t="str">
            <v>Zoclo de ladrillo peron, incluye corte, ranura y resane</v>
          </cell>
          <cell r="C1324" t="str">
            <v>ML</v>
          </cell>
          <cell r="D1324">
            <v>105.25333333333333</v>
          </cell>
          <cell r="F1324">
            <v>121.04133333333333</v>
          </cell>
        </row>
        <row r="1325">
          <cell r="A1325"/>
          <cell r="B1325"/>
          <cell r="C1325"/>
          <cell r="D1325"/>
          <cell r="E1325"/>
          <cell r="F1325"/>
        </row>
        <row r="1326">
          <cell r="A1326"/>
          <cell r="B1326"/>
          <cell r="C1326"/>
          <cell r="D1326"/>
          <cell r="E1326"/>
          <cell r="F1326"/>
        </row>
        <row r="1327">
          <cell r="A1327"/>
          <cell r="B1327"/>
          <cell r="C1327"/>
          <cell r="D1327"/>
          <cell r="E1327"/>
          <cell r="F1327"/>
        </row>
        <row r="1328">
          <cell r="A1328"/>
          <cell r="B1328"/>
          <cell r="C1328"/>
          <cell r="D1328"/>
          <cell r="E1328"/>
          <cell r="F1328"/>
        </row>
        <row r="1329">
          <cell r="A1329"/>
          <cell r="B1329"/>
          <cell r="C1329"/>
          <cell r="D1329"/>
          <cell r="E1329"/>
          <cell r="F1329"/>
        </row>
        <row r="1330">
          <cell r="A1330" t="str">
            <v>PONTO QUITO PRECIOS</v>
          </cell>
          <cell r="B1330"/>
          <cell r="D1330"/>
          <cell r="E1330"/>
          <cell r="F1330"/>
        </row>
        <row r="1331">
          <cell r="A1331"/>
          <cell r="B1331"/>
          <cell r="D1331"/>
          <cell r="E1331"/>
          <cell r="F1331"/>
        </row>
        <row r="1332">
          <cell r="A1332" t="str">
            <v>CVE</v>
          </cell>
          <cell r="B1332" t="str">
            <v>CONCEPTO</v>
          </cell>
          <cell r="C1332" t="str">
            <v>UNIDAD</v>
          </cell>
          <cell r="D1332" t="str">
            <v>P.UNIT.</v>
          </cell>
          <cell r="E1332"/>
          <cell r="F1332"/>
        </row>
        <row r="1333">
          <cell r="A1333"/>
          <cell r="B1333"/>
          <cell r="D1333"/>
          <cell r="E1333"/>
          <cell r="F1333"/>
        </row>
        <row r="1334">
          <cell r="A1334" t="str">
            <v>PQcc20x20</v>
          </cell>
          <cell r="B1334" t="str">
            <v>Armado de castillo 15x15 varilla 1/2" y est 3/8", cimbra y colado 20x20</v>
          </cell>
          <cell r="C1334" t="str">
            <v>ML</v>
          </cell>
          <cell r="D1334">
            <v>600</v>
          </cell>
          <cell r="E1334"/>
          <cell r="F1334"/>
        </row>
        <row r="1335">
          <cell r="A1335" t="str">
            <v>PQcc25x20</v>
          </cell>
          <cell r="B1335" t="str">
            <v>Armado de castillo 20x15 varilla 1/2" y est 3/8", cimbra y colado 25x20</v>
          </cell>
          <cell r="C1335" t="str">
            <v>ML</v>
          </cell>
          <cell r="D1335">
            <v>650</v>
          </cell>
          <cell r="E1335"/>
          <cell r="F1335"/>
        </row>
        <row r="1336">
          <cell r="A1336" t="str">
            <v>PQcc30x20</v>
          </cell>
          <cell r="B1336" t="str">
            <v>Armado de castillo 25x15 varilla 1/2" y est 3/8", cimbra y colado 30x20</v>
          </cell>
          <cell r="C1336" t="str">
            <v>ML</v>
          </cell>
          <cell r="D1336">
            <v>700</v>
          </cell>
          <cell r="E1336"/>
          <cell r="F1336"/>
        </row>
        <row r="1337">
          <cell r="A1337" t="str">
            <v>PQtb20x50</v>
          </cell>
          <cell r="B1337" t="str">
            <v>Armado de trabe de 45x15 varilla 1/2" y estribos 3/8" cimbra y colado 20x50</v>
          </cell>
          <cell r="C1337" t="str">
            <v>ML</v>
          </cell>
          <cell r="D1337">
            <v>1000</v>
          </cell>
          <cell r="E1337"/>
          <cell r="F1337"/>
        </row>
        <row r="1338">
          <cell r="A1338" t="str">
            <v>PQzap1x85</v>
          </cell>
          <cell r="B1338" t="str">
            <v>Armado de parrilla 1x85 varilla 1/2" @20 cms cimbra y colado 85x20</v>
          </cell>
          <cell r="C1338" t="str">
            <v>ML</v>
          </cell>
          <cell r="D1338">
            <v>800</v>
          </cell>
          <cell r="E1338"/>
          <cell r="F1338"/>
        </row>
        <row r="1339">
          <cell r="A1339" t="str">
            <v>PQbk14.20.40c</v>
          </cell>
          <cell r="B1339" t="str">
            <v>Muro de block de 14x20x40 capuchino colocando andamios h= 4mts</v>
          </cell>
          <cell r="C1339" t="str">
            <v>M2</v>
          </cell>
          <cell r="D1339">
            <v>200</v>
          </cell>
          <cell r="E1339"/>
          <cell r="F1339"/>
        </row>
        <row r="1340">
          <cell r="A1340" t="str">
            <v>PQbk14.20.40s</v>
          </cell>
          <cell r="B1340" t="str">
            <v>Muro de block de 14x20x40 soga colocando andamios h= 4mts</v>
          </cell>
          <cell r="C1340" t="str">
            <v>M2</v>
          </cell>
          <cell r="D1340">
            <v>200</v>
          </cell>
          <cell r="E1340"/>
          <cell r="F1340"/>
        </row>
        <row r="1341">
          <cell r="A1341" t="str">
            <v>PQbk14.20.40t</v>
          </cell>
          <cell r="B1341" t="str">
            <v>Muro de block de 14x20x40 tezon contencion 0-2.00 h</v>
          </cell>
          <cell r="C1341" t="str">
            <v>M2</v>
          </cell>
          <cell r="D1341">
            <v>400</v>
          </cell>
          <cell r="E1341"/>
          <cell r="F1341"/>
        </row>
        <row r="1342">
          <cell r="A1342" t="str">
            <v>PQbk14.20.40t2</v>
          </cell>
          <cell r="B1342" t="str">
            <v>Muro de block de 14x20x40 tezon contencion 2.00 h andamios</v>
          </cell>
          <cell r="C1342" t="str">
            <v>M2</v>
          </cell>
          <cell r="D1342">
            <v>500</v>
          </cell>
          <cell r="E1342"/>
          <cell r="F1342"/>
        </row>
        <row r="1343">
          <cell r="A1343" t="str">
            <v>PQmam1r80</v>
          </cell>
          <cell r="B1343" t="str">
            <v>Pegado de muro de piedra 1 rostro arranque 80 cms alto 1</v>
          </cell>
          <cell r="C1343" t="str">
            <v>ML</v>
          </cell>
          <cell r="D1343">
            <v>1000</v>
          </cell>
          <cell r="E1343"/>
          <cell r="F1343"/>
        </row>
        <row r="1344">
          <cell r="A1344" t="str">
            <v>PQmam1r80-60</v>
          </cell>
          <cell r="B1344" t="str">
            <v>Pegado de muro de piedra 1 rostro 80 a 60 cms alto 1</v>
          </cell>
          <cell r="C1344" t="str">
            <v>ML</v>
          </cell>
          <cell r="D1344">
            <v>1000</v>
          </cell>
          <cell r="E1344"/>
          <cell r="F1344"/>
        </row>
        <row r="1345">
          <cell r="A1345" t="str">
            <v>PQenj0-3</v>
          </cell>
          <cell r="B1345" t="str">
            <v>Enjarre repellado incluye malla en boquillas, zarpeo y enjarre 0-3.00</v>
          </cell>
          <cell r="C1345" t="str">
            <v>M2</v>
          </cell>
          <cell r="D1345">
            <v>250</v>
          </cell>
          <cell r="E1345"/>
          <cell r="F1345"/>
        </row>
        <row r="1346">
          <cell r="A1346" t="str">
            <v>PQenj3-5</v>
          </cell>
          <cell r="B1346" t="str">
            <v>Enjarre repellado incluye malla en boquillas, zarpeo y enjarre 3.00-5.00</v>
          </cell>
          <cell r="C1346" t="str">
            <v>M2</v>
          </cell>
          <cell r="D1346">
            <v>300</v>
          </cell>
          <cell r="E1346"/>
          <cell r="F1346"/>
        </row>
        <row r="1347">
          <cell r="A1347" t="str">
            <v>PQboq2b</v>
          </cell>
          <cell r="B1347" t="str">
            <v>Boquilla con boleado grueso por 2 lados</v>
          </cell>
          <cell r="C1347" t="str">
            <v>ML</v>
          </cell>
          <cell r="D1347">
            <v>250</v>
          </cell>
          <cell r="E1347"/>
          <cell r="F1347"/>
        </row>
        <row r="1348">
          <cell r="A1348" t="str">
            <v>PQboq1b</v>
          </cell>
          <cell r="B1348" t="str">
            <v>Boquilla con boleado grueso por 1 lado</v>
          </cell>
          <cell r="C1348" t="str">
            <v>ML</v>
          </cell>
          <cell r="D1348">
            <v>150</v>
          </cell>
          <cell r="E1348"/>
          <cell r="F1348"/>
        </row>
        <row r="1349">
          <cell r="A1349" t="str">
            <v>PQsuecem20</v>
          </cell>
          <cell r="B1349" t="str">
            <v>Relleno con suelo cemento humedo compactado 20 cms espesor, incluye acarreos</v>
          </cell>
          <cell r="C1349" t="str">
            <v>M2</v>
          </cell>
          <cell r="D1349">
            <v>100</v>
          </cell>
          <cell r="E1349"/>
          <cell r="F1349"/>
        </row>
        <row r="1350">
          <cell r="A1350" t="str">
            <v>PQsuecem40</v>
          </cell>
          <cell r="B1350" t="str">
            <v>Relleno con suelo cemento humedo compactado 40 cms espesor, incluye acarreos</v>
          </cell>
          <cell r="C1350" t="str">
            <v>M2</v>
          </cell>
          <cell r="D1350">
            <v>200</v>
          </cell>
          <cell r="E1350"/>
          <cell r="F1350"/>
        </row>
        <row r="1351">
          <cell r="A1351" t="str">
            <v>PQsuecem60</v>
          </cell>
          <cell r="B1351" t="str">
            <v>Relleno con suelo cemento humedo compactado 60 cms espesor, incluye acarreos</v>
          </cell>
          <cell r="C1351" t="str">
            <v>M2</v>
          </cell>
          <cell r="D1351">
            <v>300</v>
          </cell>
          <cell r="E1351"/>
          <cell r="F1351"/>
        </row>
        <row r="1352">
          <cell r="A1352" t="str">
            <v>PQexc1x1x1</v>
          </cell>
          <cell r="B1352" t="str">
            <v>Excavacion para cimentacion de 1.00x1.00x1.00 terreno normal</v>
          </cell>
          <cell r="C1352" t="str">
            <v>ML</v>
          </cell>
          <cell r="D1352">
            <v>500</v>
          </cell>
          <cell r="E1352"/>
          <cell r="F1352"/>
        </row>
        <row r="1353">
          <cell r="A1353" t="str">
            <v>PQexc1x1x1-2</v>
          </cell>
          <cell r="B1353" t="str">
            <v>Excavacion para cimentacion de 1.00x1.00x1.00 terreno duro cascajo o laja</v>
          </cell>
          <cell r="C1353" t="str">
            <v>ML</v>
          </cell>
          <cell r="D1353">
            <v>500</v>
          </cell>
          <cell r="E1353"/>
          <cell r="F1353"/>
        </row>
        <row r="1354">
          <cell r="A1354"/>
          <cell r="B1354"/>
          <cell r="D1354"/>
          <cell r="E1354"/>
          <cell r="F1354"/>
        </row>
        <row r="1355">
          <cell r="A1355" t="str">
            <v>TAPALPA, PRECIOS DEL PAY</v>
          </cell>
          <cell r="B1355"/>
          <cell r="C1355"/>
          <cell r="D1355"/>
          <cell r="E1355"/>
          <cell r="F1355"/>
        </row>
        <row r="1356">
          <cell r="A1356"/>
          <cell r="B1356"/>
          <cell r="D1356"/>
          <cell r="E1356"/>
          <cell r="F1356"/>
        </row>
        <row r="1357">
          <cell r="A1357" t="str">
            <v>TACEITE</v>
          </cell>
          <cell r="B1357" t="str">
            <v>Limpiar y aplicar aceite o barniz sobre madera</v>
          </cell>
          <cell r="C1357" t="str">
            <v>M2</v>
          </cell>
          <cell r="D1357">
            <v>50</v>
          </cell>
          <cell r="E1357"/>
          <cell r="F1357"/>
        </row>
        <row r="1358">
          <cell r="A1358" t="str">
            <v>TALB</v>
          </cell>
          <cell r="B1358" t="str">
            <v>Albañil por el día</v>
          </cell>
          <cell r="C1358" t="str">
            <v>JORNAL</v>
          </cell>
          <cell r="D1358">
            <v>600</v>
          </cell>
          <cell r="E1358"/>
          <cell r="F1358"/>
        </row>
        <row r="1359">
          <cell r="A1359" t="str">
            <v>TALJIBE</v>
          </cell>
          <cell r="B1359" t="str">
            <v>Aljibe de block, incluye armado, cimbra, colado dalas ,castillos,zarpeo y enjarre</v>
          </cell>
          <cell r="C1359" t="str">
            <v>M3</v>
          </cell>
          <cell r="D1359">
            <v>1650</v>
          </cell>
          <cell r="E1359"/>
          <cell r="F1359"/>
        </row>
        <row r="1360">
          <cell r="A1360" t="str">
            <v>TARMC</v>
          </cell>
          <cell r="B1360" t="str">
            <v>Armado de castillo con varilla de 3/8" y estribos alambrón @ 20 cms</v>
          </cell>
          <cell r="C1360" t="str">
            <v>ML</v>
          </cell>
          <cell r="D1360">
            <v>45</v>
          </cell>
          <cell r="E1360"/>
          <cell r="F1360"/>
        </row>
        <row r="1361">
          <cell r="A1361" t="str">
            <v>TBANCOC</v>
          </cell>
          <cell r="B1361" t="str">
            <v>Banquetón de cocina pulido</v>
          </cell>
          <cell r="C1361" t="str">
            <v>ML</v>
          </cell>
          <cell r="D1361">
            <v>150</v>
          </cell>
          <cell r="E1361"/>
          <cell r="F1361">
            <v>13</v>
          </cell>
        </row>
        <row r="1362">
          <cell r="A1362" t="str">
            <v>TBODEGA</v>
          </cell>
          <cell r="B1362" t="str">
            <v>Armar bodega y baño con fajillas y malla en exterior, colocar puertas</v>
          </cell>
          <cell r="C1362" t="str">
            <v>M2</v>
          </cell>
          <cell r="D1362">
            <v>350</v>
          </cell>
          <cell r="E1362"/>
          <cell r="F1362"/>
        </row>
        <row r="1363">
          <cell r="A1363" t="str">
            <v>TBOQ</v>
          </cell>
          <cell r="B1363" t="str">
            <v>Boquilla en puertas y ventanas</v>
          </cell>
          <cell r="C1363" t="str">
            <v>ML</v>
          </cell>
          <cell r="D1363">
            <v>90</v>
          </cell>
          <cell r="E1363"/>
          <cell r="F1363"/>
        </row>
        <row r="1364">
          <cell r="A1364" t="str">
            <v>TBOV</v>
          </cell>
          <cell r="B1364" t="str">
            <v>Instalar bóveda de cuña en sucio en vigas de acero</v>
          </cell>
          <cell r="C1364" t="str">
            <v>M2</v>
          </cell>
          <cell r="D1364">
            <v>150</v>
          </cell>
          <cell r="E1364"/>
          <cell r="F1364"/>
        </row>
        <row r="1365">
          <cell r="A1365" t="str">
            <v>TCCASO</v>
          </cell>
          <cell r="B1365" t="str">
            <v>Cimbrar y colar castillo de soga</v>
          </cell>
          <cell r="C1365" t="str">
            <v>ML</v>
          </cell>
          <cell r="D1365">
            <v>100</v>
          </cell>
          <cell r="E1365"/>
          <cell r="F1365"/>
        </row>
        <row r="1366">
          <cell r="A1366" t="str">
            <v>TCCASO3</v>
          </cell>
          <cell r="B1366" t="str">
            <v>Cimbrar y colar castillo de soga 3 caras</v>
          </cell>
          <cell r="C1366" t="str">
            <v>ML</v>
          </cell>
          <cell r="D1366">
            <v>120</v>
          </cell>
          <cell r="E1366"/>
          <cell r="F1366"/>
        </row>
        <row r="1367">
          <cell r="A1367" t="str">
            <v>TCCATE</v>
          </cell>
          <cell r="B1367" t="str">
            <v>Cimbrar y colar castillo de tezón</v>
          </cell>
          <cell r="C1367" t="str">
            <v>ML</v>
          </cell>
          <cell r="D1367">
            <v>120</v>
          </cell>
          <cell r="E1367"/>
          <cell r="F1367"/>
        </row>
        <row r="1368">
          <cell r="A1368" t="str">
            <v>TCCATE3</v>
          </cell>
          <cell r="B1368" t="str">
            <v>Cimbrar y colar castillo de tezón 3 caras</v>
          </cell>
          <cell r="C1368" t="str">
            <v>ML</v>
          </cell>
          <cell r="D1368">
            <v>145</v>
          </cell>
          <cell r="E1368"/>
          <cell r="F1368"/>
        </row>
        <row r="1369">
          <cell r="A1369" t="str">
            <v>TCCESO</v>
          </cell>
          <cell r="B1369" t="str">
            <v>Cimbrar y colar cerramiento de soga</v>
          </cell>
          <cell r="C1369" t="str">
            <v>ML</v>
          </cell>
          <cell r="D1369">
            <v>130</v>
          </cell>
          <cell r="E1369"/>
          <cell r="F1369"/>
        </row>
        <row r="1370">
          <cell r="A1370" t="str">
            <v>TCCETE</v>
          </cell>
          <cell r="B1370" t="str">
            <v>Cimbrar y colar cerramiento de tezón</v>
          </cell>
          <cell r="C1370" t="str">
            <v>ML</v>
          </cell>
          <cell r="D1370">
            <v>234</v>
          </cell>
          <cell r="E1370"/>
          <cell r="F1370"/>
        </row>
        <row r="1371">
          <cell r="A1371" t="str">
            <v>TCDASO</v>
          </cell>
          <cell r="B1371" t="str">
            <v xml:space="preserve">Armar, cimbrar y colar dala de 15 x 20 </v>
          </cell>
          <cell r="C1371" t="str">
            <v>ML</v>
          </cell>
          <cell r="D1371">
            <v>100</v>
          </cell>
          <cell r="E1371"/>
          <cell r="F1371"/>
        </row>
        <row r="1372">
          <cell r="A1372" t="str">
            <v>TCDATE</v>
          </cell>
          <cell r="B1372" t="str">
            <v>Cimbrar y colar dala tezón con doble armex</v>
          </cell>
          <cell r="C1372" t="str">
            <v>ML</v>
          </cell>
          <cell r="D1372">
            <v>130</v>
          </cell>
          <cell r="E1372"/>
          <cell r="F1372"/>
        </row>
        <row r="1373">
          <cell r="A1373" t="str">
            <v>TCENRAJ</v>
          </cell>
          <cell r="B1373" t="str">
            <v>Instalación de piso de rajuela a canto en cenefa ancho hasta 60 cms</v>
          </cell>
          <cell r="C1373" t="str">
            <v>ML</v>
          </cell>
          <cell r="D1373">
            <v>600</v>
          </cell>
          <cell r="E1373"/>
          <cell r="F1373"/>
        </row>
        <row r="1374">
          <cell r="A1374" t="str">
            <v>TDADO</v>
          </cell>
          <cell r="B1374" t="str">
            <v>Colado de dado completo de 80x 80 x 80</v>
          </cell>
          <cell r="C1374" t="str">
            <v>PZA</v>
          </cell>
          <cell r="D1374">
            <v>400</v>
          </cell>
          <cell r="E1374"/>
          <cell r="F1374">
            <v>62</v>
          </cell>
        </row>
        <row r="1375">
          <cell r="A1375" t="str">
            <v>TENJADO</v>
          </cell>
          <cell r="B1375" t="str">
            <v>Zarpeo, enjarre y figurado tipo adobe con estrías</v>
          </cell>
          <cell r="C1375" t="str">
            <v>M2</v>
          </cell>
          <cell r="D1375">
            <v>150</v>
          </cell>
          <cell r="E1375"/>
          <cell r="F1375"/>
        </row>
        <row r="1376">
          <cell r="A1376" t="str">
            <v>TENJAFB</v>
          </cell>
          <cell r="B1376" t="str">
            <v>Enjarre en bóveda terminado afinado, incluye andamios</v>
          </cell>
          <cell r="C1376" t="str">
            <v>M2</v>
          </cell>
          <cell r="D1376">
            <v>133</v>
          </cell>
          <cell r="E1376"/>
          <cell r="F1376"/>
        </row>
        <row r="1377">
          <cell r="A1377" t="str">
            <v>TENJAFM</v>
          </cell>
          <cell r="B1377" t="str">
            <v>Enjarre en muro terminado afinado, incluye andamios</v>
          </cell>
          <cell r="C1377" t="str">
            <v>M2</v>
          </cell>
          <cell r="D1377">
            <v>120</v>
          </cell>
          <cell r="E1377"/>
          <cell r="F1377"/>
        </row>
        <row r="1378">
          <cell r="A1378" t="str">
            <v>TENJAP</v>
          </cell>
          <cell r="B1378" t="str">
            <v>Enjarre en muro terminado apalillado, incluye andamios</v>
          </cell>
          <cell r="C1378" t="str">
            <v>M2</v>
          </cell>
          <cell r="D1378">
            <v>100</v>
          </cell>
          <cell r="E1378"/>
          <cell r="F1378"/>
        </row>
        <row r="1379">
          <cell r="A1379" t="str">
            <v>TENJB</v>
          </cell>
          <cell r="B1379" t="str">
            <v>Enjarre en bóveda, incluye zarpeos y andamios</v>
          </cell>
          <cell r="C1379" t="str">
            <v>M2</v>
          </cell>
          <cell r="D1379">
            <v>120</v>
          </cell>
          <cell r="E1379"/>
          <cell r="F1379"/>
        </row>
        <row r="1380">
          <cell r="A1380" t="str">
            <v>TENJCP</v>
          </cell>
          <cell r="B1380" t="str">
            <v>Enjarre a tallón de cuchara pulido</v>
          </cell>
          <cell r="C1380" t="str">
            <v>M2</v>
          </cell>
          <cell r="D1380">
            <v>100</v>
          </cell>
          <cell r="E1380"/>
          <cell r="F1380"/>
        </row>
        <row r="1381">
          <cell r="A1381" t="str">
            <v>TEXCAV</v>
          </cell>
          <cell r="B1381" t="str">
            <v xml:space="preserve">Excavación terreno </v>
          </cell>
          <cell r="C1381" t="str">
            <v>M3</v>
          </cell>
          <cell r="D1381">
            <v>380</v>
          </cell>
          <cell r="E1381"/>
          <cell r="F1381"/>
        </row>
        <row r="1382">
          <cell r="A1382" t="str">
            <v>TFILTRO</v>
          </cell>
          <cell r="B1382" t="str">
            <v>Filtro de grava de 10 cms compactada</v>
          </cell>
          <cell r="C1382" t="str">
            <v>M2</v>
          </cell>
          <cell r="D1382">
            <v>25</v>
          </cell>
          <cell r="E1382"/>
          <cell r="F1382">
            <v>74</v>
          </cell>
        </row>
        <row r="1383">
          <cell r="A1383" t="str">
            <v>TFIRJAL</v>
          </cell>
          <cell r="B1383" t="str">
            <v>Colocar jal con malla electro-soldada y lechadeado</v>
          </cell>
          <cell r="C1383" t="str">
            <v>M2</v>
          </cell>
          <cell r="D1383">
            <v>90</v>
          </cell>
          <cell r="E1383"/>
          <cell r="F1383">
            <v>40</v>
          </cell>
        </row>
        <row r="1384">
          <cell r="A1384" t="str">
            <v>TFOSA</v>
          </cell>
          <cell r="B1384" t="str">
            <v>Excavación, forjado y terminado de fosa séptica con filtros</v>
          </cell>
          <cell r="C1384" t="str">
            <v>M3</v>
          </cell>
          <cell r="D1384">
            <v>1200</v>
          </cell>
          <cell r="E1384"/>
          <cell r="F1384"/>
        </row>
        <row r="1385">
          <cell r="A1385" t="str">
            <v>TIMP</v>
          </cell>
          <cell r="B1385" t="str">
            <v>Raspado de superficie, repellado e impermeabilizado azotea</v>
          </cell>
          <cell r="C1385" t="str">
            <v>M2</v>
          </cell>
          <cell r="D1385">
            <v>50</v>
          </cell>
          <cell r="E1385"/>
          <cell r="F1385"/>
        </row>
        <row r="1386">
          <cell r="A1386" t="str">
            <v>TJALIN</v>
          </cell>
          <cell r="B1386" t="str">
            <v>Colocar jal en techo inclinado, incluye malla y apalillado</v>
          </cell>
          <cell r="C1386" t="str">
            <v>M2</v>
          </cell>
          <cell r="D1386">
            <v>165</v>
          </cell>
          <cell r="E1386"/>
          <cell r="F1386">
            <v>41</v>
          </cell>
        </row>
        <row r="1387">
          <cell r="A1387" t="str">
            <v>TJALP</v>
          </cell>
          <cell r="B1387" t="str">
            <v>Colocar jal en techo plano, incluye malla y apalillado</v>
          </cell>
          <cell r="C1387" t="str">
            <v>M2</v>
          </cell>
          <cell r="D1387">
            <v>125</v>
          </cell>
          <cell r="E1387"/>
          <cell r="F1387">
            <v>42</v>
          </cell>
        </row>
        <row r="1388">
          <cell r="A1388" t="str">
            <v>TLADAZ</v>
          </cell>
          <cell r="B1388" t="str">
            <v>Instalar ladrillo de azotea sobre superficies de azotea, incluye acarreos</v>
          </cell>
          <cell r="C1388" t="str">
            <v>M2</v>
          </cell>
          <cell r="D1388">
            <v>90</v>
          </cell>
          <cell r="E1388"/>
          <cell r="F1388"/>
        </row>
        <row r="1389">
          <cell r="A1389" t="str">
            <v>TLADAZA</v>
          </cell>
          <cell r="B1389" t="str">
            <v>Colocar piso de barro y juntear, detallar y limpiar terminado aparente</v>
          </cell>
          <cell r="C1389" t="str">
            <v>M2</v>
          </cell>
          <cell r="D1389">
            <v>190</v>
          </cell>
          <cell r="E1389">
            <v>49</v>
          </cell>
          <cell r="F1389"/>
        </row>
        <row r="1390">
          <cell r="A1390" t="str">
            <v>TLODADOB</v>
          </cell>
          <cell r="B1390" t="str">
            <v>Aplicar sellador y lodo sobre superficie de adobe terminado</v>
          </cell>
          <cell r="C1390" t="str">
            <v>M2</v>
          </cell>
          <cell r="D1390">
            <v>50</v>
          </cell>
          <cell r="E1390"/>
          <cell r="F1390"/>
        </row>
        <row r="1391">
          <cell r="A1391" t="str">
            <v>TLOSA</v>
          </cell>
          <cell r="B1391" t="str">
            <v>Colocar malla, colado de losa concreto y repellado</v>
          </cell>
          <cell r="C1391" t="str">
            <v>M2</v>
          </cell>
          <cell r="D1391">
            <v>100</v>
          </cell>
          <cell r="E1391"/>
          <cell r="F1391"/>
        </row>
        <row r="1392">
          <cell r="A1392" t="str">
            <v>TLOSDESP</v>
          </cell>
          <cell r="B1392" t="str">
            <v>Trazo, ranuras, barrenos, armar, cimbrar y colar losa despensa terminado</v>
          </cell>
          <cell r="C1392" t="str">
            <v>ML</v>
          </cell>
          <cell r="D1392">
            <v>300</v>
          </cell>
          <cell r="E1392"/>
          <cell r="F1392"/>
        </row>
        <row r="1393">
          <cell r="A1393" t="str">
            <v>TMAM1R40</v>
          </cell>
          <cell r="B1393" t="str">
            <v>Mamposteo de piedra 1 rostro de 40 cms</v>
          </cell>
          <cell r="C1393" t="str">
            <v>M2</v>
          </cell>
          <cell r="D1393">
            <v>800</v>
          </cell>
          <cell r="E1393"/>
          <cell r="F1393"/>
        </row>
        <row r="1394">
          <cell r="A1394" t="str">
            <v>TMAM1R40jc</v>
          </cell>
          <cell r="B1394" t="str">
            <v>Mamposteo de piedra 1 rostro de 40 cms junta cerrada</v>
          </cell>
          <cell r="C1394" t="str">
            <v>M2</v>
          </cell>
          <cell r="D1394">
            <v>2000</v>
          </cell>
          <cell r="E1394"/>
          <cell r="F1394"/>
        </row>
        <row r="1395">
          <cell r="A1395" t="str">
            <v>TMAM1R50</v>
          </cell>
          <cell r="B1395" t="str">
            <v>Mamposteo de piedra 1 rostro de 50 cms</v>
          </cell>
          <cell r="C1395" t="str">
            <v>M2</v>
          </cell>
          <cell r="D1395">
            <v>1000</v>
          </cell>
          <cell r="E1395"/>
          <cell r="F1395"/>
        </row>
        <row r="1396">
          <cell r="A1396" t="str">
            <v>TMAM1R60</v>
          </cell>
          <cell r="B1396" t="str">
            <v>Mamposteo de piedra 1 rostro de 60 cms</v>
          </cell>
          <cell r="C1396" t="str">
            <v>M2</v>
          </cell>
          <cell r="D1396">
            <v>1200</v>
          </cell>
          <cell r="E1396"/>
          <cell r="F1396"/>
        </row>
        <row r="1397">
          <cell r="A1397" t="str">
            <v>TMAM2R</v>
          </cell>
          <cell r="B1397" t="str">
            <v>Mamposteo de piedra 2 rostros de 40 a 50 cms</v>
          </cell>
          <cell r="C1397" t="str">
            <v>M2</v>
          </cell>
          <cell r="D1397">
            <v>1375</v>
          </cell>
          <cell r="E1397"/>
          <cell r="F1397"/>
        </row>
        <row r="1398">
          <cell r="A1398" t="str">
            <v>TMAM2R40</v>
          </cell>
          <cell r="B1398" t="str">
            <v>Mamposteo de piedra 2 rostros de 40 cms</v>
          </cell>
          <cell r="C1398" t="str">
            <v>M2</v>
          </cell>
          <cell r="D1398">
            <v>1300</v>
          </cell>
          <cell r="E1398"/>
          <cell r="F1398"/>
        </row>
        <row r="1399">
          <cell r="A1399" t="str">
            <v>TMAM2R50</v>
          </cell>
          <cell r="B1399" t="str">
            <v>Mamposteo de piedra 2 rostros de 50 cms</v>
          </cell>
          <cell r="C1399" t="str">
            <v>M2</v>
          </cell>
          <cell r="D1399">
            <v>1450</v>
          </cell>
          <cell r="E1399"/>
          <cell r="F1399"/>
        </row>
        <row r="1400">
          <cell r="A1400" t="str">
            <v>TMCAP</v>
          </cell>
          <cell r="B1400" t="str">
            <v>Muro de capuchino en sucio</v>
          </cell>
          <cell r="C1400" t="str">
            <v>M2</v>
          </cell>
          <cell r="D1400">
            <v>120</v>
          </cell>
          <cell r="E1400"/>
          <cell r="F1400"/>
        </row>
        <row r="1401">
          <cell r="A1401" t="str">
            <v>TMOCSO</v>
          </cell>
          <cell r="B1401" t="str">
            <v>Mocheta de soga en sucio</v>
          </cell>
          <cell r="C1401" t="str">
            <v>ML</v>
          </cell>
          <cell r="D1401">
            <v>125</v>
          </cell>
          <cell r="E1401"/>
          <cell r="F1401"/>
        </row>
        <row r="1402">
          <cell r="A1402" t="str">
            <v>TMOCTE</v>
          </cell>
          <cell r="B1402" t="str">
            <v>Mocheta de tezón en sucio</v>
          </cell>
          <cell r="C1402" t="str">
            <v>ML</v>
          </cell>
          <cell r="D1402">
            <v>150</v>
          </cell>
          <cell r="E1402"/>
          <cell r="F1402"/>
        </row>
        <row r="1403">
          <cell r="A1403" t="str">
            <v>TMSOG</v>
          </cell>
          <cell r="B1403" t="str">
            <v>Muro de soga en sucio</v>
          </cell>
          <cell r="C1403" t="str">
            <v>M2</v>
          </cell>
          <cell r="D1403">
            <v>125</v>
          </cell>
          <cell r="E1403"/>
          <cell r="F1403"/>
        </row>
        <row r="1404">
          <cell r="A1404" t="str">
            <v>TMTEZ</v>
          </cell>
          <cell r="B1404" t="str">
            <v>Muro de tezón en sucio</v>
          </cell>
          <cell r="C1404" t="str">
            <v>M2</v>
          </cell>
          <cell r="D1404">
            <v>150</v>
          </cell>
          <cell r="E1404"/>
          <cell r="F1404"/>
        </row>
        <row r="1405">
          <cell r="A1405" t="str">
            <v>TMUADOSO</v>
          </cell>
          <cell r="B1405" t="str">
            <v>Muro de adobe de soga en sucio no importa altura, inlcuye junta</v>
          </cell>
          <cell r="C1405" t="str">
            <v>M2</v>
          </cell>
          <cell r="D1405">
            <v>200</v>
          </cell>
          <cell r="E1405"/>
          <cell r="F1405"/>
        </row>
        <row r="1406">
          <cell r="A1406" t="str">
            <v>TMUADOTE</v>
          </cell>
          <cell r="B1406" t="str">
            <v>Muro de adobe de soga en sucio no importa altura, inlcuye junta</v>
          </cell>
          <cell r="C1406" t="str">
            <v>M2</v>
          </cell>
          <cell r="D1406">
            <v>300</v>
          </cell>
          <cell r="E1406"/>
          <cell r="F1406"/>
        </row>
        <row r="1407">
          <cell r="A1407" t="str">
            <v>TNIVMR</v>
          </cell>
          <cell r="B1407" t="str">
            <v>Nivelación de muro de piedra con rostro</v>
          </cell>
          <cell r="C1407" t="str">
            <v>ML</v>
          </cell>
          <cell r="D1407">
            <v>70</v>
          </cell>
          <cell r="E1407"/>
          <cell r="F1407"/>
        </row>
        <row r="1408">
          <cell r="A1408" t="str">
            <v>TPEO</v>
          </cell>
          <cell r="B1408" t="str">
            <v>Peón por el día</v>
          </cell>
          <cell r="C1408" t="str">
            <v>JORNAL</v>
          </cell>
          <cell r="D1408">
            <v>390</v>
          </cell>
          <cell r="E1408"/>
          <cell r="F1408"/>
        </row>
        <row r="1409">
          <cell r="A1409" t="str">
            <v>TPINT</v>
          </cell>
          <cell r="B1409" t="str">
            <v>Raspar, resanes, sellador y pintura terminado sobre muros y bóvedas</v>
          </cell>
          <cell r="C1409" t="str">
            <v>M2</v>
          </cell>
          <cell r="D1409">
            <v>50</v>
          </cell>
          <cell r="E1409"/>
          <cell r="F1409"/>
        </row>
        <row r="1410">
          <cell r="A1410" t="str">
            <v>TPISO</v>
          </cell>
          <cell r="B1410" t="str">
            <v>Lechadeo, colocar malla, colado de piso repellado</v>
          </cell>
          <cell r="C1410" t="str">
            <v>M2</v>
          </cell>
          <cell r="D1410">
            <v>125</v>
          </cell>
          <cell r="E1410"/>
          <cell r="F1410">
            <v>42</v>
          </cell>
        </row>
        <row r="1411">
          <cell r="A1411" t="str">
            <v>TPISORAJ</v>
          </cell>
          <cell r="B1411" t="str">
            <v>Instalación de piso de rajuela a canto en pisos</v>
          </cell>
          <cell r="C1411" t="str">
            <v>M2</v>
          </cell>
          <cell r="D1411">
            <v>1000</v>
          </cell>
          <cell r="E1411"/>
          <cell r="F1411"/>
        </row>
        <row r="1412">
          <cell r="A1412" t="str">
            <v>TREG</v>
          </cell>
          <cell r="B1412" t="str">
            <v>Excavación, forjado y terminado registro sanitario 1.00x1.00x1.00</v>
          </cell>
          <cell r="C1412" t="str">
            <v>PZA</v>
          </cell>
          <cell r="D1412">
            <v>1000</v>
          </cell>
          <cell r="E1412"/>
          <cell r="F1412"/>
        </row>
        <row r="1413">
          <cell r="A1413" t="str">
            <v>TRELLM</v>
          </cell>
          <cell r="B1413" t="str">
            <v>Relleno y compactación en capas de 20 cms con apoyo de máquina</v>
          </cell>
          <cell r="C1413" t="str">
            <v>M3</v>
          </cell>
          <cell r="D1413">
            <v>100</v>
          </cell>
          <cell r="E1413"/>
          <cell r="F1413">
            <v>124</v>
          </cell>
        </row>
        <row r="1414">
          <cell r="A1414" t="str">
            <v>TREN</v>
          </cell>
          <cell r="B1414" t="str">
            <v>Renchido de piedra</v>
          </cell>
          <cell r="C1414" t="str">
            <v>M3</v>
          </cell>
          <cell r="D1414">
            <v>400</v>
          </cell>
          <cell r="E1414"/>
          <cell r="F1414"/>
        </row>
        <row r="1415">
          <cell r="A1415" t="str">
            <v>TSUBVIGA</v>
          </cell>
          <cell r="B1415" t="str">
            <v>subir y nivelar cerramientos de madera ( incluye fester, resanes y colados )</v>
          </cell>
          <cell r="C1415" t="str">
            <v>ML</v>
          </cell>
          <cell r="D1415">
            <v>140</v>
          </cell>
          <cell r="E1415"/>
          <cell r="F1415">
            <v>135</v>
          </cell>
        </row>
        <row r="1416">
          <cell r="A1416" t="str">
            <v>TTEJA</v>
          </cell>
          <cell r="B1416" t="str">
            <v>Tejar, inculye costuras y caballeteros</v>
          </cell>
          <cell r="C1416" t="str">
            <v>M2</v>
          </cell>
          <cell r="D1416">
            <v>150</v>
          </cell>
          <cell r="E1416"/>
          <cell r="F1416">
            <v>138</v>
          </cell>
        </row>
        <row r="1417">
          <cell r="A1417" t="str">
            <v>TVADO</v>
          </cell>
          <cell r="B1417" t="str">
            <v>Vado pluvial de 1 metro de ancho</v>
          </cell>
          <cell r="C1417" t="str">
            <v>ML</v>
          </cell>
          <cell r="D1417">
            <v>90</v>
          </cell>
          <cell r="E1417"/>
          <cell r="F1417">
            <v>140</v>
          </cell>
        </row>
        <row r="1418">
          <cell r="A1418"/>
          <cell r="B1418"/>
          <cell r="C1418"/>
          <cell r="D1418"/>
          <cell r="E1418"/>
          <cell r="F1418"/>
        </row>
        <row r="1419">
          <cell r="A1419" t="str">
            <v>SAN JUAN DE ALIMA</v>
          </cell>
          <cell r="B1419"/>
          <cell r="C1419"/>
          <cell r="D1419"/>
          <cell r="E1419"/>
          <cell r="F1419"/>
        </row>
        <row r="1420">
          <cell r="A1420"/>
          <cell r="B1420"/>
          <cell r="C1420"/>
          <cell r="D1420"/>
          <cell r="E1420"/>
          <cell r="F1420"/>
        </row>
        <row r="1421">
          <cell r="A1421" t="str">
            <v>SJABB01</v>
          </cell>
          <cell r="B1421" t="str">
            <v>Abrir caja para amarre en boveda</v>
          </cell>
          <cell r="C1421" t="str">
            <v>ML</v>
          </cell>
          <cell r="D1421">
            <v>120</v>
          </cell>
          <cell r="E1421"/>
          <cell r="F1421"/>
        </row>
        <row r="1422">
          <cell r="A1422" t="str">
            <v>SJABB02</v>
          </cell>
          <cell r="B1422" t="str">
            <v>Abrir caja para amarre en muro</v>
          </cell>
          <cell r="C1422" t="str">
            <v>ML</v>
          </cell>
          <cell r="D1422">
            <v>99</v>
          </cell>
          <cell r="E1422"/>
          <cell r="F1422"/>
        </row>
        <row r="1423">
          <cell r="A1423" t="str">
            <v>SJABB03</v>
          </cell>
          <cell r="B1423" t="str">
            <v>Abrir caja para amarre en piso concreto y firme</v>
          </cell>
          <cell r="C1423" t="str">
            <v>ML</v>
          </cell>
          <cell r="D1423">
            <v>150</v>
          </cell>
          <cell r="E1423"/>
          <cell r="F1423"/>
        </row>
        <row r="1424">
          <cell r="A1424" t="str">
            <v>SJABB05</v>
          </cell>
          <cell r="B1424" t="str">
            <v>Abrir hueco en muro para amarre dalas</v>
          </cell>
          <cell r="C1424" t="str">
            <v>PZA</v>
          </cell>
          <cell r="D1424">
            <v>68</v>
          </cell>
          <cell r="E1424"/>
          <cell r="F1424"/>
        </row>
        <row r="1425">
          <cell r="A1425" t="str">
            <v>SJABB06</v>
          </cell>
          <cell r="B1425" t="str">
            <v>Abrir ranura esp. 5 cms. p/poliducto,cobre</v>
          </cell>
          <cell r="C1425" t="str">
            <v>ML</v>
          </cell>
          <cell r="D1425">
            <v>27</v>
          </cell>
          <cell r="E1425"/>
          <cell r="F1425"/>
        </row>
        <row r="1426">
          <cell r="A1426" t="str">
            <v>SJABB07</v>
          </cell>
          <cell r="B1426" t="str">
            <v>Abrir caja de luz</v>
          </cell>
          <cell r="C1426" t="str">
            <v>PZA</v>
          </cell>
          <cell r="D1426">
            <v>26</v>
          </cell>
          <cell r="E1426"/>
          <cell r="F1426"/>
        </row>
        <row r="1427">
          <cell r="A1427" t="str">
            <v>SJAFI01</v>
          </cell>
          <cell r="B1427" t="str">
            <v>Afine de enjarre en boquillas</v>
          </cell>
          <cell r="C1427" t="str">
            <v>ML</v>
          </cell>
          <cell r="D1427">
            <v>14</v>
          </cell>
          <cell r="E1427"/>
          <cell r="F1427"/>
        </row>
        <row r="1428">
          <cell r="A1428" t="str">
            <v>SJAFI02</v>
          </cell>
          <cell r="B1428" t="str">
            <v>Afine de enjarre en boveda</v>
          </cell>
          <cell r="C1428" t="str">
            <v>M2</v>
          </cell>
          <cell r="D1428">
            <v>50</v>
          </cell>
          <cell r="E1428"/>
          <cell r="F1428"/>
        </row>
        <row r="1429">
          <cell r="A1429" t="str">
            <v>SJAFI03</v>
          </cell>
          <cell r="B1429" t="str">
            <v>Afine de enjarre en muro</v>
          </cell>
          <cell r="C1429" t="str">
            <v>M2</v>
          </cell>
          <cell r="D1429">
            <v>24</v>
          </cell>
          <cell r="E1429"/>
          <cell r="F1429"/>
        </row>
        <row r="1430">
          <cell r="A1430" t="str">
            <v>SJAFIEX</v>
          </cell>
          <cell r="B1430" t="str">
            <v>Afinado de excavacion en cepas</v>
          </cell>
          <cell r="C1430" t="str">
            <v>M3</v>
          </cell>
          <cell r="D1430">
            <v>165</v>
          </cell>
          <cell r="E1430"/>
          <cell r="F1430"/>
        </row>
        <row r="1431">
          <cell r="A1431" t="str">
            <v>SJANC02</v>
          </cell>
          <cell r="B1431" t="str">
            <v>Anclado y colado de castillo en mamposteo de 40 x40 x 50</v>
          </cell>
          <cell r="C1431" t="str">
            <v>PZA</v>
          </cell>
          <cell r="D1431">
            <v>155</v>
          </cell>
          <cell r="E1431"/>
          <cell r="F1431"/>
        </row>
        <row r="1432">
          <cell r="A1432" t="str">
            <v>SJANC03</v>
          </cell>
          <cell r="B1432" t="str">
            <v>Anclado de castillo en armados</v>
          </cell>
          <cell r="C1432" t="str">
            <v>PZA</v>
          </cell>
          <cell r="D1432">
            <v>68</v>
          </cell>
        </row>
        <row r="1433">
          <cell r="A1433" t="str">
            <v>SJARM01</v>
          </cell>
          <cell r="B1433" t="str">
            <v>Armado de castillos</v>
          </cell>
          <cell r="C1433" t="str">
            <v>KG</v>
          </cell>
          <cell r="D1433">
            <v>7</v>
          </cell>
        </row>
        <row r="1434">
          <cell r="A1434" t="str">
            <v>SJARM04</v>
          </cell>
          <cell r="B1434" t="str">
            <v>Armado de dala o castillo lagartija</v>
          </cell>
          <cell r="C1434" t="str">
            <v>ML</v>
          </cell>
          <cell r="D1434">
            <v>34</v>
          </cell>
        </row>
        <row r="1435">
          <cell r="A1435" t="str">
            <v>SJARM06</v>
          </cell>
          <cell r="B1435" t="str">
            <v>Armado de parrilla para losa de ovalines o closeds</v>
          </cell>
          <cell r="C1435" t="str">
            <v>ML</v>
          </cell>
          <cell r="D1435">
            <v>103</v>
          </cell>
        </row>
        <row r="1436">
          <cell r="A1436" t="str">
            <v>SJARM07</v>
          </cell>
          <cell r="B1436" t="str">
            <v>Armado parrilla para losa de concreto</v>
          </cell>
          <cell r="C1436" t="str">
            <v>KG</v>
          </cell>
          <cell r="D1436">
            <v>7</v>
          </cell>
        </row>
        <row r="1437">
          <cell r="A1437" t="str">
            <v>SJARM09</v>
          </cell>
          <cell r="B1437" t="str">
            <v>Armado de dala o castillo 3/8" estribos de alambron 20x20</v>
          </cell>
          <cell r="C1437" t="str">
            <v>ML</v>
          </cell>
          <cell r="D1437">
            <v>54</v>
          </cell>
        </row>
        <row r="1438">
          <cell r="A1438" t="str">
            <v>SJARM09A</v>
          </cell>
          <cell r="B1438" t="str">
            <v>Armado de dala o castillo 3/8" estribos de varillas</v>
          </cell>
          <cell r="C1438" t="str">
            <v>ML</v>
          </cell>
          <cell r="D1438">
            <v>54</v>
          </cell>
        </row>
        <row r="1439">
          <cell r="A1439" t="str">
            <v>SJARMTL</v>
          </cell>
          <cell r="B1439" t="str">
            <v>Armado de trabe de liga</v>
          </cell>
          <cell r="C1439" t="str">
            <v>KG</v>
          </cell>
          <cell r="D1439">
            <v>6</v>
          </cell>
        </row>
        <row r="1440">
          <cell r="A1440" t="str">
            <v>SJARMEX</v>
          </cell>
          <cell r="B1440" t="str">
            <v>Colocar armex incluye cortes y acarreos</v>
          </cell>
          <cell r="C1440" t="str">
            <v>ML</v>
          </cell>
          <cell r="D1440">
            <v>5</v>
          </cell>
        </row>
        <row r="1441">
          <cell r="A1441" t="str">
            <v>SJBOQ02</v>
          </cell>
          <cell r="B1441" t="str">
            <v>Boquilla boleada</v>
          </cell>
          <cell r="C1441" t="str">
            <v>ML</v>
          </cell>
          <cell r="D1441">
            <v>65</v>
          </cell>
        </row>
        <row r="1442">
          <cell r="A1442" t="str">
            <v>SJBOQ06</v>
          </cell>
          <cell r="B1442" t="str">
            <v>Boquilla terminado rustico</v>
          </cell>
          <cell r="C1442" t="str">
            <v>ML</v>
          </cell>
          <cell r="D1442">
            <v>60</v>
          </cell>
        </row>
        <row r="1443">
          <cell r="A1443" t="str">
            <v>SJBOQAF</v>
          </cell>
          <cell r="B1443" t="str">
            <v>Boquilla terminado afinado esp max 30 cms</v>
          </cell>
          <cell r="C1443" t="str">
            <v>ML</v>
          </cell>
          <cell r="D1443">
            <v>80</v>
          </cell>
        </row>
        <row r="1444">
          <cell r="A1444" t="str">
            <v>SJCCA01</v>
          </cell>
          <cell r="B1444" t="str">
            <v>C.y colar castillo 3 caras p/20</v>
          </cell>
          <cell r="C1444" t="str">
            <v>ML</v>
          </cell>
          <cell r="D1444">
            <v>128</v>
          </cell>
        </row>
        <row r="1445">
          <cell r="A1445" t="str">
            <v>SJCCA02</v>
          </cell>
          <cell r="B1445" t="str">
            <v>C.y colar castillo 3 caras p/20 2a h.</v>
          </cell>
          <cell r="C1445" t="str">
            <v>ML</v>
          </cell>
          <cell r="D1445">
            <v>147</v>
          </cell>
        </row>
        <row r="1446">
          <cell r="A1446" t="str">
            <v>SJCCA13</v>
          </cell>
          <cell r="B1446" t="str">
            <v>C.y colar castillo p/soga</v>
          </cell>
          <cell r="C1446" t="str">
            <v>ML</v>
          </cell>
          <cell r="D1446">
            <v>89</v>
          </cell>
        </row>
        <row r="1447">
          <cell r="A1447" t="str">
            <v>SJCCA14</v>
          </cell>
          <cell r="B1447" t="str">
            <v>C.y colar castillo p/soga 2a h.</v>
          </cell>
          <cell r="C1447" t="str">
            <v>ML</v>
          </cell>
          <cell r="D1447">
            <v>102</v>
          </cell>
        </row>
        <row r="1448">
          <cell r="A1448" t="str">
            <v>SJCCA15</v>
          </cell>
          <cell r="B1448" t="str">
            <v>C.y colar castillo p/tezon</v>
          </cell>
          <cell r="C1448" t="str">
            <v>ML</v>
          </cell>
          <cell r="D1448">
            <v>133</v>
          </cell>
        </row>
        <row r="1449">
          <cell r="A1449" t="str">
            <v>SJCCA16</v>
          </cell>
          <cell r="B1449" t="str">
            <v>C.y colar castillo p/tezon 2a h.</v>
          </cell>
          <cell r="C1449" t="str">
            <v>ML</v>
          </cell>
          <cell r="D1449">
            <v>153</v>
          </cell>
        </row>
        <row r="1450">
          <cell r="A1450" t="str">
            <v>SJCCA17</v>
          </cell>
          <cell r="B1450" t="str">
            <v>C y colar castillo 4 caras</v>
          </cell>
          <cell r="C1450" t="str">
            <v>ML</v>
          </cell>
          <cell r="D1450">
            <v>188</v>
          </cell>
        </row>
        <row r="1451">
          <cell r="A1451" t="str">
            <v>SJCDA07</v>
          </cell>
          <cell r="B1451" t="str">
            <v>C. y colar dala desplante soga</v>
          </cell>
          <cell r="C1451" t="str">
            <v>ML</v>
          </cell>
          <cell r="D1451">
            <v>85</v>
          </cell>
        </row>
        <row r="1452">
          <cell r="A1452" t="str">
            <v>SJCDA08</v>
          </cell>
          <cell r="B1452" t="str">
            <v>C. y colar dala desplante tezon</v>
          </cell>
          <cell r="C1452" t="str">
            <v>ML</v>
          </cell>
          <cell r="D1452">
            <v>114</v>
          </cell>
        </row>
        <row r="1453">
          <cell r="A1453" t="str">
            <v>SJCCE20</v>
          </cell>
          <cell r="B1453" t="str">
            <v>C. y colar cerramiento muro 20</v>
          </cell>
          <cell r="C1453" t="str">
            <v>ML</v>
          </cell>
          <cell r="D1453">
            <v>150</v>
          </cell>
        </row>
        <row r="1454">
          <cell r="A1454" t="str">
            <v>SJCCE25</v>
          </cell>
          <cell r="B1454" t="str">
            <v>C. y colar cerramiento muro de 25</v>
          </cell>
          <cell r="C1454" t="str">
            <v>ML</v>
          </cell>
          <cell r="D1454">
            <v>155</v>
          </cell>
        </row>
        <row r="1455">
          <cell r="A1455" t="str">
            <v>SJCCE35</v>
          </cell>
          <cell r="B1455" t="str">
            <v>C. y colar cerramiento muro de 35</v>
          </cell>
          <cell r="C1455" t="str">
            <v>ML</v>
          </cell>
          <cell r="D1455">
            <v>200</v>
          </cell>
        </row>
        <row r="1456">
          <cell r="A1456" t="str">
            <v>SJCCECA</v>
          </cell>
          <cell r="B1456" t="str">
            <v>C. y colar cerramiento muro capuchino o lagartija</v>
          </cell>
          <cell r="C1456" t="str">
            <v>ML</v>
          </cell>
          <cell r="D1456">
            <v>102</v>
          </cell>
        </row>
        <row r="1457">
          <cell r="A1457" t="str">
            <v>SJCCESO</v>
          </cell>
          <cell r="B1457" t="str">
            <v>C. y colar cerramiento muro soga</v>
          </cell>
          <cell r="C1457" t="str">
            <v>ML</v>
          </cell>
          <cell r="D1457">
            <v>150</v>
          </cell>
        </row>
        <row r="1458">
          <cell r="A1458" t="str">
            <v>SJCCETE</v>
          </cell>
          <cell r="B1458" t="str">
            <v>C. y colar cerramiento muro tezon</v>
          </cell>
          <cell r="C1458" t="str">
            <v>ML</v>
          </cell>
          <cell r="D1458">
            <v>205</v>
          </cell>
        </row>
        <row r="1459">
          <cell r="A1459" t="str">
            <v>SJCIM04</v>
          </cell>
          <cell r="B1459" t="str">
            <v>Cimbra y descimbra de columna o dado</v>
          </cell>
          <cell r="C1459" t="str">
            <v>ML</v>
          </cell>
          <cell r="D1459">
            <v>60</v>
          </cell>
        </row>
        <row r="1460">
          <cell r="A1460" t="str">
            <v>SJCIM05</v>
          </cell>
          <cell r="B1460" t="str">
            <v>Cimbra y descimbra de dala</v>
          </cell>
          <cell r="C1460" t="str">
            <v>ML</v>
          </cell>
          <cell r="D1460">
            <v>51</v>
          </cell>
        </row>
        <row r="1461">
          <cell r="A1461" t="str">
            <v>SJCOM01</v>
          </cell>
          <cell r="B1461" t="str">
            <v>Compactacion de terreno suelto con bailarina</v>
          </cell>
          <cell r="C1461" t="str">
            <v>M2</v>
          </cell>
          <cell r="D1461">
            <v>17</v>
          </cell>
        </row>
        <row r="1462">
          <cell r="A1462" t="str">
            <v>SJCOM02</v>
          </cell>
          <cell r="B1462" t="str">
            <v>Compactacion terreno con pizon en capas de 10-15</v>
          </cell>
          <cell r="C1462" t="str">
            <v>M2</v>
          </cell>
          <cell r="D1462">
            <v>68</v>
          </cell>
        </row>
        <row r="1463">
          <cell r="A1463" t="str">
            <v>SJCONT1</v>
          </cell>
          <cell r="B1463" t="str">
            <v>Contracimbra de ladrillo p/zapata</v>
          </cell>
          <cell r="C1463" t="str">
            <v>ML</v>
          </cell>
          <cell r="D1463">
            <v>56</v>
          </cell>
        </row>
        <row r="1464">
          <cell r="A1464" t="str">
            <v>SJENJ01</v>
          </cell>
          <cell r="B1464" t="str">
            <v>Enjarre apalillado</v>
          </cell>
          <cell r="C1464" t="str">
            <v>M2</v>
          </cell>
          <cell r="D1464">
            <v>115</v>
          </cell>
        </row>
        <row r="1465">
          <cell r="A1465" t="str">
            <v>SJENJ02</v>
          </cell>
          <cell r="B1465" t="str">
            <v>Enjarre apalillado 2a h.</v>
          </cell>
          <cell r="C1465" t="str">
            <v>M2</v>
          </cell>
          <cell r="D1465">
            <v>132</v>
          </cell>
        </row>
        <row r="1466">
          <cell r="A1466" t="str">
            <v>SJENJ03</v>
          </cell>
          <cell r="B1466" t="str">
            <v>Enjarre apalillado en boveda</v>
          </cell>
          <cell r="C1466" t="str">
            <v>M2</v>
          </cell>
          <cell r="D1466">
            <v>141</v>
          </cell>
        </row>
        <row r="1467">
          <cell r="A1467" t="str">
            <v>SJENJ04</v>
          </cell>
          <cell r="B1467" t="str">
            <v>Enjarre apalillado en boveda 2a h.</v>
          </cell>
          <cell r="C1467" t="str">
            <v>M2</v>
          </cell>
          <cell r="D1467">
            <v>162</v>
          </cell>
        </row>
        <row r="1468">
          <cell r="A1468" t="str">
            <v>SJENJ05</v>
          </cell>
          <cell r="B1468" t="str">
            <v>Enjarre apalillado en muro curvo</v>
          </cell>
          <cell r="C1468" t="str">
            <v>M2</v>
          </cell>
          <cell r="D1468">
            <v>158</v>
          </cell>
        </row>
        <row r="1469">
          <cell r="A1469" t="str">
            <v>SJENJ07</v>
          </cell>
          <cell r="B1469" t="str">
            <v>Enjarre de contrahuella escalones</v>
          </cell>
          <cell r="C1469" t="str">
            <v>ML</v>
          </cell>
          <cell r="D1469">
            <v>45</v>
          </cell>
        </row>
        <row r="1470">
          <cell r="A1470" t="str">
            <v>SJENJ08</v>
          </cell>
          <cell r="B1470" t="str">
            <v xml:space="preserve">Enjarre apalillado en losa inclinada </v>
          </cell>
          <cell r="C1470" t="str">
            <v>M2</v>
          </cell>
          <cell r="D1470">
            <v>158</v>
          </cell>
        </row>
        <row r="1471">
          <cell r="A1471" t="str">
            <v>SJENJ09</v>
          </cell>
          <cell r="B1471" t="str">
            <v>Enjarre apalillado en losa inclinada 2a h</v>
          </cell>
          <cell r="C1471" t="str">
            <v>M2</v>
          </cell>
          <cell r="D1471">
            <v>182</v>
          </cell>
        </row>
        <row r="1472">
          <cell r="A1472" t="str">
            <v>SJEXC03</v>
          </cell>
          <cell r="B1472" t="str">
            <v>Excavacion terreno A 0.00-1.50 prof.</v>
          </cell>
          <cell r="C1472" t="str">
            <v>M3</v>
          </cell>
          <cell r="D1472">
            <v>220</v>
          </cell>
        </row>
        <row r="1473">
          <cell r="A1473" t="str">
            <v>SJEXC04</v>
          </cell>
          <cell r="B1473" t="str">
            <v>Excavacion terreno A1.50- 3.00 prof.</v>
          </cell>
          <cell r="C1473" t="str">
            <v>M3</v>
          </cell>
          <cell r="D1473">
            <v>250</v>
          </cell>
        </row>
        <row r="1474">
          <cell r="A1474" t="str">
            <v>SJFIR01</v>
          </cell>
          <cell r="B1474" t="str">
            <v>Firme de hormigon en entrepiso espesor promedio 7 cms</v>
          </cell>
          <cell r="C1474" t="str">
            <v>M2</v>
          </cell>
          <cell r="D1474">
            <v>65</v>
          </cell>
        </row>
        <row r="1475">
          <cell r="A1475" t="str">
            <v>SJFIR02</v>
          </cell>
          <cell r="B1475" t="str">
            <v>Firme de hormigon en piso espesor promedio 7 cms</v>
          </cell>
          <cell r="C1475" t="str">
            <v>M2</v>
          </cell>
          <cell r="D1475">
            <v>56</v>
          </cell>
        </row>
        <row r="1476">
          <cell r="A1476" t="str">
            <v>SJGOT02</v>
          </cell>
          <cell r="B1476" t="str">
            <v>Gotero embutido</v>
          </cell>
          <cell r="C1476" t="str">
            <v>ML</v>
          </cell>
          <cell r="D1476">
            <v>103</v>
          </cell>
        </row>
        <row r="1477">
          <cell r="A1477" t="str">
            <v>SJHOR01</v>
          </cell>
          <cell r="B1477" t="str">
            <v>Hormigon en azotea esp. 15-30 cms. prom.</v>
          </cell>
          <cell r="C1477" t="str">
            <v>M2</v>
          </cell>
          <cell r="D1477">
            <v>113</v>
          </cell>
        </row>
        <row r="1478">
          <cell r="A1478" t="str">
            <v>SJHOR02</v>
          </cell>
          <cell r="B1478" t="str">
            <v>Hormigon premezclado hasta 20 cms espesor</v>
          </cell>
          <cell r="C1478" t="str">
            <v>M2</v>
          </cell>
          <cell r="D1478">
            <v>41</v>
          </cell>
        </row>
        <row r="1479">
          <cell r="A1479" t="str">
            <v>SJIMP01</v>
          </cell>
          <cell r="B1479" t="str">
            <v>Impermeabilizar azotea, 2 capas membrana</v>
          </cell>
          <cell r="C1479" t="str">
            <v>M2</v>
          </cell>
          <cell r="D1479">
            <v>54</v>
          </cell>
        </row>
        <row r="1480">
          <cell r="A1480" t="str">
            <v>SJIMP02</v>
          </cell>
          <cell r="B1480" t="str">
            <v>Impermeabilizar dala</v>
          </cell>
          <cell r="C1480" t="str">
            <v>ML</v>
          </cell>
          <cell r="D1480">
            <v>21</v>
          </cell>
        </row>
        <row r="1481">
          <cell r="A1481" t="str">
            <v>SJIMP03</v>
          </cell>
          <cell r="B1481" t="str">
            <v>Impermeabilizar muro de enrase o divisorio</v>
          </cell>
          <cell r="C1481" t="str">
            <v>M2</v>
          </cell>
          <cell r="D1481">
            <v>26</v>
          </cell>
        </row>
        <row r="1482">
          <cell r="A1482" t="str">
            <v>SJMAM01</v>
          </cell>
          <cell r="B1482" t="str">
            <v>Mamposteo 1 rostro de 0.00-1.50</v>
          </cell>
          <cell r="C1482" t="str">
            <v>M3</v>
          </cell>
          <cell r="D1482">
            <v>700</v>
          </cell>
        </row>
        <row r="1483">
          <cell r="A1483" t="str">
            <v>SJMAM02</v>
          </cell>
          <cell r="B1483" t="str">
            <v>Mamposteo 1 rostro de 1.50-3.00</v>
          </cell>
          <cell r="C1483" t="str">
            <v>M3</v>
          </cell>
          <cell r="D1483">
            <v>850</v>
          </cell>
        </row>
        <row r="1484">
          <cell r="A1484" t="str">
            <v>SJMAM05</v>
          </cell>
          <cell r="B1484" t="str">
            <v>Mamposteo en sucio de 0.00-1.50</v>
          </cell>
          <cell r="C1484" t="str">
            <v>M3</v>
          </cell>
          <cell r="D1484">
            <v>621</v>
          </cell>
        </row>
        <row r="1485">
          <cell r="A1485" t="str">
            <v>SJMBO05</v>
          </cell>
          <cell r="B1485" t="str">
            <v>Muro de soga de block</v>
          </cell>
          <cell r="C1485" t="str">
            <v>M2</v>
          </cell>
          <cell r="D1485">
            <v>151</v>
          </cell>
        </row>
        <row r="1486">
          <cell r="A1486" t="str">
            <v>SJMBO06</v>
          </cell>
          <cell r="B1486" t="str">
            <v>Muro de soga de block 2a h.</v>
          </cell>
          <cell r="C1486" t="str">
            <v>M2</v>
          </cell>
          <cell r="D1486">
            <v>174</v>
          </cell>
        </row>
        <row r="1487">
          <cell r="A1487" t="str">
            <v>SJMBO07</v>
          </cell>
          <cell r="B1487" t="str">
            <v>Muro de tezon de block</v>
          </cell>
          <cell r="C1487" t="str">
            <v>M2</v>
          </cell>
          <cell r="D1487">
            <v>209</v>
          </cell>
        </row>
        <row r="1488">
          <cell r="A1488" t="str">
            <v>SJMBO08</v>
          </cell>
          <cell r="B1488" t="str">
            <v>Muro de tezon de block 2a h.</v>
          </cell>
          <cell r="C1488" t="str">
            <v>M2</v>
          </cell>
          <cell r="D1488">
            <v>240</v>
          </cell>
        </row>
        <row r="1489">
          <cell r="A1489" t="str">
            <v>SJMSO1</v>
          </cell>
          <cell r="B1489" t="str">
            <v>Muro de soga de ladrillo</v>
          </cell>
          <cell r="C1489" t="str">
            <v>M2</v>
          </cell>
          <cell r="D1489">
            <v>171</v>
          </cell>
        </row>
        <row r="1490">
          <cell r="A1490" t="str">
            <v>SJMSO2</v>
          </cell>
          <cell r="B1490" t="str">
            <v>Muro de soga de ladrillo 2a h.</v>
          </cell>
          <cell r="C1490" t="str">
            <v>M2</v>
          </cell>
          <cell r="D1490">
            <v>197</v>
          </cell>
        </row>
        <row r="1491">
          <cell r="A1491" t="str">
            <v>SJMTEZ1</v>
          </cell>
          <cell r="B1491" t="str">
            <v>Muro de tezon de ladrillo</v>
          </cell>
          <cell r="C1491" t="str">
            <v>M2</v>
          </cell>
          <cell r="D1491">
            <v>239</v>
          </cell>
        </row>
        <row r="1492">
          <cell r="A1492" t="str">
            <v>SJMTEZ2</v>
          </cell>
          <cell r="B1492" t="str">
            <v>Muro de tezon de ladrillo 2a h.</v>
          </cell>
          <cell r="C1492" t="str">
            <v>M2</v>
          </cell>
          <cell r="D1492">
            <v>275</v>
          </cell>
        </row>
        <row r="1493">
          <cell r="A1493" t="str">
            <v>SJPER03</v>
          </cell>
          <cell r="B1493" t="str">
            <v>Perfilar caja de luz en boveda tipo MAGG</v>
          </cell>
          <cell r="C1493" t="str">
            <v>PZA</v>
          </cell>
          <cell r="D1493">
            <v>108</v>
          </cell>
        </row>
        <row r="1494">
          <cell r="A1494" t="str">
            <v>SJPIN01</v>
          </cell>
          <cell r="B1494" t="str">
            <v>Preparacion y pintura de muros,bovedas o pisos</v>
          </cell>
          <cell r="C1494" t="str">
            <v>M2</v>
          </cell>
          <cell r="D1494">
            <v>40</v>
          </cell>
        </row>
        <row r="1495">
          <cell r="A1495" t="str">
            <v>SJPIN02</v>
          </cell>
          <cell r="B1495" t="str">
            <v>Trazo y pintura de zoclos y cenefas</v>
          </cell>
          <cell r="C1495" t="str">
            <v>ML</v>
          </cell>
          <cell r="D1495">
            <v>35</v>
          </cell>
        </row>
        <row r="1496">
          <cell r="A1496" t="str">
            <v>SJPIS08</v>
          </cell>
          <cell r="B1496" t="str">
            <v>Piso de cemento 8 cms espesor repellado</v>
          </cell>
          <cell r="C1496" t="str">
            <v>M2</v>
          </cell>
          <cell r="D1496">
            <v>96</v>
          </cell>
        </row>
        <row r="1497">
          <cell r="A1497" t="str">
            <v>SJPIS7</v>
          </cell>
          <cell r="B1497" t="str">
            <v>Piso de cemento 7 cms espesor acabado pulido / apalillado</v>
          </cell>
          <cell r="C1497" t="str">
            <v>M2</v>
          </cell>
          <cell r="D1497">
            <v>113</v>
          </cell>
        </row>
        <row r="1498">
          <cell r="A1498" t="str">
            <v>SJPIS72</v>
          </cell>
          <cell r="B1498" t="str">
            <v>Piso de cemento 7 cms espesor acabado pulido / apalillado a 2a h</v>
          </cell>
          <cell r="C1498" t="str">
            <v>M2</v>
          </cell>
          <cell r="D1498">
            <v>130</v>
          </cell>
        </row>
        <row r="1499">
          <cell r="A1499" t="str">
            <v>SJPLA7</v>
          </cell>
          <cell r="B1499" t="str">
            <v>Plantilla de concreto pobre esp. 7 cms</v>
          </cell>
          <cell r="C1499" t="str">
            <v>M2</v>
          </cell>
          <cell r="D1499">
            <v>45</v>
          </cell>
        </row>
        <row r="1500">
          <cell r="A1500" t="str">
            <v>SJPOZO</v>
          </cell>
          <cell r="B1500" t="str">
            <v>Pozo de visita terminado diametro inf. 1.20 y sup. 0.60</v>
          </cell>
          <cell r="C1500" t="str">
            <v>PZA</v>
          </cell>
          <cell r="D1500">
            <v>1763</v>
          </cell>
        </row>
        <row r="1501">
          <cell r="A1501" t="str">
            <v>SJPRE20</v>
          </cell>
          <cell r="B1501" t="str">
            <v>Pretil de muro 20 alt. 70 cms c/ acarreo y nivelacion</v>
          </cell>
          <cell r="C1501" t="str">
            <v>ML</v>
          </cell>
          <cell r="D1501">
            <v>141</v>
          </cell>
        </row>
        <row r="1502">
          <cell r="A1502" t="str">
            <v>SJPRESO</v>
          </cell>
          <cell r="B1502" t="str">
            <v>Pretil de muro soga alt. 70 cms</v>
          </cell>
          <cell r="C1502" t="str">
            <v>ML</v>
          </cell>
          <cell r="D1502">
            <v>81</v>
          </cell>
        </row>
        <row r="1503">
          <cell r="A1503" t="str">
            <v>SJPRETE</v>
          </cell>
          <cell r="B1503" t="str">
            <v>Pretil de muro tezon alt. 70 cms</v>
          </cell>
          <cell r="C1503" t="str">
            <v>ML</v>
          </cell>
          <cell r="D1503">
            <v>161</v>
          </cell>
        </row>
        <row r="1504">
          <cell r="A1504" t="str">
            <v>SJREC05</v>
          </cell>
          <cell r="B1504" t="str">
            <v>Recibir tuberia o poliducto</v>
          </cell>
          <cell r="C1504" t="str">
            <v>ML</v>
          </cell>
          <cell r="D1504">
            <v>23</v>
          </cell>
        </row>
        <row r="1505">
          <cell r="A1505" t="str">
            <v>SJREC06</v>
          </cell>
          <cell r="B1505" t="str">
            <v>Recibir tubo de drenaje 10 "</v>
          </cell>
          <cell r="C1505" t="str">
            <v>ML</v>
          </cell>
          <cell r="D1505">
            <v>75</v>
          </cell>
        </row>
        <row r="1506">
          <cell r="A1506" t="str">
            <v>SJREC07</v>
          </cell>
          <cell r="B1506" t="str">
            <v>Recibir tubo de drenaje 4 "</v>
          </cell>
          <cell r="C1506" t="str">
            <v>ML</v>
          </cell>
          <cell r="D1506">
            <v>38</v>
          </cell>
        </row>
        <row r="1507">
          <cell r="A1507" t="str">
            <v>SJREC08</v>
          </cell>
          <cell r="B1507" t="str">
            <v>Recibir tubo de drenaje 6 "</v>
          </cell>
          <cell r="C1507" t="str">
            <v>ML</v>
          </cell>
          <cell r="D1507">
            <v>45</v>
          </cell>
        </row>
        <row r="1508">
          <cell r="A1508" t="str">
            <v>SJREC09</v>
          </cell>
          <cell r="B1508" t="str">
            <v>Recibir tubo de drenaje 8 "</v>
          </cell>
          <cell r="C1508" t="str">
            <v>ML</v>
          </cell>
          <cell r="D1508">
            <v>56</v>
          </cell>
        </row>
        <row r="1509">
          <cell r="A1509" t="str">
            <v>SJREG01</v>
          </cell>
          <cell r="B1509" t="str">
            <v>Registro sanitario terminado alt hasta 1.50 con plantilla</v>
          </cell>
          <cell r="C1509" t="str">
            <v>PZA</v>
          </cell>
          <cell r="D1509">
            <v>1763</v>
          </cell>
        </row>
        <row r="1510">
          <cell r="A1510" t="str">
            <v>SJREG02</v>
          </cell>
          <cell r="B1510" t="str">
            <v>Registro caja arenera terminado incluye plantilla</v>
          </cell>
          <cell r="C1510" t="str">
            <v>PZA</v>
          </cell>
          <cell r="D1510">
            <v>1563</v>
          </cell>
        </row>
        <row r="1511">
          <cell r="A1511" t="str">
            <v>SJRELL03</v>
          </cell>
          <cell r="B1511" t="str">
            <v>Relleno c/ material producto excavacion a cada 20 cms</v>
          </cell>
          <cell r="C1511" t="str">
            <v>M3</v>
          </cell>
          <cell r="D1511">
            <v>60</v>
          </cell>
        </row>
        <row r="1512">
          <cell r="A1512" t="str">
            <v>SJRELL04</v>
          </cell>
          <cell r="B1512" t="str">
            <v>Relleno con suelo cemento batido a mano y compactado</v>
          </cell>
          <cell r="C1512" t="str">
            <v>M3</v>
          </cell>
          <cell r="D1512">
            <v>223</v>
          </cell>
        </row>
        <row r="1513">
          <cell r="A1513" t="str">
            <v>SJRELL05</v>
          </cell>
          <cell r="B1513" t="str">
            <v>Relleno con suelo cemento batido a mano y compactado con pizon</v>
          </cell>
          <cell r="C1513" t="str">
            <v>M3</v>
          </cell>
          <cell r="D1513">
            <v>245</v>
          </cell>
        </row>
        <row r="1514">
          <cell r="A1514" t="str">
            <v>SJRELLZAP</v>
          </cell>
          <cell r="B1514" t="str">
            <v>Relleno de zapatas con suelo cemento batido capas 20 cms</v>
          </cell>
          <cell r="C1514" t="str">
            <v>M3</v>
          </cell>
          <cell r="D1514">
            <v>223</v>
          </cell>
        </row>
        <row r="1515">
          <cell r="A1515" t="str">
            <v>SJREN01</v>
          </cell>
          <cell r="B1515" t="str">
            <v>Cimiento renchido de 0.00-1.50</v>
          </cell>
          <cell r="C1515" t="str">
            <v>M3</v>
          </cell>
          <cell r="D1515">
            <v>376</v>
          </cell>
        </row>
        <row r="1516">
          <cell r="A1516" t="str">
            <v>SJREN02</v>
          </cell>
          <cell r="B1516" t="str">
            <v>Cimiento renchido de 1.50-3.00</v>
          </cell>
          <cell r="C1516" t="str">
            <v>M3</v>
          </cell>
          <cell r="D1516">
            <v>528</v>
          </cell>
        </row>
        <row r="1517">
          <cell r="A1517" t="str">
            <v>SJRES01</v>
          </cell>
          <cell r="B1517" t="str">
            <v>Resane de enjarre por ranuras</v>
          </cell>
          <cell r="C1517" t="str">
            <v>ML</v>
          </cell>
          <cell r="D1517">
            <v>28</v>
          </cell>
        </row>
        <row r="1518">
          <cell r="A1518" t="str">
            <v>SJRESUMA1</v>
          </cell>
          <cell r="B1518" t="str">
            <v>Relleno de zanjas o zapatas suelo-cal /cemento con apoyo máquina</v>
          </cell>
          <cell r="C1518" t="str">
            <v>M3</v>
          </cell>
          <cell r="D1518">
            <v>91</v>
          </cell>
        </row>
        <row r="1519">
          <cell r="A1519" t="str">
            <v>SJZAR02</v>
          </cell>
          <cell r="B1519" t="str">
            <v>Zarpeo de boveda</v>
          </cell>
          <cell r="C1519" t="str">
            <v>M2</v>
          </cell>
          <cell r="D1519">
            <v>45</v>
          </cell>
        </row>
        <row r="1520">
          <cell r="A1520" t="str">
            <v>SJZAR03</v>
          </cell>
          <cell r="B1520" t="str">
            <v>Zarpeo de dalas y castillos</v>
          </cell>
          <cell r="C1520" t="str">
            <v>ML</v>
          </cell>
          <cell r="D1520">
            <v>13</v>
          </cell>
        </row>
        <row r="1521">
          <cell r="A1521" t="str">
            <v>SJZAR04</v>
          </cell>
          <cell r="B1521" t="str">
            <v>Zarpeo de muro con cemento</v>
          </cell>
          <cell r="C1521" t="str">
            <v>M2</v>
          </cell>
          <cell r="D1521">
            <v>45</v>
          </cell>
        </row>
        <row r="1522">
          <cell r="A1522" t="str">
            <v>SJZAR04f</v>
          </cell>
          <cell r="B1522" t="str">
            <v>Zarpeo de muro con manoseo para cubrir porocidad</v>
          </cell>
          <cell r="C1522" t="str">
            <v>M2</v>
          </cell>
          <cell r="D1522">
            <v>54</v>
          </cell>
        </row>
        <row r="1523">
          <cell r="A1523" t="str">
            <v>SJTAP01</v>
          </cell>
          <cell r="B1523" t="str">
            <v>Tapa de registro armada,cimbrada y colada</v>
          </cell>
          <cell r="C1523" t="str">
            <v>PZA</v>
          </cell>
          <cell r="D1523">
            <v>128</v>
          </cell>
        </row>
        <row r="1524">
          <cell r="A1524" t="str">
            <v>SJTAP02</v>
          </cell>
          <cell r="B1524" t="str">
            <v>Taponeo de muro o pasada registro o cimiento</v>
          </cell>
          <cell r="C1524" t="str">
            <v>PZA</v>
          </cell>
          <cell r="D1524">
            <v>86</v>
          </cell>
        </row>
        <row r="1525">
          <cell r="A1525" t="str">
            <v>SJTELA1</v>
          </cell>
          <cell r="B1525" t="str">
            <v>Colocacion de tela de alambre en boveda</v>
          </cell>
          <cell r="C1525" t="str">
            <v>M2</v>
          </cell>
          <cell r="D1525">
            <v>41</v>
          </cell>
        </row>
        <row r="1526">
          <cell r="A1526" t="str">
            <v>SJTELA2</v>
          </cell>
          <cell r="B1526" t="str">
            <v>Colocacion de tela de alambre en dala o castillos</v>
          </cell>
          <cell r="C1526" t="str">
            <v>ML</v>
          </cell>
          <cell r="D1526">
            <v>21</v>
          </cell>
        </row>
        <row r="1527">
          <cell r="A1527" t="str">
            <v>SJTELA3</v>
          </cell>
          <cell r="B1527" t="str">
            <v>Colocacion de tela de alambre en muro</v>
          </cell>
          <cell r="C1527" t="str">
            <v>M2</v>
          </cell>
          <cell r="D1527">
            <v>41</v>
          </cell>
        </row>
        <row r="1528">
          <cell r="A1528" t="str">
            <v>SJTRA01</v>
          </cell>
          <cell r="B1528" t="str">
            <v>Traslapes en castillos y dalas</v>
          </cell>
          <cell r="C1528" t="str">
            <v>PZA</v>
          </cell>
          <cell r="D1528">
            <v>26</v>
          </cell>
        </row>
        <row r="1529">
          <cell r="A1529" t="str">
            <v>SJTRA02</v>
          </cell>
          <cell r="B1529" t="str">
            <v>Traslapes en varillas muro de panel</v>
          </cell>
          <cell r="C1529" t="str">
            <v>PZA</v>
          </cell>
          <cell r="D1529">
            <v>13</v>
          </cell>
        </row>
        <row r="1530">
          <cell r="A1530" t="str">
            <v>SJTRA03</v>
          </cell>
          <cell r="B1530" t="str">
            <v>acarreo y relleno con piedra braza acomodada para filtro base de cimentación</v>
          </cell>
          <cell r="C1530" t="str">
            <v>M3</v>
          </cell>
          <cell r="D1530">
            <v>155</v>
          </cell>
        </row>
        <row r="1531">
          <cell r="A1531" t="str">
            <v>SJZAV01</v>
          </cell>
          <cell r="B1531" t="str">
            <v>Zavaleta con revoltura</v>
          </cell>
          <cell r="C1531" t="str">
            <v>ML</v>
          </cell>
          <cell r="D1531">
            <v>83</v>
          </cell>
        </row>
        <row r="1532">
          <cell r="A1532" t="str">
            <v>SJZAV02</v>
          </cell>
          <cell r="B1532" t="str">
            <v>Zavaleta de 1/2 ladrillo</v>
          </cell>
          <cell r="C1532" t="str">
            <v>ML</v>
          </cell>
          <cell r="D1532">
            <v>54</v>
          </cell>
        </row>
        <row r="1533">
          <cell r="A1533" t="str">
            <v>SJZAV03</v>
          </cell>
          <cell r="B1533" t="str">
            <v>Zavaleta ladrillo entero</v>
          </cell>
          <cell r="C1533" t="str">
            <v>ML</v>
          </cell>
          <cell r="D1533">
            <v>54</v>
          </cell>
        </row>
        <row r="4167">
          <cell r="A4167" t="str">
            <v>TRA06</v>
          </cell>
          <cell r="B4167" t="str">
            <v>Traspaleo a botes mezcla o escombro distancia 15 mts</v>
          </cell>
          <cell r="C4167" t="str">
            <v>M3</v>
          </cell>
          <cell r="D4167">
            <v>0</v>
          </cell>
          <cell r="E4167"/>
          <cell r="F4167">
            <v>0</v>
          </cell>
        </row>
        <row r="4168">
          <cell r="A4168" t="str">
            <v>TRA07</v>
          </cell>
          <cell r="B4168" t="str">
            <v>Trazo y nivelacion de terreno</v>
          </cell>
          <cell r="C4168" t="str">
            <v>M2</v>
          </cell>
          <cell r="D4168">
            <v>0</v>
          </cell>
          <cell r="E4168"/>
          <cell r="F4168">
            <v>0</v>
          </cell>
        </row>
        <row r="4169">
          <cell r="A4169" t="str">
            <v>TUBO38</v>
          </cell>
          <cell r="B4169" t="str">
            <v>Instalacion de tubo de concreto diametro 38 cms</v>
          </cell>
          <cell r="C4169" t="str">
            <v>ML</v>
          </cell>
          <cell r="D4169">
            <v>0</v>
          </cell>
          <cell r="E4169"/>
          <cell r="F4169">
            <v>0</v>
          </cell>
        </row>
        <row r="4170">
          <cell r="A4170" t="str">
            <v>TUBO45</v>
          </cell>
          <cell r="B4170" t="str">
            <v>Instalacion de tubo de concreto diametro 45 cms</v>
          </cell>
          <cell r="C4170" t="str">
            <v>ML</v>
          </cell>
          <cell r="D4170">
            <v>0</v>
          </cell>
          <cell r="E4170"/>
          <cell r="F4170">
            <v>0</v>
          </cell>
        </row>
        <row r="4171">
          <cell r="A4171" t="str">
            <v>VEL01</v>
          </cell>
          <cell r="B4171" t="str">
            <v>Velador</v>
          </cell>
          <cell r="C4171" t="str">
            <v>JORNAL</v>
          </cell>
          <cell r="D4171">
            <v>307.25</v>
          </cell>
          <cell r="E4171"/>
          <cell r="F4171">
            <v>240</v>
          </cell>
        </row>
        <row r="4172">
          <cell r="A4172" t="str">
            <v>VER01</v>
          </cell>
          <cell r="B4172" t="str">
            <v>Vertedero, forjado y terminado</v>
          </cell>
          <cell r="C4172" t="str">
            <v>ML</v>
          </cell>
          <cell r="D4172">
            <v>0</v>
          </cell>
          <cell r="E4172"/>
          <cell r="F4172">
            <v>0</v>
          </cell>
        </row>
        <row r="4173">
          <cell r="A4173" t="str">
            <v>VIAL</v>
          </cell>
          <cell r="B4173" t="str">
            <v>Instalacion de vialeta en pisos de estacionamiento</v>
          </cell>
          <cell r="C4173" t="str">
            <v>PZA</v>
          </cell>
          <cell r="D4173">
            <v>0</v>
          </cell>
          <cell r="E4173"/>
          <cell r="F4173">
            <v>0</v>
          </cell>
        </row>
        <row r="4174">
          <cell r="A4174" t="str">
            <v>VIGAMA</v>
          </cell>
          <cell r="B4174" t="str">
            <v>Corte, colocacion y nivelacion de viga de madera para cubiertas</v>
          </cell>
          <cell r="C4174" t="str">
            <v>ML</v>
          </cell>
          <cell r="D4174">
            <v>0</v>
          </cell>
          <cell r="E4174"/>
          <cell r="F4174">
            <v>0</v>
          </cell>
        </row>
        <row r="4175">
          <cell r="A4175" t="str">
            <v>VITRO</v>
          </cell>
          <cell r="B4175" t="str">
            <v>Vitroblock, instalacion por pza. incluye limpieza</v>
          </cell>
          <cell r="C4175" t="str">
            <v>PZA</v>
          </cell>
          <cell r="D4175">
            <v>0</v>
          </cell>
          <cell r="E4175"/>
          <cell r="F4175">
            <v>0</v>
          </cell>
        </row>
        <row r="4176">
          <cell r="A4176" t="str">
            <v>ZAP01</v>
          </cell>
          <cell r="B4176" t="str">
            <v>Colado de zapata rev. Hecha en obra, c/traspaleos</v>
          </cell>
          <cell r="C4176" t="str">
            <v>M3</v>
          </cell>
          <cell r="D4176">
            <v>0</v>
          </cell>
          <cell r="E4176">
            <v>1</v>
          </cell>
          <cell r="F4176">
            <v>0</v>
          </cell>
        </row>
        <row r="4177">
          <cell r="A4177" t="str">
            <v>ZAP02</v>
          </cell>
          <cell r="B4177" t="str">
            <v>Colado de zapata rev. Premezclada</v>
          </cell>
          <cell r="C4177" t="str">
            <v>M3</v>
          </cell>
          <cell r="D4177">
            <v>0</v>
          </cell>
          <cell r="E4177"/>
          <cell r="F4177">
            <v>0</v>
          </cell>
        </row>
        <row r="4178">
          <cell r="A4178" t="str">
            <v>ZAV01</v>
          </cell>
          <cell r="B4178" t="str">
            <v>Zavaleta con revoltura</v>
          </cell>
          <cell r="C4178" t="str">
            <v>ML</v>
          </cell>
          <cell r="D4178">
            <v>0</v>
          </cell>
          <cell r="E4178">
            <v>1</v>
          </cell>
          <cell r="F4178">
            <v>0</v>
          </cell>
        </row>
        <row r="4179">
          <cell r="A4179" t="str">
            <v>ZAV02</v>
          </cell>
          <cell r="B4179" t="str">
            <v>Zavaleta de 1/2 ladrillo</v>
          </cell>
          <cell r="C4179" t="str">
            <v>ML</v>
          </cell>
          <cell r="D4179">
            <v>0</v>
          </cell>
          <cell r="E4179">
            <v>1</v>
          </cell>
          <cell r="F4179">
            <v>0</v>
          </cell>
        </row>
        <row r="4180">
          <cell r="A4180" t="str">
            <v>ZAV03</v>
          </cell>
          <cell r="B4180" t="str">
            <v>Zavaleta ladrillo entero</v>
          </cell>
          <cell r="C4180" t="str">
            <v>ML</v>
          </cell>
          <cell r="D4180">
            <v>0</v>
          </cell>
          <cell r="E4180">
            <v>1</v>
          </cell>
          <cell r="F4180">
            <v>0</v>
          </cell>
        </row>
        <row r="4181">
          <cell r="A4181" t="str">
            <v>ZOC01</v>
          </cell>
          <cell r="B4181" t="str">
            <v>Zoclo de ceramica cortado</v>
          </cell>
          <cell r="C4181" t="str">
            <v>ML</v>
          </cell>
          <cell r="D4181">
            <v>0</v>
          </cell>
          <cell r="F4181">
            <v>0</v>
          </cell>
        </row>
        <row r="4182">
          <cell r="A4182" t="str">
            <v>ZOC01C</v>
          </cell>
          <cell r="B4182" t="str">
            <v>Zoclo de ceramica en casa habitacion</v>
          </cell>
          <cell r="C4182" t="str">
            <v>ML</v>
          </cell>
          <cell r="D4182">
            <v>30</v>
          </cell>
          <cell r="F4182">
            <v>34.5</v>
          </cell>
        </row>
        <row r="4183">
          <cell r="A4183" t="str">
            <v>ZOC02</v>
          </cell>
          <cell r="B4183" t="str">
            <v>Zoclo de ladrillo peron, incluye corte, ranura y resane</v>
          </cell>
          <cell r="C4183" t="str">
            <v>ML</v>
          </cell>
          <cell r="D4183">
            <v>0</v>
          </cell>
          <cell r="F4183">
            <v>0</v>
          </cell>
        </row>
        <row r="4184">
          <cell r="A4184"/>
          <cell r="B4184"/>
          <cell r="C4184"/>
          <cell r="D4184"/>
          <cell r="E4184"/>
          <cell r="F4184"/>
        </row>
        <row r="4185">
          <cell r="A4185"/>
          <cell r="B4185"/>
          <cell r="C4185"/>
          <cell r="D4185"/>
          <cell r="E4185"/>
          <cell r="F4185"/>
        </row>
        <row r="4186">
          <cell r="A4186"/>
          <cell r="B4186"/>
          <cell r="C4186"/>
          <cell r="D4186"/>
          <cell r="E4186"/>
          <cell r="F4186"/>
        </row>
        <row r="4187">
          <cell r="A4187"/>
          <cell r="B4187"/>
          <cell r="C4187"/>
          <cell r="D4187"/>
          <cell r="E4187"/>
          <cell r="F4187"/>
        </row>
        <row r="4188">
          <cell r="A4188"/>
          <cell r="B4188"/>
          <cell r="C4188"/>
          <cell r="D4188"/>
          <cell r="E4188"/>
          <cell r="F4188"/>
        </row>
        <row r="4189">
          <cell r="A4189" t="str">
            <v>PONTO QUITO PRECIOS</v>
          </cell>
          <cell r="B4189"/>
          <cell r="D4189"/>
          <cell r="E4189"/>
          <cell r="F4189"/>
        </row>
        <row r="4190">
          <cell r="A4190"/>
          <cell r="B4190"/>
          <cell r="D4190"/>
          <cell r="E4190"/>
          <cell r="F4190"/>
        </row>
        <row r="4191">
          <cell r="A4191" t="str">
            <v>CVE</v>
          </cell>
          <cell r="B4191" t="str">
            <v>CONCEPTO</v>
          </cell>
          <cell r="C4191" t="str">
            <v>UNIDAD</v>
          </cell>
          <cell r="D4191" t="str">
            <v>P.UNIT.</v>
          </cell>
          <cell r="E4191"/>
          <cell r="F4191"/>
        </row>
        <row r="4192">
          <cell r="A4192"/>
          <cell r="B4192"/>
          <cell r="D4192"/>
          <cell r="E4192"/>
          <cell r="F4192"/>
        </row>
        <row r="4193">
          <cell r="A4193" t="str">
            <v>PQcc20x20</v>
          </cell>
          <cell r="B4193" t="str">
            <v>Armado de castillo 15x15 varilla 1/2" y est 3/8", cimbra y colado 20x20</v>
          </cell>
          <cell r="C4193" t="str">
            <v>ML</v>
          </cell>
          <cell r="D4193">
            <v>600</v>
          </cell>
          <cell r="E4193"/>
          <cell r="F4193"/>
        </row>
        <row r="4194">
          <cell r="A4194" t="str">
            <v>PQcc25x20</v>
          </cell>
          <cell r="B4194" t="str">
            <v>Armado de castillo 20x15 varilla 1/2" y est 3/8", cimbra y colado 25x20</v>
          </cell>
          <cell r="C4194" t="str">
            <v>ML</v>
          </cell>
          <cell r="D4194">
            <v>650</v>
          </cell>
          <cell r="E4194"/>
          <cell r="F4194"/>
        </row>
        <row r="4195">
          <cell r="A4195" t="str">
            <v>PQcc30x20</v>
          </cell>
          <cell r="B4195" t="str">
            <v>Armado de castillo 25x15 varilla 1/2" y est 3/8", cimbra y colado 30x20</v>
          </cell>
          <cell r="C4195" t="str">
            <v>ML</v>
          </cell>
          <cell r="D4195">
            <v>700</v>
          </cell>
          <cell r="E4195"/>
          <cell r="F4195"/>
        </row>
        <row r="4196">
          <cell r="A4196" t="str">
            <v>PQtb20x50</v>
          </cell>
          <cell r="B4196" t="str">
            <v>Armado de trabe de 45x15 varilla 1/2" y estribos 3/8" cimbra y colado 20x50</v>
          </cell>
          <cell r="C4196" t="str">
            <v>ML</v>
          </cell>
          <cell r="D4196">
            <v>1000</v>
          </cell>
          <cell r="E4196"/>
          <cell r="F4196"/>
        </row>
        <row r="4197">
          <cell r="A4197" t="str">
            <v>PQzap1x85</v>
          </cell>
          <cell r="B4197" t="str">
            <v>Armado de parrilla 1x85 varilla 1/2" @20 cms cimbra y colado 85x20</v>
          </cell>
          <cell r="C4197" t="str">
            <v>ML</v>
          </cell>
          <cell r="D4197">
            <v>800</v>
          </cell>
          <cell r="E4197"/>
          <cell r="F4197"/>
        </row>
        <row r="4198">
          <cell r="A4198" t="str">
            <v>PQbk14.20.40c</v>
          </cell>
          <cell r="B4198" t="str">
            <v>Muro de block de 14x20x40 capuchino colocando andamios h= 4mts</v>
          </cell>
          <cell r="C4198" t="str">
            <v>M2</v>
          </cell>
          <cell r="D4198">
            <v>200</v>
          </cell>
          <cell r="E4198"/>
          <cell r="F4198"/>
        </row>
        <row r="4199">
          <cell r="A4199" t="str">
            <v>PQbk14.20.40s</v>
          </cell>
          <cell r="B4199" t="str">
            <v>Muro de block de 14x20x40 soga colocando andamios h= 4mts</v>
          </cell>
          <cell r="C4199" t="str">
            <v>M2</v>
          </cell>
          <cell r="D4199">
            <v>200</v>
          </cell>
          <cell r="E4199"/>
          <cell r="F4199"/>
        </row>
        <row r="4200">
          <cell r="A4200" t="str">
            <v>PQbk14.20.40t</v>
          </cell>
          <cell r="B4200" t="str">
            <v>Muro de block de 14x20x40 tezon contencion 0-2.00 h</v>
          </cell>
          <cell r="C4200" t="str">
            <v>M2</v>
          </cell>
          <cell r="D4200">
            <v>400</v>
          </cell>
          <cell r="E4200"/>
          <cell r="F4200"/>
        </row>
        <row r="4201">
          <cell r="A4201" t="str">
            <v>PQbk14.20.40t2</v>
          </cell>
          <cell r="B4201" t="str">
            <v>Muro de block de 14x20x40 tezon contencion 2.00 h andamios</v>
          </cell>
          <cell r="C4201" t="str">
            <v>M2</v>
          </cell>
          <cell r="D4201">
            <v>500</v>
          </cell>
          <cell r="E4201"/>
          <cell r="F4201"/>
        </row>
        <row r="4202">
          <cell r="A4202" t="str">
            <v>PQmam1r80</v>
          </cell>
          <cell r="B4202" t="str">
            <v>Pegado de muro de piedra 1 rostro arranque 80 cms alto 1</v>
          </cell>
          <cell r="C4202" t="str">
            <v>ML</v>
          </cell>
          <cell r="D4202">
            <v>1000</v>
          </cell>
          <cell r="E4202"/>
          <cell r="F4202"/>
        </row>
        <row r="4203">
          <cell r="A4203" t="str">
            <v>PQmam1r80-60</v>
          </cell>
          <cell r="B4203" t="str">
            <v>Pegado de muro de piedra 1 rostro 80 a 60 cms alto 1</v>
          </cell>
          <cell r="C4203" t="str">
            <v>ML</v>
          </cell>
          <cell r="D4203">
            <v>1000</v>
          </cell>
          <cell r="E4203"/>
          <cell r="F4203"/>
        </row>
        <row r="4204">
          <cell r="A4204" t="str">
            <v>PQenj0-3</v>
          </cell>
          <cell r="B4204" t="str">
            <v>Enjarre repellado incluye malla en boquillas, sarpeo y enjarre 0-3.00</v>
          </cell>
          <cell r="C4204" t="str">
            <v>M2</v>
          </cell>
          <cell r="D4204">
            <v>250</v>
          </cell>
          <cell r="E4204"/>
          <cell r="F4204"/>
        </row>
        <row r="4205">
          <cell r="A4205" t="str">
            <v>PQenj3-5</v>
          </cell>
          <cell r="B4205" t="str">
            <v>Enjarre repellado incluye malla en boquillas, sarpeo y enjarre 3.00-5.00</v>
          </cell>
          <cell r="C4205" t="str">
            <v>M2</v>
          </cell>
          <cell r="D4205">
            <v>300</v>
          </cell>
          <cell r="E4205"/>
          <cell r="F4205"/>
        </row>
        <row r="4206">
          <cell r="A4206" t="str">
            <v>PQboq2b</v>
          </cell>
          <cell r="B4206" t="str">
            <v>Boquilla con boleado grueso por 2 lados</v>
          </cell>
          <cell r="C4206" t="str">
            <v>ML</v>
          </cell>
          <cell r="D4206">
            <v>250</v>
          </cell>
          <cell r="E4206"/>
          <cell r="F4206"/>
        </row>
        <row r="4207">
          <cell r="A4207" t="str">
            <v>PQboq1b</v>
          </cell>
          <cell r="B4207" t="str">
            <v>Boquilla con boleado grueso por 1 lado</v>
          </cell>
          <cell r="C4207" t="str">
            <v>ML</v>
          </cell>
          <cell r="D4207">
            <v>150</v>
          </cell>
          <cell r="E4207"/>
          <cell r="F4207"/>
        </row>
        <row r="4208">
          <cell r="A4208" t="str">
            <v>PQsuecem20</v>
          </cell>
          <cell r="B4208" t="str">
            <v>Relleno con suelo cemento humedo compactado 20 cms espesor, incluye acarreos</v>
          </cell>
          <cell r="C4208" t="str">
            <v>M2</v>
          </cell>
          <cell r="D4208">
            <v>100</v>
          </cell>
          <cell r="E4208"/>
          <cell r="F4208"/>
        </row>
        <row r="4209">
          <cell r="A4209" t="str">
            <v>PQsuecem40</v>
          </cell>
          <cell r="B4209" t="str">
            <v>Relleno con suelo cemento humedo compactado 40 cms espesor, incluye acarreos</v>
          </cell>
          <cell r="C4209" t="str">
            <v>M2</v>
          </cell>
          <cell r="D4209">
            <v>200</v>
          </cell>
          <cell r="E4209"/>
          <cell r="F4209"/>
        </row>
        <row r="4210">
          <cell r="A4210" t="str">
            <v>PQsuecem60</v>
          </cell>
          <cell r="B4210" t="str">
            <v>Relleno con suelo cemento humedo compactado 60 cms espesor, incluye acarreos</v>
          </cell>
          <cell r="C4210" t="str">
            <v>M2</v>
          </cell>
          <cell r="D4210">
            <v>300</v>
          </cell>
          <cell r="E4210"/>
          <cell r="F4210"/>
        </row>
        <row r="4211">
          <cell r="A4211" t="str">
            <v>PQexc1x1x1</v>
          </cell>
          <cell r="B4211" t="str">
            <v>Excavacion para cimentacion de 1.00x1.00x1.00 terreno normal</v>
          </cell>
          <cell r="C4211" t="str">
            <v>ML</v>
          </cell>
          <cell r="D4211">
            <v>500</v>
          </cell>
          <cell r="E4211"/>
          <cell r="F4211"/>
        </row>
        <row r="4212">
          <cell r="A4212" t="str">
            <v>PQexc1x1x1-2</v>
          </cell>
          <cell r="B4212" t="str">
            <v>Excavacion para cimentacion de 1.00x1.00x1.00 terreno duro cascajo o laja</v>
          </cell>
          <cell r="C4212" t="str">
            <v>ML</v>
          </cell>
          <cell r="D4212">
            <v>500</v>
          </cell>
          <cell r="E4212"/>
          <cell r="F4212"/>
        </row>
        <row r="4213">
          <cell r="A4213"/>
          <cell r="B4213"/>
          <cell r="D4213"/>
          <cell r="E4213"/>
          <cell r="F4213"/>
        </row>
        <row r="4214">
          <cell r="A4214" t="str">
            <v>TAPALPA, PRECIOS DE MANO DE OBRA</v>
          </cell>
          <cell r="B4214"/>
          <cell r="C4214"/>
          <cell r="D4214"/>
          <cell r="E4214"/>
          <cell r="F4214"/>
        </row>
        <row r="4215">
          <cell r="A4215"/>
          <cell r="B4215"/>
          <cell r="D4215"/>
          <cell r="E4215"/>
          <cell r="F4215"/>
        </row>
        <row r="4216">
          <cell r="A4216" t="str">
            <v>TALB</v>
          </cell>
          <cell r="B4216" t="str">
            <v>Albañil por el día</v>
          </cell>
          <cell r="C4216" t="str">
            <v>JORNAL</v>
          </cell>
          <cell r="D4216">
            <v>600</v>
          </cell>
          <cell r="E4216"/>
          <cell r="F4216"/>
        </row>
        <row r="4217">
          <cell r="A4217" t="str">
            <v>TARMC</v>
          </cell>
          <cell r="B4217" t="str">
            <v>Armado de castillo con varilla de 3/8" y estribos alambrón @ 20 cms</v>
          </cell>
          <cell r="C4217" t="str">
            <v>ML</v>
          </cell>
          <cell r="D4217">
            <v>45</v>
          </cell>
          <cell r="E4217"/>
          <cell r="F4217"/>
        </row>
        <row r="4218">
          <cell r="A4218" t="str">
            <v>TBANCOC</v>
          </cell>
          <cell r="B4218" t="str">
            <v>Banquetón de cocina pulido</v>
          </cell>
          <cell r="C4218" t="str">
            <v>ML</v>
          </cell>
          <cell r="D4218">
            <v>150</v>
          </cell>
          <cell r="E4218"/>
          <cell r="F4218">
            <v>13</v>
          </cell>
        </row>
        <row r="4219">
          <cell r="A4219" t="str">
            <v>TBOQ</v>
          </cell>
          <cell r="B4219" t="str">
            <v>Boquilla en puertas y ventanas</v>
          </cell>
          <cell r="C4219" t="str">
            <v>ML</v>
          </cell>
          <cell r="D4219">
            <v>90</v>
          </cell>
          <cell r="E4219"/>
          <cell r="F4219"/>
        </row>
        <row r="4220">
          <cell r="A4220" t="str">
            <v>TCCASO</v>
          </cell>
          <cell r="B4220" t="str">
            <v>Cimbrar y colar castillo de soga</v>
          </cell>
          <cell r="C4220" t="str">
            <v>ML</v>
          </cell>
          <cell r="D4220">
            <v>100</v>
          </cell>
          <cell r="E4220"/>
          <cell r="F4220"/>
        </row>
        <row r="4221">
          <cell r="A4221" t="str">
            <v>TCCASO3</v>
          </cell>
          <cell r="B4221" t="str">
            <v>Cimbrar y colar castillo de soga 3 caras</v>
          </cell>
          <cell r="C4221" t="str">
            <v>ML</v>
          </cell>
          <cell r="D4221">
            <v>120</v>
          </cell>
          <cell r="E4221"/>
          <cell r="F4221"/>
        </row>
        <row r="4222">
          <cell r="A4222" t="str">
            <v>TCCATE</v>
          </cell>
          <cell r="B4222" t="str">
            <v>Cimbrar y colar castillo de tezón</v>
          </cell>
          <cell r="C4222" t="str">
            <v>ML</v>
          </cell>
          <cell r="D4222">
            <v>120</v>
          </cell>
          <cell r="E4222"/>
          <cell r="F4222"/>
        </row>
        <row r="4223">
          <cell r="A4223" t="str">
            <v>TCCATE3</v>
          </cell>
          <cell r="B4223" t="str">
            <v>Cimbrar y colar castillo de tezón 3 caras</v>
          </cell>
          <cell r="C4223" t="str">
            <v>ML</v>
          </cell>
          <cell r="D4223">
            <v>145</v>
          </cell>
          <cell r="E4223"/>
          <cell r="F4223"/>
        </row>
        <row r="4224">
          <cell r="A4224" t="str">
            <v>TCCESO</v>
          </cell>
          <cell r="B4224" t="str">
            <v>Cimbrar y colar cerramiento de soga</v>
          </cell>
          <cell r="C4224" t="str">
            <v>ML</v>
          </cell>
          <cell r="D4224">
            <v>130</v>
          </cell>
          <cell r="E4224"/>
          <cell r="F4224"/>
        </row>
        <row r="4225">
          <cell r="A4225" t="str">
            <v>TCCETE</v>
          </cell>
          <cell r="B4225" t="str">
            <v>Cimbrar y colar cerramiento de tezón</v>
          </cell>
          <cell r="C4225" t="str">
            <v>ML</v>
          </cell>
          <cell r="D4225">
            <v>234</v>
          </cell>
          <cell r="E4225"/>
          <cell r="F4225"/>
        </row>
        <row r="4226">
          <cell r="A4226" t="str">
            <v>TCDASO</v>
          </cell>
          <cell r="B4226" t="str">
            <v xml:space="preserve">Armar, cimbrar y colar dala de 15 x 20 </v>
          </cell>
          <cell r="C4226" t="str">
            <v>ML</v>
          </cell>
          <cell r="D4226">
            <v>100</v>
          </cell>
          <cell r="E4226"/>
          <cell r="F4226"/>
        </row>
        <row r="4227">
          <cell r="A4227" t="str">
            <v>TCDATE</v>
          </cell>
          <cell r="B4227" t="str">
            <v>Cimbrar y colar dala tezón con doble armex</v>
          </cell>
          <cell r="C4227" t="str">
            <v>ML</v>
          </cell>
          <cell r="D4227">
            <v>130</v>
          </cell>
          <cell r="E4227"/>
          <cell r="F4227"/>
        </row>
        <row r="4228">
          <cell r="A4228" t="str">
            <v>TDADO</v>
          </cell>
          <cell r="B4228" t="str">
            <v>Colado de dado completo de 80x 80 x 80</v>
          </cell>
          <cell r="C4228" t="str">
            <v>PZA</v>
          </cell>
          <cell r="D4228">
            <v>400</v>
          </cell>
          <cell r="E4228"/>
          <cell r="F4228">
            <v>62</v>
          </cell>
        </row>
        <row r="4229">
          <cell r="A4229" t="str">
            <v>TENJADO</v>
          </cell>
          <cell r="B4229" t="str">
            <v>Sarpeo, enjarre y figurado tipo adobe con estrías</v>
          </cell>
          <cell r="C4229" t="str">
            <v>M2</v>
          </cell>
          <cell r="D4229">
            <v>150</v>
          </cell>
          <cell r="E4229"/>
          <cell r="F4229"/>
        </row>
        <row r="4230">
          <cell r="A4230" t="str">
            <v>TENJAFB</v>
          </cell>
          <cell r="B4230" t="str">
            <v>Enjarre en bóveda terminado afinado, incluye sarpeos y andamios</v>
          </cell>
          <cell r="C4230" t="str">
            <v>M2</v>
          </cell>
          <cell r="D4230">
            <v>133</v>
          </cell>
          <cell r="E4230"/>
          <cell r="F4230"/>
        </row>
        <row r="4231">
          <cell r="A4231" t="str">
            <v>TENJAFM</v>
          </cell>
          <cell r="B4231" t="str">
            <v>Enjarre en muro terminado afinado, incluye sarpeos y andamios</v>
          </cell>
          <cell r="C4231" t="str">
            <v>M2</v>
          </cell>
          <cell r="D4231">
            <v>120</v>
          </cell>
          <cell r="E4231"/>
          <cell r="F4231"/>
        </row>
        <row r="4232">
          <cell r="A4232" t="str">
            <v>TENJAP</v>
          </cell>
          <cell r="B4232" t="str">
            <v>Enjarre en muro terminado apalillado, incluye sarpeos y andamios</v>
          </cell>
          <cell r="C4232" t="str">
            <v>M2</v>
          </cell>
          <cell r="D4232">
            <v>100</v>
          </cell>
          <cell r="E4232"/>
          <cell r="F4232"/>
        </row>
        <row r="4233">
          <cell r="A4233" t="str">
            <v>TENJB</v>
          </cell>
          <cell r="B4233" t="str">
            <v>Enjarre en bóveda, incluye sarpeos y andamios</v>
          </cell>
          <cell r="C4233" t="str">
            <v>M2</v>
          </cell>
          <cell r="D4233">
            <v>120</v>
          </cell>
          <cell r="E4233"/>
          <cell r="F4233"/>
        </row>
        <row r="4234">
          <cell r="A4234" t="str">
            <v>TENJCP</v>
          </cell>
          <cell r="B4234" t="str">
            <v>Enjarre a tallón de cuchara pulido</v>
          </cell>
          <cell r="C4234" t="str">
            <v>M2</v>
          </cell>
          <cell r="D4234">
            <v>100</v>
          </cell>
          <cell r="E4234"/>
          <cell r="F4234"/>
        </row>
        <row r="4235">
          <cell r="A4235" t="str">
            <v>TEXCAV</v>
          </cell>
          <cell r="B4235" t="str">
            <v xml:space="preserve">Excavación terreno </v>
          </cell>
          <cell r="C4235" t="str">
            <v>M3</v>
          </cell>
          <cell r="D4235">
            <v>380</v>
          </cell>
          <cell r="E4235"/>
          <cell r="F4235"/>
        </row>
        <row r="4236">
          <cell r="A4236" t="str">
            <v>TFILTRO</v>
          </cell>
          <cell r="B4236" t="str">
            <v>Filtro de grava de 10 cms compactada</v>
          </cell>
          <cell r="C4236" t="str">
            <v>M2</v>
          </cell>
          <cell r="D4236">
            <v>25</v>
          </cell>
          <cell r="E4236"/>
          <cell r="F4236">
            <v>74</v>
          </cell>
        </row>
        <row r="4237">
          <cell r="A4237" t="str">
            <v>TFIRJAL</v>
          </cell>
          <cell r="B4237" t="str">
            <v>Colocar jal con malla electro-soldada y lechadeado</v>
          </cell>
          <cell r="C4237" t="str">
            <v>M2</v>
          </cell>
          <cell r="D4237">
            <v>90</v>
          </cell>
          <cell r="E4237"/>
          <cell r="F4237">
            <v>40</v>
          </cell>
        </row>
        <row r="4238">
          <cell r="A4238" t="str">
            <v>TFOSA</v>
          </cell>
          <cell r="B4238" t="str">
            <v>Excavación, forjado y terminado de fosa séptica con filtros</v>
          </cell>
          <cell r="C4238" t="str">
            <v>M3</v>
          </cell>
          <cell r="D4238">
            <v>1200</v>
          </cell>
          <cell r="E4238"/>
          <cell r="F4238"/>
        </row>
        <row r="4239">
          <cell r="A4239" t="str">
            <v>TJALIN</v>
          </cell>
          <cell r="B4239" t="str">
            <v>Colocar jal en techo inclinado, incluye malla y apalillado</v>
          </cell>
          <cell r="C4239" t="str">
            <v>M2</v>
          </cell>
          <cell r="D4239">
            <v>165</v>
          </cell>
          <cell r="E4239"/>
          <cell r="F4239">
            <v>41</v>
          </cell>
        </row>
        <row r="4240">
          <cell r="A4240" t="str">
            <v>TJALP</v>
          </cell>
          <cell r="B4240" t="str">
            <v>Colocar jal en techo plano, incluye malla y apalillado</v>
          </cell>
          <cell r="C4240" t="str">
            <v>M2</v>
          </cell>
          <cell r="D4240">
            <v>125</v>
          </cell>
          <cell r="E4240"/>
          <cell r="F4240">
            <v>42</v>
          </cell>
        </row>
        <row r="4241">
          <cell r="A4241" t="str">
            <v>TLADAZ</v>
          </cell>
          <cell r="B4241" t="str">
            <v>Colocar piso de barro y juntear, detallar y limpiar</v>
          </cell>
          <cell r="C4241" t="str">
            <v>M2</v>
          </cell>
          <cell r="D4241">
            <v>160</v>
          </cell>
          <cell r="E4241">
            <v>49</v>
          </cell>
          <cell r="F4241"/>
        </row>
        <row r="4242">
          <cell r="A4242" t="str">
            <v>TLODADOB</v>
          </cell>
          <cell r="B4242" t="str">
            <v>Aplicar sellador y lodo sobre superficie de adobe terminado</v>
          </cell>
          <cell r="C4242" t="str">
            <v>M2</v>
          </cell>
          <cell r="D4242">
            <v>50</v>
          </cell>
          <cell r="E4242"/>
          <cell r="F4242"/>
        </row>
        <row r="4243">
          <cell r="A4243" t="str">
            <v>TLOSA</v>
          </cell>
          <cell r="B4243" t="str">
            <v>Colocar malla, colado de losa concreto y repellado</v>
          </cell>
          <cell r="C4243" t="str">
            <v>M2</v>
          </cell>
          <cell r="D4243">
            <v>100</v>
          </cell>
          <cell r="E4243"/>
          <cell r="F4243"/>
        </row>
        <row r="4244">
          <cell r="A4244" t="str">
            <v>TLOSDESP</v>
          </cell>
          <cell r="B4244" t="str">
            <v>Trazo, ranuras, barrenos, armar, cimbrar y colar losa despensa terminado</v>
          </cell>
          <cell r="C4244" t="str">
            <v>ML</v>
          </cell>
          <cell r="D4244">
            <v>300</v>
          </cell>
          <cell r="E4244"/>
          <cell r="F4244"/>
        </row>
        <row r="4245">
          <cell r="A4245" t="str">
            <v>TMAM1R40</v>
          </cell>
          <cell r="B4245" t="str">
            <v>Mamposteo de piedra 1 rostro de 40 cms</v>
          </cell>
          <cell r="C4245" t="str">
            <v>M2</v>
          </cell>
          <cell r="D4245">
            <v>800</v>
          </cell>
          <cell r="E4245"/>
          <cell r="F4245"/>
        </row>
        <row r="4246">
          <cell r="A4246" t="str">
            <v>TMAM1R50</v>
          </cell>
          <cell r="B4246" t="str">
            <v>Mamposteo de piedra 1 rostro de 50 cms</v>
          </cell>
          <cell r="C4246" t="str">
            <v>M2</v>
          </cell>
          <cell r="D4246">
            <v>800</v>
          </cell>
          <cell r="E4246"/>
          <cell r="F4246"/>
        </row>
        <row r="4247">
          <cell r="A4247" t="str">
            <v>TMAM2R</v>
          </cell>
          <cell r="B4247" t="str">
            <v>Mamposteo de piedra 2 rostros de 40 a 50 cms</v>
          </cell>
          <cell r="C4247" t="str">
            <v>M2</v>
          </cell>
          <cell r="D4247">
            <v>1375</v>
          </cell>
          <cell r="E4247"/>
          <cell r="F4247"/>
        </row>
        <row r="4248">
          <cell r="A4248" t="str">
            <v>TMAM2R40</v>
          </cell>
          <cell r="B4248" t="str">
            <v>Mamposteo de piedra 2 rostros de 40 cms</v>
          </cell>
          <cell r="C4248" t="str">
            <v>M2</v>
          </cell>
          <cell r="D4248">
            <v>1300</v>
          </cell>
          <cell r="E4248"/>
          <cell r="F4248"/>
        </row>
        <row r="4249">
          <cell r="A4249" t="str">
            <v>TMAM2R50</v>
          </cell>
          <cell r="B4249" t="str">
            <v>Mamposteo de piedra 2 rostro de 50 cms</v>
          </cell>
          <cell r="C4249" t="str">
            <v>M2</v>
          </cell>
          <cell r="D4249">
            <v>1450</v>
          </cell>
          <cell r="E4249"/>
          <cell r="F4249"/>
        </row>
        <row r="4250">
          <cell r="A4250" t="str">
            <v>TMCAP</v>
          </cell>
          <cell r="B4250" t="str">
            <v>Muro de capuchino en sucio</v>
          </cell>
          <cell r="C4250" t="str">
            <v>M2</v>
          </cell>
          <cell r="D4250">
            <v>120</v>
          </cell>
          <cell r="E4250"/>
          <cell r="F4250"/>
        </row>
        <row r="4251">
          <cell r="A4251" t="str">
            <v>TMOCSO</v>
          </cell>
          <cell r="B4251" t="str">
            <v>Mocheta de soga en sucio</v>
          </cell>
          <cell r="C4251" t="str">
            <v>ML</v>
          </cell>
          <cell r="D4251">
            <v>125</v>
          </cell>
          <cell r="E4251"/>
          <cell r="F4251"/>
        </row>
        <row r="4252">
          <cell r="A4252" t="str">
            <v>TMOCTE</v>
          </cell>
          <cell r="B4252" t="str">
            <v>Mocheta de tezón en sucio</v>
          </cell>
          <cell r="C4252" t="str">
            <v>ML</v>
          </cell>
          <cell r="D4252">
            <v>150</v>
          </cell>
          <cell r="E4252"/>
          <cell r="F4252"/>
        </row>
        <row r="4253">
          <cell r="A4253" t="str">
            <v>TMSOG</v>
          </cell>
          <cell r="B4253" t="str">
            <v>Muro de soga en sucio</v>
          </cell>
          <cell r="C4253" t="str">
            <v>M2</v>
          </cell>
          <cell r="D4253">
            <v>125</v>
          </cell>
          <cell r="E4253"/>
          <cell r="F4253"/>
        </row>
        <row r="4254">
          <cell r="A4254" t="str">
            <v>TMTEZ</v>
          </cell>
          <cell r="B4254" t="str">
            <v>Muro de tezón en sucio</v>
          </cell>
          <cell r="C4254" t="str">
            <v>M2</v>
          </cell>
          <cell r="D4254">
            <v>150</v>
          </cell>
          <cell r="E4254"/>
          <cell r="F4254"/>
        </row>
        <row r="4255">
          <cell r="A4255" t="str">
            <v>TMUADOSO</v>
          </cell>
          <cell r="B4255" t="str">
            <v>Muro de adobe de soga en sucio no importa altura, inlcuye junta</v>
          </cell>
          <cell r="C4255" t="str">
            <v>M2</v>
          </cell>
          <cell r="D4255">
            <v>200</v>
          </cell>
          <cell r="E4255"/>
          <cell r="F4255"/>
        </row>
        <row r="4256">
          <cell r="A4256" t="str">
            <v>TMUADOTE</v>
          </cell>
          <cell r="B4256" t="str">
            <v>Muro de adobe de soga en sucio no importa altura, inlcuye junta</v>
          </cell>
          <cell r="C4256" t="str">
            <v>M2</v>
          </cell>
          <cell r="D4256">
            <v>300</v>
          </cell>
          <cell r="E4256"/>
          <cell r="F4256"/>
        </row>
        <row r="4257">
          <cell r="A4257" t="str">
            <v>TNIVMR</v>
          </cell>
          <cell r="B4257" t="str">
            <v>Nivelación de muro de piedra con rostro</v>
          </cell>
          <cell r="C4257" t="str">
            <v>ML</v>
          </cell>
          <cell r="D4257">
            <v>70</v>
          </cell>
          <cell r="E4257"/>
          <cell r="F4257"/>
        </row>
        <row r="4258">
          <cell r="A4258" t="str">
            <v>TPEO</v>
          </cell>
          <cell r="B4258" t="str">
            <v>Peón por el día</v>
          </cell>
          <cell r="C4258" t="str">
            <v>JORNAL</v>
          </cell>
          <cell r="D4258">
            <v>390</v>
          </cell>
          <cell r="E4258"/>
          <cell r="F4258"/>
        </row>
        <row r="4259">
          <cell r="A4259" t="str">
            <v>TPINT</v>
          </cell>
          <cell r="B4259" t="str">
            <v>Raspar, resanes, sellador y pintura terminado sobre muros y bóvedas</v>
          </cell>
          <cell r="C4259" t="str">
            <v>M2</v>
          </cell>
          <cell r="D4259">
            <v>50</v>
          </cell>
          <cell r="E4259"/>
          <cell r="F4259"/>
        </row>
        <row r="4260">
          <cell r="A4260" t="str">
            <v>TPISO</v>
          </cell>
          <cell r="B4260" t="str">
            <v>Lechadeo, colocar malla, colado de piso repellado</v>
          </cell>
          <cell r="C4260" t="str">
            <v>M2</v>
          </cell>
          <cell r="D4260">
            <v>125</v>
          </cell>
          <cell r="E4260"/>
          <cell r="F4260">
            <v>42</v>
          </cell>
        </row>
        <row r="4261">
          <cell r="A4261" t="str">
            <v>TREG</v>
          </cell>
          <cell r="B4261" t="str">
            <v>Excavación, forjado y terminado registro sanitario 1.00x1.00x1.00</v>
          </cell>
          <cell r="C4261" t="str">
            <v>PZA</v>
          </cell>
          <cell r="D4261">
            <v>1000</v>
          </cell>
          <cell r="E4261"/>
          <cell r="F4261"/>
        </row>
        <row r="4262">
          <cell r="A4262" t="str">
            <v>TRELLM</v>
          </cell>
          <cell r="B4262" t="str">
            <v>Relleno y compactación en capas de 20 cms con apoyo de máquina</v>
          </cell>
          <cell r="C4262" t="str">
            <v>M3</v>
          </cell>
          <cell r="D4262">
            <v>100</v>
          </cell>
          <cell r="E4262"/>
          <cell r="F4262">
            <v>124</v>
          </cell>
        </row>
        <row r="4263">
          <cell r="A4263" t="str">
            <v>TREN</v>
          </cell>
          <cell r="B4263" t="str">
            <v>Renchido de piedra</v>
          </cell>
          <cell r="C4263" t="str">
            <v>M3</v>
          </cell>
          <cell r="D4263">
            <v>400</v>
          </cell>
          <cell r="E4263"/>
          <cell r="F4263"/>
        </row>
        <row r="4264">
          <cell r="A4264" t="str">
            <v>TSUBVIGA</v>
          </cell>
          <cell r="B4264" t="str">
            <v>subir y nivelar cerramientos de madera ( incluye fester, resanes y colados )</v>
          </cell>
          <cell r="C4264" t="str">
            <v>ML</v>
          </cell>
          <cell r="D4264">
            <v>140</v>
          </cell>
          <cell r="E4264"/>
          <cell r="F4264">
            <v>135</v>
          </cell>
        </row>
        <row r="4265">
          <cell r="A4265" t="str">
            <v>TTEJA</v>
          </cell>
          <cell r="B4265" t="str">
            <v>Tejar, inculye costuras y caballeteros</v>
          </cell>
          <cell r="C4265" t="str">
            <v>M2</v>
          </cell>
          <cell r="D4265">
            <v>110</v>
          </cell>
          <cell r="E4265"/>
          <cell r="F4265">
            <v>138</v>
          </cell>
        </row>
        <row r="4266">
          <cell r="A4266" t="str">
            <v>TPISORAJ</v>
          </cell>
          <cell r="B4266" t="str">
            <v>Instalación de piso de rajuela a canto en pisos</v>
          </cell>
          <cell r="C4266" t="str">
            <v>M2</v>
          </cell>
          <cell r="D4266">
            <v>1000</v>
          </cell>
          <cell r="E4266"/>
          <cell r="F4266"/>
        </row>
        <row r="4267">
          <cell r="A4267" t="str">
            <v>TACEITE</v>
          </cell>
          <cell r="B4267" t="str">
            <v>Limpiar y aplicar aceite o barniz sobre madera</v>
          </cell>
          <cell r="C4267" t="str">
            <v>M2</v>
          </cell>
          <cell r="D4267">
            <v>50</v>
          </cell>
          <cell r="E4267"/>
          <cell r="F4267"/>
        </row>
        <row r="4268">
          <cell r="A4268" t="str">
            <v>TIMP</v>
          </cell>
          <cell r="B4268" t="str">
            <v>Raspado de supercicie, repellado e impermeabilizado azotea</v>
          </cell>
          <cell r="C4268" t="str">
            <v>M2</v>
          </cell>
          <cell r="D4268">
            <v>50</v>
          </cell>
          <cell r="E4268"/>
          <cell r="F4268"/>
        </row>
        <row r="4269">
          <cell r="A4269" t="str">
            <v>TCENRAJ</v>
          </cell>
          <cell r="B4269" t="str">
            <v>Instalación de piso de rajuela a canto en cenefa ancho hasta 60 cms</v>
          </cell>
          <cell r="C4269" t="str">
            <v>ML</v>
          </cell>
          <cell r="D4269">
            <v>600</v>
          </cell>
          <cell r="E4269"/>
          <cell r="F4269"/>
        </row>
        <row r="4270">
          <cell r="A4270" t="str">
            <v>TVADO</v>
          </cell>
          <cell r="B4270" t="str">
            <v>Vado pluvial de 1 metro de ancho</v>
          </cell>
          <cell r="C4270" t="str">
            <v>ML</v>
          </cell>
          <cell r="D4270">
            <v>90</v>
          </cell>
          <cell r="E4270"/>
          <cell r="F4270">
            <v>140</v>
          </cell>
        </row>
        <row r="4271">
          <cell r="A4271"/>
          <cell r="B4271"/>
          <cell r="C4271"/>
          <cell r="D4271"/>
          <cell r="E4271"/>
          <cell r="F4271"/>
        </row>
        <row r="4272">
          <cell r="A4272"/>
          <cell r="B4272"/>
          <cell r="C4272"/>
          <cell r="D4272"/>
          <cell r="E4272"/>
          <cell r="F4272"/>
        </row>
        <row r="4273">
          <cell r="A4273"/>
          <cell r="B4273"/>
          <cell r="C4273"/>
          <cell r="D4273"/>
          <cell r="E4273"/>
          <cell r="F4273"/>
        </row>
        <row r="4274">
          <cell r="A4274"/>
          <cell r="B4274"/>
          <cell r="C4274"/>
          <cell r="D4274"/>
          <cell r="E4274"/>
          <cell r="F4274"/>
        </row>
        <row r="4275">
          <cell r="A4275"/>
          <cell r="B4275"/>
          <cell r="C4275"/>
          <cell r="D4275"/>
          <cell r="E4275"/>
          <cell r="F4275"/>
        </row>
        <row r="4276">
          <cell r="A4276"/>
          <cell r="B4276"/>
          <cell r="C4276"/>
          <cell r="D4276"/>
          <cell r="E4276"/>
          <cell r="F4276"/>
        </row>
        <row r="4277">
          <cell r="A4277"/>
          <cell r="B4277"/>
          <cell r="C4277"/>
          <cell r="D4277"/>
          <cell r="E4277"/>
          <cell r="F4277"/>
        </row>
        <row r="4278">
          <cell r="A4278"/>
          <cell r="B4278"/>
          <cell r="C4278"/>
          <cell r="D4278"/>
          <cell r="E4278"/>
          <cell r="F4278"/>
        </row>
        <row r="4279">
          <cell r="A4279"/>
          <cell r="B4279"/>
          <cell r="C4279"/>
          <cell r="D4279"/>
          <cell r="E4279"/>
          <cell r="F4279"/>
        </row>
        <row r="4280">
          <cell r="A4280"/>
          <cell r="B4280"/>
          <cell r="C4280"/>
          <cell r="D4280"/>
          <cell r="E4280"/>
          <cell r="F4280"/>
        </row>
        <row r="4281">
          <cell r="A4281"/>
          <cell r="B4281"/>
          <cell r="C4281"/>
          <cell r="D4281"/>
          <cell r="E4281"/>
          <cell r="F4281"/>
        </row>
        <row r="4282">
          <cell r="A4282"/>
          <cell r="B4282"/>
          <cell r="C4282"/>
          <cell r="D4282"/>
          <cell r="E4282"/>
          <cell r="F4282"/>
        </row>
        <row r="4283">
          <cell r="A4283"/>
          <cell r="B4283"/>
          <cell r="C4283"/>
          <cell r="D4283"/>
          <cell r="E4283"/>
          <cell r="F4283"/>
        </row>
        <row r="4284">
          <cell r="A4284"/>
          <cell r="B4284"/>
          <cell r="C4284"/>
          <cell r="D4284"/>
          <cell r="E4284"/>
          <cell r="F4284"/>
        </row>
        <row r="4285">
          <cell r="A4285"/>
          <cell r="B4285"/>
          <cell r="C4285"/>
          <cell r="D4285"/>
          <cell r="E4285"/>
          <cell r="F4285"/>
        </row>
        <row r="4286">
          <cell r="A4286"/>
          <cell r="B4286"/>
          <cell r="C4286"/>
          <cell r="D4286"/>
          <cell r="E4286"/>
          <cell r="F4286"/>
        </row>
        <row r="4287">
          <cell r="A4287"/>
          <cell r="B4287"/>
          <cell r="C4287"/>
          <cell r="D4287"/>
          <cell r="E4287"/>
          <cell r="F4287"/>
        </row>
        <row r="4288">
          <cell r="A4288"/>
          <cell r="B4288"/>
          <cell r="C4288"/>
          <cell r="D4288"/>
          <cell r="E4288"/>
          <cell r="F4288"/>
        </row>
        <row r="4289">
          <cell r="A4289"/>
          <cell r="B4289"/>
        </row>
        <row r="4290">
          <cell r="A4290"/>
          <cell r="B4290"/>
        </row>
        <row r="4291">
          <cell r="A4291"/>
          <cell r="B4291"/>
        </row>
        <row r="4292">
          <cell r="A4292"/>
          <cell r="B4292"/>
        </row>
        <row r="4293">
          <cell r="A4293"/>
          <cell r="B4293"/>
        </row>
        <row r="4294">
          <cell r="A4294"/>
          <cell r="B4294"/>
        </row>
        <row r="4295">
          <cell r="A4295"/>
          <cell r="B4295"/>
        </row>
        <row r="4296">
          <cell r="A4296"/>
          <cell r="B4296"/>
        </row>
        <row r="4297">
          <cell r="A4297"/>
          <cell r="B4297"/>
        </row>
        <row r="4298">
          <cell r="A4298"/>
          <cell r="B4298"/>
        </row>
        <row r="4299">
          <cell r="A4299"/>
          <cell r="B4299"/>
        </row>
        <row r="4300">
          <cell r="A4300"/>
          <cell r="B4300"/>
        </row>
        <row r="4301">
          <cell r="A4301"/>
          <cell r="B4301"/>
        </row>
        <row r="4302">
          <cell r="A4302"/>
          <cell r="B4302"/>
        </row>
        <row r="4303">
          <cell r="A4303"/>
          <cell r="B4303"/>
        </row>
        <row r="4304">
          <cell r="A4304"/>
          <cell r="B4304"/>
        </row>
        <row r="4305">
          <cell r="A4305"/>
          <cell r="B4305"/>
        </row>
        <row r="4306">
          <cell r="A4306"/>
          <cell r="B4306"/>
        </row>
        <row r="4307">
          <cell r="A4307"/>
          <cell r="B4307"/>
        </row>
        <row r="4308">
          <cell r="A4308"/>
          <cell r="B4308"/>
        </row>
        <row r="4309">
          <cell r="A4309"/>
          <cell r="B4309"/>
        </row>
        <row r="4310">
          <cell r="A4310"/>
          <cell r="B4310"/>
        </row>
        <row r="4311">
          <cell r="A4311"/>
          <cell r="B4311"/>
        </row>
        <row r="4312">
          <cell r="A4312"/>
          <cell r="B4312"/>
        </row>
        <row r="4313">
          <cell r="A4313"/>
          <cell r="B4313"/>
        </row>
        <row r="4314">
          <cell r="A4314"/>
          <cell r="B4314"/>
        </row>
        <row r="4315">
          <cell r="A4315"/>
          <cell r="B4315"/>
        </row>
        <row r="4316">
          <cell r="A4316"/>
          <cell r="B4316"/>
        </row>
        <row r="4317">
          <cell r="A4317"/>
          <cell r="B4317"/>
        </row>
        <row r="4318">
          <cell r="A4318"/>
          <cell r="B4318"/>
        </row>
        <row r="4319">
          <cell r="A4319"/>
          <cell r="B4319"/>
        </row>
        <row r="4320">
          <cell r="A4320"/>
          <cell r="B4320"/>
        </row>
        <row r="4321">
          <cell r="A4321"/>
          <cell r="B4321"/>
        </row>
        <row r="4322">
          <cell r="A4322"/>
          <cell r="B4322"/>
        </row>
        <row r="4323">
          <cell r="A4323"/>
          <cell r="B4323"/>
        </row>
        <row r="4324">
          <cell r="A4324"/>
          <cell r="B4324"/>
        </row>
        <row r="4325">
          <cell r="A4325"/>
          <cell r="B4325"/>
        </row>
        <row r="4326">
          <cell r="A4326"/>
          <cell r="B4326"/>
        </row>
        <row r="4327">
          <cell r="A4327"/>
          <cell r="B4327"/>
        </row>
        <row r="4328">
          <cell r="A4328"/>
          <cell r="B4328"/>
        </row>
        <row r="4329">
          <cell r="A4329"/>
          <cell r="B4329"/>
        </row>
        <row r="4330">
          <cell r="A4330"/>
          <cell r="B4330"/>
        </row>
        <row r="4331">
          <cell r="A4331"/>
          <cell r="B4331"/>
        </row>
        <row r="4332">
          <cell r="A4332"/>
          <cell r="B4332"/>
        </row>
        <row r="4333">
          <cell r="A4333"/>
          <cell r="B4333"/>
        </row>
        <row r="4334">
          <cell r="A4334"/>
          <cell r="B4334"/>
        </row>
        <row r="4335">
          <cell r="A4335"/>
          <cell r="B4335"/>
        </row>
        <row r="4336">
          <cell r="A4336"/>
          <cell r="B4336"/>
        </row>
        <row r="4337">
          <cell r="A4337"/>
          <cell r="B4337"/>
        </row>
        <row r="4338">
          <cell r="A4338"/>
          <cell r="B4338"/>
        </row>
        <row r="4339">
          <cell r="A4339"/>
          <cell r="B4339"/>
        </row>
        <row r="4340">
          <cell r="A4340"/>
          <cell r="B4340"/>
        </row>
        <row r="4341">
          <cell r="A4341"/>
          <cell r="B4341"/>
        </row>
        <row r="4342">
          <cell r="A4342"/>
          <cell r="B4342"/>
        </row>
        <row r="4343">
          <cell r="A4343"/>
          <cell r="B4343"/>
        </row>
        <row r="4344">
          <cell r="A4344"/>
          <cell r="B4344"/>
        </row>
        <row r="4345">
          <cell r="A4345"/>
          <cell r="B4345"/>
        </row>
        <row r="4346">
          <cell r="A4346"/>
          <cell r="B4346"/>
        </row>
        <row r="4347">
          <cell r="A4347"/>
          <cell r="B4347"/>
        </row>
        <row r="4348">
          <cell r="A4348"/>
          <cell r="B4348"/>
        </row>
        <row r="4349">
          <cell r="A4349"/>
          <cell r="B4349"/>
        </row>
        <row r="4350">
          <cell r="A4350"/>
          <cell r="B4350"/>
        </row>
        <row r="4351">
          <cell r="A4351"/>
          <cell r="B4351"/>
        </row>
        <row r="4352">
          <cell r="A4352"/>
          <cell r="B4352"/>
        </row>
        <row r="4353">
          <cell r="A4353"/>
          <cell r="B4353"/>
        </row>
        <row r="4354">
          <cell r="A4354"/>
          <cell r="B4354"/>
        </row>
        <row r="4355">
          <cell r="A4355"/>
          <cell r="B4355"/>
        </row>
        <row r="4356">
          <cell r="A4356"/>
          <cell r="B4356"/>
        </row>
        <row r="4357">
          <cell r="A4357"/>
          <cell r="B4357"/>
        </row>
        <row r="4358">
          <cell r="A4358"/>
          <cell r="B4358"/>
        </row>
        <row r="4359">
          <cell r="A4359"/>
          <cell r="B4359"/>
        </row>
        <row r="4360">
          <cell r="A4360"/>
          <cell r="B4360"/>
        </row>
        <row r="4361">
          <cell r="A4361"/>
          <cell r="B4361"/>
        </row>
        <row r="4362">
          <cell r="A4362"/>
          <cell r="B4362"/>
        </row>
        <row r="4363">
          <cell r="A4363"/>
          <cell r="B4363"/>
        </row>
        <row r="4364">
          <cell r="A4364"/>
          <cell r="B4364"/>
        </row>
        <row r="4365">
          <cell r="A4365"/>
          <cell r="B4365"/>
        </row>
        <row r="4366">
          <cell r="A4366"/>
          <cell r="B4366"/>
        </row>
        <row r="4367">
          <cell r="A4367"/>
          <cell r="B4367"/>
        </row>
        <row r="4368">
          <cell r="A4368"/>
          <cell r="B4368"/>
        </row>
        <row r="4369">
          <cell r="A4369"/>
          <cell r="B4369"/>
        </row>
        <row r="4370">
          <cell r="A4370"/>
          <cell r="B4370"/>
        </row>
        <row r="4371">
          <cell r="A4371"/>
          <cell r="B4371"/>
        </row>
        <row r="4372">
          <cell r="A4372"/>
          <cell r="B4372"/>
        </row>
        <row r="4373">
          <cell r="A4373"/>
          <cell r="B4373"/>
        </row>
        <row r="4374">
          <cell r="A4374"/>
          <cell r="B4374"/>
        </row>
        <row r="4375">
          <cell r="A4375"/>
          <cell r="B4375"/>
        </row>
        <row r="4376">
          <cell r="A4376"/>
          <cell r="B4376"/>
        </row>
        <row r="4377">
          <cell r="A4377"/>
          <cell r="B4377"/>
        </row>
      </sheetData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34E1E-2E52-4C72-9C76-4CA035297202}">
  <sheetPr codeName="Hoja489">
    <pageSetUpPr fitToPage="1"/>
  </sheetPr>
  <dimension ref="A1:HR1047592"/>
  <sheetViews>
    <sheetView tabSelected="1" topLeftCell="A3" zoomScaleNormal="100" workbookViewId="0">
      <selection activeCell="D15" sqref="D15:D1048576"/>
    </sheetView>
  </sheetViews>
  <sheetFormatPr baseColWidth="10" defaultColWidth="9.21875" defaultRowHeight="13.2" outlineLevelRow="1" x14ac:dyDescent="0.25"/>
  <cols>
    <col min="1" max="1" width="7.5546875" style="145" bestFit="1" customWidth="1"/>
    <col min="2" max="2" width="3.5546875" style="145" bestFit="1" customWidth="1"/>
    <col min="3" max="3" width="0.44140625" customWidth="1"/>
    <col min="4" max="4" width="2.44140625" style="145" customWidth="1"/>
    <col min="5" max="6" width="17.77734375" customWidth="1"/>
    <col min="7" max="7" width="9.77734375" customWidth="1"/>
    <col min="8" max="8" width="4.21875" bestFit="1" customWidth="1"/>
    <col min="9" max="9" width="7" bestFit="1" customWidth="1"/>
    <col min="10" max="12" width="5.77734375" customWidth="1"/>
    <col min="13" max="13" width="7.21875" customWidth="1"/>
    <col min="14" max="14" width="11.21875" customWidth="1"/>
    <col min="15" max="15" width="14.77734375" bestFit="1" customWidth="1"/>
    <col min="16" max="16" width="2.77734375" bestFit="1" customWidth="1"/>
    <col min="17" max="17" width="13.77734375" customWidth="1"/>
    <col min="18" max="18" width="12" bestFit="1" customWidth="1"/>
    <col min="19" max="19" width="10.5546875" style="118" bestFit="1" customWidth="1"/>
    <col min="20" max="22" width="9.21875" customWidth="1"/>
    <col min="23" max="23" width="2.77734375" bestFit="1" customWidth="1"/>
    <col min="24" max="24" width="2.5546875" bestFit="1" customWidth="1"/>
    <col min="25" max="25" width="4" bestFit="1" customWidth="1"/>
    <col min="26" max="33" width="1.5546875" bestFit="1" customWidth="1"/>
    <col min="34" max="123" width="2.33203125" bestFit="1" customWidth="1"/>
    <col min="124" max="124" width="3.109375" bestFit="1" customWidth="1"/>
    <col min="125" max="125" width="2.77734375" customWidth="1"/>
    <col min="126" max="126" width="2.5546875" bestFit="1" customWidth="1"/>
    <col min="127" max="127" width="4" bestFit="1" customWidth="1"/>
    <col min="128" max="135" width="1.5546875" bestFit="1" customWidth="1"/>
    <col min="136" max="225" width="2.33203125" bestFit="1" customWidth="1"/>
    <col min="226" max="226" width="3.109375" bestFit="1" customWidth="1"/>
  </cols>
  <sheetData>
    <row r="1" spans="1:226" ht="17.399999999999999" outlineLevel="1" x14ac:dyDescent="0.3">
      <c r="A1" s="1"/>
      <c r="B1" s="2"/>
      <c r="C1" s="3"/>
      <c r="D1" s="4"/>
      <c r="E1" s="150" t="s">
        <v>0</v>
      </c>
      <c r="F1" s="151"/>
      <c r="G1" s="151"/>
      <c r="H1" s="151"/>
      <c r="I1" s="151"/>
      <c r="J1" s="151"/>
      <c r="K1" s="151"/>
      <c r="L1" s="151"/>
      <c r="M1" s="151"/>
      <c r="N1" s="151"/>
      <c r="O1" s="151"/>
      <c r="P1" s="151"/>
      <c r="Q1" s="152"/>
      <c r="R1" s="5" t="s">
        <v>1</v>
      </c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</row>
    <row r="2" spans="1:226" ht="17.399999999999999" outlineLevel="1" x14ac:dyDescent="0.3">
      <c r="A2" s="153"/>
      <c r="B2" s="154"/>
      <c r="C2" s="155"/>
      <c r="D2" s="4"/>
      <c r="E2" s="156" t="s">
        <v>21</v>
      </c>
      <c r="F2" s="157"/>
      <c r="G2" s="157"/>
      <c r="H2" s="157"/>
      <c r="I2" s="157"/>
      <c r="J2" s="157"/>
      <c r="K2" s="157"/>
      <c r="L2" s="157"/>
      <c r="M2" s="157"/>
      <c r="N2" s="157"/>
      <c r="O2" s="157"/>
      <c r="P2" s="157"/>
      <c r="Q2" s="158"/>
      <c r="R2" s="6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</row>
    <row r="3" spans="1:226" ht="15.6" outlineLevel="1" x14ac:dyDescent="0.3">
      <c r="A3" s="7"/>
      <c r="B3" s="4"/>
      <c r="C3" s="8"/>
      <c r="D3" s="4"/>
      <c r="E3" s="156" t="s">
        <v>22</v>
      </c>
      <c r="F3" s="157"/>
      <c r="G3" s="157"/>
      <c r="H3" s="157"/>
      <c r="I3" s="157"/>
      <c r="J3" s="157"/>
      <c r="K3" s="157"/>
      <c r="L3" s="157"/>
      <c r="M3" s="157"/>
      <c r="N3" s="157"/>
      <c r="O3" s="157"/>
      <c r="P3" s="157"/>
      <c r="Q3" s="158"/>
      <c r="R3" s="115" t="str">
        <f>LEFT(D6,2)</f>
        <v>A-</v>
      </c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</row>
    <row r="4" spans="1:226" ht="16.2" outlineLevel="1" thickBot="1" x14ac:dyDescent="0.35">
      <c r="A4" s="9"/>
      <c r="B4" s="10"/>
      <c r="C4" s="11"/>
      <c r="D4" s="4"/>
      <c r="E4" s="12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4"/>
      <c r="R4" s="116" t="str">
        <f>RIGHT(D6,4)</f>
        <v>002B</v>
      </c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</row>
    <row r="5" spans="1:226" ht="10.199999999999999" customHeight="1" outlineLevel="1" thickBot="1" x14ac:dyDescent="0.3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</row>
    <row r="6" spans="1:226" ht="20.100000000000001" customHeight="1" outlineLevel="1" thickBot="1" x14ac:dyDescent="0.3">
      <c r="A6" s="159" t="s">
        <v>2</v>
      </c>
      <c r="B6" s="160"/>
      <c r="C6" s="161"/>
      <c r="D6" s="168" t="s">
        <v>26</v>
      </c>
      <c r="E6" s="168"/>
      <c r="F6" s="169"/>
      <c r="G6" s="169"/>
      <c r="H6" s="169"/>
      <c r="I6" s="169"/>
      <c r="J6" s="169"/>
      <c r="K6" s="169"/>
      <c r="L6" s="169"/>
      <c r="M6" s="169"/>
      <c r="N6" s="169"/>
      <c r="O6" s="169"/>
      <c r="P6" s="170" t="s">
        <v>25</v>
      </c>
      <c r="Q6" s="171"/>
      <c r="R6" s="128"/>
      <c r="S6" s="65" t="str">
        <f>RIGHT(P6,3)</f>
        <v>026</v>
      </c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</row>
    <row r="7" spans="1:226" ht="28.2" outlineLevel="1" x14ac:dyDescent="0.5">
      <c r="A7" s="162"/>
      <c r="B7" s="163"/>
      <c r="C7" s="164"/>
      <c r="D7" s="172" t="str">
        <f>VLOOKUP($D$6,[1]OB!$A$2:$I$5052,4,FALSE)</f>
        <v>MANTENIMIENTO DE APOYO VICKY AV ESPAÑA #1840</v>
      </c>
      <c r="E7" s="173"/>
      <c r="F7" s="174"/>
      <c r="G7" s="174"/>
      <c r="H7" s="174"/>
      <c r="I7" s="174"/>
      <c r="J7" s="174"/>
      <c r="K7" s="174"/>
      <c r="L7" s="174"/>
      <c r="M7" s="174"/>
      <c r="N7" s="174"/>
      <c r="O7" s="174"/>
      <c r="P7" s="175" t="s">
        <v>24</v>
      </c>
      <c r="Q7" s="176"/>
      <c r="R7" s="129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</row>
    <row r="8" spans="1:226" ht="14.4" outlineLevel="1" thickBot="1" x14ac:dyDescent="0.3">
      <c r="A8" s="165"/>
      <c r="B8" s="166"/>
      <c r="C8" s="167"/>
      <c r="D8" s="149" t="s">
        <v>27</v>
      </c>
      <c r="E8" s="149"/>
      <c r="F8" s="149"/>
      <c r="G8" s="149"/>
      <c r="H8" s="149"/>
      <c r="I8" s="149"/>
      <c r="J8" s="149"/>
      <c r="K8" s="149"/>
      <c r="L8" s="149"/>
      <c r="M8" s="149"/>
      <c r="N8" s="149"/>
      <c r="O8" s="149"/>
      <c r="P8" s="130"/>
      <c r="Q8" s="131"/>
      <c r="R8" s="132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</row>
    <row r="9" spans="1:226" ht="10.199999999999999" customHeight="1" outlineLevel="1" x14ac:dyDescent="0.25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</row>
    <row r="10" spans="1:226" ht="21" customHeight="1" x14ac:dyDescent="0.25">
      <c r="A10" s="133" t="s">
        <v>3</v>
      </c>
      <c r="B10" s="134">
        <v>25</v>
      </c>
      <c r="C10" s="134"/>
      <c r="D10" s="134"/>
      <c r="E10" s="135" t="s">
        <v>28</v>
      </c>
      <c r="F10" s="136" t="s">
        <v>29</v>
      </c>
      <c r="G10" s="137"/>
      <c r="H10" s="138"/>
      <c r="I10" s="138"/>
      <c r="J10" s="139"/>
      <c r="K10" s="138"/>
      <c r="L10" s="138"/>
      <c r="M10" s="138"/>
      <c r="N10" s="138"/>
      <c r="O10" s="138"/>
      <c r="P10" s="138"/>
      <c r="Q10" s="140"/>
      <c r="R10" s="141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</row>
    <row r="11" spans="1:226" ht="10.199999999999999" customHeight="1" thickBot="1" x14ac:dyDescent="0.3">
      <c r="A11" s="4"/>
      <c r="B11" s="4"/>
      <c r="C11" s="4"/>
      <c r="D11" s="117" t="s">
        <v>23</v>
      </c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</row>
    <row r="12" spans="1:226" ht="20.100000000000001" customHeight="1" thickBot="1" x14ac:dyDescent="0.3">
      <c r="A12" s="15" t="s">
        <v>1</v>
      </c>
      <c r="B12" s="16"/>
      <c r="C12" s="17" t="s">
        <v>4</v>
      </c>
      <c r="D12" s="17"/>
      <c r="E12" s="18"/>
      <c r="F12" s="18"/>
      <c r="G12" s="16" t="s">
        <v>5</v>
      </c>
      <c r="H12" s="16" t="s">
        <v>6</v>
      </c>
      <c r="I12" s="17" t="s">
        <v>7</v>
      </c>
      <c r="J12" s="16" t="s">
        <v>8</v>
      </c>
      <c r="K12" s="16" t="s">
        <v>9</v>
      </c>
      <c r="L12" s="16" t="s">
        <v>10</v>
      </c>
      <c r="M12" s="16" t="s">
        <v>11</v>
      </c>
      <c r="N12" s="16" t="s">
        <v>12</v>
      </c>
      <c r="O12" s="16" t="s">
        <v>13</v>
      </c>
      <c r="P12" s="16"/>
      <c r="Q12" s="16" t="s">
        <v>14</v>
      </c>
      <c r="R12" s="19" t="s">
        <v>15</v>
      </c>
      <c r="S12" s="20" t="s">
        <v>6</v>
      </c>
      <c r="T12" s="21"/>
      <c r="U12" s="21"/>
      <c r="V12" s="21"/>
      <c r="W12" s="21"/>
      <c r="X12" s="21"/>
      <c r="Y12" s="51">
        <v>1</v>
      </c>
      <c r="Z12" s="52">
        <v>2</v>
      </c>
      <c r="AA12" s="52">
        <v>3</v>
      </c>
      <c r="AB12" s="52">
        <v>4</v>
      </c>
      <c r="AC12" s="52">
        <v>5</v>
      </c>
      <c r="AD12" s="52">
        <v>6</v>
      </c>
      <c r="AE12" s="52">
        <v>7</v>
      </c>
      <c r="AF12" s="52">
        <v>8</v>
      </c>
      <c r="AG12" s="52">
        <v>9</v>
      </c>
      <c r="AH12" s="52">
        <v>10</v>
      </c>
      <c r="AI12" s="52">
        <v>11</v>
      </c>
      <c r="AJ12" s="52">
        <v>12</v>
      </c>
      <c r="AK12" s="52">
        <v>13</v>
      </c>
      <c r="AL12" s="52">
        <v>14</v>
      </c>
      <c r="AM12" s="52">
        <v>15</v>
      </c>
      <c r="AN12" s="52">
        <v>16</v>
      </c>
      <c r="AO12" s="52">
        <v>17</v>
      </c>
      <c r="AP12" s="52">
        <v>18</v>
      </c>
      <c r="AQ12" s="52">
        <v>19</v>
      </c>
      <c r="AR12" s="52">
        <v>20</v>
      </c>
      <c r="AS12" s="52">
        <v>21</v>
      </c>
      <c r="AT12" s="52">
        <v>22</v>
      </c>
      <c r="AU12" s="52">
        <v>23</v>
      </c>
      <c r="AV12" s="52">
        <v>24</v>
      </c>
      <c r="AW12" s="52">
        <v>25</v>
      </c>
      <c r="AX12" s="52">
        <v>26</v>
      </c>
      <c r="AY12" s="52">
        <v>27</v>
      </c>
      <c r="AZ12" s="52">
        <v>28</v>
      </c>
      <c r="BA12" s="52">
        <v>29</v>
      </c>
      <c r="BB12" s="52">
        <v>30</v>
      </c>
      <c r="BC12" s="52">
        <v>31</v>
      </c>
      <c r="BD12" s="52">
        <v>32</v>
      </c>
      <c r="BE12" s="52">
        <v>33</v>
      </c>
      <c r="BF12" s="52">
        <v>34</v>
      </c>
      <c r="BG12" s="52">
        <v>35</v>
      </c>
      <c r="BH12" s="52">
        <v>36</v>
      </c>
      <c r="BI12" s="52">
        <v>37</v>
      </c>
      <c r="BJ12" s="52">
        <v>38</v>
      </c>
      <c r="BK12" s="52">
        <v>39</v>
      </c>
      <c r="BL12" s="52">
        <v>40</v>
      </c>
      <c r="BM12" s="52">
        <v>41</v>
      </c>
      <c r="BN12" s="52">
        <v>42</v>
      </c>
      <c r="BO12" s="52">
        <v>43</v>
      </c>
      <c r="BP12" s="52">
        <v>44</v>
      </c>
      <c r="BQ12" s="52">
        <v>45</v>
      </c>
      <c r="BR12" s="52">
        <v>46</v>
      </c>
      <c r="BS12" s="52">
        <v>47</v>
      </c>
      <c r="BT12" s="52">
        <v>48</v>
      </c>
      <c r="BU12" s="52">
        <v>49</v>
      </c>
      <c r="BV12" s="52">
        <v>50</v>
      </c>
      <c r="BW12" s="52">
        <v>51</v>
      </c>
      <c r="BX12" s="52">
        <v>52</v>
      </c>
      <c r="BY12" s="52">
        <v>53</v>
      </c>
      <c r="BZ12" s="52">
        <v>54</v>
      </c>
      <c r="CA12" s="52">
        <v>55</v>
      </c>
      <c r="CB12" s="52">
        <v>56</v>
      </c>
      <c r="CC12" s="52">
        <v>57</v>
      </c>
      <c r="CD12" s="52">
        <v>58</v>
      </c>
      <c r="CE12" s="52">
        <v>59</v>
      </c>
      <c r="CF12" s="52">
        <v>60</v>
      </c>
      <c r="CG12" s="52">
        <v>61</v>
      </c>
      <c r="CH12" s="52">
        <v>62</v>
      </c>
      <c r="CI12" s="52">
        <v>63</v>
      </c>
      <c r="CJ12" s="52">
        <v>64</v>
      </c>
      <c r="CK12" s="52">
        <v>65</v>
      </c>
      <c r="CL12" s="52">
        <v>66</v>
      </c>
      <c r="CM12" s="52">
        <v>67</v>
      </c>
      <c r="CN12" s="52">
        <v>68</v>
      </c>
      <c r="CO12" s="52">
        <v>69</v>
      </c>
      <c r="CP12" s="52">
        <v>70</v>
      </c>
      <c r="CQ12" s="52">
        <v>71</v>
      </c>
      <c r="CR12" s="52">
        <v>72</v>
      </c>
      <c r="CS12" s="52">
        <v>73</v>
      </c>
      <c r="CT12" s="52">
        <v>74</v>
      </c>
      <c r="CU12" s="52">
        <v>75</v>
      </c>
      <c r="CV12" s="52">
        <v>76</v>
      </c>
      <c r="CW12" s="52">
        <v>77</v>
      </c>
      <c r="CX12" s="52">
        <v>78</v>
      </c>
      <c r="CY12" s="52">
        <v>79</v>
      </c>
      <c r="CZ12" s="52">
        <v>80</v>
      </c>
      <c r="DA12" s="52">
        <v>81</v>
      </c>
      <c r="DB12" s="52">
        <v>82</v>
      </c>
      <c r="DC12" s="52">
        <v>83</v>
      </c>
      <c r="DD12" s="52">
        <v>84</v>
      </c>
      <c r="DE12" s="52">
        <v>85</v>
      </c>
      <c r="DF12" s="52">
        <v>86</v>
      </c>
      <c r="DG12" s="52">
        <v>87</v>
      </c>
      <c r="DH12" s="52">
        <v>88</v>
      </c>
      <c r="DI12" s="52">
        <v>89</v>
      </c>
      <c r="DJ12" s="52">
        <v>90</v>
      </c>
      <c r="DK12" s="52">
        <v>91</v>
      </c>
      <c r="DL12" s="52">
        <v>92</v>
      </c>
      <c r="DM12" s="52">
        <v>93</v>
      </c>
      <c r="DN12" s="52">
        <v>94</v>
      </c>
      <c r="DO12" s="52">
        <v>95</v>
      </c>
      <c r="DP12" s="52">
        <v>96</v>
      </c>
      <c r="DQ12" s="52">
        <v>97</v>
      </c>
      <c r="DR12" s="52">
        <v>98</v>
      </c>
      <c r="DS12" s="52">
        <v>99</v>
      </c>
      <c r="DT12" s="108">
        <v>100</v>
      </c>
      <c r="DU12" s="21"/>
      <c r="DV12" s="21"/>
      <c r="DW12" s="51">
        <v>1</v>
      </c>
      <c r="DX12" s="52">
        <v>2</v>
      </c>
      <c r="DY12" s="52">
        <v>3</v>
      </c>
      <c r="DZ12" s="52">
        <v>4</v>
      </c>
      <c r="EA12" s="52">
        <v>5</v>
      </c>
      <c r="EB12" s="52">
        <v>6</v>
      </c>
      <c r="EC12" s="52">
        <v>7</v>
      </c>
      <c r="ED12" s="52">
        <v>8</v>
      </c>
      <c r="EE12" s="52">
        <v>9</v>
      </c>
      <c r="EF12" s="52">
        <v>10</v>
      </c>
      <c r="EG12" s="52">
        <v>11</v>
      </c>
      <c r="EH12" s="52">
        <v>12</v>
      </c>
      <c r="EI12" s="52">
        <v>13</v>
      </c>
      <c r="EJ12" s="52">
        <v>14</v>
      </c>
      <c r="EK12" s="52">
        <v>15</v>
      </c>
      <c r="EL12" s="52">
        <v>16</v>
      </c>
      <c r="EM12" s="52">
        <v>17</v>
      </c>
      <c r="EN12" s="52">
        <v>18</v>
      </c>
      <c r="EO12" s="52">
        <v>19</v>
      </c>
      <c r="EP12" s="52">
        <v>20</v>
      </c>
      <c r="EQ12" s="52">
        <v>21</v>
      </c>
      <c r="ER12" s="52">
        <v>22</v>
      </c>
      <c r="ES12" s="52">
        <v>23</v>
      </c>
      <c r="ET12" s="52">
        <v>24</v>
      </c>
      <c r="EU12" s="52">
        <v>25</v>
      </c>
      <c r="EV12" s="52">
        <v>26</v>
      </c>
      <c r="EW12" s="52">
        <v>27</v>
      </c>
      <c r="EX12" s="52">
        <v>28</v>
      </c>
      <c r="EY12" s="52">
        <v>29</v>
      </c>
      <c r="EZ12" s="52">
        <v>30</v>
      </c>
      <c r="FA12" s="52">
        <v>31</v>
      </c>
      <c r="FB12" s="52">
        <v>32</v>
      </c>
      <c r="FC12" s="52">
        <v>33</v>
      </c>
      <c r="FD12" s="52">
        <v>34</v>
      </c>
      <c r="FE12" s="52">
        <v>35</v>
      </c>
      <c r="FF12" s="52">
        <v>36</v>
      </c>
      <c r="FG12" s="52">
        <v>37</v>
      </c>
      <c r="FH12" s="52">
        <v>38</v>
      </c>
      <c r="FI12" s="52">
        <v>39</v>
      </c>
      <c r="FJ12" s="52">
        <v>40</v>
      </c>
      <c r="FK12" s="52">
        <v>41</v>
      </c>
      <c r="FL12" s="52">
        <v>42</v>
      </c>
      <c r="FM12" s="52">
        <v>43</v>
      </c>
      <c r="FN12" s="52">
        <v>44</v>
      </c>
      <c r="FO12" s="52">
        <v>45</v>
      </c>
      <c r="FP12" s="52">
        <v>46</v>
      </c>
      <c r="FQ12" s="52">
        <v>47</v>
      </c>
      <c r="FR12" s="52">
        <v>48</v>
      </c>
      <c r="FS12" s="52">
        <v>49</v>
      </c>
      <c r="FT12" s="52">
        <v>50</v>
      </c>
      <c r="FU12" s="52">
        <v>51</v>
      </c>
      <c r="FV12" s="52">
        <v>52</v>
      </c>
      <c r="FW12" s="52">
        <v>53</v>
      </c>
      <c r="FX12" s="52">
        <v>54</v>
      </c>
      <c r="FY12" s="52">
        <v>55</v>
      </c>
      <c r="FZ12" s="52">
        <v>56</v>
      </c>
      <c r="GA12" s="52">
        <v>57</v>
      </c>
      <c r="GB12" s="52">
        <v>58</v>
      </c>
      <c r="GC12" s="52">
        <v>59</v>
      </c>
      <c r="GD12" s="52">
        <v>60</v>
      </c>
      <c r="GE12" s="52">
        <v>61</v>
      </c>
      <c r="GF12" s="52">
        <v>62</v>
      </c>
      <c r="GG12" s="52">
        <v>63</v>
      </c>
      <c r="GH12" s="52">
        <v>64</v>
      </c>
      <c r="GI12" s="52">
        <v>65</v>
      </c>
      <c r="GJ12" s="52">
        <v>66</v>
      </c>
      <c r="GK12" s="52">
        <v>67</v>
      </c>
      <c r="GL12" s="52">
        <v>68</v>
      </c>
      <c r="GM12" s="52">
        <v>69</v>
      </c>
      <c r="GN12" s="52">
        <v>70</v>
      </c>
      <c r="GO12" s="52">
        <v>71</v>
      </c>
      <c r="GP12" s="52">
        <v>72</v>
      </c>
      <c r="GQ12" s="52">
        <v>73</v>
      </c>
      <c r="GR12" s="52">
        <v>74</v>
      </c>
      <c r="GS12" s="52">
        <v>75</v>
      </c>
      <c r="GT12" s="52">
        <v>76</v>
      </c>
      <c r="GU12" s="52">
        <v>77</v>
      </c>
      <c r="GV12" s="52">
        <v>78</v>
      </c>
      <c r="GW12" s="52">
        <v>79</v>
      </c>
      <c r="GX12" s="52">
        <v>80</v>
      </c>
      <c r="GY12" s="52">
        <v>81</v>
      </c>
      <c r="GZ12" s="52">
        <v>82</v>
      </c>
      <c r="HA12" s="52">
        <v>83</v>
      </c>
      <c r="HB12" s="52">
        <v>84</v>
      </c>
      <c r="HC12" s="52">
        <v>85</v>
      </c>
      <c r="HD12" s="52">
        <v>86</v>
      </c>
      <c r="HE12" s="52">
        <v>87</v>
      </c>
      <c r="HF12" s="52">
        <v>88</v>
      </c>
      <c r="HG12" s="52">
        <v>89</v>
      </c>
      <c r="HH12" s="52">
        <v>90</v>
      </c>
      <c r="HI12" s="52">
        <v>91</v>
      </c>
      <c r="HJ12" s="52">
        <v>92</v>
      </c>
      <c r="HK12" s="52">
        <v>93</v>
      </c>
      <c r="HL12" s="52">
        <v>94</v>
      </c>
      <c r="HM12" s="52">
        <v>95</v>
      </c>
      <c r="HN12" s="52">
        <v>96</v>
      </c>
      <c r="HO12" s="52">
        <v>97</v>
      </c>
      <c r="HP12" s="52">
        <v>98</v>
      </c>
      <c r="HQ12" s="52">
        <v>99</v>
      </c>
      <c r="HR12" s="108">
        <v>100</v>
      </c>
    </row>
    <row r="13" spans="1:226" ht="13.8" thickBo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98"/>
      <c r="T13" s="21"/>
      <c r="U13" s="21"/>
      <c r="V13" s="21"/>
      <c r="W13" s="21"/>
      <c r="X13" s="58" t="s">
        <v>16</v>
      </c>
      <c r="Y13" s="56" t="e">
        <f>SUM(Y14:Y55)</f>
        <v>#N/A</v>
      </c>
      <c r="Z13" s="57">
        <f>SUM(Z14:Z55)</f>
        <v>0</v>
      </c>
      <c r="AA13" s="57">
        <f>SUM(AA14:AA55)</f>
        <v>0</v>
      </c>
      <c r="AB13" s="57">
        <f>SUM(AB14:AB55)</f>
        <v>0</v>
      </c>
      <c r="AC13" s="57">
        <f>SUM(AC14:AC55)</f>
        <v>0</v>
      </c>
      <c r="AD13" s="57">
        <f>SUM(AD14:AD55)</f>
        <v>0</v>
      </c>
      <c r="AE13" s="57">
        <f>SUM(AE14:AE55)</f>
        <v>0</v>
      </c>
      <c r="AF13" s="57">
        <f>SUM(AF14:AF55)</f>
        <v>0</v>
      </c>
      <c r="AG13" s="57">
        <f>SUM(AG14:AG55)</f>
        <v>0</v>
      </c>
      <c r="AH13" s="57">
        <f>SUM(AH14:AH55)</f>
        <v>0</v>
      </c>
      <c r="AI13" s="57">
        <f>SUM(AI14:AI55)</f>
        <v>0</v>
      </c>
      <c r="AJ13" s="57">
        <f>SUM(AJ14:AJ55)</f>
        <v>0</v>
      </c>
      <c r="AK13" s="57">
        <f>SUM(AK14:AK55)</f>
        <v>0</v>
      </c>
      <c r="AL13" s="57">
        <f>SUM(AL14:AL55)</f>
        <v>0</v>
      </c>
      <c r="AM13" s="57">
        <f>SUM(AM14:AM55)</f>
        <v>0</v>
      </c>
      <c r="AN13" s="57">
        <f>SUM(AN14:AN55)</f>
        <v>0</v>
      </c>
      <c r="AO13" s="57">
        <f>SUM(AO14:AO55)</f>
        <v>0</v>
      </c>
      <c r="AP13" s="57">
        <f>SUM(AP14:AP55)</f>
        <v>0</v>
      </c>
      <c r="AQ13" s="57">
        <f>SUM(AQ14:AQ55)</f>
        <v>0</v>
      </c>
      <c r="AR13" s="57">
        <f>SUM(AR14:AR55)</f>
        <v>0</v>
      </c>
      <c r="AS13" s="57">
        <f>SUM(AS14:AS55)</f>
        <v>0</v>
      </c>
      <c r="AT13" s="57">
        <f>SUM(AT14:AT55)</f>
        <v>0</v>
      </c>
      <c r="AU13" s="57">
        <f>SUM(AU14:AU55)</f>
        <v>0</v>
      </c>
      <c r="AV13" s="57">
        <f>SUM(AV14:AV55)</f>
        <v>0</v>
      </c>
      <c r="AW13" s="57">
        <f>SUM(AW14:AW55)</f>
        <v>0</v>
      </c>
      <c r="AX13" s="57">
        <f>SUM(AX14:AX55)</f>
        <v>0</v>
      </c>
      <c r="AY13" s="57">
        <f>SUM(AY14:AY55)</f>
        <v>0</v>
      </c>
      <c r="AZ13" s="57">
        <f>SUM(AZ14:AZ55)</f>
        <v>0</v>
      </c>
      <c r="BA13" s="57">
        <f>SUM(BA14:BA55)</f>
        <v>0</v>
      </c>
      <c r="BB13" s="57">
        <f>SUM(BB14:BB55)</f>
        <v>0</v>
      </c>
      <c r="BC13" s="57">
        <f>SUM(BC14:BC55)</f>
        <v>0</v>
      </c>
      <c r="BD13" s="57">
        <f>SUM(BD14:BD55)</f>
        <v>0</v>
      </c>
      <c r="BE13" s="57">
        <f>SUM(BE14:BE55)</f>
        <v>0</v>
      </c>
      <c r="BF13" s="57">
        <f>SUM(BF14:BF55)</f>
        <v>0</v>
      </c>
      <c r="BG13" s="57">
        <f>SUM(BG14:BG55)</f>
        <v>0</v>
      </c>
      <c r="BH13" s="57">
        <f>SUM(BH14:BH55)</f>
        <v>0</v>
      </c>
      <c r="BI13" s="57">
        <f>SUM(BI14:BI55)</f>
        <v>0</v>
      </c>
      <c r="BJ13" s="57">
        <f>SUM(BJ14:BJ55)</f>
        <v>0</v>
      </c>
      <c r="BK13" s="57">
        <f>SUM(BK14:BK55)</f>
        <v>0</v>
      </c>
      <c r="BL13" s="57">
        <f>SUM(BL14:BL55)</f>
        <v>0</v>
      </c>
      <c r="BM13" s="57">
        <f>SUM(BM14:BM55)</f>
        <v>0</v>
      </c>
      <c r="BN13" s="57">
        <f>SUM(BN14:BN55)</f>
        <v>0</v>
      </c>
      <c r="BO13" s="57">
        <f>SUM(BO14:BO55)</f>
        <v>0</v>
      </c>
      <c r="BP13" s="57">
        <f>SUM(BP14:BP55)</f>
        <v>0</v>
      </c>
      <c r="BQ13" s="57">
        <f>SUM(BQ14:BQ55)</f>
        <v>0</v>
      </c>
      <c r="BR13" s="57">
        <f>SUM(BR14:BR55)</f>
        <v>0</v>
      </c>
      <c r="BS13" s="57">
        <f>SUM(BS14:BS55)</f>
        <v>0</v>
      </c>
      <c r="BT13" s="57">
        <f>SUM(BT14:BT55)</f>
        <v>0</v>
      </c>
      <c r="BU13" s="57">
        <f>SUM(BU14:BU55)</f>
        <v>0</v>
      </c>
      <c r="BV13" s="57">
        <f>SUM(BV14:BV55)</f>
        <v>0</v>
      </c>
      <c r="BW13" s="57">
        <f>SUM(BW14:BW55)</f>
        <v>0</v>
      </c>
      <c r="BX13" s="57">
        <f>SUM(BX14:BX55)</f>
        <v>0</v>
      </c>
      <c r="BY13" s="57">
        <f>SUM(BY14:BY55)</f>
        <v>0</v>
      </c>
      <c r="BZ13" s="57">
        <f>SUM(BZ14:BZ55)</f>
        <v>0</v>
      </c>
      <c r="CA13" s="57">
        <f>SUM(CA14:CA55)</f>
        <v>0</v>
      </c>
      <c r="CB13" s="57">
        <f>SUM(CB14:CB55)</f>
        <v>0</v>
      </c>
      <c r="CC13" s="57">
        <f>SUM(CC14:CC55)</f>
        <v>0</v>
      </c>
      <c r="CD13" s="57">
        <f>SUM(CD14:CD55)</f>
        <v>0</v>
      </c>
      <c r="CE13" s="57">
        <f>SUM(CE14:CE55)</f>
        <v>0</v>
      </c>
      <c r="CF13" s="57">
        <f>SUM(CF14:CF55)</f>
        <v>0</v>
      </c>
      <c r="CG13" s="57">
        <f>SUM(CG14:CG55)</f>
        <v>0</v>
      </c>
      <c r="CH13" s="57">
        <f>SUM(CH14:CH55)</f>
        <v>0</v>
      </c>
      <c r="CI13" s="57">
        <f>SUM(CI14:CI55)</f>
        <v>0</v>
      </c>
      <c r="CJ13" s="57">
        <f>SUM(CJ14:CJ55)</f>
        <v>0</v>
      </c>
      <c r="CK13" s="57">
        <f>SUM(CK14:CK55)</f>
        <v>0</v>
      </c>
      <c r="CL13" s="57">
        <f>SUM(CL14:CL55)</f>
        <v>0</v>
      </c>
      <c r="CM13" s="57">
        <f>SUM(CM14:CM55)</f>
        <v>0</v>
      </c>
      <c r="CN13" s="57">
        <f>SUM(CN14:CN55)</f>
        <v>0</v>
      </c>
      <c r="CO13" s="57">
        <f>SUM(CO14:CO55)</f>
        <v>0</v>
      </c>
      <c r="CP13" s="57">
        <f>SUM(CP14:CP55)</f>
        <v>0</v>
      </c>
      <c r="CQ13" s="57">
        <f>SUM(CQ14:CQ55)</f>
        <v>0</v>
      </c>
      <c r="CR13" s="57">
        <f>SUM(CR14:CR55)</f>
        <v>0</v>
      </c>
      <c r="CS13" s="57">
        <f>SUM(CS14:CS55)</f>
        <v>0</v>
      </c>
      <c r="CT13" s="57">
        <f>SUM(CT14:CT55)</f>
        <v>0</v>
      </c>
      <c r="CU13" s="57">
        <f>SUM(CU14:CU55)</f>
        <v>0</v>
      </c>
      <c r="CV13" s="57">
        <f>SUM(CV14:CV55)</f>
        <v>0</v>
      </c>
      <c r="CW13" s="57">
        <f>SUM(CW14:CW55)</f>
        <v>0</v>
      </c>
      <c r="CX13" s="57">
        <f>SUM(CX14:CX55)</f>
        <v>0</v>
      </c>
      <c r="CY13" s="57">
        <f>SUM(CY14:CY55)</f>
        <v>0</v>
      </c>
      <c r="CZ13" s="57">
        <f>SUM(CZ14:CZ55)</f>
        <v>0</v>
      </c>
      <c r="DA13" s="57">
        <f>SUM(DA14:DA55)</f>
        <v>0</v>
      </c>
      <c r="DB13" s="57">
        <f>SUM(DB14:DB55)</f>
        <v>0</v>
      </c>
      <c r="DC13" s="57">
        <f>SUM(DC14:DC55)</f>
        <v>0</v>
      </c>
      <c r="DD13" s="57">
        <f>SUM(DD14:DD55)</f>
        <v>0</v>
      </c>
      <c r="DE13" s="57">
        <f>SUM(DE14:DE55)</f>
        <v>0</v>
      </c>
      <c r="DF13" s="57">
        <f>SUM(DF14:DF55)</f>
        <v>0</v>
      </c>
      <c r="DG13" s="57">
        <f>SUM(DG14:DG55)</f>
        <v>0</v>
      </c>
      <c r="DH13" s="57">
        <f>SUM(DH14:DH55)</f>
        <v>0</v>
      </c>
      <c r="DI13" s="57">
        <f>SUM(DI14:DI55)</f>
        <v>0</v>
      </c>
      <c r="DJ13" s="57">
        <f>SUM(DJ14:DJ55)</f>
        <v>0</v>
      </c>
      <c r="DK13" s="57">
        <f>SUM(DK14:DK55)</f>
        <v>0</v>
      </c>
      <c r="DL13" s="57">
        <f>SUM(DL14:DL55)</f>
        <v>0</v>
      </c>
      <c r="DM13" s="57">
        <f>SUM(DM14:DM55)</f>
        <v>0</v>
      </c>
      <c r="DN13" s="57">
        <f>SUM(DN14:DN55)</f>
        <v>0</v>
      </c>
      <c r="DO13" s="57">
        <f>SUM(DO14:DO55)</f>
        <v>0</v>
      </c>
      <c r="DP13" s="57">
        <f>SUM(DP14:DP55)</f>
        <v>0</v>
      </c>
      <c r="DQ13" s="57">
        <f>SUM(DQ14:DQ55)</f>
        <v>0</v>
      </c>
      <c r="DR13" s="57">
        <f>SUM(DR14:DR55)</f>
        <v>0</v>
      </c>
      <c r="DS13" s="57">
        <f>SUM(DS14:DS55)</f>
        <v>0</v>
      </c>
      <c r="DT13" s="109">
        <f>SUM(DT14:DT55)</f>
        <v>0</v>
      </c>
      <c r="DU13" s="54"/>
      <c r="DV13" s="58" t="s">
        <v>16</v>
      </c>
      <c r="DW13" s="56" t="e">
        <f>SUM(DW14:DW55)</f>
        <v>#N/A</v>
      </c>
      <c r="DX13" s="57">
        <f>SUM(DX14:DX55)</f>
        <v>4471.5999999999995</v>
      </c>
      <c r="DY13" s="57">
        <f>SUM(DY14:DY55)</f>
        <v>4471.5999999999995</v>
      </c>
      <c r="DZ13" s="57">
        <f>SUM(DZ14:DZ55)</f>
        <v>0</v>
      </c>
      <c r="EA13" s="57">
        <f>SUM(EA14:EA55)</f>
        <v>0</v>
      </c>
      <c r="EB13" s="57">
        <f>SUM(EB14:EB55)</f>
        <v>0</v>
      </c>
      <c r="EC13" s="57">
        <f>SUM(EC14:EC55)</f>
        <v>0</v>
      </c>
      <c r="ED13" s="57">
        <f>SUM(ED14:ED55)</f>
        <v>0</v>
      </c>
      <c r="EE13" s="57">
        <f>SUM(EE14:EE55)</f>
        <v>0</v>
      </c>
      <c r="EF13" s="57">
        <f>SUM(EF14:EF55)</f>
        <v>0</v>
      </c>
      <c r="EG13" s="57">
        <f>SUM(EG14:EG55)</f>
        <v>0</v>
      </c>
      <c r="EH13" s="57">
        <f>SUM(EH14:EH55)</f>
        <v>0</v>
      </c>
      <c r="EI13" s="57">
        <f>SUM(EI14:EI55)</f>
        <v>0</v>
      </c>
      <c r="EJ13" s="57">
        <f>SUM(EJ14:EJ55)</f>
        <v>0</v>
      </c>
      <c r="EK13" s="57">
        <f>SUM(EK14:EK55)</f>
        <v>0</v>
      </c>
      <c r="EL13" s="57">
        <f>SUM(EL14:EL55)</f>
        <v>0</v>
      </c>
      <c r="EM13" s="57">
        <f>SUM(EM14:EM55)</f>
        <v>0</v>
      </c>
      <c r="EN13" s="57">
        <f>SUM(EN14:EN55)</f>
        <v>0</v>
      </c>
      <c r="EO13" s="57">
        <f>SUM(EO14:EO55)</f>
        <v>0</v>
      </c>
      <c r="EP13" s="57">
        <f>SUM(EP14:EP55)</f>
        <v>0</v>
      </c>
      <c r="EQ13" s="57">
        <f>SUM(EQ14:EQ55)</f>
        <v>0</v>
      </c>
      <c r="ER13" s="57">
        <f>SUM(ER14:ER55)</f>
        <v>0</v>
      </c>
      <c r="ES13" s="57">
        <f>SUM(ES14:ES55)</f>
        <v>0</v>
      </c>
      <c r="ET13" s="57">
        <f>SUM(ET14:ET55)</f>
        <v>0</v>
      </c>
      <c r="EU13" s="57">
        <f>SUM(EU14:EU55)</f>
        <v>0</v>
      </c>
      <c r="EV13" s="57">
        <f>SUM(EV14:EV55)</f>
        <v>0</v>
      </c>
      <c r="EW13" s="57">
        <f>SUM(EW14:EW55)</f>
        <v>0</v>
      </c>
      <c r="EX13" s="57">
        <f>SUM(EX14:EX55)</f>
        <v>0</v>
      </c>
      <c r="EY13" s="57">
        <f>SUM(EY14:EY55)</f>
        <v>0</v>
      </c>
      <c r="EZ13" s="57">
        <f>SUM(EZ14:EZ55)</f>
        <v>0</v>
      </c>
      <c r="FA13" s="57">
        <f>SUM(FA14:FA55)</f>
        <v>0</v>
      </c>
      <c r="FB13" s="57">
        <f>SUM(FB14:FB55)</f>
        <v>0</v>
      </c>
      <c r="FC13" s="57">
        <f>SUM(FC14:FC55)</f>
        <v>0</v>
      </c>
      <c r="FD13" s="57">
        <f>SUM(FD14:FD55)</f>
        <v>0</v>
      </c>
      <c r="FE13" s="57">
        <f>SUM(FE14:FE55)</f>
        <v>0</v>
      </c>
      <c r="FF13" s="57">
        <f>SUM(FF14:FF55)</f>
        <v>0</v>
      </c>
      <c r="FG13" s="57">
        <f>SUM(FG14:FG55)</f>
        <v>0</v>
      </c>
      <c r="FH13" s="57">
        <f>SUM(FH14:FH55)</f>
        <v>0</v>
      </c>
      <c r="FI13" s="57">
        <f>SUM(FI14:FI55)</f>
        <v>0</v>
      </c>
      <c r="FJ13" s="57">
        <f>SUM(FJ14:FJ55)</f>
        <v>0</v>
      </c>
      <c r="FK13" s="57">
        <f>SUM(FK14:FK55)</f>
        <v>0</v>
      </c>
      <c r="FL13" s="57">
        <f>SUM(FL14:FL55)</f>
        <v>0</v>
      </c>
      <c r="FM13" s="57">
        <f>SUM(FM14:FM55)</f>
        <v>0</v>
      </c>
      <c r="FN13" s="57">
        <f>SUM(FN14:FN55)</f>
        <v>0</v>
      </c>
      <c r="FO13" s="57">
        <f>SUM(FO14:FO55)</f>
        <v>0</v>
      </c>
      <c r="FP13" s="57">
        <f>SUM(FP14:FP55)</f>
        <v>0</v>
      </c>
      <c r="FQ13" s="57">
        <f>SUM(FQ14:FQ55)</f>
        <v>0</v>
      </c>
      <c r="FR13" s="57">
        <f>SUM(FR14:FR55)</f>
        <v>0</v>
      </c>
      <c r="FS13" s="57">
        <f>SUM(FS14:FS55)</f>
        <v>0</v>
      </c>
      <c r="FT13" s="57">
        <f>SUM(FT14:FT55)</f>
        <v>0</v>
      </c>
      <c r="FU13" s="57">
        <f>SUM(FU14:FU55)</f>
        <v>0</v>
      </c>
      <c r="FV13" s="57">
        <f>SUM(FV14:FV55)</f>
        <v>0</v>
      </c>
      <c r="FW13" s="57">
        <f>SUM(FW14:FW55)</f>
        <v>0</v>
      </c>
      <c r="FX13" s="57">
        <f>SUM(FX14:FX55)</f>
        <v>0</v>
      </c>
      <c r="FY13" s="57">
        <f>SUM(FY14:FY55)</f>
        <v>0</v>
      </c>
      <c r="FZ13" s="57">
        <f>SUM(FZ14:FZ55)</f>
        <v>0</v>
      </c>
      <c r="GA13" s="57">
        <f>SUM(GA14:GA55)</f>
        <v>0</v>
      </c>
      <c r="GB13" s="57">
        <f>SUM(GB14:GB55)</f>
        <v>0</v>
      </c>
      <c r="GC13" s="57">
        <f>SUM(GC14:GC55)</f>
        <v>0</v>
      </c>
      <c r="GD13" s="57" t="e">
        <f>SUM(GD14:GD55)</f>
        <v>#N/A</v>
      </c>
      <c r="GE13" s="57">
        <f>SUM(GE14:GE55)</f>
        <v>0</v>
      </c>
      <c r="GF13" s="57">
        <f>SUM(GF14:GF55)</f>
        <v>0</v>
      </c>
      <c r="GG13" s="57">
        <f>SUM(GG14:GG55)</f>
        <v>0</v>
      </c>
      <c r="GH13" s="57">
        <f>SUM(GH14:GH55)</f>
        <v>0</v>
      </c>
      <c r="GI13" s="57">
        <f>SUM(GI14:GI55)</f>
        <v>0</v>
      </c>
      <c r="GJ13" s="57">
        <f>SUM(GJ14:GJ55)</f>
        <v>0</v>
      </c>
      <c r="GK13" s="57">
        <f>SUM(GK14:GK55)</f>
        <v>0</v>
      </c>
      <c r="GL13" s="57">
        <f>SUM(GL14:GL55)</f>
        <v>0</v>
      </c>
      <c r="GM13" s="57">
        <f>SUM(GM14:GM55)</f>
        <v>0</v>
      </c>
      <c r="GN13" s="57">
        <f>SUM(GN14:GN55)</f>
        <v>0</v>
      </c>
      <c r="GO13" s="57">
        <f>SUM(GO14:GO55)</f>
        <v>0</v>
      </c>
      <c r="GP13" s="57">
        <f>SUM(GP14:GP55)</f>
        <v>0</v>
      </c>
      <c r="GQ13" s="57">
        <f>SUM(GQ14:GQ55)</f>
        <v>0</v>
      </c>
      <c r="GR13" s="57">
        <f>SUM(GR14:GR55)</f>
        <v>0</v>
      </c>
      <c r="GS13" s="57" t="e">
        <f>SUM(GS14:GS55)</f>
        <v>#N/A</v>
      </c>
      <c r="GT13" s="57">
        <f>SUM(GT14:GT55)</f>
        <v>0</v>
      </c>
      <c r="GU13" s="57">
        <f>SUM(GU14:GU55)</f>
        <v>0</v>
      </c>
      <c r="GV13" s="57">
        <f>SUM(GV14:GV55)</f>
        <v>0</v>
      </c>
      <c r="GW13" s="57">
        <f>SUM(GW14:GW55)</f>
        <v>0</v>
      </c>
      <c r="GX13" s="57">
        <f>SUM(GX14:GX55)</f>
        <v>0</v>
      </c>
      <c r="GY13" s="57">
        <f>SUM(GY14:GY55)</f>
        <v>0</v>
      </c>
      <c r="GZ13" s="57">
        <f>SUM(GZ14:GZ55)</f>
        <v>0</v>
      </c>
      <c r="HA13" s="57">
        <f>SUM(HA14:HA55)</f>
        <v>0</v>
      </c>
      <c r="HB13" s="57">
        <f>SUM(HB14:HB55)</f>
        <v>0</v>
      </c>
      <c r="HC13" s="57">
        <f>SUM(HC14:HC55)</f>
        <v>0</v>
      </c>
      <c r="HD13" s="57">
        <f>SUM(HD14:HD55)</f>
        <v>0</v>
      </c>
      <c r="HE13" s="57">
        <f>SUM(HE14:HE55)</f>
        <v>0</v>
      </c>
      <c r="HF13" s="57">
        <f>SUM(HF14:HF55)</f>
        <v>0</v>
      </c>
      <c r="HG13" s="57">
        <f>SUM(HG14:HG55)</f>
        <v>0</v>
      </c>
      <c r="HH13" s="57">
        <f>SUM(HH14:HH55)</f>
        <v>0</v>
      </c>
      <c r="HI13" s="57">
        <f>SUM(HI14:HI55)</f>
        <v>0</v>
      </c>
      <c r="HJ13" s="57">
        <f>SUM(HJ14:HJ55)</f>
        <v>0</v>
      </c>
      <c r="HK13" s="57">
        <f>SUM(HK14:HK55)</f>
        <v>0</v>
      </c>
      <c r="HL13" s="57">
        <f>SUM(HL14:HL55)</f>
        <v>0</v>
      </c>
      <c r="HM13" s="57">
        <f>SUM(HM14:HM55)</f>
        <v>0</v>
      </c>
      <c r="HN13" s="57">
        <f>SUM(HN14:HN55)</f>
        <v>0</v>
      </c>
      <c r="HO13" s="57">
        <f>SUM(HO14:HO55)</f>
        <v>0</v>
      </c>
      <c r="HP13" s="57">
        <f>SUM(HP14:HP55)</f>
        <v>0</v>
      </c>
      <c r="HQ13" s="57">
        <f>SUM(HQ14:HQ55)</f>
        <v>0</v>
      </c>
      <c r="HR13" s="109">
        <f>SUM(HR14:HR55)</f>
        <v>0</v>
      </c>
    </row>
    <row r="14" spans="1:226" ht="11.1" customHeight="1" thickTop="1" x14ac:dyDescent="0.25">
      <c r="A14" s="80"/>
      <c r="B14" s="87"/>
      <c r="C14" s="120" t="str">
        <f>IF(A14=0,"",VLOOKUP(A14,[2]CO!$A$3:$F$5327,2,0))</f>
        <v/>
      </c>
      <c r="D14" s="121"/>
      <c r="E14" s="121"/>
      <c r="F14" s="121"/>
      <c r="G14" s="122" t="str">
        <f>IF(A14=0,"",VLOOKUP(A14,[2]CO!$A$3:$F$5327,3,0))</f>
        <v/>
      </c>
      <c r="H14" s="121"/>
      <c r="I14" s="123"/>
      <c r="J14" s="123"/>
      <c r="K14" s="123"/>
      <c r="L14" s="123"/>
      <c r="M14" s="124" t="str">
        <f t="shared" ref="M14:M30" si="0">IF(L14=0,"",PRODUCT(I14:L14))</f>
        <v/>
      </c>
      <c r="N14" s="124" t="str">
        <f>IF(B14=0,"",IF(H14="M",HLOOKUP(B14,$Y$12:$DT$13,2),IF(A14=0,"",VLOOKUP(A14,[2]CO!$A$3:$F$5327,4,0))))</f>
        <v/>
      </c>
      <c r="O14" s="124" t="str">
        <f>IF(L14=0,"",PRODUCT(M14:N14))</f>
        <v/>
      </c>
      <c r="P14" s="87"/>
      <c r="Q14" s="88" t="str">
        <f t="shared" ref="Q14:Q30" si="1">IF(P14=0,"",(HLOOKUP(P14,$DW$12:$HR$13,2)))</f>
        <v/>
      </c>
      <c r="R14" s="89" t="str">
        <f>IF(S14=0,"",IF(OR(G14="PEON",G14="OF",G14="JARD",G14="CARP",G14="MAESTRO",G14="SOLD",G14="BGRO",G14="CHOFER",G14="AYTE",G14="S.INTTE.",G14="ASEO",G14="P.PISOS",G14="VELADOR",G14="RESID",G14="PINTOR",G14="ELECT",G14="AZULE",G14="AUX CONT.",G14="SECRETARIA",G14="AUXILIAR ADMTVO.",G14="ARQUITECTO",G14="DIBUJANTE",G14="AUX. DE RESIDENTE"),VLOOKUP(B14,P$14:Q$55,2),"")*S14)</f>
        <v/>
      </c>
      <c r="T14" s="53" t="str">
        <f>IF(A14=0,"",VLOOKUP(A14,[2]CO!$A$3:$F$5318,5,0))</f>
        <v/>
      </c>
      <c r="U14" s="54">
        <f t="shared" ref="U14:U30" si="2">IF(T14=1,O14*0.1,)</f>
        <v>0</v>
      </c>
      <c r="V14" s="24"/>
      <c r="Y14" s="62" t="str">
        <f t="shared" ref="Y14:CJ17" si="3">IF($B14=Y$12,$U14,"")</f>
        <v/>
      </c>
      <c r="Z14" s="63" t="str">
        <f t="shared" si="3"/>
        <v/>
      </c>
      <c r="AA14" s="63" t="str">
        <f t="shared" si="3"/>
        <v/>
      </c>
      <c r="AB14" s="63" t="str">
        <f t="shared" si="3"/>
        <v/>
      </c>
      <c r="AC14" s="63" t="str">
        <f t="shared" si="3"/>
        <v/>
      </c>
      <c r="AD14" s="63" t="str">
        <f t="shared" si="3"/>
        <v/>
      </c>
      <c r="AE14" s="63" t="str">
        <f t="shared" si="3"/>
        <v/>
      </c>
      <c r="AF14" s="63" t="str">
        <f t="shared" si="3"/>
        <v/>
      </c>
      <c r="AG14" s="63" t="str">
        <f t="shared" si="3"/>
        <v/>
      </c>
      <c r="AH14" s="63" t="str">
        <f t="shared" si="3"/>
        <v/>
      </c>
      <c r="AI14" s="63" t="str">
        <f t="shared" si="3"/>
        <v/>
      </c>
      <c r="AJ14" s="63" t="str">
        <f t="shared" si="3"/>
        <v/>
      </c>
      <c r="AK14" s="63" t="str">
        <f t="shared" si="3"/>
        <v/>
      </c>
      <c r="AL14" s="63" t="str">
        <f t="shared" si="3"/>
        <v/>
      </c>
      <c r="AM14" s="63" t="str">
        <f t="shared" si="3"/>
        <v/>
      </c>
      <c r="AN14" s="63" t="str">
        <f t="shared" si="3"/>
        <v/>
      </c>
      <c r="AO14" s="63" t="str">
        <f t="shared" si="3"/>
        <v/>
      </c>
      <c r="AP14" s="63" t="str">
        <f t="shared" si="3"/>
        <v/>
      </c>
      <c r="AQ14" s="63" t="str">
        <f t="shared" si="3"/>
        <v/>
      </c>
      <c r="AR14" s="63" t="str">
        <f t="shared" si="3"/>
        <v/>
      </c>
      <c r="AS14" s="63" t="str">
        <f t="shared" si="3"/>
        <v/>
      </c>
      <c r="AT14" s="63" t="str">
        <f t="shared" si="3"/>
        <v/>
      </c>
      <c r="AU14" s="63" t="str">
        <f t="shared" si="3"/>
        <v/>
      </c>
      <c r="AV14" s="63" t="str">
        <f t="shared" si="3"/>
        <v/>
      </c>
      <c r="AW14" s="63" t="str">
        <f t="shared" si="3"/>
        <v/>
      </c>
      <c r="AX14" s="63" t="str">
        <f t="shared" si="3"/>
        <v/>
      </c>
      <c r="AY14" s="63" t="str">
        <f t="shared" si="3"/>
        <v/>
      </c>
      <c r="AZ14" s="63" t="str">
        <f t="shared" si="3"/>
        <v/>
      </c>
      <c r="BA14" s="63" t="str">
        <f t="shared" si="3"/>
        <v/>
      </c>
      <c r="BB14" s="63" t="str">
        <f t="shared" si="3"/>
        <v/>
      </c>
      <c r="BC14" s="63" t="str">
        <f t="shared" si="3"/>
        <v/>
      </c>
      <c r="BD14" s="63" t="str">
        <f t="shared" si="3"/>
        <v/>
      </c>
      <c r="BE14" s="63" t="str">
        <f t="shared" si="3"/>
        <v/>
      </c>
      <c r="BF14" s="63" t="str">
        <f t="shared" si="3"/>
        <v/>
      </c>
      <c r="BG14" s="63" t="str">
        <f t="shared" si="3"/>
        <v/>
      </c>
      <c r="BH14" s="63" t="str">
        <f t="shared" si="3"/>
        <v/>
      </c>
      <c r="BI14" s="63" t="str">
        <f t="shared" si="3"/>
        <v/>
      </c>
      <c r="BJ14" s="63" t="str">
        <f t="shared" si="3"/>
        <v/>
      </c>
      <c r="BK14" s="63" t="str">
        <f t="shared" si="3"/>
        <v/>
      </c>
      <c r="BL14" s="63" t="str">
        <f t="shared" si="3"/>
        <v/>
      </c>
      <c r="BM14" s="63" t="str">
        <f t="shared" si="3"/>
        <v/>
      </c>
      <c r="BN14" s="63" t="str">
        <f t="shared" si="3"/>
        <v/>
      </c>
      <c r="BO14" s="63" t="str">
        <f t="shared" si="3"/>
        <v/>
      </c>
      <c r="BP14" s="63" t="str">
        <f t="shared" si="3"/>
        <v/>
      </c>
      <c r="BQ14" s="63" t="str">
        <f t="shared" si="3"/>
        <v/>
      </c>
      <c r="BR14" s="63" t="str">
        <f t="shared" si="3"/>
        <v/>
      </c>
      <c r="BS14" s="63" t="str">
        <f t="shared" si="3"/>
        <v/>
      </c>
      <c r="BT14" s="63" t="str">
        <f t="shared" si="3"/>
        <v/>
      </c>
      <c r="BU14" s="63" t="str">
        <f t="shared" si="3"/>
        <v/>
      </c>
      <c r="BV14" s="63" t="str">
        <f t="shared" si="3"/>
        <v/>
      </c>
      <c r="BW14" s="63" t="str">
        <f t="shared" si="3"/>
        <v/>
      </c>
      <c r="BX14" s="63" t="str">
        <f t="shared" si="3"/>
        <v/>
      </c>
      <c r="BY14" s="63" t="str">
        <f t="shared" si="3"/>
        <v/>
      </c>
      <c r="BZ14" s="63" t="str">
        <f t="shared" si="3"/>
        <v/>
      </c>
      <c r="CA14" s="63" t="str">
        <f t="shared" si="3"/>
        <v/>
      </c>
      <c r="CB14" s="63" t="str">
        <f t="shared" si="3"/>
        <v/>
      </c>
      <c r="CC14" s="63" t="str">
        <f t="shared" si="3"/>
        <v/>
      </c>
      <c r="CD14" s="63" t="str">
        <f t="shared" si="3"/>
        <v/>
      </c>
      <c r="CE14" s="63" t="str">
        <f t="shared" si="3"/>
        <v/>
      </c>
      <c r="CF14" s="63" t="str">
        <f t="shared" si="3"/>
        <v/>
      </c>
      <c r="CG14" s="63" t="str">
        <f t="shared" si="3"/>
        <v/>
      </c>
      <c r="CH14" s="63" t="str">
        <f t="shared" si="3"/>
        <v/>
      </c>
      <c r="CI14" s="63" t="str">
        <f t="shared" si="3"/>
        <v/>
      </c>
      <c r="CJ14" s="63" t="str">
        <f t="shared" si="3"/>
        <v/>
      </c>
      <c r="CK14" s="63" t="str">
        <f t="shared" ref="CK14:DT21" si="4">IF($B14=CK$12,$U14,"")</f>
        <v/>
      </c>
      <c r="CL14" s="63" t="str">
        <f t="shared" si="4"/>
        <v/>
      </c>
      <c r="CM14" s="63" t="str">
        <f t="shared" si="4"/>
        <v/>
      </c>
      <c r="CN14" s="63" t="str">
        <f t="shared" si="4"/>
        <v/>
      </c>
      <c r="CO14" s="63" t="str">
        <f t="shared" si="4"/>
        <v/>
      </c>
      <c r="CP14" s="63" t="str">
        <f t="shared" si="4"/>
        <v/>
      </c>
      <c r="CQ14" s="63" t="str">
        <f t="shared" si="4"/>
        <v/>
      </c>
      <c r="CR14" s="63" t="str">
        <f t="shared" si="4"/>
        <v/>
      </c>
      <c r="CS14" s="63" t="str">
        <f t="shared" si="4"/>
        <v/>
      </c>
      <c r="CT14" s="63" t="str">
        <f t="shared" si="4"/>
        <v/>
      </c>
      <c r="CU14" s="63" t="str">
        <f t="shared" si="4"/>
        <v/>
      </c>
      <c r="CV14" s="63" t="str">
        <f t="shared" si="4"/>
        <v/>
      </c>
      <c r="CW14" s="63" t="str">
        <f t="shared" si="4"/>
        <v/>
      </c>
      <c r="CX14" s="63" t="str">
        <f t="shared" si="4"/>
        <v/>
      </c>
      <c r="CY14" s="63" t="str">
        <f t="shared" si="4"/>
        <v/>
      </c>
      <c r="CZ14" s="63" t="str">
        <f t="shared" si="4"/>
        <v/>
      </c>
      <c r="DA14" s="63" t="str">
        <f t="shared" si="4"/>
        <v/>
      </c>
      <c r="DB14" s="63" t="str">
        <f t="shared" si="4"/>
        <v/>
      </c>
      <c r="DC14" s="63" t="str">
        <f t="shared" si="4"/>
        <v/>
      </c>
      <c r="DD14" s="63" t="str">
        <f t="shared" si="4"/>
        <v/>
      </c>
      <c r="DE14" s="63" t="str">
        <f t="shared" si="4"/>
        <v/>
      </c>
      <c r="DF14" s="63" t="str">
        <f t="shared" si="4"/>
        <v/>
      </c>
      <c r="DG14" s="63" t="str">
        <f t="shared" si="4"/>
        <v/>
      </c>
      <c r="DH14" s="63" t="str">
        <f t="shared" si="4"/>
        <v/>
      </c>
      <c r="DI14" s="63" t="str">
        <f t="shared" si="4"/>
        <v/>
      </c>
      <c r="DJ14" s="63" t="str">
        <f t="shared" si="4"/>
        <v/>
      </c>
      <c r="DK14" s="63" t="str">
        <f t="shared" si="4"/>
        <v/>
      </c>
      <c r="DL14" s="63" t="str">
        <f t="shared" si="4"/>
        <v/>
      </c>
      <c r="DM14" s="63" t="str">
        <f t="shared" si="4"/>
        <v/>
      </c>
      <c r="DN14" s="63" t="str">
        <f t="shared" si="4"/>
        <v/>
      </c>
      <c r="DO14" s="63" t="str">
        <f t="shared" si="4"/>
        <v/>
      </c>
      <c r="DP14" s="63" t="str">
        <f t="shared" si="4"/>
        <v/>
      </c>
      <c r="DQ14" s="63" t="str">
        <f t="shared" si="4"/>
        <v/>
      </c>
      <c r="DR14" s="63" t="str">
        <f t="shared" si="4"/>
        <v/>
      </c>
      <c r="DS14" s="63" t="str">
        <f t="shared" si="4"/>
        <v/>
      </c>
      <c r="DT14" s="110" t="str">
        <f t="shared" si="4"/>
        <v/>
      </c>
      <c r="DU14" s="54"/>
      <c r="DW14" s="59" t="str">
        <f t="shared" ref="DW14:GH17" si="5">IF($B14=DW$12,$O14,"")</f>
        <v/>
      </c>
      <c r="DX14" s="60" t="str">
        <f t="shared" si="5"/>
        <v/>
      </c>
      <c r="DY14" s="60" t="str">
        <f t="shared" si="5"/>
        <v/>
      </c>
      <c r="DZ14" s="60" t="str">
        <f t="shared" si="5"/>
        <v/>
      </c>
      <c r="EA14" s="60" t="str">
        <f t="shared" si="5"/>
        <v/>
      </c>
      <c r="EB14" s="60" t="str">
        <f t="shared" si="5"/>
        <v/>
      </c>
      <c r="EC14" s="60" t="str">
        <f t="shared" si="5"/>
        <v/>
      </c>
      <c r="ED14" s="60" t="str">
        <f t="shared" si="5"/>
        <v/>
      </c>
      <c r="EE14" s="60" t="str">
        <f t="shared" si="5"/>
        <v/>
      </c>
      <c r="EF14" s="60" t="str">
        <f t="shared" si="5"/>
        <v/>
      </c>
      <c r="EG14" s="60" t="str">
        <f t="shared" si="5"/>
        <v/>
      </c>
      <c r="EH14" s="60" t="str">
        <f t="shared" si="5"/>
        <v/>
      </c>
      <c r="EI14" s="60" t="str">
        <f t="shared" si="5"/>
        <v/>
      </c>
      <c r="EJ14" s="60" t="str">
        <f t="shared" si="5"/>
        <v/>
      </c>
      <c r="EK14" s="60" t="str">
        <f t="shared" si="5"/>
        <v/>
      </c>
      <c r="EL14" s="60" t="str">
        <f t="shared" si="5"/>
        <v/>
      </c>
      <c r="EM14" s="60" t="str">
        <f t="shared" si="5"/>
        <v/>
      </c>
      <c r="EN14" s="60" t="str">
        <f t="shared" si="5"/>
        <v/>
      </c>
      <c r="EO14" s="60" t="str">
        <f t="shared" si="5"/>
        <v/>
      </c>
      <c r="EP14" s="60" t="str">
        <f t="shared" si="5"/>
        <v/>
      </c>
      <c r="EQ14" s="60" t="str">
        <f t="shared" si="5"/>
        <v/>
      </c>
      <c r="ER14" s="60" t="str">
        <f t="shared" si="5"/>
        <v/>
      </c>
      <c r="ES14" s="60" t="str">
        <f t="shared" si="5"/>
        <v/>
      </c>
      <c r="ET14" s="60" t="str">
        <f t="shared" si="5"/>
        <v/>
      </c>
      <c r="EU14" s="60" t="str">
        <f t="shared" si="5"/>
        <v/>
      </c>
      <c r="EV14" s="60" t="str">
        <f t="shared" si="5"/>
        <v/>
      </c>
      <c r="EW14" s="60" t="str">
        <f t="shared" si="5"/>
        <v/>
      </c>
      <c r="EX14" s="60" t="str">
        <f t="shared" si="5"/>
        <v/>
      </c>
      <c r="EY14" s="60" t="str">
        <f t="shared" si="5"/>
        <v/>
      </c>
      <c r="EZ14" s="60" t="str">
        <f t="shared" si="5"/>
        <v/>
      </c>
      <c r="FA14" s="60" t="str">
        <f t="shared" si="5"/>
        <v/>
      </c>
      <c r="FB14" s="60" t="str">
        <f t="shared" si="5"/>
        <v/>
      </c>
      <c r="FC14" s="60" t="str">
        <f t="shared" si="5"/>
        <v/>
      </c>
      <c r="FD14" s="60" t="str">
        <f t="shared" si="5"/>
        <v/>
      </c>
      <c r="FE14" s="60" t="str">
        <f t="shared" si="5"/>
        <v/>
      </c>
      <c r="FF14" s="60" t="str">
        <f t="shared" si="5"/>
        <v/>
      </c>
      <c r="FG14" s="60" t="str">
        <f t="shared" si="5"/>
        <v/>
      </c>
      <c r="FH14" s="60" t="str">
        <f t="shared" si="5"/>
        <v/>
      </c>
      <c r="FI14" s="60" t="str">
        <f t="shared" si="5"/>
        <v/>
      </c>
      <c r="FJ14" s="60" t="str">
        <f t="shared" si="5"/>
        <v/>
      </c>
      <c r="FK14" s="60" t="str">
        <f t="shared" si="5"/>
        <v/>
      </c>
      <c r="FL14" s="60" t="str">
        <f t="shared" si="5"/>
        <v/>
      </c>
      <c r="FM14" s="60" t="str">
        <f t="shared" si="5"/>
        <v/>
      </c>
      <c r="FN14" s="60" t="str">
        <f t="shared" si="5"/>
        <v/>
      </c>
      <c r="FO14" s="60" t="str">
        <f t="shared" si="5"/>
        <v/>
      </c>
      <c r="FP14" s="60" t="str">
        <f t="shared" si="5"/>
        <v/>
      </c>
      <c r="FQ14" s="60" t="str">
        <f t="shared" si="5"/>
        <v/>
      </c>
      <c r="FR14" s="60" t="str">
        <f t="shared" si="5"/>
        <v/>
      </c>
      <c r="FS14" s="60" t="str">
        <f t="shared" si="5"/>
        <v/>
      </c>
      <c r="FT14" s="60" t="str">
        <f t="shared" si="5"/>
        <v/>
      </c>
      <c r="FU14" s="60" t="str">
        <f t="shared" si="5"/>
        <v/>
      </c>
      <c r="FV14" s="60" t="str">
        <f t="shared" si="5"/>
        <v/>
      </c>
      <c r="FW14" s="60" t="str">
        <f t="shared" si="5"/>
        <v/>
      </c>
      <c r="FX14" s="60" t="str">
        <f t="shared" si="5"/>
        <v/>
      </c>
      <c r="FY14" s="60" t="str">
        <f t="shared" si="5"/>
        <v/>
      </c>
      <c r="FZ14" s="60" t="str">
        <f t="shared" si="5"/>
        <v/>
      </c>
      <c r="GA14" s="60" t="str">
        <f t="shared" si="5"/>
        <v/>
      </c>
      <c r="GB14" s="60" t="str">
        <f t="shared" si="5"/>
        <v/>
      </c>
      <c r="GC14" s="60" t="str">
        <f t="shared" si="5"/>
        <v/>
      </c>
      <c r="GD14" s="60" t="str">
        <f t="shared" si="5"/>
        <v/>
      </c>
      <c r="GE14" s="60" t="str">
        <f t="shared" si="5"/>
        <v/>
      </c>
      <c r="GF14" s="60" t="str">
        <f t="shared" si="5"/>
        <v/>
      </c>
      <c r="GG14" s="60" t="str">
        <f t="shared" si="5"/>
        <v/>
      </c>
      <c r="GH14" s="60" t="str">
        <f t="shared" si="5"/>
        <v/>
      </c>
      <c r="GI14" s="60" t="str">
        <f t="shared" ref="GI14:HR21" si="6">IF($B14=GI$12,$O14,"")</f>
        <v/>
      </c>
      <c r="GJ14" s="60" t="str">
        <f t="shared" si="6"/>
        <v/>
      </c>
      <c r="GK14" s="60" t="str">
        <f t="shared" si="6"/>
        <v/>
      </c>
      <c r="GL14" s="60" t="str">
        <f t="shared" si="6"/>
        <v/>
      </c>
      <c r="GM14" s="60" t="str">
        <f t="shared" si="6"/>
        <v/>
      </c>
      <c r="GN14" s="60" t="str">
        <f t="shared" si="6"/>
        <v/>
      </c>
      <c r="GO14" s="60" t="str">
        <f t="shared" si="6"/>
        <v/>
      </c>
      <c r="GP14" s="60" t="str">
        <f t="shared" si="6"/>
        <v/>
      </c>
      <c r="GQ14" s="60" t="str">
        <f t="shared" si="6"/>
        <v/>
      </c>
      <c r="GR14" s="60" t="str">
        <f t="shared" si="6"/>
        <v/>
      </c>
      <c r="GS14" s="60" t="str">
        <f t="shared" si="6"/>
        <v/>
      </c>
      <c r="GT14" s="60" t="str">
        <f t="shared" si="6"/>
        <v/>
      </c>
      <c r="GU14" s="60" t="str">
        <f t="shared" si="6"/>
        <v/>
      </c>
      <c r="GV14" s="60" t="str">
        <f t="shared" si="6"/>
        <v/>
      </c>
      <c r="GW14" s="60" t="str">
        <f t="shared" si="6"/>
        <v/>
      </c>
      <c r="GX14" s="60" t="str">
        <f t="shared" si="6"/>
        <v/>
      </c>
      <c r="GY14" s="60" t="str">
        <f t="shared" si="6"/>
        <v/>
      </c>
      <c r="GZ14" s="60" t="str">
        <f t="shared" si="6"/>
        <v/>
      </c>
      <c r="HA14" s="60" t="str">
        <f t="shared" si="6"/>
        <v/>
      </c>
      <c r="HB14" s="60" t="str">
        <f t="shared" si="6"/>
        <v/>
      </c>
      <c r="HC14" s="60" t="str">
        <f t="shared" si="6"/>
        <v/>
      </c>
      <c r="HD14" s="60" t="str">
        <f t="shared" si="6"/>
        <v/>
      </c>
      <c r="HE14" s="60" t="str">
        <f t="shared" si="6"/>
        <v/>
      </c>
      <c r="HF14" s="60" t="str">
        <f t="shared" si="6"/>
        <v/>
      </c>
      <c r="HG14" s="60" t="str">
        <f t="shared" si="6"/>
        <v/>
      </c>
      <c r="HH14" s="60" t="str">
        <f t="shared" si="6"/>
        <v/>
      </c>
      <c r="HI14" s="60" t="str">
        <f t="shared" si="6"/>
        <v/>
      </c>
      <c r="HJ14" s="60" t="str">
        <f t="shared" si="6"/>
        <v/>
      </c>
      <c r="HK14" s="60" t="str">
        <f t="shared" si="6"/>
        <v/>
      </c>
      <c r="HL14" s="60" t="str">
        <f t="shared" si="6"/>
        <v/>
      </c>
      <c r="HM14" s="60" t="str">
        <f t="shared" si="6"/>
        <v/>
      </c>
      <c r="HN14" s="60" t="str">
        <f t="shared" si="6"/>
        <v/>
      </c>
      <c r="HO14" s="60" t="str">
        <f t="shared" si="6"/>
        <v/>
      </c>
      <c r="HP14" s="60" t="str">
        <f t="shared" si="6"/>
        <v/>
      </c>
      <c r="HQ14" s="60" t="str">
        <f t="shared" si="6"/>
        <v/>
      </c>
      <c r="HR14" s="114" t="str">
        <f t="shared" si="6"/>
        <v/>
      </c>
    </row>
    <row r="15" spans="1:226" ht="11.1" customHeight="1" x14ac:dyDescent="0.25">
      <c r="A15" s="26">
        <v>2220</v>
      </c>
      <c r="B15" s="144">
        <v>1</v>
      </c>
      <c r="C15" s="28" t="e">
        <f>IF(A15=0,"",VLOOKUP(A15,[2]CO!$A$3:$F$5327,2,0))</f>
        <v>#N/A</v>
      </c>
      <c r="D15" s="148"/>
      <c r="E15" s="29"/>
      <c r="F15" s="29"/>
      <c r="G15" s="30" t="e">
        <f>IF(A15=0,"",VLOOKUP(A15,[2]CO!$A$3:$F$5327,3,0))</f>
        <v>#N/A</v>
      </c>
      <c r="H15" s="142"/>
      <c r="I15" s="143"/>
      <c r="J15" s="143"/>
      <c r="K15" s="143"/>
      <c r="L15" s="143">
        <v>7</v>
      </c>
      <c r="M15" s="32">
        <f t="shared" si="0"/>
        <v>7</v>
      </c>
      <c r="N15" s="32" t="e">
        <f>IF(B15=0,"",IF(H15="M",HLOOKUP(B15,$Y$12:$DT$13,2),IF(A15=0,"",VLOOKUP(A15,[2]CO!$A$3:$F$5327,4,0))))</f>
        <v>#N/A</v>
      </c>
      <c r="O15" s="32" t="e">
        <f t="shared" ref="O15:O55" si="7">IF(L15=0,"",PRODUCT(M15:N15))</f>
        <v>#N/A</v>
      </c>
      <c r="P15" s="33">
        <v>1</v>
      </c>
      <c r="Q15" s="34" t="e">
        <f t="shared" si="1"/>
        <v>#N/A</v>
      </c>
      <c r="R15" s="35" t="e">
        <f>IF(S15=0,"",IF(OR(G15="PEON",G15="OF",G15="JARD",G15="CARP",G15="MAESTRO",G15="SOLD",G15="BGRO",G15="CHOFER",G15="AYTE",G15="S.INTTE.",G15="ASEO",G15="P.PISOS",G15="VELADOR",G15="RESID",G15="PINTOR",G15="ELECT",G15="AZULE",G15="AUX CONT.",G15="SECRETARIA",G15="AUXILIAR ADMTVO.",G15="ARQUITECTO",G15="DIBUJANTE",G15="AUX. DE RESIDENTE"),VLOOKUP(B15,P$14:Q$55,2),"")*S15)</f>
        <v>#N/A</v>
      </c>
      <c r="S15" s="127">
        <v>1</v>
      </c>
      <c r="T15" s="53" t="e">
        <f>IF(A15=0,"",VLOOKUP(A15,[2]CO!$A$3:$F$5318,5,0))</f>
        <v>#N/A</v>
      </c>
      <c r="U15" s="54" t="e">
        <f t="shared" si="2"/>
        <v>#N/A</v>
      </c>
      <c r="V15" s="24"/>
      <c r="W15" s="25"/>
      <c r="X15" s="25"/>
      <c r="Y15" s="64" t="e">
        <f t="shared" si="3"/>
        <v>#N/A</v>
      </c>
      <c r="Z15" s="55" t="str">
        <f t="shared" si="3"/>
        <v/>
      </c>
      <c r="AA15" s="55" t="str">
        <f t="shared" si="3"/>
        <v/>
      </c>
      <c r="AB15" s="55" t="str">
        <f t="shared" si="3"/>
        <v/>
      </c>
      <c r="AC15" s="55" t="str">
        <f t="shared" si="3"/>
        <v/>
      </c>
      <c r="AD15" s="55" t="str">
        <f t="shared" si="3"/>
        <v/>
      </c>
      <c r="AE15" s="55" t="str">
        <f t="shared" si="3"/>
        <v/>
      </c>
      <c r="AF15" s="55" t="str">
        <f t="shared" si="3"/>
        <v/>
      </c>
      <c r="AG15" s="55" t="str">
        <f t="shared" si="3"/>
        <v/>
      </c>
      <c r="AH15" s="55" t="str">
        <f t="shared" si="3"/>
        <v/>
      </c>
      <c r="AI15" s="55" t="str">
        <f t="shared" si="3"/>
        <v/>
      </c>
      <c r="AJ15" s="55" t="str">
        <f t="shared" si="3"/>
        <v/>
      </c>
      <c r="AK15" s="55" t="str">
        <f t="shared" si="3"/>
        <v/>
      </c>
      <c r="AL15" s="55" t="str">
        <f t="shared" si="3"/>
        <v/>
      </c>
      <c r="AM15" s="55" t="str">
        <f t="shared" si="3"/>
        <v/>
      </c>
      <c r="AN15" s="55" t="str">
        <f t="shared" si="3"/>
        <v/>
      </c>
      <c r="AO15" s="55" t="str">
        <f t="shared" si="3"/>
        <v/>
      </c>
      <c r="AP15" s="55" t="str">
        <f t="shared" si="3"/>
        <v/>
      </c>
      <c r="AQ15" s="55" t="str">
        <f t="shared" si="3"/>
        <v/>
      </c>
      <c r="AR15" s="55" t="str">
        <f t="shared" si="3"/>
        <v/>
      </c>
      <c r="AS15" s="55" t="str">
        <f t="shared" si="3"/>
        <v/>
      </c>
      <c r="AT15" s="55" t="str">
        <f t="shared" si="3"/>
        <v/>
      </c>
      <c r="AU15" s="55" t="str">
        <f t="shared" si="3"/>
        <v/>
      </c>
      <c r="AV15" s="55" t="str">
        <f t="shared" si="3"/>
        <v/>
      </c>
      <c r="AW15" s="55" t="str">
        <f t="shared" si="3"/>
        <v/>
      </c>
      <c r="AX15" s="55" t="str">
        <f t="shared" si="3"/>
        <v/>
      </c>
      <c r="AY15" s="55" t="str">
        <f t="shared" si="3"/>
        <v/>
      </c>
      <c r="AZ15" s="55" t="str">
        <f t="shared" si="3"/>
        <v/>
      </c>
      <c r="BA15" s="55" t="str">
        <f t="shared" si="3"/>
        <v/>
      </c>
      <c r="BB15" s="55" t="str">
        <f t="shared" si="3"/>
        <v/>
      </c>
      <c r="BC15" s="55" t="str">
        <f t="shared" si="3"/>
        <v/>
      </c>
      <c r="BD15" s="55" t="str">
        <f t="shared" si="3"/>
        <v/>
      </c>
      <c r="BE15" s="55" t="str">
        <f t="shared" si="3"/>
        <v/>
      </c>
      <c r="BF15" s="55" t="str">
        <f t="shared" si="3"/>
        <v/>
      </c>
      <c r="BG15" s="55" t="str">
        <f t="shared" si="3"/>
        <v/>
      </c>
      <c r="BH15" s="55" t="str">
        <f t="shared" si="3"/>
        <v/>
      </c>
      <c r="BI15" s="55" t="str">
        <f t="shared" si="3"/>
        <v/>
      </c>
      <c r="BJ15" s="55" t="str">
        <f t="shared" si="3"/>
        <v/>
      </c>
      <c r="BK15" s="55" t="str">
        <f t="shared" si="3"/>
        <v/>
      </c>
      <c r="BL15" s="55" t="str">
        <f t="shared" si="3"/>
        <v/>
      </c>
      <c r="BM15" s="55" t="str">
        <f t="shared" si="3"/>
        <v/>
      </c>
      <c r="BN15" s="55" t="str">
        <f t="shared" si="3"/>
        <v/>
      </c>
      <c r="BO15" s="55" t="str">
        <f t="shared" si="3"/>
        <v/>
      </c>
      <c r="BP15" s="55" t="str">
        <f t="shared" si="3"/>
        <v/>
      </c>
      <c r="BQ15" s="55" t="str">
        <f t="shared" si="3"/>
        <v/>
      </c>
      <c r="BR15" s="55" t="str">
        <f t="shared" si="3"/>
        <v/>
      </c>
      <c r="BS15" s="55" t="str">
        <f t="shared" si="3"/>
        <v/>
      </c>
      <c r="BT15" s="55" t="str">
        <f t="shared" si="3"/>
        <v/>
      </c>
      <c r="BU15" s="55" t="str">
        <f t="shared" si="3"/>
        <v/>
      </c>
      <c r="BV15" s="55" t="str">
        <f t="shared" si="3"/>
        <v/>
      </c>
      <c r="BW15" s="55" t="str">
        <f t="shared" si="3"/>
        <v/>
      </c>
      <c r="BX15" s="55" t="str">
        <f t="shared" si="3"/>
        <v/>
      </c>
      <c r="BY15" s="55" t="str">
        <f t="shared" si="3"/>
        <v/>
      </c>
      <c r="BZ15" s="55" t="str">
        <f t="shared" si="3"/>
        <v/>
      </c>
      <c r="CA15" s="55" t="str">
        <f t="shared" si="3"/>
        <v/>
      </c>
      <c r="CB15" s="55" t="str">
        <f t="shared" si="3"/>
        <v/>
      </c>
      <c r="CC15" s="55" t="str">
        <f t="shared" si="3"/>
        <v/>
      </c>
      <c r="CD15" s="55" t="str">
        <f t="shared" si="3"/>
        <v/>
      </c>
      <c r="CE15" s="55" t="str">
        <f t="shared" si="3"/>
        <v/>
      </c>
      <c r="CF15" s="55" t="str">
        <f t="shared" si="3"/>
        <v/>
      </c>
      <c r="CG15" s="55" t="str">
        <f t="shared" si="3"/>
        <v/>
      </c>
      <c r="CH15" s="55" t="str">
        <f t="shared" si="3"/>
        <v/>
      </c>
      <c r="CI15" s="55" t="str">
        <f t="shared" si="3"/>
        <v/>
      </c>
      <c r="CJ15" s="55" t="str">
        <f t="shared" si="3"/>
        <v/>
      </c>
      <c r="CK15" s="55" t="str">
        <f t="shared" si="4"/>
        <v/>
      </c>
      <c r="CL15" s="55" t="str">
        <f t="shared" si="4"/>
        <v/>
      </c>
      <c r="CM15" s="55" t="str">
        <f t="shared" si="4"/>
        <v/>
      </c>
      <c r="CN15" s="55" t="str">
        <f t="shared" si="4"/>
        <v/>
      </c>
      <c r="CO15" s="55" t="str">
        <f t="shared" si="4"/>
        <v/>
      </c>
      <c r="CP15" s="55" t="str">
        <f t="shared" si="4"/>
        <v/>
      </c>
      <c r="CQ15" s="55" t="str">
        <f t="shared" si="4"/>
        <v/>
      </c>
      <c r="CR15" s="55" t="str">
        <f t="shared" si="4"/>
        <v/>
      </c>
      <c r="CS15" s="55" t="str">
        <f t="shared" si="4"/>
        <v/>
      </c>
      <c r="CT15" s="55" t="str">
        <f t="shared" si="4"/>
        <v/>
      </c>
      <c r="CU15" s="55" t="str">
        <f t="shared" si="4"/>
        <v/>
      </c>
      <c r="CV15" s="55" t="str">
        <f t="shared" si="4"/>
        <v/>
      </c>
      <c r="CW15" s="55" t="str">
        <f t="shared" si="4"/>
        <v/>
      </c>
      <c r="CX15" s="55" t="str">
        <f t="shared" si="4"/>
        <v/>
      </c>
      <c r="CY15" s="55" t="str">
        <f t="shared" si="4"/>
        <v/>
      </c>
      <c r="CZ15" s="55" t="str">
        <f t="shared" si="4"/>
        <v/>
      </c>
      <c r="DA15" s="55" t="str">
        <f t="shared" si="4"/>
        <v/>
      </c>
      <c r="DB15" s="55" t="str">
        <f t="shared" si="4"/>
        <v/>
      </c>
      <c r="DC15" s="55" t="str">
        <f t="shared" si="4"/>
        <v/>
      </c>
      <c r="DD15" s="55" t="str">
        <f t="shared" si="4"/>
        <v/>
      </c>
      <c r="DE15" s="55" t="str">
        <f t="shared" si="4"/>
        <v/>
      </c>
      <c r="DF15" s="55" t="str">
        <f t="shared" si="4"/>
        <v/>
      </c>
      <c r="DG15" s="55" t="str">
        <f t="shared" si="4"/>
        <v/>
      </c>
      <c r="DH15" s="55" t="str">
        <f t="shared" si="4"/>
        <v/>
      </c>
      <c r="DI15" s="55" t="str">
        <f t="shared" si="4"/>
        <v/>
      </c>
      <c r="DJ15" s="55" t="str">
        <f t="shared" si="4"/>
        <v/>
      </c>
      <c r="DK15" s="55" t="str">
        <f t="shared" si="4"/>
        <v/>
      </c>
      <c r="DL15" s="55" t="str">
        <f t="shared" si="4"/>
        <v/>
      </c>
      <c r="DM15" s="55" t="str">
        <f t="shared" si="4"/>
        <v/>
      </c>
      <c r="DN15" s="55" t="str">
        <f t="shared" si="4"/>
        <v/>
      </c>
      <c r="DO15" s="55" t="str">
        <f t="shared" si="4"/>
        <v/>
      </c>
      <c r="DP15" s="55" t="str">
        <f t="shared" si="4"/>
        <v/>
      </c>
      <c r="DQ15" s="55" t="str">
        <f t="shared" si="4"/>
        <v/>
      </c>
      <c r="DR15" s="55" t="str">
        <f t="shared" si="4"/>
        <v/>
      </c>
      <c r="DS15" s="55" t="str">
        <f t="shared" si="4"/>
        <v/>
      </c>
      <c r="DT15" s="106" t="str">
        <f t="shared" si="4"/>
        <v/>
      </c>
      <c r="DU15" s="54"/>
      <c r="DV15" s="25"/>
      <c r="DW15" s="61" t="e">
        <f t="shared" si="5"/>
        <v>#N/A</v>
      </c>
      <c r="DX15" s="50" t="str">
        <f t="shared" si="5"/>
        <v/>
      </c>
      <c r="DY15" s="50" t="str">
        <f t="shared" si="5"/>
        <v/>
      </c>
      <c r="DZ15" s="50" t="str">
        <f t="shared" si="5"/>
        <v/>
      </c>
      <c r="EA15" s="50" t="str">
        <f t="shared" si="5"/>
        <v/>
      </c>
      <c r="EB15" s="50" t="str">
        <f t="shared" si="5"/>
        <v/>
      </c>
      <c r="EC15" s="50" t="str">
        <f t="shared" si="5"/>
        <v/>
      </c>
      <c r="ED15" s="50" t="str">
        <f t="shared" si="5"/>
        <v/>
      </c>
      <c r="EE15" s="50" t="str">
        <f t="shared" si="5"/>
        <v/>
      </c>
      <c r="EF15" s="50" t="str">
        <f t="shared" si="5"/>
        <v/>
      </c>
      <c r="EG15" s="50" t="str">
        <f t="shared" si="5"/>
        <v/>
      </c>
      <c r="EH15" s="50" t="str">
        <f t="shared" si="5"/>
        <v/>
      </c>
      <c r="EI15" s="50" t="str">
        <f t="shared" si="5"/>
        <v/>
      </c>
      <c r="EJ15" s="50" t="str">
        <f t="shared" si="5"/>
        <v/>
      </c>
      <c r="EK15" s="50" t="str">
        <f t="shared" si="5"/>
        <v/>
      </c>
      <c r="EL15" s="50" t="str">
        <f t="shared" si="5"/>
        <v/>
      </c>
      <c r="EM15" s="50" t="str">
        <f t="shared" si="5"/>
        <v/>
      </c>
      <c r="EN15" s="50" t="str">
        <f t="shared" si="5"/>
        <v/>
      </c>
      <c r="EO15" s="50" t="str">
        <f t="shared" si="5"/>
        <v/>
      </c>
      <c r="EP15" s="50" t="str">
        <f t="shared" si="5"/>
        <v/>
      </c>
      <c r="EQ15" s="50" t="str">
        <f t="shared" si="5"/>
        <v/>
      </c>
      <c r="ER15" s="50" t="str">
        <f t="shared" si="5"/>
        <v/>
      </c>
      <c r="ES15" s="50" t="str">
        <f t="shared" si="5"/>
        <v/>
      </c>
      <c r="ET15" s="50" t="str">
        <f t="shared" si="5"/>
        <v/>
      </c>
      <c r="EU15" s="50" t="str">
        <f t="shared" si="5"/>
        <v/>
      </c>
      <c r="EV15" s="50" t="str">
        <f t="shared" si="5"/>
        <v/>
      </c>
      <c r="EW15" s="50" t="str">
        <f t="shared" si="5"/>
        <v/>
      </c>
      <c r="EX15" s="50" t="str">
        <f t="shared" si="5"/>
        <v/>
      </c>
      <c r="EY15" s="50" t="str">
        <f t="shared" si="5"/>
        <v/>
      </c>
      <c r="EZ15" s="50" t="str">
        <f t="shared" si="5"/>
        <v/>
      </c>
      <c r="FA15" s="50" t="str">
        <f t="shared" si="5"/>
        <v/>
      </c>
      <c r="FB15" s="50" t="str">
        <f t="shared" si="5"/>
        <v/>
      </c>
      <c r="FC15" s="50" t="str">
        <f t="shared" si="5"/>
        <v/>
      </c>
      <c r="FD15" s="50" t="str">
        <f t="shared" si="5"/>
        <v/>
      </c>
      <c r="FE15" s="50" t="str">
        <f t="shared" si="5"/>
        <v/>
      </c>
      <c r="FF15" s="50" t="str">
        <f t="shared" si="5"/>
        <v/>
      </c>
      <c r="FG15" s="50" t="str">
        <f t="shared" si="5"/>
        <v/>
      </c>
      <c r="FH15" s="50" t="str">
        <f t="shared" si="5"/>
        <v/>
      </c>
      <c r="FI15" s="50" t="str">
        <f t="shared" si="5"/>
        <v/>
      </c>
      <c r="FJ15" s="50" t="str">
        <f t="shared" si="5"/>
        <v/>
      </c>
      <c r="FK15" s="50" t="str">
        <f t="shared" si="5"/>
        <v/>
      </c>
      <c r="FL15" s="50" t="str">
        <f t="shared" si="5"/>
        <v/>
      </c>
      <c r="FM15" s="50" t="str">
        <f t="shared" si="5"/>
        <v/>
      </c>
      <c r="FN15" s="50" t="str">
        <f t="shared" si="5"/>
        <v/>
      </c>
      <c r="FO15" s="50" t="str">
        <f t="shared" si="5"/>
        <v/>
      </c>
      <c r="FP15" s="50" t="str">
        <f t="shared" si="5"/>
        <v/>
      </c>
      <c r="FQ15" s="50" t="str">
        <f t="shared" si="5"/>
        <v/>
      </c>
      <c r="FR15" s="50" t="str">
        <f t="shared" si="5"/>
        <v/>
      </c>
      <c r="FS15" s="50" t="str">
        <f t="shared" si="5"/>
        <v/>
      </c>
      <c r="FT15" s="50" t="str">
        <f t="shared" si="5"/>
        <v/>
      </c>
      <c r="FU15" s="50" t="str">
        <f t="shared" si="5"/>
        <v/>
      </c>
      <c r="FV15" s="50" t="str">
        <f t="shared" si="5"/>
        <v/>
      </c>
      <c r="FW15" s="50" t="str">
        <f t="shared" si="5"/>
        <v/>
      </c>
      <c r="FX15" s="50" t="str">
        <f t="shared" si="5"/>
        <v/>
      </c>
      <c r="FY15" s="50" t="str">
        <f t="shared" si="5"/>
        <v/>
      </c>
      <c r="FZ15" s="50" t="str">
        <f t="shared" si="5"/>
        <v/>
      </c>
      <c r="GA15" s="50" t="str">
        <f t="shared" si="5"/>
        <v/>
      </c>
      <c r="GB15" s="50" t="str">
        <f t="shared" si="5"/>
        <v/>
      </c>
      <c r="GC15" s="50" t="str">
        <f t="shared" si="5"/>
        <v/>
      </c>
      <c r="GD15" s="50" t="str">
        <f t="shared" si="5"/>
        <v/>
      </c>
      <c r="GE15" s="50" t="str">
        <f t="shared" si="5"/>
        <v/>
      </c>
      <c r="GF15" s="50" t="str">
        <f t="shared" si="5"/>
        <v/>
      </c>
      <c r="GG15" s="50" t="str">
        <f t="shared" si="5"/>
        <v/>
      </c>
      <c r="GH15" s="50" t="str">
        <f t="shared" si="5"/>
        <v/>
      </c>
      <c r="GI15" s="50" t="str">
        <f t="shared" si="6"/>
        <v/>
      </c>
      <c r="GJ15" s="50" t="str">
        <f t="shared" si="6"/>
        <v/>
      </c>
      <c r="GK15" s="50" t="str">
        <f t="shared" si="6"/>
        <v/>
      </c>
      <c r="GL15" s="50" t="str">
        <f t="shared" si="6"/>
        <v/>
      </c>
      <c r="GM15" s="50" t="str">
        <f t="shared" si="6"/>
        <v/>
      </c>
      <c r="GN15" s="50" t="str">
        <f t="shared" si="6"/>
        <v/>
      </c>
      <c r="GO15" s="50" t="str">
        <f t="shared" si="6"/>
        <v/>
      </c>
      <c r="GP15" s="50" t="str">
        <f t="shared" si="6"/>
        <v/>
      </c>
      <c r="GQ15" s="50" t="str">
        <f t="shared" si="6"/>
        <v/>
      </c>
      <c r="GR15" s="50" t="str">
        <f t="shared" si="6"/>
        <v/>
      </c>
      <c r="GS15" s="50" t="str">
        <f t="shared" si="6"/>
        <v/>
      </c>
      <c r="GT15" s="50" t="str">
        <f t="shared" si="6"/>
        <v/>
      </c>
      <c r="GU15" s="50" t="str">
        <f t="shared" si="6"/>
        <v/>
      </c>
      <c r="GV15" s="50" t="str">
        <f t="shared" si="6"/>
        <v/>
      </c>
      <c r="GW15" s="50" t="str">
        <f t="shared" si="6"/>
        <v/>
      </c>
      <c r="GX15" s="50" t="str">
        <f t="shared" si="6"/>
        <v/>
      </c>
      <c r="GY15" s="50" t="str">
        <f t="shared" si="6"/>
        <v/>
      </c>
      <c r="GZ15" s="50" t="str">
        <f t="shared" si="6"/>
        <v/>
      </c>
      <c r="HA15" s="50" t="str">
        <f t="shared" si="6"/>
        <v/>
      </c>
      <c r="HB15" s="50" t="str">
        <f t="shared" si="6"/>
        <v/>
      </c>
      <c r="HC15" s="50" t="str">
        <f t="shared" si="6"/>
        <v/>
      </c>
      <c r="HD15" s="50" t="str">
        <f t="shared" si="6"/>
        <v/>
      </c>
      <c r="HE15" s="50" t="str">
        <f t="shared" si="6"/>
        <v/>
      </c>
      <c r="HF15" s="50" t="str">
        <f t="shared" si="6"/>
        <v/>
      </c>
      <c r="HG15" s="50" t="str">
        <f t="shared" si="6"/>
        <v/>
      </c>
      <c r="HH15" s="50" t="str">
        <f t="shared" si="6"/>
        <v/>
      </c>
      <c r="HI15" s="50" t="str">
        <f t="shared" si="6"/>
        <v/>
      </c>
      <c r="HJ15" s="50" t="str">
        <f t="shared" si="6"/>
        <v/>
      </c>
      <c r="HK15" s="50" t="str">
        <f t="shared" si="6"/>
        <v/>
      </c>
      <c r="HL15" s="50" t="str">
        <f t="shared" si="6"/>
        <v/>
      </c>
      <c r="HM15" s="50" t="str">
        <f t="shared" si="6"/>
        <v/>
      </c>
      <c r="HN15" s="50" t="str">
        <f t="shared" si="6"/>
        <v/>
      </c>
      <c r="HO15" s="50" t="str">
        <f t="shared" si="6"/>
        <v/>
      </c>
      <c r="HP15" s="50" t="str">
        <f t="shared" si="6"/>
        <v/>
      </c>
      <c r="HQ15" s="50" t="str">
        <f t="shared" si="6"/>
        <v/>
      </c>
      <c r="HR15" s="112" t="str">
        <f t="shared" si="6"/>
        <v/>
      </c>
    </row>
    <row r="16" spans="1:226" ht="11.1" customHeight="1" x14ac:dyDescent="0.25">
      <c r="A16" s="26"/>
      <c r="B16" s="144"/>
      <c r="C16" s="28" t="str">
        <f>IF(A16=0,"",VLOOKUP(A16,[2]CO!$A$3:$F$5327,2,0))</f>
        <v/>
      </c>
      <c r="D16" s="177" t="s">
        <v>30</v>
      </c>
      <c r="E16" s="29"/>
      <c r="F16" s="29"/>
      <c r="G16" s="30" t="str">
        <f>IF(A16=0,"",VLOOKUP(A16,[2]CO!$A$3:$F$5327,3,0))</f>
        <v/>
      </c>
      <c r="H16" s="142"/>
      <c r="I16" s="143"/>
      <c r="J16" s="143"/>
      <c r="K16" s="143"/>
      <c r="L16" s="143"/>
      <c r="M16" s="32" t="str">
        <f t="shared" si="0"/>
        <v/>
      </c>
      <c r="N16" s="32" t="str">
        <f>IF(B16=0,"",IF(H16="M",HLOOKUP(B16,$Y$12:$DT$13,2),IF(A16=0,"",VLOOKUP(A16,[2]CO!$A$3:$F$5327,4,0))))</f>
        <v/>
      </c>
      <c r="O16" s="32" t="str">
        <f t="shared" si="7"/>
        <v/>
      </c>
      <c r="P16" s="33"/>
      <c r="Q16" s="34" t="str">
        <f t="shared" si="1"/>
        <v/>
      </c>
      <c r="R16" s="35" t="str">
        <f>IF(S16=0,"",IF(OR(G16="PEON",G16="OF",G16="JARD",G16="CARP",G16="MAESTRO",G16="SOLD",G16="BGRO",G16="CHOFER",G16="AYTE",G16="S.INTTE.",G16="ASEO",G16="P.PISOS",G16="VELADOR",G16="RESID",G16="PINTOR",G16="ELECT",G16="AZULE",G16="AUX CONT.",G16="SECRETARIA",G16="AUXILIAR ADMTVO.",G16="ARQUITECTO",G16="DIBUJANTE",G16="AUX. DE RESIDENTE"),VLOOKUP(B16,P$14:Q$55,2),"")*S16)</f>
        <v/>
      </c>
      <c r="S16" s="127"/>
      <c r="T16" s="53" t="str">
        <f>IF(A16=0,"",VLOOKUP(A16,[2]CO!$A$3:$F$5318,5,0))</f>
        <v/>
      </c>
      <c r="U16" s="54">
        <f t="shared" si="2"/>
        <v>0</v>
      </c>
      <c r="V16" s="24"/>
      <c r="W16" s="25"/>
      <c r="X16" s="25"/>
      <c r="Y16" s="64" t="str">
        <f t="shared" si="3"/>
        <v/>
      </c>
      <c r="Z16" s="55" t="str">
        <f t="shared" si="3"/>
        <v/>
      </c>
      <c r="AA16" s="55" t="str">
        <f t="shared" si="3"/>
        <v/>
      </c>
      <c r="AB16" s="55" t="str">
        <f t="shared" si="3"/>
        <v/>
      </c>
      <c r="AC16" s="55" t="str">
        <f t="shared" si="3"/>
        <v/>
      </c>
      <c r="AD16" s="55" t="str">
        <f t="shared" si="3"/>
        <v/>
      </c>
      <c r="AE16" s="55" t="str">
        <f t="shared" si="3"/>
        <v/>
      </c>
      <c r="AF16" s="55" t="str">
        <f t="shared" si="3"/>
        <v/>
      </c>
      <c r="AG16" s="55" t="str">
        <f t="shared" si="3"/>
        <v/>
      </c>
      <c r="AH16" s="55" t="str">
        <f t="shared" si="3"/>
        <v/>
      </c>
      <c r="AI16" s="55" t="str">
        <f t="shared" si="3"/>
        <v/>
      </c>
      <c r="AJ16" s="55" t="str">
        <f t="shared" si="3"/>
        <v/>
      </c>
      <c r="AK16" s="55" t="str">
        <f t="shared" si="3"/>
        <v/>
      </c>
      <c r="AL16" s="55" t="str">
        <f t="shared" si="3"/>
        <v/>
      </c>
      <c r="AM16" s="55" t="str">
        <f t="shared" si="3"/>
        <v/>
      </c>
      <c r="AN16" s="55" t="str">
        <f t="shared" si="3"/>
        <v/>
      </c>
      <c r="AO16" s="55" t="str">
        <f t="shared" si="3"/>
        <v/>
      </c>
      <c r="AP16" s="55" t="str">
        <f t="shared" si="3"/>
        <v/>
      </c>
      <c r="AQ16" s="55" t="str">
        <f t="shared" si="3"/>
        <v/>
      </c>
      <c r="AR16" s="55" t="str">
        <f t="shared" si="3"/>
        <v/>
      </c>
      <c r="AS16" s="55" t="str">
        <f t="shared" si="3"/>
        <v/>
      </c>
      <c r="AT16" s="55" t="str">
        <f t="shared" si="3"/>
        <v/>
      </c>
      <c r="AU16" s="55" t="str">
        <f t="shared" si="3"/>
        <v/>
      </c>
      <c r="AV16" s="55" t="str">
        <f t="shared" si="3"/>
        <v/>
      </c>
      <c r="AW16" s="55" t="str">
        <f t="shared" si="3"/>
        <v/>
      </c>
      <c r="AX16" s="55" t="str">
        <f t="shared" si="3"/>
        <v/>
      </c>
      <c r="AY16" s="55" t="str">
        <f t="shared" si="3"/>
        <v/>
      </c>
      <c r="AZ16" s="55" t="str">
        <f t="shared" si="3"/>
        <v/>
      </c>
      <c r="BA16" s="55" t="str">
        <f t="shared" si="3"/>
        <v/>
      </c>
      <c r="BB16" s="55" t="str">
        <f t="shared" si="3"/>
        <v/>
      </c>
      <c r="BC16" s="55" t="str">
        <f t="shared" si="3"/>
        <v/>
      </c>
      <c r="BD16" s="55" t="str">
        <f t="shared" si="3"/>
        <v/>
      </c>
      <c r="BE16" s="55" t="str">
        <f t="shared" si="3"/>
        <v/>
      </c>
      <c r="BF16" s="55" t="str">
        <f t="shared" si="3"/>
        <v/>
      </c>
      <c r="BG16" s="55" t="str">
        <f t="shared" si="3"/>
        <v/>
      </c>
      <c r="BH16" s="55" t="str">
        <f t="shared" si="3"/>
        <v/>
      </c>
      <c r="BI16" s="55" t="str">
        <f t="shared" si="3"/>
        <v/>
      </c>
      <c r="BJ16" s="55" t="str">
        <f t="shared" si="3"/>
        <v/>
      </c>
      <c r="BK16" s="55" t="str">
        <f t="shared" si="3"/>
        <v/>
      </c>
      <c r="BL16" s="55" t="str">
        <f t="shared" si="3"/>
        <v/>
      </c>
      <c r="BM16" s="55" t="str">
        <f t="shared" si="3"/>
        <v/>
      </c>
      <c r="BN16" s="55" t="str">
        <f t="shared" si="3"/>
        <v/>
      </c>
      <c r="BO16" s="55" t="str">
        <f t="shared" si="3"/>
        <v/>
      </c>
      <c r="BP16" s="55" t="str">
        <f t="shared" si="3"/>
        <v/>
      </c>
      <c r="BQ16" s="55" t="str">
        <f t="shared" si="3"/>
        <v/>
      </c>
      <c r="BR16" s="55" t="str">
        <f t="shared" si="3"/>
        <v/>
      </c>
      <c r="BS16" s="55" t="str">
        <f t="shared" si="3"/>
        <v/>
      </c>
      <c r="BT16" s="55" t="str">
        <f t="shared" si="3"/>
        <v/>
      </c>
      <c r="BU16" s="55" t="str">
        <f t="shared" si="3"/>
        <v/>
      </c>
      <c r="BV16" s="55" t="str">
        <f t="shared" si="3"/>
        <v/>
      </c>
      <c r="BW16" s="55" t="str">
        <f t="shared" si="3"/>
        <v/>
      </c>
      <c r="BX16" s="55" t="str">
        <f t="shared" si="3"/>
        <v/>
      </c>
      <c r="BY16" s="55" t="str">
        <f t="shared" si="3"/>
        <v/>
      </c>
      <c r="BZ16" s="55" t="str">
        <f t="shared" si="3"/>
        <v/>
      </c>
      <c r="CA16" s="55" t="str">
        <f t="shared" si="3"/>
        <v/>
      </c>
      <c r="CB16" s="55" t="str">
        <f t="shared" si="3"/>
        <v/>
      </c>
      <c r="CC16" s="55" t="str">
        <f t="shared" si="3"/>
        <v/>
      </c>
      <c r="CD16" s="55" t="str">
        <f t="shared" si="3"/>
        <v/>
      </c>
      <c r="CE16" s="55" t="str">
        <f t="shared" si="3"/>
        <v/>
      </c>
      <c r="CF16" s="55" t="str">
        <f t="shared" si="3"/>
        <v/>
      </c>
      <c r="CG16" s="55" t="str">
        <f t="shared" si="3"/>
        <v/>
      </c>
      <c r="CH16" s="55" t="str">
        <f t="shared" si="3"/>
        <v/>
      </c>
      <c r="CI16" s="55" t="str">
        <f t="shared" si="3"/>
        <v/>
      </c>
      <c r="CJ16" s="55" t="str">
        <f t="shared" si="3"/>
        <v/>
      </c>
      <c r="CK16" s="55" t="str">
        <f t="shared" si="4"/>
        <v/>
      </c>
      <c r="CL16" s="55" t="str">
        <f t="shared" si="4"/>
        <v/>
      </c>
      <c r="CM16" s="55" t="str">
        <f t="shared" si="4"/>
        <v/>
      </c>
      <c r="CN16" s="55" t="str">
        <f t="shared" si="4"/>
        <v/>
      </c>
      <c r="CO16" s="55" t="str">
        <f t="shared" si="4"/>
        <v/>
      </c>
      <c r="CP16" s="55" t="str">
        <f t="shared" si="4"/>
        <v/>
      </c>
      <c r="CQ16" s="55" t="str">
        <f t="shared" si="4"/>
        <v/>
      </c>
      <c r="CR16" s="55" t="str">
        <f t="shared" si="4"/>
        <v/>
      </c>
      <c r="CS16" s="55" t="str">
        <f t="shared" si="4"/>
        <v/>
      </c>
      <c r="CT16" s="55" t="str">
        <f t="shared" si="4"/>
        <v/>
      </c>
      <c r="CU16" s="55" t="str">
        <f t="shared" si="4"/>
        <v/>
      </c>
      <c r="CV16" s="55" t="str">
        <f t="shared" si="4"/>
        <v/>
      </c>
      <c r="CW16" s="55" t="str">
        <f t="shared" si="4"/>
        <v/>
      </c>
      <c r="CX16" s="55" t="str">
        <f t="shared" si="4"/>
        <v/>
      </c>
      <c r="CY16" s="55" t="str">
        <f t="shared" si="4"/>
        <v/>
      </c>
      <c r="CZ16" s="55" t="str">
        <f t="shared" si="4"/>
        <v/>
      </c>
      <c r="DA16" s="55" t="str">
        <f t="shared" si="4"/>
        <v/>
      </c>
      <c r="DB16" s="55" t="str">
        <f t="shared" si="4"/>
        <v/>
      </c>
      <c r="DC16" s="55" t="str">
        <f t="shared" si="4"/>
        <v/>
      </c>
      <c r="DD16" s="55" t="str">
        <f t="shared" si="4"/>
        <v/>
      </c>
      <c r="DE16" s="55" t="str">
        <f t="shared" si="4"/>
        <v/>
      </c>
      <c r="DF16" s="55" t="str">
        <f t="shared" si="4"/>
        <v/>
      </c>
      <c r="DG16" s="55" t="str">
        <f t="shared" si="4"/>
        <v/>
      </c>
      <c r="DH16" s="55" t="str">
        <f t="shared" si="4"/>
        <v/>
      </c>
      <c r="DI16" s="55" t="str">
        <f t="shared" si="4"/>
        <v/>
      </c>
      <c r="DJ16" s="55" t="str">
        <f t="shared" si="4"/>
        <v/>
      </c>
      <c r="DK16" s="55" t="str">
        <f t="shared" si="4"/>
        <v/>
      </c>
      <c r="DL16" s="55" t="str">
        <f t="shared" si="4"/>
        <v/>
      </c>
      <c r="DM16" s="55" t="str">
        <f t="shared" si="4"/>
        <v/>
      </c>
      <c r="DN16" s="55" t="str">
        <f t="shared" si="4"/>
        <v/>
      </c>
      <c r="DO16" s="55" t="str">
        <f t="shared" si="4"/>
        <v/>
      </c>
      <c r="DP16" s="55" t="str">
        <f t="shared" si="4"/>
        <v/>
      </c>
      <c r="DQ16" s="55" t="str">
        <f t="shared" si="4"/>
        <v/>
      </c>
      <c r="DR16" s="55" t="str">
        <f t="shared" si="4"/>
        <v/>
      </c>
      <c r="DS16" s="55" t="str">
        <f t="shared" si="4"/>
        <v/>
      </c>
      <c r="DT16" s="106" t="str">
        <f t="shared" si="4"/>
        <v/>
      </c>
      <c r="DU16" s="54"/>
      <c r="DV16" s="25"/>
      <c r="DW16" s="61" t="str">
        <f t="shared" si="5"/>
        <v/>
      </c>
      <c r="DX16" s="50" t="str">
        <f t="shared" si="5"/>
        <v/>
      </c>
      <c r="DY16" s="50" t="str">
        <f t="shared" si="5"/>
        <v/>
      </c>
      <c r="DZ16" s="50" t="str">
        <f t="shared" si="5"/>
        <v/>
      </c>
      <c r="EA16" s="50" t="str">
        <f t="shared" si="5"/>
        <v/>
      </c>
      <c r="EB16" s="50" t="str">
        <f t="shared" si="5"/>
        <v/>
      </c>
      <c r="EC16" s="50" t="str">
        <f t="shared" si="5"/>
        <v/>
      </c>
      <c r="ED16" s="50" t="str">
        <f t="shared" si="5"/>
        <v/>
      </c>
      <c r="EE16" s="50" t="str">
        <f t="shared" si="5"/>
        <v/>
      </c>
      <c r="EF16" s="50" t="str">
        <f t="shared" si="5"/>
        <v/>
      </c>
      <c r="EG16" s="50" t="str">
        <f t="shared" si="5"/>
        <v/>
      </c>
      <c r="EH16" s="50" t="str">
        <f t="shared" si="5"/>
        <v/>
      </c>
      <c r="EI16" s="50" t="str">
        <f t="shared" si="5"/>
        <v/>
      </c>
      <c r="EJ16" s="50" t="str">
        <f t="shared" si="5"/>
        <v/>
      </c>
      <c r="EK16" s="50" t="str">
        <f t="shared" si="5"/>
        <v/>
      </c>
      <c r="EL16" s="50" t="str">
        <f t="shared" si="5"/>
        <v/>
      </c>
      <c r="EM16" s="50" t="str">
        <f t="shared" si="5"/>
        <v/>
      </c>
      <c r="EN16" s="50" t="str">
        <f t="shared" si="5"/>
        <v/>
      </c>
      <c r="EO16" s="50" t="str">
        <f t="shared" si="5"/>
        <v/>
      </c>
      <c r="EP16" s="50" t="str">
        <f t="shared" si="5"/>
        <v/>
      </c>
      <c r="EQ16" s="50" t="str">
        <f t="shared" si="5"/>
        <v/>
      </c>
      <c r="ER16" s="50" t="str">
        <f t="shared" si="5"/>
        <v/>
      </c>
      <c r="ES16" s="50" t="str">
        <f t="shared" si="5"/>
        <v/>
      </c>
      <c r="ET16" s="50" t="str">
        <f t="shared" si="5"/>
        <v/>
      </c>
      <c r="EU16" s="50" t="str">
        <f t="shared" si="5"/>
        <v/>
      </c>
      <c r="EV16" s="50" t="str">
        <f t="shared" si="5"/>
        <v/>
      </c>
      <c r="EW16" s="50" t="str">
        <f t="shared" si="5"/>
        <v/>
      </c>
      <c r="EX16" s="50" t="str">
        <f t="shared" si="5"/>
        <v/>
      </c>
      <c r="EY16" s="50" t="str">
        <f t="shared" si="5"/>
        <v/>
      </c>
      <c r="EZ16" s="50" t="str">
        <f t="shared" si="5"/>
        <v/>
      </c>
      <c r="FA16" s="50" t="str">
        <f t="shared" si="5"/>
        <v/>
      </c>
      <c r="FB16" s="50" t="str">
        <f t="shared" si="5"/>
        <v/>
      </c>
      <c r="FC16" s="50" t="str">
        <f t="shared" si="5"/>
        <v/>
      </c>
      <c r="FD16" s="50" t="str">
        <f t="shared" si="5"/>
        <v/>
      </c>
      <c r="FE16" s="50" t="str">
        <f t="shared" si="5"/>
        <v/>
      </c>
      <c r="FF16" s="50" t="str">
        <f t="shared" si="5"/>
        <v/>
      </c>
      <c r="FG16" s="50" t="str">
        <f t="shared" si="5"/>
        <v/>
      </c>
      <c r="FH16" s="50" t="str">
        <f t="shared" si="5"/>
        <v/>
      </c>
      <c r="FI16" s="50" t="str">
        <f t="shared" si="5"/>
        <v/>
      </c>
      <c r="FJ16" s="50" t="str">
        <f t="shared" si="5"/>
        <v/>
      </c>
      <c r="FK16" s="50" t="str">
        <f t="shared" si="5"/>
        <v/>
      </c>
      <c r="FL16" s="50" t="str">
        <f t="shared" si="5"/>
        <v/>
      </c>
      <c r="FM16" s="50" t="str">
        <f t="shared" si="5"/>
        <v/>
      </c>
      <c r="FN16" s="50" t="str">
        <f t="shared" si="5"/>
        <v/>
      </c>
      <c r="FO16" s="50" t="str">
        <f t="shared" si="5"/>
        <v/>
      </c>
      <c r="FP16" s="50" t="str">
        <f t="shared" si="5"/>
        <v/>
      </c>
      <c r="FQ16" s="50" t="str">
        <f t="shared" si="5"/>
        <v/>
      </c>
      <c r="FR16" s="50" t="str">
        <f t="shared" si="5"/>
        <v/>
      </c>
      <c r="FS16" s="50" t="str">
        <f t="shared" si="5"/>
        <v/>
      </c>
      <c r="FT16" s="50" t="str">
        <f t="shared" si="5"/>
        <v/>
      </c>
      <c r="FU16" s="50" t="str">
        <f t="shared" si="5"/>
        <v/>
      </c>
      <c r="FV16" s="50" t="str">
        <f t="shared" si="5"/>
        <v/>
      </c>
      <c r="FW16" s="50" t="str">
        <f t="shared" si="5"/>
        <v/>
      </c>
      <c r="FX16" s="50" t="str">
        <f t="shared" si="5"/>
        <v/>
      </c>
      <c r="FY16" s="50" t="str">
        <f t="shared" si="5"/>
        <v/>
      </c>
      <c r="FZ16" s="50" t="str">
        <f t="shared" si="5"/>
        <v/>
      </c>
      <c r="GA16" s="50" t="str">
        <f t="shared" si="5"/>
        <v/>
      </c>
      <c r="GB16" s="50" t="str">
        <f t="shared" si="5"/>
        <v/>
      </c>
      <c r="GC16" s="50" t="str">
        <f t="shared" si="5"/>
        <v/>
      </c>
      <c r="GD16" s="50" t="str">
        <f t="shared" si="5"/>
        <v/>
      </c>
      <c r="GE16" s="50" t="str">
        <f t="shared" si="5"/>
        <v/>
      </c>
      <c r="GF16" s="50" t="str">
        <f t="shared" si="5"/>
        <v/>
      </c>
      <c r="GG16" s="50" t="str">
        <f t="shared" si="5"/>
        <v/>
      </c>
      <c r="GH16" s="50" t="str">
        <f t="shared" si="5"/>
        <v/>
      </c>
      <c r="GI16" s="50" t="str">
        <f t="shared" si="6"/>
        <v/>
      </c>
      <c r="GJ16" s="50" t="str">
        <f t="shared" si="6"/>
        <v/>
      </c>
      <c r="GK16" s="50" t="str">
        <f t="shared" si="6"/>
        <v/>
      </c>
      <c r="GL16" s="50" t="str">
        <f t="shared" si="6"/>
        <v/>
      </c>
      <c r="GM16" s="50" t="str">
        <f t="shared" si="6"/>
        <v/>
      </c>
      <c r="GN16" s="50" t="str">
        <f t="shared" si="6"/>
        <v/>
      </c>
      <c r="GO16" s="50" t="str">
        <f t="shared" si="6"/>
        <v/>
      </c>
      <c r="GP16" s="50" t="str">
        <f t="shared" si="6"/>
        <v/>
      </c>
      <c r="GQ16" s="50" t="str">
        <f t="shared" si="6"/>
        <v/>
      </c>
      <c r="GR16" s="50" t="str">
        <f t="shared" si="6"/>
        <v/>
      </c>
      <c r="GS16" s="50" t="str">
        <f t="shared" si="6"/>
        <v/>
      </c>
      <c r="GT16" s="50" t="str">
        <f t="shared" si="6"/>
        <v/>
      </c>
      <c r="GU16" s="50" t="str">
        <f t="shared" si="6"/>
        <v/>
      </c>
      <c r="GV16" s="50" t="str">
        <f t="shared" si="6"/>
        <v/>
      </c>
      <c r="GW16" s="50" t="str">
        <f t="shared" si="6"/>
        <v/>
      </c>
      <c r="GX16" s="50" t="str">
        <f t="shared" si="6"/>
        <v/>
      </c>
      <c r="GY16" s="50" t="str">
        <f t="shared" si="6"/>
        <v/>
      </c>
      <c r="GZ16" s="50" t="str">
        <f t="shared" si="6"/>
        <v/>
      </c>
      <c r="HA16" s="50" t="str">
        <f t="shared" si="6"/>
        <v/>
      </c>
      <c r="HB16" s="50" t="str">
        <f t="shared" si="6"/>
        <v/>
      </c>
      <c r="HC16" s="50" t="str">
        <f t="shared" si="6"/>
        <v/>
      </c>
      <c r="HD16" s="50" t="str">
        <f t="shared" si="6"/>
        <v/>
      </c>
      <c r="HE16" s="50" t="str">
        <f t="shared" si="6"/>
        <v/>
      </c>
      <c r="HF16" s="50" t="str">
        <f t="shared" si="6"/>
        <v/>
      </c>
      <c r="HG16" s="50" t="str">
        <f t="shared" si="6"/>
        <v/>
      </c>
      <c r="HH16" s="50" t="str">
        <f t="shared" si="6"/>
        <v/>
      </c>
      <c r="HI16" s="50" t="str">
        <f t="shared" si="6"/>
        <v/>
      </c>
      <c r="HJ16" s="50" t="str">
        <f t="shared" si="6"/>
        <v/>
      </c>
      <c r="HK16" s="50" t="str">
        <f t="shared" si="6"/>
        <v/>
      </c>
      <c r="HL16" s="50" t="str">
        <f t="shared" si="6"/>
        <v/>
      </c>
      <c r="HM16" s="50" t="str">
        <f t="shared" si="6"/>
        <v/>
      </c>
      <c r="HN16" s="50" t="str">
        <f t="shared" si="6"/>
        <v/>
      </c>
      <c r="HO16" s="50" t="str">
        <f t="shared" si="6"/>
        <v/>
      </c>
      <c r="HP16" s="50" t="str">
        <f t="shared" si="6"/>
        <v/>
      </c>
      <c r="HQ16" s="50" t="str">
        <f t="shared" si="6"/>
        <v/>
      </c>
      <c r="HR16" s="112" t="str">
        <f t="shared" si="6"/>
        <v/>
      </c>
    </row>
    <row r="17" spans="1:226" ht="11.1" customHeight="1" x14ac:dyDescent="0.25">
      <c r="A17" s="26"/>
      <c r="B17" s="144"/>
      <c r="C17" s="28" t="str">
        <f>IF(A17=0,"",VLOOKUP(A17,[2]CO!$A$3:$F$5327,2,0))</f>
        <v/>
      </c>
      <c r="D17" s="148" t="s">
        <v>31</v>
      </c>
      <c r="E17" s="29"/>
      <c r="F17" s="29"/>
      <c r="G17" s="30" t="str">
        <f>IF(A17=0,"",VLOOKUP(A17,[2]CO!$A$3:$F$5327,3,0))</f>
        <v/>
      </c>
      <c r="H17" s="142"/>
      <c r="I17" s="143"/>
      <c r="J17" s="143"/>
      <c r="K17" s="143"/>
      <c r="L17" s="143"/>
      <c r="M17" s="32" t="str">
        <f t="shared" si="0"/>
        <v/>
      </c>
      <c r="N17" s="32" t="str">
        <f>IF(B17=0,"",IF(H17="M",HLOOKUP(B17,$Y$12:$DT$13,2),IF(A17=0,"",VLOOKUP(A17,[2]CO!$A$3:$F$5327,4,0))))</f>
        <v/>
      </c>
      <c r="O17" s="32" t="str">
        <f t="shared" si="7"/>
        <v/>
      </c>
      <c r="P17" s="33"/>
      <c r="Q17" s="34" t="str">
        <f t="shared" si="1"/>
        <v/>
      </c>
      <c r="R17" s="35" t="str">
        <f>IF(S17=0,"",IF(OR(G17="PEON",G17="OF",G17="JARD",G17="CARP",G17="MAESTRO",G17="SOLD",G17="BGRO",G17="CHOFER",G17="AYTE",G17="S.INTTE.",G17="ASEO",G17="P.PISOS",G17="VELADOR",G17="RESID",G17="PINTOR",G17="ELECT",G17="AZULE",G17="AUX CONT.",G17="SECRETARIA",G17="AUXILIAR ADMTVO.",G17="ARQUITECTO",G17="DIBUJANTE",G17="AUX. DE RESIDENTE"),VLOOKUP(B17,P$14:Q$55,2),"")*S17)</f>
        <v/>
      </c>
      <c r="S17" s="127"/>
      <c r="T17" s="53" t="str">
        <f>IF(A17=0,"",VLOOKUP(A17,[2]CO!$A$3:$F$5318,5,0))</f>
        <v/>
      </c>
      <c r="U17" s="54">
        <f t="shared" si="2"/>
        <v>0</v>
      </c>
      <c r="V17" s="24"/>
      <c r="W17" s="25"/>
      <c r="X17" s="25"/>
      <c r="Y17" s="64" t="str">
        <f t="shared" si="3"/>
        <v/>
      </c>
      <c r="Z17" s="55" t="str">
        <f t="shared" si="3"/>
        <v/>
      </c>
      <c r="AA17" s="55" t="str">
        <f t="shared" si="3"/>
        <v/>
      </c>
      <c r="AB17" s="55" t="str">
        <f t="shared" si="3"/>
        <v/>
      </c>
      <c r="AC17" s="55" t="str">
        <f t="shared" si="3"/>
        <v/>
      </c>
      <c r="AD17" s="55" t="str">
        <f t="shared" si="3"/>
        <v/>
      </c>
      <c r="AE17" s="55" t="str">
        <f t="shared" si="3"/>
        <v/>
      </c>
      <c r="AF17" s="55" t="str">
        <f t="shared" si="3"/>
        <v/>
      </c>
      <c r="AG17" s="55" t="str">
        <f t="shared" si="3"/>
        <v/>
      </c>
      <c r="AH17" s="55" t="str">
        <f t="shared" si="3"/>
        <v/>
      </c>
      <c r="AI17" s="55" t="str">
        <f t="shared" si="3"/>
        <v/>
      </c>
      <c r="AJ17" s="55" t="str">
        <f t="shared" si="3"/>
        <v/>
      </c>
      <c r="AK17" s="55" t="str">
        <f t="shared" si="3"/>
        <v/>
      </c>
      <c r="AL17" s="55" t="str">
        <f t="shared" si="3"/>
        <v/>
      </c>
      <c r="AM17" s="55" t="str">
        <f t="shared" si="3"/>
        <v/>
      </c>
      <c r="AN17" s="55" t="str">
        <f t="shared" si="3"/>
        <v/>
      </c>
      <c r="AO17" s="55" t="str">
        <f t="shared" si="3"/>
        <v/>
      </c>
      <c r="AP17" s="55" t="str">
        <f t="shared" si="3"/>
        <v/>
      </c>
      <c r="AQ17" s="55" t="str">
        <f t="shared" si="3"/>
        <v/>
      </c>
      <c r="AR17" s="55" t="str">
        <f t="shared" si="3"/>
        <v/>
      </c>
      <c r="AS17" s="55" t="str">
        <f t="shared" si="3"/>
        <v/>
      </c>
      <c r="AT17" s="55" t="str">
        <f t="shared" si="3"/>
        <v/>
      </c>
      <c r="AU17" s="55" t="str">
        <f t="shared" si="3"/>
        <v/>
      </c>
      <c r="AV17" s="55" t="str">
        <f t="shared" si="3"/>
        <v/>
      </c>
      <c r="AW17" s="55" t="str">
        <f t="shared" si="3"/>
        <v/>
      </c>
      <c r="AX17" s="55" t="str">
        <f t="shared" si="3"/>
        <v/>
      </c>
      <c r="AY17" s="55" t="str">
        <f t="shared" si="3"/>
        <v/>
      </c>
      <c r="AZ17" s="55" t="str">
        <f t="shared" si="3"/>
        <v/>
      </c>
      <c r="BA17" s="55" t="str">
        <f t="shared" si="3"/>
        <v/>
      </c>
      <c r="BB17" s="55" t="str">
        <f t="shared" si="3"/>
        <v/>
      </c>
      <c r="BC17" s="55" t="str">
        <f t="shared" si="3"/>
        <v/>
      </c>
      <c r="BD17" s="55" t="str">
        <f t="shared" si="3"/>
        <v/>
      </c>
      <c r="BE17" s="55" t="str">
        <f t="shared" si="3"/>
        <v/>
      </c>
      <c r="BF17" s="55" t="str">
        <f t="shared" si="3"/>
        <v/>
      </c>
      <c r="BG17" s="55" t="str">
        <f t="shared" si="3"/>
        <v/>
      </c>
      <c r="BH17" s="55" t="str">
        <f t="shared" si="3"/>
        <v/>
      </c>
      <c r="BI17" s="55" t="str">
        <f t="shared" si="3"/>
        <v/>
      </c>
      <c r="BJ17" s="55" t="str">
        <f t="shared" si="3"/>
        <v/>
      </c>
      <c r="BK17" s="55" t="str">
        <f t="shared" si="3"/>
        <v/>
      </c>
      <c r="BL17" s="55" t="str">
        <f t="shared" si="3"/>
        <v/>
      </c>
      <c r="BM17" s="55" t="str">
        <f t="shared" si="3"/>
        <v/>
      </c>
      <c r="BN17" s="55" t="str">
        <f t="shared" si="3"/>
        <v/>
      </c>
      <c r="BO17" s="55" t="str">
        <f t="shared" si="3"/>
        <v/>
      </c>
      <c r="BP17" s="55" t="str">
        <f t="shared" si="3"/>
        <v/>
      </c>
      <c r="BQ17" s="55" t="str">
        <f t="shared" si="3"/>
        <v/>
      </c>
      <c r="BR17" s="55" t="str">
        <f t="shared" si="3"/>
        <v/>
      </c>
      <c r="BS17" s="55" t="str">
        <f t="shared" si="3"/>
        <v/>
      </c>
      <c r="BT17" s="55" t="str">
        <f t="shared" si="3"/>
        <v/>
      </c>
      <c r="BU17" s="55" t="str">
        <f t="shared" si="3"/>
        <v/>
      </c>
      <c r="BV17" s="55" t="str">
        <f t="shared" si="3"/>
        <v/>
      </c>
      <c r="BW17" s="55" t="str">
        <f t="shared" si="3"/>
        <v/>
      </c>
      <c r="BX17" s="55" t="str">
        <f t="shared" si="3"/>
        <v/>
      </c>
      <c r="BY17" s="55" t="str">
        <f t="shared" si="3"/>
        <v/>
      </c>
      <c r="BZ17" s="55" t="str">
        <f t="shared" si="3"/>
        <v/>
      </c>
      <c r="CA17" s="55" t="str">
        <f t="shared" si="3"/>
        <v/>
      </c>
      <c r="CB17" s="55" t="str">
        <f t="shared" si="3"/>
        <v/>
      </c>
      <c r="CC17" s="55" t="str">
        <f t="shared" si="3"/>
        <v/>
      </c>
      <c r="CD17" s="55" t="str">
        <f t="shared" si="3"/>
        <v/>
      </c>
      <c r="CE17" s="55" t="str">
        <f t="shared" si="3"/>
        <v/>
      </c>
      <c r="CF17" s="55" t="str">
        <f t="shared" si="3"/>
        <v/>
      </c>
      <c r="CG17" s="55" t="str">
        <f t="shared" si="3"/>
        <v/>
      </c>
      <c r="CH17" s="55" t="str">
        <f t="shared" si="3"/>
        <v/>
      </c>
      <c r="CI17" s="55" t="str">
        <f t="shared" si="3"/>
        <v/>
      </c>
      <c r="CJ17" s="55" t="str">
        <f t="shared" ref="CJ17" si="8">IF($B17=CJ$12,$U17,"")</f>
        <v/>
      </c>
      <c r="CK17" s="55" t="str">
        <f t="shared" si="4"/>
        <v/>
      </c>
      <c r="CL17" s="55" t="str">
        <f t="shared" si="4"/>
        <v/>
      </c>
      <c r="CM17" s="55" t="str">
        <f t="shared" si="4"/>
        <v/>
      </c>
      <c r="CN17" s="55" t="str">
        <f t="shared" si="4"/>
        <v/>
      </c>
      <c r="CO17" s="55" t="str">
        <f t="shared" si="4"/>
        <v/>
      </c>
      <c r="CP17" s="55" t="str">
        <f t="shared" si="4"/>
        <v/>
      </c>
      <c r="CQ17" s="55" t="str">
        <f t="shared" si="4"/>
        <v/>
      </c>
      <c r="CR17" s="55" t="str">
        <f t="shared" si="4"/>
        <v/>
      </c>
      <c r="CS17" s="55" t="str">
        <f t="shared" si="4"/>
        <v/>
      </c>
      <c r="CT17" s="55" t="str">
        <f t="shared" si="4"/>
        <v/>
      </c>
      <c r="CU17" s="55" t="str">
        <f t="shared" si="4"/>
        <v/>
      </c>
      <c r="CV17" s="55" t="str">
        <f t="shared" si="4"/>
        <v/>
      </c>
      <c r="CW17" s="55" t="str">
        <f t="shared" si="4"/>
        <v/>
      </c>
      <c r="CX17" s="55" t="str">
        <f t="shared" si="4"/>
        <v/>
      </c>
      <c r="CY17" s="55" t="str">
        <f t="shared" si="4"/>
        <v/>
      </c>
      <c r="CZ17" s="55" t="str">
        <f t="shared" si="4"/>
        <v/>
      </c>
      <c r="DA17" s="55" t="str">
        <f t="shared" si="4"/>
        <v/>
      </c>
      <c r="DB17" s="55" t="str">
        <f t="shared" si="4"/>
        <v/>
      </c>
      <c r="DC17" s="55" t="str">
        <f t="shared" si="4"/>
        <v/>
      </c>
      <c r="DD17" s="55" t="str">
        <f t="shared" si="4"/>
        <v/>
      </c>
      <c r="DE17" s="55" t="str">
        <f t="shared" si="4"/>
        <v/>
      </c>
      <c r="DF17" s="55" t="str">
        <f t="shared" si="4"/>
        <v/>
      </c>
      <c r="DG17" s="55" t="str">
        <f t="shared" si="4"/>
        <v/>
      </c>
      <c r="DH17" s="55" t="str">
        <f t="shared" si="4"/>
        <v/>
      </c>
      <c r="DI17" s="55" t="str">
        <f t="shared" si="4"/>
        <v/>
      </c>
      <c r="DJ17" s="55" t="str">
        <f t="shared" si="4"/>
        <v/>
      </c>
      <c r="DK17" s="55" t="str">
        <f t="shared" si="4"/>
        <v/>
      </c>
      <c r="DL17" s="55" t="str">
        <f t="shared" si="4"/>
        <v/>
      </c>
      <c r="DM17" s="55" t="str">
        <f t="shared" si="4"/>
        <v/>
      </c>
      <c r="DN17" s="55" t="str">
        <f t="shared" si="4"/>
        <v/>
      </c>
      <c r="DO17" s="55" t="str">
        <f t="shared" si="4"/>
        <v/>
      </c>
      <c r="DP17" s="55" t="str">
        <f t="shared" si="4"/>
        <v/>
      </c>
      <c r="DQ17" s="55" t="str">
        <f t="shared" si="4"/>
        <v/>
      </c>
      <c r="DR17" s="55" t="str">
        <f t="shared" si="4"/>
        <v/>
      </c>
      <c r="DS17" s="55" t="str">
        <f t="shared" si="4"/>
        <v/>
      </c>
      <c r="DT17" s="106" t="str">
        <f t="shared" si="4"/>
        <v/>
      </c>
      <c r="DU17" s="54"/>
      <c r="DV17" s="25"/>
      <c r="DW17" s="61" t="str">
        <f t="shared" si="5"/>
        <v/>
      </c>
      <c r="DX17" s="50" t="str">
        <f t="shared" si="5"/>
        <v/>
      </c>
      <c r="DY17" s="50" t="str">
        <f t="shared" si="5"/>
        <v/>
      </c>
      <c r="DZ17" s="50" t="str">
        <f t="shared" si="5"/>
        <v/>
      </c>
      <c r="EA17" s="50" t="str">
        <f t="shared" si="5"/>
        <v/>
      </c>
      <c r="EB17" s="50" t="str">
        <f t="shared" si="5"/>
        <v/>
      </c>
      <c r="EC17" s="50" t="str">
        <f t="shared" si="5"/>
        <v/>
      </c>
      <c r="ED17" s="50" t="str">
        <f t="shared" si="5"/>
        <v/>
      </c>
      <c r="EE17" s="50" t="str">
        <f t="shared" si="5"/>
        <v/>
      </c>
      <c r="EF17" s="50" t="str">
        <f t="shared" si="5"/>
        <v/>
      </c>
      <c r="EG17" s="50" t="str">
        <f t="shared" si="5"/>
        <v/>
      </c>
      <c r="EH17" s="50" t="str">
        <f t="shared" si="5"/>
        <v/>
      </c>
      <c r="EI17" s="50" t="str">
        <f t="shared" si="5"/>
        <v/>
      </c>
      <c r="EJ17" s="50" t="str">
        <f t="shared" si="5"/>
        <v/>
      </c>
      <c r="EK17" s="50" t="str">
        <f t="shared" si="5"/>
        <v/>
      </c>
      <c r="EL17" s="50" t="str">
        <f t="shared" si="5"/>
        <v/>
      </c>
      <c r="EM17" s="50" t="str">
        <f t="shared" si="5"/>
        <v/>
      </c>
      <c r="EN17" s="50" t="str">
        <f t="shared" si="5"/>
        <v/>
      </c>
      <c r="EO17" s="50" t="str">
        <f t="shared" si="5"/>
        <v/>
      </c>
      <c r="EP17" s="50" t="str">
        <f t="shared" si="5"/>
        <v/>
      </c>
      <c r="EQ17" s="50" t="str">
        <f t="shared" si="5"/>
        <v/>
      </c>
      <c r="ER17" s="50" t="str">
        <f t="shared" si="5"/>
        <v/>
      </c>
      <c r="ES17" s="50" t="str">
        <f t="shared" si="5"/>
        <v/>
      </c>
      <c r="ET17" s="50" t="str">
        <f t="shared" si="5"/>
        <v/>
      </c>
      <c r="EU17" s="50" t="str">
        <f t="shared" si="5"/>
        <v/>
      </c>
      <c r="EV17" s="50" t="str">
        <f t="shared" si="5"/>
        <v/>
      </c>
      <c r="EW17" s="50" t="str">
        <f t="shared" si="5"/>
        <v/>
      </c>
      <c r="EX17" s="50" t="str">
        <f t="shared" si="5"/>
        <v/>
      </c>
      <c r="EY17" s="50" t="str">
        <f t="shared" si="5"/>
        <v/>
      </c>
      <c r="EZ17" s="50" t="str">
        <f t="shared" si="5"/>
        <v/>
      </c>
      <c r="FA17" s="50" t="str">
        <f t="shared" si="5"/>
        <v/>
      </c>
      <c r="FB17" s="50" t="str">
        <f t="shared" si="5"/>
        <v/>
      </c>
      <c r="FC17" s="50" t="str">
        <f t="shared" si="5"/>
        <v/>
      </c>
      <c r="FD17" s="50" t="str">
        <f t="shared" si="5"/>
        <v/>
      </c>
      <c r="FE17" s="50" t="str">
        <f t="shared" si="5"/>
        <v/>
      </c>
      <c r="FF17" s="50" t="str">
        <f t="shared" si="5"/>
        <v/>
      </c>
      <c r="FG17" s="50" t="str">
        <f t="shared" si="5"/>
        <v/>
      </c>
      <c r="FH17" s="50" t="str">
        <f t="shared" si="5"/>
        <v/>
      </c>
      <c r="FI17" s="50" t="str">
        <f t="shared" si="5"/>
        <v/>
      </c>
      <c r="FJ17" s="50" t="str">
        <f t="shared" si="5"/>
        <v/>
      </c>
      <c r="FK17" s="50" t="str">
        <f t="shared" si="5"/>
        <v/>
      </c>
      <c r="FL17" s="50" t="str">
        <f t="shared" si="5"/>
        <v/>
      </c>
      <c r="FM17" s="50" t="str">
        <f t="shared" si="5"/>
        <v/>
      </c>
      <c r="FN17" s="50" t="str">
        <f t="shared" si="5"/>
        <v/>
      </c>
      <c r="FO17" s="50" t="str">
        <f t="shared" si="5"/>
        <v/>
      </c>
      <c r="FP17" s="50" t="str">
        <f t="shared" si="5"/>
        <v/>
      </c>
      <c r="FQ17" s="50" t="str">
        <f t="shared" si="5"/>
        <v/>
      </c>
      <c r="FR17" s="50" t="str">
        <f t="shared" si="5"/>
        <v/>
      </c>
      <c r="FS17" s="50" t="str">
        <f t="shared" si="5"/>
        <v/>
      </c>
      <c r="FT17" s="50" t="str">
        <f t="shared" si="5"/>
        <v/>
      </c>
      <c r="FU17" s="50" t="str">
        <f t="shared" si="5"/>
        <v/>
      </c>
      <c r="FV17" s="50" t="str">
        <f t="shared" si="5"/>
        <v/>
      </c>
      <c r="FW17" s="50" t="str">
        <f t="shared" si="5"/>
        <v/>
      </c>
      <c r="FX17" s="50" t="str">
        <f t="shared" si="5"/>
        <v/>
      </c>
      <c r="FY17" s="50" t="str">
        <f t="shared" si="5"/>
        <v/>
      </c>
      <c r="FZ17" s="50" t="str">
        <f t="shared" si="5"/>
        <v/>
      </c>
      <c r="GA17" s="50" t="str">
        <f t="shared" si="5"/>
        <v/>
      </c>
      <c r="GB17" s="50" t="str">
        <f t="shared" si="5"/>
        <v/>
      </c>
      <c r="GC17" s="50" t="str">
        <f t="shared" si="5"/>
        <v/>
      </c>
      <c r="GD17" s="50" t="str">
        <f t="shared" si="5"/>
        <v/>
      </c>
      <c r="GE17" s="50" t="str">
        <f t="shared" si="5"/>
        <v/>
      </c>
      <c r="GF17" s="50" t="str">
        <f t="shared" si="5"/>
        <v/>
      </c>
      <c r="GG17" s="50" t="str">
        <f t="shared" si="5"/>
        <v/>
      </c>
      <c r="GH17" s="50" t="str">
        <f t="shared" ref="GH17" si="9">IF($B17=GH$12,$O17,"")</f>
        <v/>
      </c>
      <c r="GI17" s="50" t="str">
        <f t="shared" si="6"/>
        <v/>
      </c>
      <c r="GJ17" s="50" t="str">
        <f t="shared" si="6"/>
        <v/>
      </c>
      <c r="GK17" s="50" t="str">
        <f t="shared" si="6"/>
        <v/>
      </c>
      <c r="GL17" s="50" t="str">
        <f t="shared" si="6"/>
        <v/>
      </c>
      <c r="GM17" s="50" t="str">
        <f t="shared" si="6"/>
        <v/>
      </c>
      <c r="GN17" s="50" t="str">
        <f t="shared" si="6"/>
        <v/>
      </c>
      <c r="GO17" s="50" t="str">
        <f t="shared" si="6"/>
        <v/>
      </c>
      <c r="GP17" s="50" t="str">
        <f t="shared" si="6"/>
        <v/>
      </c>
      <c r="GQ17" s="50" t="str">
        <f t="shared" si="6"/>
        <v/>
      </c>
      <c r="GR17" s="50" t="str">
        <f t="shared" si="6"/>
        <v/>
      </c>
      <c r="GS17" s="50" t="str">
        <f t="shared" si="6"/>
        <v/>
      </c>
      <c r="GT17" s="50" t="str">
        <f t="shared" si="6"/>
        <v/>
      </c>
      <c r="GU17" s="50" t="str">
        <f t="shared" si="6"/>
        <v/>
      </c>
      <c r="GV17" s="50" t="str">
        <f t="shared" si="6"/>
        <v/>
      </c>
      <c r="GW17" s="50" t="str">
        <f t="shared" si="6"/>
        <v/>
      </c>
      <c r="GX17" s="50" t="str">
        <f t="shared" si="6"/>
        <v/>
      </c>
      <c r="GY17" s="50" t="str">
        <f t="shared" si="6"/>
        <v/>
      </c>
      <c r="GZ17" s="50" t="str">
        <f t="shared" si="6"/>
        <v/>
      </c>
      <c r="HA17" s="50" t="str">
        <f t="shared" si="6"/>
        <v/>
      </c>
      <c r="HB17" s="50" t="str">
        <f t="shared" si="6"/>
        <v/>
      </c>
      <c r="HC17" s="50" t="str">
        <f t="shared" si="6"/>
        <v/>
      </c>
      <c r="HD17" s="50" t="str">
        <f t="shared" si="6"/>
        <v/>
      </c>
      <c r="HE17" s="50" t="str">
        <f t="shared" si="6"/>
        <v/>
      </c>
      <c r="HF17" s="50" t="str">
        <f t="shared" si="6"/>
        <v/>
      </c>
      <c r="HG17" s="50" t="str">
        <f t="shared" si="6"/>
        <v/>
      </c>
      <c r="HH17" s="50" t="str">
        <f t="shared" si="6"/>
        <v/>
      </c>
      <c r="HI17" s="50" t="str">
        <f t="shared" si="6"/>
        <v/>
      </c>
      <c r="HJ17" s="50" t="str">
        <f t="shared" si="6"/>
        <v/>
      </c>
      <c r="HK17" s="50" t="str">
        <f t="shared" si="6"/>
        <v/>
      </c>
      <c r="HL17" s="50" t="str">
        <f t="shared" si="6"/>
        <v/>
      </c>
      <c r="HM17" s="50" t="str">
        <f t="shared" si="6"/>
        <v/>
      </c>
      <c r="HN17" s="50" t="str">
        <f t="shared" si="6"/>
        <v/>
      </c>
      <c r="HO17" s="50" t="str">
        <f t="shared" si="6"/>
        <v/>
      </c>
      <c r="HP17" s="50" t="str">
        <f t="shared" si="6"/>
        <v/>
      </c>
      <c r="HQ17" s="50" t="str">
        <f t="shared" si="6"/>
        <v/>
      </c>
      <c r="HR17" s="112" t="str">
        <f t="shared" si="6"/>
        <v/>
      </c>
    </row>
    <row r="18" spans="1:226" ht="11.1" customHeight="1" x14ac:dyDescent="0.25">
      <c r="A18" s="26"/>
      <c r="B18" s="144"/>
      <c r="C18" s="28" t="str">
        <f>IF(A18=0,"",VLOOKUP(A18,[2]CO!$A$3:$F$5327,2,0))</f>
        <v/>
      </c>
      <c r="D18" s="148"/>
      <c r="E18" s="29"/>
      <c r="F18" s="29"/>
      <c r="G18" s="30" t="str">
        <f>IF(A18=0,"",VLOOKUP(A18,[2]CO!$A$3:$F$5327,3,0))</f>
        <v/>
      </c>
      <c r="H18" s="142"/>
      <c r="I18" s="143"/>
      <c r="J18" s="143"/>
      <c r="K18" s="143"/>
      <c r="L18" s="143"/>
      <c r="M18" s="32" t="str">
        <f t="shared" si="0"/>
        <v/>
      </c>
      <c r="N18" s="32" t="str">
        <f>IF(B18=0,"",IF(H18="M",HLOOKUP(B18,$Y$12:$DT$13,2),IF(A18=0,"",VLOOKUP(A18,[2]CO!$A$3:$F$5327,4,0))))</f>
        <v/>
      </c>
      <c r="O18" s="32" t="str">
        <f t="shared" si="7"/>
        <v/>
      </c>
      <c r="P18" s="33"/>
      <c r="Q18" s="34" t="str">
        <f t="shared" si="1"/>
        <v/>
      </c>
      <c r="R18" s="35" t="str">
        <f>IF(S18=0,"",IF(OR(G18="PEON",G18="OF",G18="JARD",G18="CARP",G18="MAESTRO",G18="SOLD",G18="BGRO",G18="CHOFER",G18="AYTE",G18="S.INTTE.",G18="ASEO",G18="P.PISOS",G18="VELADOR",G18="RESID",G18="PINTOR",G18="ELECT",G18="AZULE",G18="AUX CONT.",G18="SECRETARIA",G18="AUXILIAR ADMTVO.",G18="ARQUITECTO",G18="DIBUJANTE",G18="AUX. DE RESIDENTE"),VLOOKUP(B18,P$14:Q$55,2),"")*S18)</f>
        <v/>
      </c>
      <c r="S18" s="127"/>
      <c r="T18" s="53" t="str">
        <f>IF(A18=0,"",VLOOKUP(A18,[2]CO!$A$3:$F$5318,5,0))</f>
        <v/>
      </c>
      <c r="U18" s="54">
        <f t="shared" si="2"/>
        <v>0</v>
      </c>
      <c r="V18" s="24"/>
      <c r="W18" s="25"/>
      <c r="X18" s="25"/>
      <c r="Y18" s="64" t="str">
        <f t="shared" ref="Y18:CJ21" si="10">IF($B18=Y$12,$U18,"")</f>
        <v/>
      </c>
      <c r="Z18" s="55" t="str">
        <f t="shared" si="10"/>
        <v/>
      </c>
      <c r="AA18" s="55" t="str">
        <f t="shared" si="10"/>
        <v/>
      </c>
      <c r="AB18" s="55" t="str">
        <f t="shared" si="10"/>
        <v/>
      </c>
      <c r="AC18" s="55" t="str">
        <f t="shared" si="10"/>
        <v/>
      </c>
      <c r="AD18" s="55" t="str">
        <f t="shared" si="10"/>
        <v/>
      </c>
      <c r="AE18" s="55" t="str">
        <f t="shared" si="10"/>
        <v/>
      </c>
      <c r="AF18" s="55" t="str">
        <f t="shared" si="10"/>
        <v/>
      </c>
      <c r="AG18" s="55" t="str">
        <f t="shared" si="10"/>
        <v/>
      </c>
      <c r="AH18" s="55" t="str">
        <f t="shared" si="10"/>
        <v/>
      </c>
      <c r="AI18" s="55" t="str">
        <f t="shared" si="10"/>
        <v/>
      </c>
      <c r="AJ18" s="55" t="str">
        <f t="shared" si="10"/>
        <v/>
      </c>
      <c r="AK18" s="55" t="str">
        <f t="shared" si="10"/>
        <v/>
      </c>
      <c r="AL18" s="55" t="str">
        <f t="shared" si="10"/>
        <v/>
      </c>
      <c r="AM18" s="55" t="str">
        <f t="shared" si="10"/>
        <v/>
      </c>
      <c r="AN18" s="55" t="str">
        <f t="shared" si="10"/>
        <v/>
      </c>
      <c r="AO18" s="55" t="str">
        <f t="shared" si="10"/>
        <v/>
      </c>
      <c r="AP18" s="55" t="str">
        <f t="shared" si="10"/>
        <v/>
      </c>
      <c r="AQ18" s="55" t="str">
        <f t="shared" si="10"/>
        <v/>
      </c>
      <c r="AR18" s="55" t="str">
        <f t="shared" si="10"/>
        <v/>
      </c>
      <c r="AS18" s="55" t="str">
        <f t="shared" si="10"/>
        <v/>
      </c>
      <c r="AT18" s="55" t="str">
        <f t="shared" si="10"/>
        <v/>
      </c>
      <c r="AU18" s="55" t="str">
        <f t="shared" si="10"/>
        <v/>
      </c>
      <c r="AV18" s="55" t="str">
        <f t="shared" si="10"/>
        <v/>
      </c>
      <c r="AW18" s="55" t="str">
        <f t="shared" si="10"/>
        <v/>
      </c>
      <c r="AX18" s="55" t="str">
        <f t="shared" si="10"/>
        <v/>
      </c>
      <c r="AY18" s="55" t="str">
        <f t="shared" si="10"/>
        <v/>
      </c>
      <c r="AZ18" s="55" t="str">
        <f t="shared" si="10"/>
        <v/>
      </c>
      <c r="BA18" s="55" t="str">
        <f t="shared" si="10"/>
        <v/>
      </c>
      <c r="BB18" s="55" t="str">
        <f t="shared" si="10"/>
        <v/>
      </c>
      <c r="BC18" s="55" t="str">
        <f t="shared" si="10"/>
        <v/>
      </c>
      <c r="BD18" s="55" t="str">
        <f t="shared" si="10"/>
        <v/>
      </c>
      <c r="BE18" s="55" t="str">
        <f t="shared" si="10"/>
        <v/>
      </c>
      <c r="BF18" s="55" t="str">
        <f t="shared" si="10"/>
        <v/>
      </c>
      <c r="BG18" s="55" t="str">
        <f t="shared" si="10"/>
        <v/>
      </c>
      <c r="BH18" s="55" t="str">
        <f t="shared" si="10"/>
        <v/>
      </c>
      <c r="BI18" s="55" t="str">
        <f t="shared" si="10"/>
        <v/>
      </c>
      <c r="BJ18" s="55" t="str">
        <f t="shared" si="10"/>
        <v/>
      </c>
      <c r="BK18" s="55" t="str">
        <f t="shared" si="10"/>
        <v/>
      </c>
      <c r="BL18" s="55" t="str">
        <f t="shared" si="10"/>
        <v/>
      </c>
      <c r="BM18" s="55" t="str">
        <f t="shared" si="10"/>
        <v/>
      </c>
      <c r="BN18" s="55" t="str">
        <f t="shared" si="10"/>
        <v/>
      </c>
      <c r="BO18" s="55" t="str">
        <f t="shared" si="10"/>
        <v/>
      </c>
      <c r="BP18" s="55" t="str">
        <f t="shared" si="10"/>
        <v/>
      </c>
      <c r="BQ18" s="55" t="str">
        <f t="shared" si="10"/>
        <v/>
      </c>
      <c r="BR18" s="55" t="str">
        <f t="shared" si="10"/>
        <v/>
      </c>
      <c r="BS18" s="55" t="str">
        <f t="shared" si="10"/>
        <v/>
      </c>
      <c r="BT18" s="55" t="str">
        <f t="shared" si="10"/>
        <v/>
      </c>
      <c r="BU18" s="55" t="str">
        <f t="shared" si="10"/>
        <v/>
      </c>
      <c r="BV18" s="55" t="str">
        <f t="shared" si="10"/>
        <v/>
      </c>
      <c r="BW18" s="55" t="str">
        <f t="shared" si="10"/>
        <v/>
      </c>
      <c r="BX18" s="55" t="str">
        <f t="shared" si="10"/>
        <v/>
      </c>
      <c r="BY18" s="55" t="str">
        <f t="shared" si="10"/>
        <v/>
      </c>
      <c r="BZ18" s="55" t="str">
        <f t="shared" si="10"/>
        <v/>
      </c>
      <c r="CA18" s="55" t="str">
        <f t="shared" si="10"/>
        <v/>
      </c>
      <c r="CB18" s="55" t="str">
        <f t="shared" si="10"/>
        <v/>
      </c>
      <c r="CC18" s="55" t="str">
        <f t="shared" si="10"/>
        <v/>
      </c>
      <c r="CD18" s="55" t="str">
        <f t="shared" si="10"/>
        <v/>
      </c>
      <c r="CE18" s="55" t="str">
        <f t="shared" si="10"/>
        <v/>
      </c>
      <c r="CF18" s="55" t="str">
        <f t="shared" si="10"/>
        <v/>
      </c>
      <c r="CG18" s="55" t="str">
        <f t="shared" si="10"/>
        <v/>
      </c>
      <c r="CH18" s="55" t="str">
        <f t="shared" si="10"/>
        <v/>
      </c>
      <c r="CI18" s="55" t="str">
        <f t="shared" si="10"/>
        <v/>
      </c>
      <c r="CJ18" s="55" t="str">
        <f t="shared" si="10"/>
        <v/>
      </c>
      <c r="CK18" s="55" t="str">
        <f t="shared" si="4"/>
        <v/>
      </c>
      <c r="CL18" s="55" t="str">
        <f t="shared" si="4"/>
        <v/>
      </c>
      <c r="CM18" s="55" t="str">
        <f t="shared" si="4"/>
        <v/>
      </c>
      <c r="CN18" s="55" t="str">
        <f t="shared" si="4"/>
        <v/>
      </c>
      <c r="CO18" s="55" t="str">
        <f t="shared" si="4"/>
        <v/>
      </c>
      <c r="CP18" s="55" t="str">
        <f t="shared" si="4"/>
        <v/>
      </c>
      <c r="CQ18" s="55" t="str">
        <f t="shared" si="4"/>
        <v/>
      </c>
      <c r="CR18" s="55" t="str">
        <f t="shared" si="4"/>
        <v/>
      </c>
      <c r="CS18" s="55" t="str">
        <f t="shared" si="4"/>
        <v/>
      </c>
      <c r="CT18" s="55" t="str">
        <f t="shared" si="4"/>
        <v/>
      </c>
      <c r="CU18" s="55" t="str">
        <f t="shared" si="4"/>
        <v/>
      </c>
      <c r="CV18" s="55" t="str">
        <f t="shared" si="4"/>
        <v/>
      </c>
      <c r="CW18" s="55" t="str">
        <f t="shared" si="4"/>
        <v/>
      </c>
      <c r="CX18" s="55" t="str">
        <f t="shared" si="4"/>
        <v/>
      </c>
      <c r="CY18" s="55" t="str">
        <f t="shared" si="4"/>
        <v/>
      </c>
      <c r="CZ18" s="55" t="str">
        <f t="shared" si="4"/>
        <v/>
      </c>
      <c r="DA18" s="55" t="str">
        <f t="shared" si="4"/>
        <v/>
      </c>
      <c r="DB18" s="55" t="str">
        <f t="shared" si="4"/>
        <v/>
      </c>
      <c r="DC18" s="55" t="str">
        <f t="shared" si="4"/>
        <v/>
      </c>
      <c r="DD18" s="55" t="str">
        <f t="shared" si="4"/>
        <v/>
      </c>
      <c r="DE18" s="55" t="str">
        <f t="shared" si="4"/>
        <v/>
      </c>
      <c r="DF18" s="55" t="str">
        <f t="shared" si="4"/>
        <v/>
      </c>
      <c r="DG18" s="55" t="str">
        <f t="shared" si="4"/>
        <v/>
      </c>
      <c r="DH18" s="55" t="str">
        <f t="shared" si="4"/>
        <v/>
      </c>
      <c r="DI18" s="55" t="str">
        <f t="shared" si="4"/>
        <v/>
      </c>
      <c r="DJ18" s="55" t="str">
        <f t="shared" si="4"/>
        <v/>
      </c>
      <c r="DK18" s="55" t="str">
        <f t="shared" si="4"/>
        <v/>
      </c>
      <c r="DL18" s="55" t="str">
        <f t="shared" si="4"/>
        <v/>
      </c>
      <c r="DM18" s="55" t="str">
        <f t="shared" si="4"/>
        <v/>
      </c>
      <c r="DN18" s="55" t="str">
        <f t="shared" si="4"/>
        <v/>
      </c>
      <c r="DO18" s="55" t="str">
        <f t="shared" si="4"/>
        <v/>
      </c>
      <c r="DP18" s="55" t="str">
        <f t="shared" si="4"/>
        <v/>
      </c>
      <c r="DQ18" s="55" t="str">
        <f t="shared" si="4"/>
        <v/>
      </c>
      <c r="DR18" s="55" t="str">
        <f t="shared" si="4"/>
        <v/>
      </c>
      <c r="DS18" s="55" t="str">
        <f t="shared" si="4"/>
        <v/>
      </c>
      <c r="DT18" s="106" t="str">
        <f t="shared" si="4"/>
        <v/>
      </c>
      <c r="DU18" s="54"/>
      <c r="DV18" s="25"/>
      <c r="DW18" s="61" t="str">
        <f t="shared" ref="DW18:GH21" si="11">IF($B18=DW$12,$O18,"")</f>
        <v/>
      </c>
      <c r="DX18" s="50" t="str">
        <f t="shared" si="11"/>
        <v/>
      </c>
      <c r="DY18" s="50" t="str">
        <f t="shared" si="11"/>
        <v/>
      </c>
      <c r="DZ18" s="50" t="str">
        <f t="shared" si="11"/>
        <v/>
      </c>
      <c r="EA18" s="50" t="str">
        <f t="shared" si="11"/>
        <v/>
      </c>
      <c r="EB18" s="50" t="str">
        <f t="shared" si="11"/>
        <v/>
      </c>
      <c r="EC18" s="50" t="str">
        <f t="shared" si="11"/>
        <v/>
      </c>
      <c r="ED18" s="50" t="str">
        <f t="shared" si="11"/>
        <v/>
      </c>
      <c r="EE18" s="50" t="str">
        <f t="shared" si="11"/>
        <v/>
      </c>
      <c r="EF18" s="50" t="str">
        <f t="shared" si="11"/>
        <v/>
      </c>
      <c r="EG18" s="50" t="str">
        <f t="shared" si="11"/>
        <v/>
      </c>
      <c r="EH18" s="50" t="str">
        <f t="shared" si="11"/>
        <v/>
      </c>
      <c r="EI18" s="50" t="str">
        <f t="shared" si="11"/>
        <v/>
      </c>
      <c r="EJ18" s="50" t="str">
        <f t="shared" si="11"/>
        <v/>
      </c>
      <c r="EK18" s="50" t="str">
        <f t="shared" si="11"/>
        <v/>
      </c>
      <c r="EL18" s="50" t="str">
        <f t="shared" si="11"/>
        <v/>
      </c>
      <c r="EM18" s="50" t="str">
        <f t="shared" si="11"/>
        <v/>
      </c>
      <c r="EN18" s="50" t="str">
        <f t="shared" si="11"/>
        <v/>
      </c>
      <c r="EO18" s="50" t="str">
        <f t="shared" si="11"/>
        <v/>
      </c>
      <c r="EP18" s="50" t="str">
        <f t="shared" si="11"/>
        <v/>
      </c>
      <c r="EQ18" s="50" t="str">
        <f t="shared" si="11"/>
        <v/>
      </c>
      <c r="ER18" s="50" t="str">
        <f t="shared" si="11"/>
        <v/>
      </c>
      <c r="ES18" s="50" t="str">
        <f t="shared" si="11"/>
        <v/>
      </c>
      <c r="ET18" s="50" t="str">
        <f t="shared" si="11"/>
        <v/>
      </c>
      <c r="EU18" s="50" t="str">
        <f t="shared" si="11"/>
        <v/>
      </c>
      <c r="EV18" s="50" t="str">
        <f t="shared" si="11"/>
        <v/>
      </c>
      <c r="EW18" s="50" t="str">
        <f t="shared" si="11"/>
        <v/>
      </c>
      <c r="EX18" s="50" t="str">
        <f t="shared" si="11"/>
        <v/>
      </c>
      <c r="EY18" s="50" t="str">
        <f t="shared" si="11"/>
        <v/>
      </c>
      <c r="EZ18" s="50" t="str">
        <f t="shared" si="11"/>
        <v/>
      </c>
      <c r="FA18" s="50" t="str">
        <f t="shared" si="11"/>
        <v/>
      </c>
      <c r="FB18" s="50" t="str">
        <f t="shared" si="11"/>
        <v/>
      </c>
      <c r="FC18" s="50" t="str">
        <f t="shared" si="11"/>
        <v/>
      </c>
      <c r="FD18" s="50" t="str">
        <f t="shared" si="11"/>
        <v/>
      </c>
      <c r="FE18" s="50" t="str">
        <f t="shared" si="11"/>
        <v/>
      </c>
      <c r="FF18" s="50" t="str">
        <f t="shared" si="11"/>
        <v/>
      </c>
      <c r="FG18" s="50" t="str">
        <f t="shared" si="11"/>
        <v/>
      </c>
      <c r="FH18" s="50" t="str">
        <f t="shared" si="11"/>
        <v/>
      </c>
      <c r="FI18" s="50" t="str">
        <f t="shared" si="11"/>
        <v/>
      </c>
      <c r="FJ18" s="50" t="str">
        <f t="shared" si="11"/>
        <v/>
      </c>
      <c r="FK18" s="50" t="str">
        <f t="shared" si="11"/>
        <v/>
      </c>
      <c r="FL18" s="50" t="str">
        <f t="shared" si="11"/>
        <v/>
      </c>
      <c r="FM18" s="50" t="str">
        <f t="shared" si="11"/>
        <v/>
      </c>
      <c r="FN18" s="50" t="str">
        <f t="shared" si="11"/>
        <v/>
      </c>
      <c r="FO18" s="50" t="str">
        <f t="shared" si="11"/>
        <v/>
      </c>
      <c r="FP18" s="50" t="str">
        <f t="shared" si="11"/>
        <v/>
      </c>
      <c r="FQ18" s="50" t="str">
        <f t="shared" si="11"/>
        <v/>
      </c>
      <c r="FR18" s="50" t="str">
        <f t="shared" si="11"/>
        <v/>
      </c>
      <c r="FS18" s="50" t="str">
        <f t="shared" si="11"/>
        <v/>
      </c>
      <c r="FT18" s="50" t="str">
        <f t="shared" si="11"/>
        <v/>
      </c>
      <c r="FU18" s="50" t="str">
        <f t="shared" si="11"/>
        <v/>
      </c>
      <c r="FV18" s="50" t="str">
        <f t="shared" si="11"/>
        <v/>
      </c>
      <c r="FW18" s="50" t="str">
        <f t="shared" si="11"/>
        <v/>
      </c>
      <c r="FX18" s="50" t="str">
        <f t="shared" si="11"/>
        <v/>
      </c>
      <c r="FY18" s="50" t="str">
        <f t="shared" si="11"/>
        <v/>
      </c>
      <c r="FZ18" s="50" t="str">
        <f t="shared" si="11"/>
        <v/>
      </c>
      <c r="GA18" s="50" t="str">
        <f t="shared" si="11"/>
        <v/>
      </c>
      <c r="GB18" s="50" t="str">
        <f t="shared" si="11"/>
        <v/>
      </c>
      <c r="GC18" s="50" t="str">
        <f t="shared" si="11"/>
        <v/>
      </c>
      <c r="GD18" s="50" t="str">
        <f t="shared" si="11"/>
        <v/>
      </c>
      <c r="GE18" s="50" t="str">
        <f t="shared" si="11"/>
        <v/>
      </c>
      <c r="GF18" s="50" t="str">
        <f t="shared" si="11"/>
        <v/>
      </c>
      <c r="GG18" s="50" t="str">
        <f t="shared" si="11"/>
        <v/>
      </c>
      <c r="GH18" s="50" t="str">
        <f t="shared" si="11"/>
        <v/>
      </c>
      <c r="GI18" s="50" t="str">
        <f t="shared" si="6"/>
        <v/>
      </c>
      <c r="GJ18" s="50" t="str">
        <f t="shared" si="6"/>
        <v/>
      </c>
      <c r="GK18" s="50" t="str">
        <f t="shared" si="6"/>
        <v/>
      </c>
      <c r="GL18" s="50" t="str">
        <f t="shared" si="6"/>
        <v/>
      </c>
      <c r="GM18" s="50" t="str">
        <f t="shared" si="6"/>
        <v/>
      </c>
      <c r="GN18" s="50" t="str">
        <f t="shared" si="6"/>
        <v/>
      </c>
      <c r="GO18" s="50" t="str">
        <f t="shared" si="6"/>
        <v/>
      </c>
      <c r="GP18" s="50" t="str">
        <f t="shared" si="6"/>
        <v/>
      </c>
      <c r="GQ18" s="50" t="str">
        <f t="shared" si="6"/>
        <v/>
      </c>
      <c r="GR18" s="50" t="str">
        <f t="shared" si="6"/>
        <v/>
      </c>
      <c r="GS18" s="50" t="str">
        <f t="shared" si="6"/>
        <v/>
      </c>
      <c r="GT18" s="50" t="str">
        <f t="shared" si="6"/>
        <v/>
      </c>
      <c r="GU18" s="50" t="str">
        <f t="shared" si="6"/>
        <v/>
      </c>
      <c r="GV18" s="50" t="str">
        <f t="shared" si="6"/>
        <v/>
      </c>
      <c r="GW18" s="50" t="str">
        <f t="shared" si="6"/>
        <v/>
      </c>
      <c r="GX18" s="50" t="str">
        <f t="shared" si="6"/>
        <v/>
      </c>
      <c r="GY18" s="50" t="str">
        <f t="shared" si="6"/>
        <v/>
      </c>
      <c r="GZ18" s="50" t="str">
        <f t="shared" si="6"/>
        <v/>
      </c>
      <c r="HA18" s="50" t="str">
        <f t="shared" si="6"/>
        <v/>
      </c>
      <c r="HB18" s="50" t="str">
        <f t="shared" si="6"/>
        <v/>
      </c>
      <c r="HC18" s="50" t="str">
        <f t="shared" si="6"/>
        <v/>
      </c>
      <c r="HD18" s="50" t="str">
        <f t="shared" si="6"/>
        <v/>
      </c>
      <c r="HE18" s="50" t="str">
        <f t="shared" si="6"/>
        <v/>
      </c>
      <c r="HF18" s="50" t="str">
        <f t="shared" si="6"/>
        <v/>
      </c>
      <c r="HG18" s="50" t="str">
        <f t="shared" si="6"/>
        <v/>
      </c>
      <c r="HH18" s="50" t="str">
        <f t="shared" si="6"/>
        <v/>
      </c>
      <c r="HI18" s="50" t="str">
        <f t="shared" si="6"/>
        <v/>
      </c>
      <c r="HJ18" s="50" t="str">
        <f t="shared" si="6"/>
        <v/>
      </c>
      <c r="HK18" s="50" t="str">
        <f t="shared" si="6"/>
        <v/>
      </c>
      <c r="HL18" s="50" t="str">
        <f t="shared" si="6"/>
        <v/>
      </c>
      <c r="HM18" s="50" t="str">
        <f t="shared" si="6"/>
        <v/>
      </c>
      <c r="HN18" s="50" t="str">
        <f t="shared" si="6"/>
        <v/>
      </c>
      <c r="HO18" s="50" t="str">
        <f t="shared" si="6"/>
        <v/>
      </c>
      <c r="HP18" s="50" t="str">
        <f t="shared" si="6"/>
        <v/>
      </c>
      <c r="HQ18" s="50" t="str">
        <f t="shared" si="6"/>
        <v/>
      </c>
      <c r="HR18" s="112" t="str">
        <f t="shared" si="6"/>
        <v/>
      </c>
    </row>
    <row r="19" spans="1:226" ht="11.1" customHeight="1" x14ac:dyDescent="0.25">
      <c r="A19" s="26">
        <v>4220</v>
      </c>
      <c r="B19" s="144">
        <v>2</v>
      </c>
      <c r="C19" s="28" t="str">
        <f>IF(A19=0,"",VLOOKUP(A19,[2]CO!$A$3:$F$5327,2,0))</f>
        <v>CORTES CAMPOS ROBERTO</v>
      </c>
      <c r="D19" s="148"/>
      <c r="E19" s="29"/>
      <c r="F19" s="29"/>
      <c r="G19" s="30" t="str">
        <f>IF(A19=0,"",VLOOKUP(A19,[2]CO!$A$3:$F$5327,3,0))</f>
        <v>OF</v>
      </c>
      <c r="H19" s="142"/>
      <c r="I19" s="143"/>
      <c r="J19" s="143"/>
      <c r="K19" s="143"/>
      <c r="L19" s="143">
        <v>7</v>
      </c>
      <c r="M19" s="32">
        <f t="shared" si="0"/>
        <v>7</v>
      </c>
      <c r="N19" s="32">
        <f>IF(B19=0,"",IF(H19="M",HLOOKUP(B19,$Y$12:$DT$13,2),IF(A19=0,"",VLOOKUP(A19,[2]CO!$A$3:$F$5327,4,0))))</f>
        <v>638.79999999999995</v>
      </c>
      <c r="O19" s="32">
        <f t="shared" si="7"/>
        <v>4471.5999999999995</v>
      </c>
      <c r="P19" s="33">
        <v>2</v>
      </c>
      <c r="Q19" s="34">
        <f t="shared" si="1"/>
        <v>4471.5999999999995</v>
      </c>
      <c r="R19" s="35">
        <f>IF(S19=0,"",IF(OR(G19="PEON",G19="OF",G19="JARD",G19="CARP",G19="MAESTRO",G19="SOLD",G19="BGRO",G19="CHOFER",G19="AYTE",G19="S.INTTE.",G19="ASEO",G19="P.PISOS",G19="VELADOR",G19="RESID",G19="PINTOR",G19="ELECT",G19="AZULE",G19="AUX CONT.",G19="SECRETARIA",G19="AUXILIAR ADMTVO.",G19="ARQUITECTO",G19="DIBUJANTE",G19="AUX. DE RESIDENTE"),VLOOKUP(B19,P$14:Q$55,2),"")*S19)</f>
        <v>4471.5999999999995</v>
      </c>
      <c r="S19" s="118">
        <v>1</v>
      </c>
      <c r="T19" s="53">
        <f>IF(A19=0,"",VLOOKUP(A19,[2]CO!$A$3:$F$5318,5,0))</f>
        <v>0</v>
      </c>
      <c r="U19" s="54">
        <f t="shared" si="2"/>
        <v>0</v>
      </c>
      <c r="V19" s="24"/>
      <c r="W19" s="25"/>
      <c r="X19" s="25"/>
      <c r="Y19" s="64" t="str">
        <f t="shared" si="10"/>
        <v/>
      </c>
      <c r="Z19" s="55">
        <f t="shared" si="10"/>
        <v>0</v>
      </c>
      <c r="AA19" s="55" t="str">
        <f t="shared" si="10"/>
        <v/>
      </c>
      <c r="AB19" s="55" t="str">
        <f t="shared" si="10"/>
        <v/>
      </c>
      <c r="AC19" s="55" t="str">
        <f t="shared" si="10"/>
        <v/>
      </c>
      <c r="AD19" s="55" t="str">
        <f t="shared" si="10"/>
        <v/>
      </c>
      <c r="AE19" s="55" t="str">
        <f t="shared" si="10"/>
        <v/>
      </c>
      <c r="AF19" s="55" t="str">
        <f t="shared" si="10"/>
        <v/>
      </c>
      <c r="AG19" s="55" t="str">
        <f t="shared" si="10"/>
        <v/>
      </c>
      <c r="AH19" s="55" t="str">
        <f t="shared" si="10"/>
        <v/>
      </c>
      <c r="AI19" s="55" t="str">
        <f t="shared" si="10"/>
        <v/>
      </c>
      <c r="AJ19" s="55" t="str">
        <f t="shared" si="10"/>
        <v/>
      </c>
      <c r="AK19" s="55" t="str">
        <f t="shared" si="10"/>
        <v/>
      </c>
      <c r="AL19" s="55" t="str">
        <f t="shared" si="10"/>
        <v/>
      </c>
      <c r="AM19" s="55" t="str">
        <f t="shared" si="10"/>
        <v/>
      </c>
      <c r="AN19" s="55" t="str">
        <f t="shared" si="10"/>
        <v/>
      </c>
      <c r="AO19" s="55" t="str">
        <f t="shared" si="10"/>
        <v/>
      </c>
      <c r="AP19" s="55" t="str">
        <f t="shared" si="10"/>
        <v/>
      </c>
      <c r="AQ19" s="55" t="str">
        <f t="shared" si="10"/>
        <v/>
      </c>
      <c r="AR19" s="55" t="str">
        <f t="shared" si="10"/>
        <v/>
      </c>
      <c r="AS19" s="55" t="str">
        <f t="shared" si="10"/>
        <v/>
      </c>
      <c r="AT19" s="55" t="str">
        <f t="shared" si="10"/>
        <v/>
      </c>
      <c r="AU19" s="55" t="str">
        <f t="shared" si="10"/>
        <v/>
      </c>
      <c r="AV19" s="55" t="str">
        <f t="shared" si="10"/>
        <v/>
      </c>
      <c r="AW19" s="55" t="str">
        <f t="shared" si="10"/>
        <v/>
      </c>
      <c r="AX19" s="55" t="str">
        <f t="shared" si="10"/>
        <v/>
      </c>
      <c r="AY19" s="55" t="str">
        <f t="shared" si="10"/>
        <v/>
      </c>
      <c r="AZ19" s="55" t="str">
        <f t="shared" si="10"/>
        <v/>
      </c>
      <c r="BA19" s="55" t="str">
        <f t="shared" si="10"/>
        <v/>
      </c>
      <c r="BB19" s="55" t="str">
        <f t="shared" si="10"/>
        <v/>
      </c>
      <c r="BC19" s="55" t="str">
        <f t="shared" si="10"/>
        <v/>
      </c>
      <c r="BD19" s="55" t="str">
        <f t="shared" si="10"/>
        <v/>
      </c>
      <c r="BE19" s="55" t="str">
        <f t="shared" si="10"/>
        <v/>
      </c>
      <c r="BF19" s="55" t="str">
        <f t="shared" si="10"/>
        <v/>
      </c>
      <c r="BG19" s="55" t="str">
        <f t="shared" si="10"/>
        <v/>
      </c>
      <c r="BH19" s="55" t="str">
        <f t="shared" si="10"/>
        <v/>
      </c>
      <c r="BI19" s="55" t="str">
        <f t="shared" si="10"/>
        <v/>
      </c>
      <c r="BJ19" s="55" t="str">
        <f t="shared" si="10"/>
        <v/>
      </c>
      <c r="BK19" s="55" t="str">
        <f t="shared" si="10"/>
        <v/>
      </c>
      <c r="BL19" s="55" t="str">
        <f t="shared" si="10"/>
        <v/>
      </c>
      <c r="BM19" s="55" t="str">
        <f t="shared" si="10"/>
        <v/>
      </c>
      <c r="BN19" s="55" t="str">
        <f t="shared" si="10"/>
        <v/>
      </c>
      <c r="BO19" s="55" t="str">
        <f t="shared" si="10"/>
        <v/>
      </c>
      <c r="BP19" s="55" t="str">
        <f t="shared" si="10"/>
        <v/>
      </c>
      <c r="BQ19" s="55" t="str">
        <f t="shared" si="10"/>
        <v/>
      </c>
      <c r="BR19" s="55" t="str">
        <f t="shared" si="10"/>
        <v/>
      </c>
      <c r="BS19" s="55" t="str">
        <f t="shared" si="10"/>
        <v/>
      </c>
      <c r="BT19" s="55" t="str">
        <f t="shared" si="10"/>
        <v/>
      </c>
      <c r="BU19" s="55" t="str">
        <f t="shared" si="10"/>
        <v/>
      </c>
      <c r="BV19" s="55" t="str">
        <f t="shared" si="10"/>
        <v/>
      </c>
      <c r="BW19" s="55" t="str">
        <f t="shared" si="10"/>
        <v/>
      </c>
      <c r="BX19" s="55" t="str">
        <f t="shared" si="10"/>
        <v/>
      </c>
      <c r="BY19" s="55" t="str">
        <f t="shared" si="10"/>
        <v/>
      </c>
      <c r="BZ19" s="55" t="str">
        <f t="shared" si="10"/>
        <v/>
      </c>
      <c r="CA19" s="55" t="str">
        <f t="shared" si="10"/>
        <v/>
      </c>
      <c r="CB19" s="55" t="str">
        <f t="shared" si="10"/>
        <v/>
      </c>
      <c r="CC19" s="55" t="str">
        <f t="shared" si="10"/>
        <v/>
      </c>
      <c r="CD19" s="55" t="str">
        <f t="shared" si="10"/>
        <v/>
      </c>
      <c r="CE19" s="55" t="str">
        <f t="shared" si="10"/>
        <v/>
      </c>
      <c r="CF19" s="55" t="str">
        <f t="shared" si="10"/>
        <v/>
      </c>
      <c r="CG19" s="55" t="str">
        <f t="shared" si="10"/>
        <v/>
      </c>
      <c r="CH19" s="55" t="str">
        <f t="shared" si="10"/>
        <v/>
      </c>
      <c r="CI19" s="55" t="str">
        <f t="shared" si="10"/>
        <v/>
      </c>
      <c r="CJ19" s="55" t="str">
        <f t="shared" si="10"/>
        <v/>
      </c>
      <c r="CK19" s="55" t="str">
        <f t="shared" si="4"/>
        <v/>
      </c>
      <c r="CL19" s="55" t="str">
        <f t="shared" si="4"/>
        <v/>
      </c>
      <c r="CM19" s="55" t="str">
        <f t="shared" si="4"/>
        <v/>
      </c>
      <c r="CN19" s="55" t="str">
        <f t="shared" si="4"/>
        <v/>
      </c>
      <c r="CO19" s="55" t="str">
        <f t="shared" si="4"/>
        <v/>
      </c>
      <c r="CP19" s="55" t="str">
        <f t="shared" si="4"/>
        <v/>
      </c>
      <c r="CQ19" s="55" t="str">
        <f t="shared" si="4"/>
        <v/>
      </c>
      <c r="CR19" s="55" t="str">
        <f t="shared" si="4"/>
        <v/>
      </c>
      <c r="CS19" s="55" t="str">
        <f t="shared" si="4"/>
        <v/>
      </c>
      <c r="CT19" s="55" t="str">
        <f t="shared" si="4"/>
        <v/>
      </c>
      <c r="CU19" s="55" t="str">
        <f t="shared" si="4"/>
        <v/>
      </c>
      <c r="CV19" s="55" t="str">
        <f t="shared" si="4"/>
        <v/>
      </c>
      <c r="CW19" s="55" t="str">
        <f t="shared" si="4"/>
        <v/>
      </c>
      <c r="CX19" s="55" t="str">
        <f t="shared" si="4"/>
        <v/>
      </c>
      <c r="CY19" s="55" t="str">
        <f t="shared" si="4"/>
        <v/>
      </c>
      <c r="CZ19" s="55" t="str">
        <f t="shared" si="4"/>
        <v/>
      </c>
      <c r="DA19" s="55" t="str">
        <f t="shared" si="4"/>
        <v/>
      </c>
      <c r="DB19" s="55" t="str">
        <f t="shared" si="4"/>
        <v/>
      </c>
      <c r="DC19" s="55" t="str">
        <f t="shared" si="4"/>
        <v/>
      </c>
      <c r="DD19" s="55" t="str">
        <f t="shared" si="4"/>
        <v/>
      </c>
      <c r="DE19" s="55" t="str">
        <f t="shared" si="4"/>
        <v/>
      </c>
      <c r="DF19" s="55" t="str">
        <f t="shared" si="4"/>
        <v/>
      </c>
      <c r="DG19" s="55" t="str">
        <f t="shared" si="4"/>
        <v/>
      </c>
      <c r="DH19" s="55" t="str">
        <f t="shared" si="4"/>
        <v/>
      </c>
      <c r="DI19" s="55" t="str">
        <f t="shared" si="4"/>
        <v/>
      </c>
      <c r="DJ19" s="55" t="str">
        <f t="shared" si="4"/>
        <v/>
      </c>
      <c r="DK19" s="55" t="str">
        <f t="shared" si="4"/>
        <v/>
      </c>
      <c r="DL19" s="55" t="str">
        <f t="shared" si="4"/>
        <v/>
      </c>
      <c r="DM19" s="55" t="str">
        <f t="shared" si="4"/>
        <v/>
      </c>
      <c r="DN19" s="55" t="str">
        <f t="shared" si="4"/>
        <v/>
      </c>
      <c r="DO19" s="55" t="str">
        <f t="shared" si="4"/>
        <v/>
      </c>
      <c r="DP19" s="55" t="str">
        <f t="shared" si="4"/>
        <v/>
      </c>
      <c r="DQ19" s="55" t="str">
        <f t="shared" si="4"/>
        <v/>
      </c>
      <c r="DR19" s="55" t="str">
        <f t="shared" si="4"/>
        <v/>
      </c>
      <c r="DS19" s="55" t="str">
        <f t="shared" si="4"/>
        <v/>
      </c>
      <c r="DT19" s="106" t="str">
        <f t="shared" si="4"/>
        <v/>
      </c>
      <c r="DU19" s="54"/>
      <c r="DV19" s="25"/>
      <c r="DW19" s="61" t="str">
        <f t="shared" si="11"/>
        <v/>
      </c>
      <c r="DX19" s="50">
        <f t="shared" si="11"/>
        <v>4471.5999999999995</v>
      </c>
      <c r="DY19" s="50" t="str">
        <f t="shared" si="11"/>
        <v/>
      </c>
      <c r="DZ19" s="50" t="str">
        <f t="shared" si="11"/>
        <v/>
      </c>
      <c r="EA19" s="50" t="str">
        <f t="shared" si="11"/>
        <v/>
      </c>
      <c r="EB19" s="50" t="str">
        <f t="shared" si="11"/>
        <v/>
      </c>
      <c r="EC19" s="50" t="str">
        <f t="shared" si="11"/>
        <v/>
      </c>
      <c r="ED19" s="50" t="str">
        <f t="shared" si="11"/>
        <v/>
      </c>
      <c r="EE19" s="50" t="str">
        <f t="shared" si="11"/>
        <v/>
      </c>
      <c r="EF19" s="50" t="str">
        <f t="shared" si="11"/>
        <v/>
      </c>
      <c r="EG19" s="50" t="str">
        <f t="shared" si="11"/>
        <v/>
      </c>
      <c r="EH19" s="50" t="str">
        <f t="shared" si="11"/>
        <v/>
      </c>
      <c r="EI19" s="50" t="str">
        <f t="shared" si="11"/>
        <v/>
      </c>
      <c r="EJ19" s="50" t="str">
        <f t="shared" si="11"/>
        <v/>
      </c>
      <c r="EK19" s="50" t="str">
        <f t="shared" si="11"/>
        <v/>
      </c>
      <c r="EL19" s="50" t="str">
        <f t="shared" si="11"/>
        <v/>
      </c>
      <c r="EM19" s="50" t="str">
        <f t="shared" si="11"/>
        <v/>
      </c>
      <c r="EN19" s="50" t="str">
        <f t="shared" si="11"/>
        <v/>
      </c>
      <c r="EO19" s="50" t="str">
        <f t="shared" si="11"/>
        <v/>
      </c>
      <c r="EP19" s="50" t="str">
        <f t="shared" si="11"/>
        <v/>
      </c>
      <c r="EQ19" s="50" t="str">
        <f t="shared" si="11"/>
        <v/>
      </c>
      <c r="ER19" s="50" t="str">
        <f t="shared" si="11"/>
        <v/>
      </c>
      <c r="ES19" s="50" t="str">
        <f t="shared" si="11"/>
        <v/>
      </c>
      <c r="ET19" s="50" t="str">
        <f t="shared" si="11"/>
        <v/>
      </c>
      <c r="EU19" s="50" t="str">
        <f t="shared" si="11"/>
        <v/>
      </c>
      <c r="EV19" s="50" t="str">
        <f t="shared" si="11"/>
        <v/>
      </c>
      <c r="EW19" s="50" t="str">
        <f t="shared" si="11"/>
        <v/>
      </c>
      <c r="EX19" s="50" t="str">
        <f t="shared" si="11"/>
        <v/>
      </c>
      <c r="EY19" s="50" t="str">
        <f t="shared" si="11"/>
        <v/>
      </c>
      <c r="EZ19" s="50" t="str">
        <f t="shared" si="11"/>
        <v/>
      </c>
      <c r="FA19" s="50" t="str">
        <f t="shared" si="11"/>
        <v/>
      </c>
      <c r="FB19" s="50" t="str">
        <f t="shared" si="11"/>
        <v/>
      </c>
      <c r="FC19" s="50" t="str">
        <f t="shared" si="11"/>
        <v/>
      </c>
      <c r="FD19" s="50" t="str">
        <f t="shared" si="11"/>
        <v/>
      </c>
      <c r="FE19" s="50" t="str">
        <f t="shared" si="11"/>
        <v/>
      </c>
      <c r="FF19" s="50" t="str">
        <f t="shared" si="11"/>
        <v/>
      </c>
      <c r="FG19" s="50" t="str">
        <f t="shared" si="11"/>
        <v/>
      </c>
      <c r="FH19" s="50" t="str">
        <f t="shared" si="11"/>
        <v/>
      </c>
      <c r="FI19" s="50" t="str">
        <f t="shared" si="11"/>
        <v/>
      </c>
      <c r="FJ19" s="50" t="str">
        <f t="shared" si="11"/>
        <v/>
      </c>
      <c r="FK19" s="50" t="str">
        <f t="shared" si="11"/>
        <v/>
      </c>
      <c r="FL19" s="50" t="str">
        <f t="shared" si="11"/>
        <v/>
      </c>
      <c r="FM19" s="50" t="str">
        <f t="shared" si="11"/>
        <v/>
      </c>
      <c r="FN19" s="50" t="str">
        <f t="shared" si="11"/>
        <v/>
      </c>
      <c r="FO19" s="50" t="str">
        <f t="shared" si="11"/>
        <v/>
      </c>
      <c r="FP19" s="50" t="str">
        <f t="shared" si="11"/>
        <v/>
      </c>
      <c r="FQ19" s="50" t="str">
        <f t="shared" si="11"/>
        <v/>
      </c>
      <c r="FR19" s="50" t="str">
        <f t="shared" si="11"/>
        <v/>
      </c>
      <c r="FS19" s="50" t="str">
        <f t="shared" si="11"/>
        <v/>
      </c>
      <c r="FT19" s="50" t="str">
        <f t="shared" si="11"/>
        <v/>
      </c>
      <c r="FU19" s="50" t="str">
        <f t="shared" si="11"/>
        <v/>
      </c>
      <c r="FV19" s="50" t="str">
        <f t="shared" si="11"/>
        <v/>
      </c>
      <c r="FW19" s="50" t="str">
        <f t="shared" si="11"/>
        <v/>
      </c>
      <c r="FX19" s="50" t="str">
        <f t="shared" si="11"/>
        <v/>
      </c>
      <c r="FY19" s="50" t="str">
        <f t="shared" si="11"/>
        <v/>
      </c>
      <c r="FZ19" s="50" t="str">
        <f t="shared" si="11"/>
        <v/>
      </c>
      <c r="GA19" s="50" t="str">
        <f t="shared" si="11"/>
        <v/>
      </c>
      <c r="GB19" s="50" t="str">
        <f t="shared" si="11"/>
        <v/>
      </c>
      <c r="GC19" s="50" t="str">
        <f t="shared" si="11"/>
        <v/>
      </c>
      <c r="GD19" s="50" t="str">
        <f t="shared" si="11"/>
        <v/>
      </c>
      <c r="GE19" s="50" t="str">
        <f t="shared" si="11"/>
        <v/>
      </c>
      <c r="GF19" s="50" t="str">
        <f t="shared" si="11"/>
        <v/>
      </c>
      <c r="GG19" s="50" t="str">
        <f t="shared" si="11"/>
        <v/>
      </c>
      <c r="GH19" s="50" t="str">
        <f t="shared" si="11"/>
        <v/>
      </c>
      <c r="GI19" s="50" t="str">
        <f t="shared" si="6"/>
        <v/>
      </c>
      <c r="GJ19" s="50" t="str">
        <f t="shared" si="6"/>
        <v/>
      </c>
      <c r="GK19" s="50" t="str">
        <f t="shared" si="6"/>
        <v/>
      </c>
      <c r="GL19" s="50" t="str">
        <f t="shared" si="6"/>
        <v/>
      </c>
      <c r="GM19" s="50" t="str">
        <f t="shared" si="6"/>
        <v/>
      </c>
      <c r="GN19" s="50" t="str">
        <f t="shared" si="6"/>
        <v/>
      </c>
      <c r="GO19" s="50" t="str">
        <f t="shared" si="6"/>
        <v/>
      </c>
      <c r="GP19" s="50" t="str">
        <f t="shared" si="6"/>
        <v/>
      </c>
      <c r="GQ19" s="50" t="str">
        <f t="shared" si="6"/>
        <v/>
      </c>
      <c r="GR19" s="50" t="str">
        <f t="shared" si="6"/>
        <v/>
      </c>
      <c r="GS19" s="50" t="str">
        <f t="shared" si="6"/>
        <v/>
      </c>
      <c r="GT19" s="50" t="str">
        <f t="shared" si="6"/>
        <v/>
      </c>
      <c r="GU19" s="50" t="str">
        <f t="shared" si="6"/>
        <v/>
      </c>
      <c r="GV19" s="50" t="str">
        <f t="shared" si="6"/>
        <v/>
      </c>
      <c r="GW19" s="50" t="str">
        <f t="shared" si="6"/>
        <v/>
      </c>
      <c r="GX19" s="50" t="str">
        <f t="shared" si="6"/>
        <v/>
      </c>
      <c r="GY19" s="50" t="str">
        <f t="shared" si="6"/>
        <v/>
      </c>
      <c r="GZ19" s="50" t="str">
        <f t="shared" si="6"/>
        <v/>
      </c>
      <c r="HA19" s="50" t="str">
        <f t="shared" si="6"/>
        <v/>
      </c>
      <c r="HB19" s="50" t="str">
        <f t="shared" si="6"/>
        <v/>
      </c>
      <c r="HC19" s="50" t="str">
        <f t="shared" si="6"/>
        <v/>
      </c>
      <c r="HD19" s="50" t="str">
        <f t="shared" si="6"/>
        <v/>
      </c>
      <c r="HE19" s="50" t="str">
        <f t="shared" si="6"/>
        <v/>
      </c>
      <c r="HF19" s="50" t="str">
        <f t="shared" si="6"/>
        <v/>
      </c>
      <c r="HG19" s="50" t="str">
        <f t="shared" si="6"/>
        <v/>
      </c>
      <c r="HH19" s="50" t="str">
        <f t="shared" si="6"/>
        <v/>
      </c>
      <c r="HI19" s="50" t="str">
        <f t="shared" si="6"/>
        <v/>
      </c>
      <c r="HJ19" s="50" t="str">
        <f t="shared" si="6"/>
        <v/>
      </c>
      <c r="HK19" s="50" t="str">
        <f t="shared" si="6"/>
        <v/>
      </c>
      <c r="HL19" s="50" t="str">
        <f t="shared" si="6"/>
        <v/>
      </c>
      <c r="HM19" s="50" t="str">
        <f t="shared" si="6"/>
        <v/>
      </c>
      <c r="HN19" s="50" t="str">
        <f t="shared" si="6"/>
        <v/>
      </c>
      <c r="HO19" s="50" t="str">
        <f t="shared" si="6"/>
        <v/>
      </c>
      <c r="HP19" s="50" t="str">
        <f t="shared" si="6"/>
        <v/>
      </c>
      <c r="HQ19" s="50" t="str">
        <f t="shared" si="6"/>
        <v/>
      </c>
      <c r="HR19" s="112" t="str">
        <f t="shared" si="6"/>
        <v/>
      </c>
    </row>
    <row r="20" spans="1:226" ht="11.1" customHeight="1" x14ac:dyDescent="0.25">
      <c r="A20" s="26"/>
      <c r="B20" s="144"/>
      <c r="C20" s="28" t="str">
        <f>IF(A20=0,"",VLOOKUP(A20,[2]CO!$A$3:$F$5327,2,0))</f>
        <v/>
      </c>
      <c r="D20" s="177" t="s">
        <v>30</v>
      </c>
      <c r="E20" s="29"/>
      <c r="F20" s="29"/>
      <c r="G20" s="30" t="str">
        <f>IF(A20=0,"",VLOOKUP(A20,[2]CO!$A$3:$F$5327,3,0))</f>
        <v/>
      </c>
      <c r="H20" s="142"/>
      <c r="I20" s="143"/>
      <c r="J20" s="143"/>
      <c r="K20" s="143"/>
      <c r="L20" s="143"/>
      <c r="M20" s="32" t="str">
        <f t="shared" si="0"/>
        <v/>
      </c>
      <c r="N20" s="32" t="str">
        <f>IF(B20=0,"",IF(H20="M",HLOOKUP(B20,$Y$12:$DT$13,2),IF(A20=0,"",VLOOKUP(A20,[2]CO!$A$3:$F$5327,4,0))))</f>
        <v/>
      </c>
      <c r="O20" s="32" t="str">
        <f t="shared" si="7"/>
        <v/>
      </c>
      <c r="P20" s="33"/>
      <c r="Q20" s="34" t="str">
        <f t="shared" si="1"/>
        <v/>
      </c>
      <c r="R20" s="35" t="str">
        <f>IF(S20=0,"",IF(OR(G20="PEON",G20="OF",G20="JARD",G20="CARP",G20="MAESTRO",G20="SOLD",G20="BGRO",G20="CHOFER",G20="AYTE",G20="S.INTTE.",G20="ASEO",G20="P.PISOS",G20="VELADOR",G20="RESID",G20="PINTOR",G20="ELECT",G20="AZULE",G20="AUX CONT.",G20="SECRETARIA",G20="AUXILIAR ADMTVO.",G20="ARQUITECTO",G20="DIBUJANTE",G20="AUX. DE RESIDENTE"),VLOOKUP(B20,P$14:Q$55,2),"")*S20)</f>
        <v/>
      </c>
      <c r="T20" s="53" t="str">
        <f>IF(A20=0,"",VLOOKUP(A20,[2]CO!$A$3:$F$5318,5,0))</f>
        <v/>
      </c>
      <c r="U20" s="54">
        <f t="shared" si="2"/>
        <v>0</v>
      </c>
      <c r="V20" s="24"/>
      <c r="W20" s="25"/>
      <c r="X20" s="25"/>
      <c r="Y20" s="64" t="str">
        <f t="shared" si="10"/>
        <v/>
      </c>
      <c r="Z20" s="55" t="str">
        <f t="shared" si="10"/>
        <v/>
      </c>
      <c r="AA20" s="55" t="str">
        <f t="shared" si="10"/>
        <v/>
      </c>
      <c r="AB20" s="55" t="str">
        <f t="shared" si="10"/>
        <v/>
      </c>
      <c r="AC20" s="55" t="str">
        <f t="shared" si="10"/>
        <v/>
      </c>
      <c r="AD20" s="55" t="str">
        <f t="shared" si="10"/>
        <v/>
      </c>
      <c r="AE20" s="55" t="str">
        <f t="shared" si="10"/>
        <v/>
      </c>
      <c r="AF20" s="55" t="str">
        <f t="shared" si="10"/>
        <v/>
      </c>
      <c r="AG20" s="55" t="str">
        <f t="shared" si="10"/>
        <v/>
      </c>
      <c r="AH20" s="55" t="str">
        <f t="shared" si="10"/>
        <v/>
      </c>
      <c r="AI20" s="55" t="str">
        <f t="shared" si="10"/>
        <v/>
      </c>
      <c r="AJ20" s="55" t="str">
        <f t="shared" si="10"/>
        <v/>
      </c>
      <c r="AK20" s="55" t="str">
        <f t="shared" si="10"/>
        <v/>
      </c>
      <c r="AL20" s="55" t="str">
        <f t="shared" si="10"/>
        <v/>
      </c>
      <c r="AM20" s="55" t="str">
        <f t="shared" si="10"/>
        <v/>
      </c>
      <c r="AN20" s="55" t="str">
        <f t="shared" si="10"/>
        <v/>
      </c>
      <c r="AO20" s="55" t="str">
        <f t="shared" si="10"/>
        <v/>
      </c>
      <c r="AP20" s="55" t="str">
        <f t="shared" si="10"/>
        <v/>
      </c>
      <c r="AQ20" s="55" t="str">
        <f t="shared" si="10"/>
        <v/>
      </c>
      <c r="AR20" s="55" t="str">
        <f t="shared" si="10"/>
        <v/>
      </c>
      <c r="AS20" s="55" t="str">
        <f t="shared" si="10"/>
        <v/>
      </c>
      <c r="AT20" s="55" t="str">
        <f t="shared" si="10"/>
        <v/>
      </c>
      <c r="AU20" s="55" t="str">
        <f t="shared" si="10"/>
        <v/>
      </c>
      <c r="AV20" s="55" t="str">
        <f t="shared" si="10"/>
        <v/>
      </c>
      <c r="AW20" s="55" t="str">
        <f t="shared" si="10"/>
        <v/>
      </c>
      <c r="AX20" s="55" t="str">
        <f t="shared" si="10"/>
        <v/>
      </c>
      <c r="AY20" s="55" t="str">
        <f t="shared" si="10"/>
        <v/>
      </c>
      <c r="AZ20" s="55" t="str">
        <f t="shared" si="10"/>
        <v/>
      </c>
      <c r="BA20" s="55" t="str">
        <f t="shared" si="10"/>
        <v/>
      </c>
      <c r="BB20" s="55" t="str">
        <f t="shared" si="10"/>
        <v/>
      </c>
      <c r="BC20" s="55" t="str">
        <f t="shared" si="10"/>
        <v/>
      </c>
      <c r="BD20" s="55" t="str">
        <f t="shared" si="10"/>
        <v/>
      </c>
      <c r="BE20" s="55" t="str">
        <f t="shared" si="10"/>
        <v/>
      </c>
      <c r="BF20" s="55" t="str">
        <f t="shared" si="10"/>
        <v/>
      </c>
      <c r="BG20" s="55" t="str">
        <f t="shared" si="10"/>
        <v/>
      </c>
      <c r="BH20" s="55" t="str">
        <f t="shared" si="10"/>
        <v/>
      </c>
      <c r="BI20" s="55" t="str">
        <f t="shared" si="10"/>
        <v/>
      </c>
      <c r="BJ20" s="55" t="str">
        <f t="shared" si="10"/>
        <v/>
      </c>
      <c r="BK20" s="55" t="str">
        <f t="shared" si="10"/>
        <v/>
      </c>
      <c r="BL20" s="55" t="str">
        <f t="shared" si="10"/>
        <v/>
      </c>
      <c r="BM20" s="55" t="str">
        <f t="shared" si="10"/>
        <v/>
      </c>
      <c r="BN20" s="55" t="str">
        <f t="shared" si="10"/>
        <v/>
      </c>
      <c r="BO20" s="55" t="str">
        <f t="shared" si="10"/>
        <v/>
      </c>
      <c r="BP20" s="55" t="str">
        <f t="shared" si="10"/>
        <v/>
      </c>
      <c r="BQ20" s="55" t="str">
        <f t="shared" si="10"/>
        <v/>
      </c>
      <c r="BR20" s="55" t="str">
        <f t="shared" si="10"/>
        <v/>
      </c>
      <c r="BS20" s="55" t="str">
        <f t="shared" si="10"/>
        <v/>
      </c>
      <c r="BT20" s="55" t="str">
        <f t="shared" si="10"/>
        <v/>
      </c>
      <c r="BU20" s="55" t="str">
        <f t="shared" si="10"/>
        <v/>
      </c>
      <c r="BV20" s="55" t="str">
        <f t="shared" si="10"/>
        <v/>
      </c>
      <c r="BW20" s="55" t="str">
        <f t="shared" si="10"/>
        <v/>
      </c>
      <c r="BX20" s="55" t="str">
        <f t="shared" si="10"/>
        <v/>
      </c>
      <c r="BY20" s="55" t="str">
        <f t="shared" si="10"/>
        <v/>
      </c>
      <c r="BZ20" s="55" t="str">
        <f t="shared" si="10"/>
        <v/>
      </c>
      <c r="CA20" s="55" t="str">
        <f t="shared" si="10"/>
        <v/>
      </c>
      <c r="CB20" s="55" t="str">
        <f t="shared" si="10"/>
        <v/>
      </c>
      <c r="CC20" s="55" t="str">
        <f t="shared" si="10"/>
        <v/>
      </c>
      <c r="CD20" s="55" t="str">
        <f t="shared" si="10"/>
        <v/>
      </c>
      <c r="CE20" s="55" t="str">
        <f t="shared" si="10"/>
        <v/>
      </c>
      <c r="CF20" s="55" t="str">
        <f t="shared" si="10"/>
        <v/>
      </c>
      <c r="CG20" s="55" t="str">
        <f t="shared" si="10"/>
        <v/>
      </c>
      <c r="CH20" s="55" t="str">
        <f t="shared" si="10"/>
        <v/>
      </c>
      <c r="CI20" s="55" t="str">
        <f t="shared" si="10"/>
        <v/>
      </c>
      <c r="CJ20" s="55" t="str">
        <f t="shared" si="10"/>
        <v/>
      </c>
      <c r="CK20" s="55" t="str">
        <f t="shared" si="4"/>
        <v/>
      </c>
      <c r="CL20" s="55" t="str">
        <f t="shared" si="4"/>
        <v/>
      </c>
      <c r="CM20" s="55" t="str">
        <f t="shared" si="4"/>
        <v/>
      </c>
      <c r="CN20" s="55" t="str">
        <f t="shared" si="4"/>
        <v/>
      </c>
      <c r="CO20" s="55" t="str">
        <f t="shared" si="4"/>
        <v/>
      </c>
      <c r="CP20" s="55" t="str">
        <f t="shared" si="4"/>
        <v/>
      </c>
      <c r="CQ20" s="55" t="str">
        <f t="shared" si="4"/>
        <v/>
      </c>
      <c r="CR20" s="55" t="str">
        <f t="shared" si="4"/>
        <v/>
      </c>
      <c r="CS20" s="55" t="str">
        <f t="shared" si="4"/>
        <v/>
      </c>
      <c r="CT20" s="55" t="str">
        <f t="shared" si="4"/>
        <v/>
      </c>
      <c r="CU20" s="55" t="str">
        <f t="shared" si="4"/>
        <v/>
      </c>
      <c r="CV20" s="55" t="str">
        <f t="shared" si="4"/>
        <v/>
      </c>
      <c r="CW20" s="55" t="str">
        <f t="shared" si="4"/>
        <v/>
      </c>
      <c r="CX20" s="55" t="str">
        <f t="shared" si="4"/>
        <v/>
      </c>
      <c r="CY20" s="55" t="str">
        <f t="shared" si="4"/>
        <v/>
      </c>
      <c r="CZ20" s="55" t="str">
        <f t="shared" si="4"/>
        <v/>
      </c>
      <c r="DA20" s="55" t="str">
        <f t="shared" si="4"/>
        <v/>
      </c>
      <c r="DB20" s="55" t="str">
        <f t="shared" si="4"/>
        <v/>
      </c>
      <c r="DC20" s="55" t="str">
        <f t="shared" si="4"/>
        <v/>
      </c>
      <c r="DD20" s="55" t="str">
        <f t="shared" si="4"/>
        <v/>
      </c>
      <c r="DE20" s="55" t="str">
        <f t="shared" si="4"/>
        <v/>
      </c>
      <c r="DF20" s="55" t="str">
        <f t="shared" si="4"/>
        <v/>
      </c>
      <c r="DG20" s="55" t="str">
        <f t="shared" si="4"/>
        <v/>
      </c>
      <c r="DH20" s="55" t="str">
        <f t="shared" si="4"/>
        <v/>
      </c>
      <c r="DI20" s="55" t="str">
        <f t="shared" si="4"/>
        <v/>
      </c>
      <c r="DJ20" s="55" t="str">
        <f t="shared" si="4"/>
        <v/>
      </c>
      <c r="DK20" s="55" t="str">
        <f t="shared" si="4"/>
        <v/>
      </c>
      <c r="DL20" s="55" t="str">
        <f t="shared" si="4"/>
        <v/>
      </c>
      <c r="DM20" s="55" t="str">
        <f t="shared" si="4"/>
        <v/>
      </c>
      <c r="DN20" s="55" t="str">
        <f t="shared" si="4"/>
        <v/>
      </c>
      <c r="DO20" s="55" t="str">
        <f t="shared" si="4"/>
        <v/>
      </c>
      <c r="DP20" s="55" t="str">
        <f t="shared" si="4"/>
        <v/>
      </c>
      <c r="DQ20" s="55" t="str">
        <f t="shared" si="4"/>
        <v/>
      </c>
      <c r="DR20" s="55" t="str">
        <f t="shared" si="4"/>
        <v/>
      </c>
      <c r="DS20" s="55" t="str">
        <f t="shared" si="4"/>
        <v/>
      </c>
      <c r="DT20" s="106" t="str">
        <f t="shared" si="4"/>
        <v/>
      </c>
      <c r="DU20" s="54"/>
      <c r="DV20" s="25"/>
      <c r="DW20" s="61" t="str">
        <f t="shared" si="11"/>
        <v/>
      </c>
      <c r="DX20" s="50" t="str">
        <f t="shared" si="11"/>
        <v/>
      </c>
      <c r="DY20" s="50" t="str">
        <f t="shared" si="11"/>
        <v/>
      </c>
      <c r="DZ20" s="50" t="str">
        <f t="shared" si="11"/>
        <v/>
      </c>
      <c r="EA20" s="50" t="str">
        <f t="shared" si="11"/>
        <v/>
      </c>
      <c r="EB20" s="50" t="str">
        <f t="shared" si="11"/>
        <v/>
      </c>
      <c r="EC20" s="50" t="str">
        <f t="shared" si="11"/>
        <v/>
      </c>
      <c r="ED20" s="50" t="str">
        <f t="shared" si="11"/>
        <v/>
      </c>
      <c r="EE20" s="50" t="str">
        <f t="shared" si="11"/>
        <v/>
      </c>
      <c r="EF20" s="50" t="str">
        <f t="shared" si="11"/>
        <v/>
      </c>
      <c r="EG20" s="50" t="str">
        <f t="shared" si="11"/>
        <v/>
      </c>
      <c r="EH20" s="50" t="str">
        <f t="shared" si="11"/>
        <v/>
      </c>
      <c r="EI20" s="50" t="str">
        <f t="shared" si="11"/>
        <v/>
      </c>
      <c r="EJ20" s="50" t="str">
        <f t="shared" si="11"/>
        <v/>
      </c>
      <c r="EK20" s="50" t="str">
        <f t="shared" si="11"/>
        <v/>
      </c>
      <c r="EL20" s="50" t="str">
        <f t="shared" si="11"/>
        <v/>
      </c>
      <c r="EM20" s="50" t="str">
        <f t="shared" si="11"/>
        <v/>
      </c>
      <c r="EN20" s="50" t="str">
        <f t="shared" si="11"/>
        <v/>
      </c>
      <c r="EO20" s="50" t="str">
        <f t="shared" si="11"/>
        <v/>
      </c>
      <c r="EP20" s="50" t="str">
        <f t="shared" si="11"/>
        <v/>
      </c>
      <c r="EQ20" s="50" t="str">
        <f t="shared" si="11"/>
        <v/>
      </c>
      <c r="ER20" s="50" t="str">
        <f t="shared" si="11"/>
        <v/>
      </c>
      <c r="ES20" s="50" t="str">
        <f t="shared" si="11"/>
        <v/>
      </c>
      <c r="ET20" s="50" t="str">
        <f t="shared" si="11"/>
        <v/>
      </c>
      <c r="EU20" s="50" t="str">
        <f t="shared" si="11"/>
        <v/>
      </c>
      <c r="EV20" s="50" t="str">
        <f t="shared" si="11"/>
        <v/>
      </c>
      <c r="EW20" s="50" t="str">
        <f t="shared" si="11"/>
        <v/>
      </c>
      <c r="EX20" s="50" t="str">
        <f t="shared" si="11"/>
        <v/>
      </c>
      <c r="EY20" s="50" t="str">
        <f t="shared" si="11"/>
        <v/>
      </c>
      <c r="EZ20" s="50" t="str">
        <f t="shared" si="11"/>
        <v/>
      </c>
      <c r="FA20" s="50" t="str">
        <f t="shared" si="11"/>
        <v/>
      </c>
      <c r="FB20" s="50" t="str">
        <f t="shared" si="11"/>
        <v/>
      </c>
      <c r="FC20" s="50" t="str">
        <f t="shared" si="11"/>
        <v/>
      </c>
      <c r="FD20" s="50" t="str">
        <f t="shared" si="11"/>
        <v/>
      </c>
      <c r="FE20" s="50" t="str">
        <f t="shared" si="11"/>
        <v/>
      </c>
      <c r="FF20" s="50" t="str">
        <f t="shared" si="11"/>
        <v/>
      </c>
      <c r="FG20" s="50" t="str">
        <f t="shared" si="11"/>
        <v/>
      </c>
      <c r="FH20" s="50" t="str">
        <f t="shared" si="11"/>
        <v/>
      </c>
      <c r="FI20" s="50" t="str">
        <f t="shared" si="11"/>
        <v/>
      </c>
      <c r="FJ20" s="50" t="str">
        <f t="shared" si="11"/>
        <v/>
      </c>
      <c r="FK20" s="50" t="str">
        <f t="shared" si="11"/>
        <v/>
      </c>
      <c r="FL20" s="50" t="str">
        <f t="shared" si="11"/>
        <v/>
      </c>
      <c r="FM20" s="50" t="str">
        <f t="shared" si="11"/>
        <v/>
      </c>
      <c r="FN20" s="50" t="str">
        <f t="shared" si="11"/>
        <v/>
      </c>
      <c r="FO20" s="50" t="str">
        <f t="shared" si="11"/>
        <v/>
      </c>
      <c r="FP20" s="50" t="str">
        <f t="shared" si="11"/>
        <v/>
      </c>
      <c r="FQ20" s="50" t="str">
        <f t="shared" si="11"/>
        <v/>
      </c>
      <c r="FR20" s="50" t="str">
        <f t="shared" si="11"/>
        <v/>
      </c>
      <c r="FS20" s="50" t="str">
        <f t="shared" si="11"/>
        <v/>
      </c>
      <c r="FT20" s="50" t="str">
        <f t="shared" si="11"/>
        <v/>
      </c>
      <c r="FU20" s="50" t="str">
        <f t="shared" si="11"/>
        <v/>
      </c>
      <c r="FV20" s="50" t="str">
        <f t="shared" si="11"/>
        <v/>
      </c>
      <c r="FW20" s="50" t="str">
        <f t="shared" si="11"/>
        <v/>
      </c>
      <c r="FX20" s="50" t="str">
        <f t="shared" si="11"/>
        <v/>
      </c>
      <c r="FY20" s="50" t="str">
        <f t="shared" si="11"/>
        <v/>
      </c>
      <c r="FZ20" s="50" t="str">
        <f t="shared" si="11"/>
        <v/>
      </c>
      <c r="GA20" s="50" t="str">
        <f t="shared" si="11"/>
        <v/>
      </c>
      <c r="GB20" s="50" t="str">
        <f t="shared" si="11"/>
        <v/>
      </c>
      <c r="GC20" s="50" t="str">
        <f t="shared" si="11"/>
        <v/>
      </c>
      <c r="GD20" s="50" t="str">
        <f t="shared" si="11"/>
        <v/>
      </c>
      <c r="GE20" s="50" t="str">
        <f t="shared" si="11"/>
        <v/>
      </c>
      <c r="GF20" s="50" t="str">
        <f t="shared" si="11"/>
        <v/>
      </c>
      <c r="GG20" s="50" t="str">
        <f t="shared" si="11"/>
        <v/>
      </c>
      <c r="GH20" s="50" t="str">
        <f t="shared" si="11"/>
        <v/>
      </c>
      <c r="GI20" s="50" t="str">
        <f t="shared" si="6"/>
        <v/>
      </c>
      <c r="GJ20" s="50" t="str">
        <f t="shared" si="6"/>
        <v/>
      </c>
      <c r="GK20" s="50" t="str">
        <f t="shared" si="6"/>
        <v/>
      </c>
      <c r="GL20" s="50" t="str">
        <f t="shared" si="6"/>
        <v/>
      </c>
      <c r="GM20" s="50" t="str">
        <f t="shared" si="6"/>
        <v/>
      </c>
      <c r="GN20" s="50" t="str">
        <f t="shared" si="6"/>
        <v/>
      </c>
      <c r="GO20" s="50" t="str">
        <f t="shared" si="6"/>
        <v/>
      </c>
      <c r="GP20" s="50" t="str">
        <f t="shared" si="6"/>
        <v/>
      </c>
      <c r="GQ20" s="50" t="str">
        <f t="shared" si="6"/>
        <v/>
      </c>
      <c r="GR20" s="50" t="str">
        <f t="shared" si="6"/>
        <v/>
      </c>
      <c r="GS20" s="50" t="str">
        <f t="shared" si="6"/>
        <v/>
      </c>
      <c r="GT20" s="50" t="str">
        <f t="shared" si="6"/>
        <v/>
      </c>
      <c r="GU20" s="50" t="str">
        <f t="shared" si="6"/>
        <v/>
      </c>
      <c r="GV20" s="50" t="str">
        <f t="shared" si="6"/>
        <v/>
      </c>
      <c r="GW20" s="50" t="str">
        <f t="shared" si="6"/>
        <v/>
      </c>
      <c r="GX20" s="50" t="str">
        <f t="shared" si="6"/>
        <v/>
      </c>
      <c r="GY20" s="50" t="str">
        <f t="shared" si="6"/>
        <v/>
      </c>
      <c r="GZ20" s="50" t="str">
        <f t="shared" si="6"/>
        <v/>
      </c>
      <c r="HA20" s="50" t="str">
        <f t="shared" si="6"/>
        <v/>
      </c>
      <c r="HB20" s="50" t="str">
        <f t="shared" si="6"/>
        <v/>
      </c>
      <c r="HC20" s="50" t="str">
        <f t="shared" si="6"/>
        <v/>
      </c>
      <c r="HD20" s="50" t="str">
        <f t="shared" si="6"/>
        <v/>
      </c>
      <c r="HE20" s="50" t="str">
        <f t="shared" si="6"/>
        <v/>
      </c>
      <c r="HF20" s="50" t="str">
        <f t="shared" si="6"/>
        <v/>
      </c>
      <c r="HG20" s="50" t="str">
        <f t="shared" si="6"/>
        <v/>
      </c>
      <c r="HH20" s="50" t="str">
        <f t="shared" si="6"/>
        <v/>
      </c>
      <c r="HI20" s="50" t="str">
        <f t="shared" si="6"/>
        <v/>
      </c>
      <c r="HJ20" s="50" t="str">
        <f t="shared" si="6"/>
        <v/>
      </c>
      <c r="HK20" s="50" t="str">
        <f t="shared" si="6"/>
        <v/>
      </c>
      <c r="HL20" s="50" t="str">
        <f t="shared" si="6"/>
        <v/>
      </c>
      <c r="HM20" s="50" t="str">
        <f t="shared" si="6"/>
        <v/>
      </c>
      <c r="HN20" s="50" t="str">
        <f t="shared" si="6"/>
        <v/>
      </c>
      <c r="HO20" s="50" t="str">
        <f t="shared" si="6"/>
        <v/>
      </c>
      <c r="HP20" s="50" t="str">
        <f t="shared" si="6"/>
        <v/>
      </c>
      <c r="HQ20" s="50" t="str">
        <f t="shared" si="6"/>
        <v/>
      </c>
      <c r="HR20" s="112" t="str">
        <f t="shared" si="6"/>
        <v/>
      </c>
    </row>
    <row r="21" spans="1:226" ht="11.1" customHeight="1" x14ac:dyDescent="0.25">
      <c r="A21" s="26"/>
      <c r="B21" s="144"/>
      <c r="C21" s="28" t="str">
        <f>IF(A21=0,"",VLOOKUP(A21,[2]CO!$A$3:$F$5327,2,0))</f>
        <v/>
      </c>
      <c r="D21" s="148" t="s">
        <v>31</v>
      </c>
      <c r="E21" s="29"/>
      <c r="F21" s="29"/>
      <c r="G21" s="30" t="str">
        <f>IF(A21=0,"",VLOOKUP(A21,[2]CO!$A$3:$F$5327,3,0))</f>
        <v/>
      </c>
      <c r="H21" s="142"/>
      <c r="I21" s="143"/>
      <c r="J21" s="143"/>
      <c r="K21" s="143"/>
      <c r="L21" s="143"/>
      <c r="M21" s="32" t="str">
        <f t="shared" si="0"/>
        <v/>
      </c>
      <c r="N21" s="32" t="str">
        <f>IF(B21=0,"",IF(H21="M",HLOOKUP(B21,$Y$12:$DT$13,2),IF(A21=0,"",VLOOKUP(A21,[2]CO!$A$3:$F$5327,4,0))))</f>
        <v/>
      </c>
      <c r="O21" s="32" t="str">
        <f t="shared" si="7"/>
        <v/>
      </c>
      <c r="P21" s="33"/>
      <c r="Q21" s="34" t="str">
        <f t="shared" si="1"/>
        <v/>
      </c>
      <c r="R21" s="35" t="str">
        <f>IF(S21=0,"",IF(OR(G21="PEON",G21="OF",G21="JARD",G21="CARP",G21="MAESTRO",G21="SOLD",G21="BGRO",G21="CHOFER",G21="AYTE",G21="S.INTTE.",G21="ASEO",G21="P.PISOS",G21="VELADOR",G21="RESID",G21="PINTOR",G21="ELECT",G21="AZULE",G21="AUX CONT.",G21="SECRETARIA",G21="AUXILIAR ADMTVO.",G21="ARQUITECTO",G21="DIBUJANTE",G21="AUX. DE RESIDENTE"),VLOOKUP(B21,P$14:Q$55,2),"")*S21)</f>
        <v/>
      </c>
      <c r="T21" s="53" t="str">
        <f>IF(A21=0,"",VLOOKUP(A21,[2]CO!$A$3:$F$5318,5,0))</f>
        <v/>
      </c>
      <c r="U21" s="54">
        <f t="shared" si="2"/>
        <v>0</v>
      </c>
      <c r="V21" s="24"/>
      <c r="W21" s="25"/>
      <c r="X21" s="25"/>
      <c r="Y21" s="64" t="str">
        <f t="shared" si="10"/>
        <v/>
      </c>
      <c r="Z21" s="55" t="str">
        <f t="shared" si="10"/>
        <v/>
      </c>
      <c r="AA21" s="55" t="str">
        <f t="shared" si="10"/>
        <v/>
      </c>
      <c r="AB21" s="55" t="str">
        <f t="shared" si="10"/>
        <v/>
      </c>
      <c r="AC21" s="55" t="str">
        <f t="shared" si="10"/>
        <v/>
      </c>
      <c r="AD21" s="55" t="str">
        <f t="shared" si="10"/>
        <v/>
      </c>
      <c r="AE21" s="55" t="str">
        <f t="shared" si="10"/>
        <v/>
      </c>
      <c r="AF21" s="55" t="str">
        <f t="shared" si="10"/>
        <v/>
      </c>
      <c r="AG21" s="55" t="str">
        <f t="shared" si="10"/>
        <v/>
      </c>
      <c r="AH21" s="55" t="str">
        <f t="shared" si="10"/>
        <v/>
      </c>
      <c r="AI21" s="55" t="str">
        <f t="shared" si="10"/>
        <v/>
      </c>
      <c r="AJ21" s="55" t="str">
        <f t="shared" si="10"/>
        <v/>
      </c>
      <c r="AK21" s="55" t="str">
        <f t="shared" si="10"/>
        <v/>
      </c>
      <c r="AL21" s="55" t="str">
        <f t="shared" si="10"/>
        <v/>
      </c>
      <c r="AM21" s="55" t="str">
        <f t="shared" si="10"/>
        <v/>
      </c>
      <c r="AN21" s="55" t="str">
        <f t="shared" si="10"/>
        <v/>
      </c>
      <c r="AO21" s="55" t="str">
        <f t="shared" si="10"/>
        <v/>
      </c>
      <c r="AP21" s="55" t="str">
        <f t="shared" si="10"/>
        <v/>
      </c>
      <c r="AQ21" s="55" t="str">
        <f t="shared" si="10"/>
        <v/>
      </c>
      <c r="AR21" s="55" t="str">
        <f t="shared" si="10"/>
        <v/>
      </c>
      <c r="AS21" s="55" t="str">
        <f t="shared" si="10"/>
        <v/>
      </c>
      <c r="AT21" s="55" t="str">
        <f t="shared" si="10"/>
        <v/>
      </c>
      <c r="AU21" s="55" t="str">
        <f t="shared" si="10"/>
        <v/>
      </c>
      <c r="AV21" s="55" t="str">
        <f t="shared" si="10"/>
        <v/>
      </c>
      <c r="AW21" s="55" t="str">
        <f t="shared" si="10"/>
        <v/>
      </c>
      <c r="AX21" s="55" t="str">
        <f t="shared" si="10"/>
        <v/>
      </c>
      <c r="AY21" s="55" t="str">
        <f t="shared" si="10"/>
        <v/>
      </c>
      <c r="AZ21" s="55" t="str">
        <f t="shared" si="10"/>
        <v/>
      </c>
      <c r="BA21" s="55" t="str">
        <f t="shared" si="10"/>
        <v/>
      </c>
      <c r="BB21" s="55" t="str">
        <f t="shared" si="10"/>
        <v/>
      </c>
      <c r="BC21" s="55" t="str">
        <f t="shared" si="10"/>
        <v/>
      </c>
      <c r="BD21" s="55" t="str">
        <f t="shared" si="10"/>
        <v/>
      </c>
      <c r="BE21" s="55" t="str">
        <f t="shared" si="10"/>
        <v/>
      </c>
      <c r="BF21" s="55" t="str">
        <f t="shared" si="10"/>
        <v/>
      </c>
      <c r="BG21" s="55" t="str">
        <f t="shared" si="10"/>
        <v/>
      </c>
      <c r="BH21" s="55" t="str">
        <f t="shared" si="10"/>
        <v/>
      </c>
      <c r="BI21" s="55" t="str">
        <f t="shared" si="10"/>
        <v/>
      </c>
      <c r="BJ21" s="55" t="str">
        <f t="shared" si="10"/>
        <v/>
      </c>
      <c r="BK21" s="55" t="str">
        <f t="shared" si="10"/>
        <v/>
      </c>
      <c r="BL21" s="55" t="str">
        <f t="shared" si="10"/>
        <v/>
      </c>
      <c r="BM21" s="55" t="str">
        <f t="shared" si="10"/>
        <v/>
      </c>
      <c r="BN21" s="55" t="str">
        <f t="shared" si="10"/>
        <v/>
      </c>
      <c r="BO21" s="55" t="str">
        <f t="shared" si="10"/>
        <v/>
      </c>
      <c r="BP21" s="55" t="str">
        <f t="shared" si="10"/>
        <v/>
      </c>
      <c r="BQ21" s="55" t="str">
        <f t="shared" si="10"/>
        <v/>
      </c>
      <c r="BR21" s="55" t="str">
        <f t="shared" si="10"/>
        <v/>
      </c>
      <c r="BS21" s="55" t="str">
        <f t="shared" si="10"/>
        <v/>
      </c>
      <c r="BT21" s="55" t="str">
        <f t="shared" si="10"/>
        <v/>
      </c>
      <c r="BU21" s="55" t="str">
        <f t="shared" si="10"/>
        <v/>
      </c>
      <c r="BV21" s="55" t="str">
        <f t="shared" si="10"/>
        <v/>
      </c>
      <c r="BW21" s="55" t="str">
        <f t="shared" si="10"/>
        <v/>
      </c>
      <c r="BX21" s="55" t="str">
        <f t="shared" si="10"/>
        <v/>
      </c>
      <c r="BY21" s="55" t="str">
        <f t="shared" si="10"/>
        <v/>
      </c>
      <c r="BZ21" s="55" t="str">
        <f t="shared" si="10"/>
        <v/>
      </c>
      <c r="CA21" s="55" t="str">
        <f t="shared" si="10"/>
        <v/>
      </c>
      <c r="CB21" s="55" t="str">
        <f t="shared" si="10"/>
        <v/>
      </c>
      <c r="CC21" s="55" t="str">
        <f t="shared" si="10"/>
        <v/>
      </c>
      <c r="CD21" s="55" t="str">
        <f t="shared" si="10"/>
        <v/>
      </c>
      <c r="CE21" s="55" t="str">
        <f t="shared" si="10"/>
        <v/>
      </c>
      <c r="CF21" s="55" t="str">
        <f t="shared" si="10"/>
        <v/>
      </c>
      <c r="CG21" s="55" t="str">
        <f t="shared" si="10"/>
        <v/>
      </c>
      <c r="CH21" s="55" t="str">
        <f t="shared" si="10"/>
        <v/>
      </c>
      <c r="CI21" s="55" t="str">
        <f t="shared" si="10"/>
        <v/>
      </c>
      <c r="CJ21" s="55" t="str">
        <f t="shared" ref="CJ21:CY25" si="12">IF($B21=CJ$12,$U21,"")</f>
        <v/>
      </c>
      <c r="CK21" s="55" t="str">
        <f t="shared" si="4"/>
        <v/>
      </c>
      <c r="CL21" s="55" t="str">
        <f t="shared" si="4"/>
        <v/>
      </c>
      <c r="CM21" s="55" t="str">
        <f t="shared" si="4"/>
        <v/>
      </c>
      <c r="CN21" s="55" t="str">
        <f t="shared" ref="CN21:DT25" si="13">IF($B21=CN$12,$U21,"")</f>
        <v/>
      </c>
      <c r="CO21" s="55" t="str">
        <f t="shared" si="13"/>
        <v/>
      </c>
      <c r="CP21" s="55" t="str">
        <f t="shared" si="13"/>
        <v/>
      </c>
      <c r="CQ21" s="55" t="str">
        <f t="shared" si="13"/>
        <v/>
      </c>
      <c r="CR21" s="55" t="str">
        <f t="shared" si="13"/>
        <v/>
      </c>
      <c r="CS21" s="55" t="str">
        <f t="shared" si="13"/>
        <v/>
      </c>
      <c r="CT21" s="55" t="str">
        <f t="shared" si="13"/>
        <v/>
      </c>
      <c r="CU21" s="55" t="str">
        <f t="shared" si="13"/>
        <v/>
      </c>
      <c r="CV21" s="55" t="str">
        <f t="shared" si="13"/>
        <v/>
      </c>
      <c r="CW21" s="55" t="str">
        <f t="shared" si="13"/>
        <v/>
      </c>
      <c r="CX21" s="55" t="str">
        <f t="shared" si="13"/>
        <v/>
      </c>
      <c r="CY21" s="55" t="str">
        <f t="shared" si="13"/>
        <v/>
      </c>
      <c r="CZ21" s="55" t="str">
        <f t="shared" si="13"/>
        <v/>
      </c>
      <c r="DA21" s="55" t="str">
        <f t="shared" si="13"/>
        <v/>
      </c>
      <c r="DB21" s="55" t="str">
        <f t="shared" si="13"/>
        <v/>
      </c>
      <c r="DC21" s="55" t="str">
        <f t="shared" si="13"/>
        <v/>
      </c>
      <c r="DD21" s="55" t="str">
        <f t="shared" si="13"/>
        <v/>
      </c>
      <c r="DE21" s="55" t="str">
        <f t="shared" si="13"/>
        <v/>
      </c>
      <c r="DF21" s="55" t="str">
        <f t="shared" si="13"/>
        <v/>
      </c>
      <c r="DG21" s="55" t="str">
        <f t="shared" si="13"/>
        <v/>
      </c>
      <c r="DH21" s="55" t="str">
        <f t="shared" si="13"/>
        <v/>
      </c>
      <c r="DI21" s="55" t="str">
        <f t="shared" si="13"/>
        <v/>
      </c>
      <c r="DJ21" s="55" t="str">
        <f t="shared" si="13"/>
        <v/>
      </c>
      <c r="DK21" s="55" t="str">
        <f t="shared" si="13"/>
        <v/>
      </c>
      <c r="DL21" s="55" t="str">
        <f t="shared" si="13"/>
        <v/>
      </c>
      <c r="DM21" s="55" t="str">
        <f t="shared" si="13"/>
        <v/>
      </c>
      <c r="DN21" s="55" t="str">
        <f t="shared" si="13"/>
        <v/>
      </c>
      <c r="DO21" s="55" t="str">
        <f t="shared" si="13"/>
        <v/>
      </c>
      <c r="DP21" s="55" t="str">
        <f t="shared" si="13"/>
        <v/>
      </c>
      <c r="DQ21" s="55" t="str">
        <f t="shared" si="13"/>
        <v/>
      </c>
      <c r="DR21" s="55" t="str">
        <f t="shared" si="13"/>
        <v/>
      </c>
      <c r="DS21" s="55" t="str">
        <f t="shared" si="13"/>
        <v/>
      </c>
      <c r="DT21" s="106" t="str">
        <f t="shared" si="13"/>
        <v/>
      </c>
      <c r="DU21" s="54"/>
      <c r="DV21" s="25"/>
      <c r="DW21" s="61" t="str">
        <f t="shared" si="11"/>
        <v/>
      </c>
      <c r="DX21" s="50" t="str">
        <f t="shared" si="11"/>
        <v/>
      </c>
      <c r="DY21" s="50" t="str">
        <f t="shared" si="11"/>
        <v/>
      </c>
      <c r="DZ21" s="50" t="str">
        <f t="shared" si="11"/>
        <v/>
      </c>
      <c r="EA21" s="50" t="str">
        <f t="shared" si="11"/>
        <v/>
      </c>
      <c r="EB21" s="50" t="str">
        <f t="shared" si="11"/>
        <v/>
      </c>
      <c r="EC21" s="50" t="str">
        <f t="shared" si="11"/>
        <v/>
      </c>
      <c r="ED21" s="50" t="str">
        <f t="shared" si="11"/>
        <v/>
      </c>
      <c r="EE21" s="50" t="str">
        <f t="shared" si="11"/>
        <v/>
      </c>
      <c r="EF21" s="50" t="str">
        <f t="shared" si="11"/>
        <v/>
      </c>
      <c r="EG21" s="50" t="str">
        <f t="shared" si="11"/>
        <v/>
      </c>
      <c r="EH21" s="50" t="str">
        <f t="shared" si="11"/>
        <v/>
      </c>
      <c r="EI21" s="50" t="str">
        <f t="shared" si="11"/>
        <v/>
      </c>
      <c r="EJ21" s="50" t="str">
        <f t="shared" si="11"/>
        <v/>
      </c>
      <c r="EK21" s="50" t="str">
        <f t="shared" si="11"/>
        <v/>
      </c>
      <c r="EL21" s="50" t="str">
        <f t="shared" si="11"/>
        <v/>
      </c>
      <c r="EM21" s="50" t="str">
        <f t="shared" si="11"/>
        <v/>
      </c>
      <c r="EN21" s="50" t="str">
        <f t="shared" si="11"/>
        <v/>
      </c>
      <c r="EO21" s="50" t="str">
        <f t="shared" si="11"/>
        <v/>
      </c>
      <c r="EP21" s="50" t="str">
        <f t="shared" si="11"/>
        <v/>
      </c>
      <c r="EQ21" s="50" t="str">
        <f t="shared" si="11"/>
        <v/>
      </c>
      <c r="ER21" s="50" t="str">
        <f t="shared" si="11"/>
        <v/>
      </c>
      <c r="ES21" s="50" t="str">
        <f t="shared" si="11"/>
        <v/>
      </c>
      <c r="ET21" s="50" t="str">
        <f t="shared" si="11"/>
        <v/>
      </c>
      <c r="EU21" s="50" t="str">
        <f t="shared" si="11"/>
        <v/>
      </c>
      <c r="EV21" s="50" t="str">
        <f t="shared" si="11"/>
        <v/>
      </c>
      <c r="EW21" s="50" t="str">
        <f t="shared" si="11"/>
        <v/>
      </c>
      <c r="EX21" s="50" t="str">
        <f t="shared" si="11"/>
        <v/>
      </c>
      <c r="EY21" s="50" t="str">
        <f t="shared" si="11"/>
        <v/>
      </c>
      <c r="EZ21" s="50" t="str">
        <f t="shared" si="11"/>
        <v/>
      </c>
      <c r="FA21" s="50" t="str">
        <f t="shared" si="11"/>
        <v/>
      </c>
      <c r="FB21" s="50" t="str">
        <f t="shared" si="11"/>
        <v/>
      </c>
      <c r="FC21" s="50" t="str">
        <f t="shared" si="11"/>
        <v/>
      </c>
      <c r="FD21" s="50" t="str">
        <f t="shared" si="11"/>
        <v/>
      </c>
      <c r="FE21" s="50" t="str">
        <f t="shared" si="11"/>
        <v/>
      </c>
      <c r="FF21" s="50" t="str">
        <f t="shared" si="11"/>
        <v/>
      </c>
      <c r="FG21" s="50" t="str">
        <f t="shared" si="11"/>
        <v/>
      </c>
      <c r="FH21" s="50" t="str">
        <f t="shared" si="11"/>
        <v/>
      </c>
      <c r="FI21" s="50" t="str">
        <f t="shared" si="11"/>
        <v/>
      </c>
      <c r="FJ21" s="50" t="str">
        <f t="shared" si="11"/>
        <v/>
      </c>
      <c r="FK21" s="50" t="str">
        <f t="shared" si="11"/>
        <v/>
      </c>
      <c r="FL21" s="50" t="str">
        <f t="shared" si="11"/>
        <v/>
      </c>
      <c r="FM21" s="50" t="str">
        <f t="shared" si="11"/>
        <v/>
      </c>
      <c r="FN21" s="50" t="str">
        <f t="shared" si="11"/>
        <v/>
      </c>
      <c r="FO21" s="50" t="str">
        <f t="shared" si="11"/>
        <v/>
      </c>
      <c r="FP21" s="50" t="str">
        <f t="shared" si="11"/>
        <v/>
      </c>
      <c r="FQ21" s="50" t="str">
        <f t="shared" si="11"/>
        <v/>
      </c>
      <c r="FR21" s="50" t="str">
        <f t="shared" si="11"/>
        <v/>
      </c>
      <c r="FS21" s="50" t="str">
        <f t="shared" si="11"/>
        <v/>
      </c>
      <c r="FT21" s="50" t="str">
        <f t="shared" si="11"/>
        <v/>
      </c>
      <c r="FU21" s="50" t="str">
        <f t="shared" si="11"/>
        <v/>
      </c>
      <c r="FV21" s="50" t="str">
        <f t="shared" si="11"/>
        <v/>
      </c>
      <c r="FW21" s="50" t="str">
        <f t="shared" si="11"/>
        <v/>
      </c>
      <c r="FX21" s="50" t="str">
        <f t="shared" si="11"/>
        <v/>
      </c>
      <c r="FY21" s="50" t="str">
        <f t="shared" si="11"/>
        <v/>
      </c>
      <c r="FZ21" s="50" t="str">
        <f t="shared" si="11"/>
        <v/>
      </c>
      <c r="GA21" s="50" t="str">
        <f t="shared" si="11"/>
        <v/>
      </c>
      <c r="GB21" s="50" t="str">
        <f t="shared" si="11"/>
        <v/>
      </c>
      <c r="GC21" s="50" t="str">
        <f t="shared" si="11"/>
        <v/>
      </c>
      <c r="GD21" s="50" t="str">
        <f t="shared" si="11"/>
        <v/>
      </c>
      <c r="GE21" s="50" t="str">
        <f t="shared" si="11"/>
        <v/>
      </c>
      <c r="GF21" s="50" t="str">
        <f t="shared" si="11"/>
        <v/>
      </c>
      <c r="GG21" s="50" t="str">
        <f t="shared" si="11"/>
        <v/>
      </c>
      <c r="GH21" s="50" t="str">
        <f t="shared" ref="GH21:GW25" si="14">IF($B21=GH$12,$O21,"")</f>
        <v/>
      </c>
      <c r="GI21" s="50" t="str">
        <f t="shared" si="6"/>
        <v/>
      </c>
      <c r="GJ21" s="50" t="str">
        <f t="shared" si="6"/>
        <v/>
      </c>
      <c r="GK21" s="50" t="str">
        <f t="shared" si="6"/>
        <v/>
      </c>
      <c r="GL21" s="50" t="str">
        <f t="shared" ref="GL21:HR25" si="15">IF($B21=GL$12,$O21,"")</f>
        <v/>
      </c>
      <c r="GM21" s="50" t="str">
        <f t="shared" si="15"/>
        <v/>
      </c>
      <c r="GN21" s="50" t="str">
        <f t="shared" si="15"/>
        <v/>
      </c>
      <c r="GO21" s="50" t="str">
        <f t="shared" si="15"/>
        <v/>
      </c>
      <c r="GP21" s="50" t="str">
        <f t="shared" si="15"/>
        <v/>
      </c>
      <c r="GQ21" s="50" t="str">
        <f t="shared" si="15"/>
        <v/>
      </c>
      <c r="GR21" s="50" t="str">
        <f t="shared" si="15"/>
        <v/>
      </c>
      <c r="GS21" s="50" t="str">
        <f t="shared" si="15"/>
        <v/>
      </c>
      <c r="GT21" s="50" t="str">
        <f t="shared" si="15"/>
        <v/>
      </c>
      <c r="GU21" s="50" t="str">
        <f t="shared" si="15"/>
        <v/>
      </c>
      <c r="GV21" s="50" t="str">
        <f t="shared" si="15"/>
        <v/>
      </c>
      <c r="GW21" s="50" t="str">
        <f t="shared" si="15"/>
        <v/>
      </c>
      <c r="GX21" s="50" t="str">
        <f t="shared" si="15"/>
        <v/>
      </c>
      <c r="GY21" s="50" t="str">
        <f t="shared" si="15"/>
        <v/>
      </c>
      <c r="GZ21" s="50" t="str">
        <f t="shared" si="15"/>
        <v/>
      </c>
      <c r="HA21" s="50" t="str">
        <f t="shared" si="15"/>
        <v/>
      </c>
      <c r="HB21" s="50" t="str">
        <f t="shared" si="15"/>
        <v/>
      </c>
      <c r="HC21" s="50" t="str">
        <f t="shared" si="15"/>
        <v/>
      </c>
      <c r="HD21" s="50" t="str">
        <f t="shared" si="15"/>
        <v/>
      </c>
      <c r="HE21" s="50" t="str">
        <f t="shared" si="15"/>
        <v/>
      </c>
      <c r="HF21" s="50" t="str">
        <f t="shared" si="15"/>
        <v/>
      </c>
      <c r="HG21" s="50" t="str">
        <f t="shared" si="15"/>
        <v/>
      </c>
      <c r="HH21" s="50" t="str">
        <f t="shared" si="15"/>
        <v/>
      </c>
      <c r="HI21" s="50" t="str">
        <f t="shared" si="15"/>
        <v/>
      </c>
      <c r="HJ21" s="50" t="str">
        <f t="shared" si="15"/>
        <v/>
      </c>
      <c r="HK21" s="50" t="str">
        <f t="shared" si="15"/>
        <v/>
      </c>
      <c r="HL21" s="50" t="str">
        <f t="shared" si="15"/>
        <v/>
      </c>
      <c r="HM21" s="50" t="str">
        <f t="shared" si="15"/>
        <v/>
      </c>
      <c r="HN21" s="50" t="str">
        <f t="shared" si="15"/>
        <v/>
      </c>
      <c r="HO21" s="50" t="str">
        <f t="shared" si="15"/>
        <v/>
      </c>
      <c r="HP21" s="50" t="str">
        <f t="shared" si="15"/>
        <v/>
      </c>
      <c r="HQ21" s="50" t="str">
        <f t="shared" si="15"/>
        <v/>
      </c>
      <c r="HR21" s="112" t="str">
        <f t="shared" si="15"/>
        <v/>
      </c>
    </row>
    <row r="22" spans="1:226" ht="11.1" customHeight="1" x14ac:dyDescent="0.25">
      <c r="A22" s="26"/>
      <c r="B22" s="144"/>
      <c r="C22" s="28" t="str">
        <f>IF(A22=0,"",VLOOKUP(A22,[2]CO!$A$3:$F$5327,2,0))</f>
        <v/>
      </c>
      <c r="D22" s="148"/>
      <c r="F22" s="29"/>
      <c r="G22" s="30" t="str">
        <f>IF(A22=0,"",VLOOKUP(A22,[2]CO!$A$3:$F$5327,3,0))</f>
        <v/>
      </c>
      <c r="H22" s="142"/>
      <c r="I22" s="143"/>
      <c r="J22" s="143"/>
      <c r="K22" s="143"/>
      <c r="L22" s="143"/>
      <c r="M22" s="32" t="str">
        <f t="shared" si="0"/>
        <v/>
      </c>
      <c r="N22" s="32" t="str">
        <f>IF(B22=0,"",IF(H22="M",HLOOKUP(B22,$Y$12:$DT$13,2),IF(A22=0,"",VLOOKUP(A22,[2]CO!$A$3:$F$5327,4,0))))</f>
        <v/>
      </c>
      <c r="O22" s="32" t="str">
        <f t="shared" si="7"/>
        <v/>
      </c>
      <c r="P22" s="33"/>
      <c r="Q22" s="34" t="str">
        <f t="shared" si="1"/>
        <v/>
      </c>
      <c r="R22" s="35" t="str">
        <f>IF(S22=0,"",IF(OR(G22="PEON",G22="OF",G22="JARD",G22="CARP",G22="MAESTRO",G22="SOLD",G22="BGRO",G22="CHOFER",G22="AYTE",G22="S.INTTE.",G22="ASEO",G22="P.PISOS",G22="VELADOR",G22="RESID",G22="PINTOR",G22="ELECT",G22="AZULE",G22="AUX CONT.",G22="SECRETARIA",G22="AUXILIAR ADMTVO.",G22="ARQUITECTO",G22="DIBUJANTE",G22="AUX. DE RESIDENTE"),VLOOKUP(B22,P$14:Q$55,2),"")*S22)</f>
        <v/>
      </c>
      <c r="T22" s="53" t="str">
        <f>IF(A22=0,"",VLOOKUP(A22,[2]CO!$A$3:$F$5318,5,0))</f>
        <v/>
      </c>
      <c r="U22" s="54">
        <f t="shared" si="2"/>
        <v>0</v>
      </c>
      <c r="V22" s="24"/>
      <c r="W22" s="25"/>
      <c r="X22" s="25"/>
      <c r="Y22" s="64" t="str">
        <f t="shared" ref="Y22:CI25" si="16">IF($B22=Y$12,$U22,"")</f>
        <v/>
      </c>
      <c r="Z22" s="55" t="str">
        <f t="shared" si="16"/>
        <v/>
      </c>
      <c r="AA22" s="55" t="str">
        <f t="shared" si="16"/>
        <v/>
      </c>
      <c r="AB22" s="55" t="str">
        <f t="shared" si="16"/>
        <v/>
      </c>
      <c r="AC22" s="55" t="str">
        <f t="shared" si="16"/>
        <v/>
      </c>
      <c r="AD22" s="55" t="str">
        <f t="shared" si="16"/>
        <v/>
      </c>
      <c r="AE22" s="55" t="str">
        <f t="shared" si="16"/>
        <v/>
      </c>
      <c r="AF22" s="55" t="str">
        <f t="shared" si="16"/>
        <v/>
      </c>
      <c r="AG22" s="55" t="str">
        <f t="shared" si="16"/>
        <v/>
      </c>
      <c r="AH22" s="55" t="str">
        <f t="shared" si="16"/>
        <v/>
      </c>
      <c r="AI22" s="55" t="str">
        <f t="shared" si="16"/>
        <v/>
      </c>
      <c r="AJ22" s="55" t="str">
        <f t="shared" si="16"/>
        <v/>
      </c>
      <c r="AK22" s="55" t="str">
        <f t="shared" si="16"/>
        <v/>
      </c>
      <c r="AL22" s="55" t="str">
        <f t="shared" si="16"/>
        <v/>
      </c>
      <c r="AM22" s="55" t="str">
        <f t="shared" si="16"/>
        <v/>
      </c>
      <c r="AN22" s="55" t="str">
        <f t="shared" si="16"/>
        <v/>
      </c>
      <c r="AO22" s="55" t="str">
        <f t="shared" si="16"/>
        <v/>
      </c>
      <c r="AP22" s="55" t="str">
        <f t="shared" si="16"/>
        <v/>
      </c>
      <c r="AQ22" s="55" t="str">
        <f t="shared" si="16"/>
        <v/>
      </c>
      <c r="AR22" s="55" t="str">
        <f t="shared" si="16"/>
        <v/>
      </c>
      <c r="AS22" s="55" t="str">
        <f t="shared" si="16"/>
        <v/>
      </c>
      <c r="AT22" s="55" t="str">
        <f t="shared" si="16"/>
        <v/>
      </c>
      <c r="AU22" s="55" t="str">
        <f t="shared" si="16"/>
        <v/>
      </c>
      <c r="AV22" s="55" t="str">
        <f t="shared" si="16"/>
        <v/>
      </c>
      <c r="AW22" s="55" t="str">
        <f t="shared" si="16"/>
        <v/>
      </c>
      <c r="AX22" s="55" t="str">
        <f t="shared" si="16"/>
        <v/>
      </c>
      <c r="AY22" s="55" t="str">
        <f t="shared" si="16"/>
        <v/>
      </c>
      <c r="AZ22" s="55" t="str">
        <f t="shared" si="16"/>
        <v/>
      </c>
      <c r="BA22" s="55" t="str">
        <f t="shared" si="16"/>
        <v/>
      </c>
      <c r="BB22" s="55" t="str">
        <f t="shared" si="16"/>
        <v/>
      </c>
      <c r="BC22" s="55" t="str">
        <f t="shared" si="16"/>
        <v/>
      </c>
      <c r="BD22" s="55" t="str">
        <f t="shared" si="16"/>
        <v/>
      </c>
      <c r="BE22" s="55" t="str">
        <f t="shared" si="16"/>
        <v/>
      </c>
      <c r="BF22" s="55" t="str">
        <f t="shared" si="16"/>
        <v/>
      </c>
      <c r="BG22" s="55" t="str">
        <f t="shared" si="16"/>
        <v/>
      </c>
      <c r="BH22" s="55" t="str">
        <f t="shared" si="16"/>
        <v/>
      </c>
      <c r="BI22" s="55" t="str">
        <f t="shared" si="16"/>
        <v/>
      </c>
      <c r="BJ22" s="55" t="str">
        <f t="shared" si="16"/>
        <v/>
      </c>
      <c r="BK22" s="55" t="str">
        <f t="shared" si="16"/>
        <v/>
      </c>
      <c r="BL22" s="55" t="str">
        <f t="shared" si="16"/>
        <v/>
      </c>
      <c r="BM22" s="55" t="str">
        <f t="shared" si="16"/>
        <v/>
      </c>
      <c r="BN22" s="55" t="str">
        <f t="shared" si="16"/>
        <v/>
      </c>
      <c r="BO22" s="55" t="str">
        <f t="shared" si="16"/>
        <v/>
      </c>
      <c r="BP22" s="55" t="str">
        <f t="shared" si="16"/>
        <v/>
      </c>
      <c r="BQ22" s="55" t="str">
        <f t="shared" si="16"/>
        <v/>
      </c>
      <c r="BR22" s="55" t="str">
        <f t="shared" si="16"/>
        <v/>
      </c>
      <c r="BS22" s="55" t="str">
        <f t="shared" si="16"/>
        <v/>
      </c>
      <c r="BT22" s="55" t="str">
        <f t="shared" si="16"/>
        <v/>
      </c>
      <c r="BU22" s="55" t="str">
        <f t="shared" si="16"/>
        <v/>
      </c>
      <c r="BV22" s="55" t="str">
        <f t="shared" si="16"/>
        <v/>
      </c>
      <c r="BW22" s="55" t="str">
        <f t="shared" si="16"/>
        <v/>
      </c>
      <c r="BX22" s="55" t="str">
        <f t="shared" si="16"/>
        <v/>
      </c>
      <c r="BY22" s="55" t="str">
        <f t="shared" si="16"/>
        <v/>
      </c>
      <c r="BZ22" s="55" t="str">
        <f t="shared" si="16"/>
        <v/>
      </c>
      <c r="CA22" s="55" t="str">
        <f t="shared" si="16"/>
        <v/>
      </c>
      <c r="CB22" s="55" t="str">
        <f t="shared" si="16"/>
        <v/>
      </c>
      <c r="CC22" s="55" t="str">
        <f t="shared" si="16"/>
        <v/>
      </c>
      <c r="CD22" s="55" t="str">
        <f t="shared" si="16"/>
        <v/>
      </c>
      <c r="CE22" s="55" t="str">
        <f t="shared" si="16"/>
        <v/>
      </c>
      <c r="CF22" s="55" t="str">
        <f t="shared" si="16"/>
        <v/>
      </c>
      <c r="CG22" s="55" t="str">
        <f t="shared" si="16"/>
        <v/>
      </c>
      <c r="CH22" s="55" t="str">
        <f t="shared" si="16"/>
        <v/>
      </c>
      <c r="CI22" s="55" t="str">
        <f t="shared" si="16"/>
        <v/>
      </c>
      <c r="CJ22" s="55" t="str">
        <f t="shared" si="12"/>
        <v/>
      </c>
      <c r="CK22" s="55" t="str">
        <f t="shared" si="12"/>
        <v/>
      </c>
      <c r="CL22" s="55" t="str">
        <f t="shared" si="12"/>
        <v/>
      </c>
      <c r="CM22" s="55" t="str">
        <f t="shared" si="12"/>
        <v/>
      </c>
      <c r="CN22" s="55" t="str">
        <f t="shared" si="13"/>
        <v/>
      </c>
      <c r="CO22" s="55" t="str">
        <f t="shared" si="13"/>
        <v/>
      </c>
      <c r="CP22" s="55" t="str">
        <f t="shared" si="13"/>
        <v/>
      </c>
      <c r="CQ22" s="55" t="str">
        <f t="shared" si="13"/>
        <v/>
      </c>
      <c r="CR22" s="55" t="str">
        <f t="shared" si="13"/>
        <v/>
      </c>
      <c r="CS22" s="55" t="str">
        <f t="shared" si="13"/>
        <v/>
      </c>
      <c r="CT22" s="55" t="str">
        <f t="shared" si="13"/>
        <v/>
      </c>
      <c r="CU22" s="55" t="str">
        <f t="shared" si="13"/>
        <v/>
      </c>
      <c r="CV22" s="55" t="str">
        <f t="shared" si="13"/>
        <v/>
      </c>
      <c r="CW22" s="55" t="str">
        <f t="shared" si="13"/>
        <v/>
      </c>
      <c r="CX22" s="55" t="str">
        <f t="shared" si="13"/>
        <v/>
      </c>
      <c r="CY22" s="55" t="str">
        <f t="shared" si="13"/>
        <v/>
      </c>
      <c r="CZ22" s="55" t="str">
        <f t="shared" si="13"/>
        <v/>
      </c>
      <c r="DA22" s="55" t="str">
        <f t="shared" si="13"/>
        <v/>
      </c>
      <c r="DB22" s="55" t="str">
        <f t="shared" si="13"/>
        <v/>
      </c>
      <c r="DC22" s="55" t="str">
        <f t="shared" si="13"/>
        <v/>
      </c>
      <c r="DD22" s="55" t="str">
        <f t="shared" si="13"/>
        <v/>
      </c>
      <c r="DE22" s="55" t="str">
        <f t="shared" si="13"/>
        <v/>
      </c>
      <c r="DF22" s="55" t="str">
        <f t="shared" si="13"/>
        <v/>
      </c>
      <c r="DG22" s="55" t="str">
        <f t="shared" si="13"/>
        <v/>
      </c>
      <c r="DH22" s="55" t="str">
        <f t="shared" si="13"/>
        <v/>
      </c>
      <c r="DI22" s="55" t="str">
        <f t="shared" si="13"/>
        <v/>
      </c>
      <c r="DJ22" s="55" t="str">
        <f t="shared" si="13"/>
        <v/>
      </c>
      <c r="DK22" s="55" t="str">
        <f t="shared" si="13"/>
        <v/>
      </c>
      <c r="DL22" s="55" t="str">
        <f t="shared" si="13"/>
        <v/>
      </c>
      <c r="DM22" s="55" t="str">
        <f t="shared" si="13"/>
        <v/>
      </c>
      <c r="DN22" s="55" t="str">
        <f t="shared" si="13"/>
        <v/>
      </c>
      <c r="DO22" s="55" t="str">
        <f t="shared" si="13"/>
        <v/>
      </c>
      <c r="DP22" s="55" t="str">
        <f t="shared" si="13"/>
        <v/>
      </c>
      <c r="DQ22" s="55" t="str">
        <f t="shared" si="13"/>
        <v/>
      </c>
      <c r="DR22" s="55" t="str">
        <f t="shared" si="13"/>
        <v/>
      </c>
      <c r="DS22" s="55" t="str">
        <f t="shared" si="13"/>
        <v/>
      </c>
      <c r="DT22" s="106" t="str">
        <f t="shared" si="13"/>
        <v/>
      </c>
      <c r="DU22" s="54"/>
      <c r="DV22" s="25"/>
      <c r="DW22" s="61" t="str">
        <f t="shared" ref="DW22:GG25" si="17">IF($B22=DW$12,$O22,"")</f>
        <v/>
      </c>
      <c r="DX22" s="50" t="str">
        <f t="shared" si="17"/>
        <v/>
      </c>
      <c r="DY22" s="50" t="str">
        <f t="shared" si="17"/>
        <v/>
      </c>
      <c r="DZ22" s="50" t="str">
        <f t="shared" si="17"/>
        <v/>
      </c>
      <c r="EA22" s="50" t="str">
        <f t="shared" si="17"/>
        <v/>
      </c>
      <c r="EB22" s="50" t="str">
        <f t="shared" si="17"/>
        <v/>
      </c>
      <c r="EC22" s="50" t="str">
        <f t="shared" si="17"/>
        <v/>
      </c>
      <c r="ED22" s="50" t="str">
        <f t="shared" si="17"/>
        <v/>
      </c>
      <c r="EE22" s="50" t="str">
        <f t="shared" si="17"/>
        <v/>
      </c>
      <c r="EF22" s="50" t="str">
        <f t="shared" si="17"/>
        <v/>
      </c>
      <c r="EG22" s="50" t="str">
        <f t="shared" si="17"/>
        <v/>
      </c>
      <c r="EH22" s="50" t="str">
        <f t="shared" si="17"/>
        <v/>
      </c>
      <c r="EI22" s="50" t="str">
        <f t="shared" si="17"/>
        <v/>
      </c>
      <c r="EJ22" s="50" t="str">
        <f t="shared" si="17"/>
        <v/>
      </c>
      <c r="EK22" s="50" t="str">
        <f t="shared" si="17"/>
        <v/>
      </c>
      <c r="EL22" s="50" t="str">
        <f t="shared" si="17"/>
        <v/>
      </c>
      <c r="EM22" s="50" t="str">
        <f t="shared" si="17"/>
        <v/>
      </c>
      <c r="EN22" s="50" t="str">
        <f t="shared" si="17"/>
        <v/>
      </c>
      <c r="EO22" s="50" t="str">
        <f t="shared" si="17"/>
        <v/>
      </c>
      <c r="EP22" s="50" t="str">
        <f t="shared" si="17"/>
        <v/>
      </c>
      <c r="EQ22" s="50" t="str">
        <f t="shared" si="17"/>
        <v/>
      </c>
      <c r="ER22" s="50" t="str">
        <f t="shared" si="17"/>
        <v/>
      </c>
      <c r="ES22" s="50" t="str">
        <f t="shared" si="17"/>
        <v/>
      </c>
      <c r="ET22" s="50" t="str">
        <f t="shared" si="17"/>
        <v/>
      </c>
      <c r="EU22" s="50" t="str">
        <f t="shared" si="17"/>
        <v/>
      </c>
      <c r="EV22" s="50" t="str">
        <f t="shared" si="17"/>
        <v/>
      </c>
      <c r="EW22" s="50" t="str">
        <f t="shared" si="17"/>
        <v/>
      </c>
      <c r="EX22" s="50" t="str">
        <f t="shared" si="17"/>
        <v/>
      </c>
      <c r="EY22" s="50" t="str">
        <f t="shared" si="17"/>
        <v/>
      </c>
      <c r="EZ22" s="50" t="str">
        <f t="shared" si="17"/>
        <v/>
      </c>
      <c r="FA22" s="50" t="str">
        <f t="shared" si="17"/>
        <v/>
      </c>
      <c r="FB22" s="50" t="str">
        <f t="shared" si="17"/>
        <v/>
      </c>
      <c r="FC22" s="50" t="str">
        <f t="shared" si="17"/>
        <v/>
      </c>
      <c r="FD22" s="50" t="str">
        <f t="shared" si="17"/>
        <v/>
      </c>
      <c r="FE22" s="50" t="str">
        <f t="shared" si="17"/>
        <v/>
      </c>
      <c r="FF22" s="50" t="str">
        <f t="shared" si="17"/>
        <v/>
      </c>
      <c r="FG22" s="50" t="str">
        <f t="shared" si="17"/>
        <v/>
      </c>
      <c r="FH22" s="50" t="str">
        <f t="shared" si="17"/>
        <v/>
      </c>
      <c r="FI22" s="50" t="str">
        <f t="shared" si="17"/>
        <v/>
      </c>
      <c r="FJ22" s="50" t="str">
        <f t="shared" si="17"/>
        <v/>
      </c>
      <c r="FK22" s="50" t="str">
        <f t="shared" si="17"/>
        <v/>
      </c>
      <c r="FL22" s="50" t="str">
        <f t="shared" si="17"/>
        <v/>
      </c>
      <c r="FM22" s="50" t="str">
        <f t="shared" si="17"/>
        <v/>
      </c>
      <c r="FN22" s="50" t="str">
        <f t="shared" si="17"/>
        <v/>
      </c>
      <c r="FO22" s="50" t="str">
        <f t="shared" si="17"/>
        <v/>
      </c>
      <c r="FP22" s="50" t="str">
        <f t="shared" si="17"/>
        <v/>
      </c>
      <c r="FQ22" s="50" t="str">
        <f t="shared" si="17"/>
        <v/>
      </c>
      <c r="FR22" s="50" t="str">
        <f t="shared" si="17"/>
        <v/>
      </c>
      <c r="FS22" s="50" t="str">
        <f t="shared" si="17"/>
        <v/>
      </c>
      <c r="FT22" s="50" t="str">
        <f t="shared" si="17"/>
        <v/>
      </c>
      <c r="FU22" s="50" t="str">
        <f t="shared" si="17"/>
        <v/>
      </c>
      <c r="FV22" s="50" t="str">
        <f t="shared" si="17"/>
        <v/>
      </c>
      <c r="FW22" s="50" t="str">
        <f t="shared" si="17"/>
        <v/>
      </c>
      <c r="FX22" s="50" t="str">
        <f t="shared" si="17"/>
        <v/>
      </c>
      <c r="FY22" s="50" t="str">
        <f t="shared" si="17"/>
        <v/>
      </c>
      <c r="FZ22" s="50" t="str">
        <f t="shared" si="17"/>
        <v/>
      </c>
      <c r="GA22" s="50" t="str">
        <f t="shared" si="17"/>
        <v/>
      </c>
      <c r="GB22" s="50" t="str">
        <f t="shared" si="17"/>
        <v/>
      </c>
      <c r="GC22" s="50" t="str">
        <f t="shared" si="17"/>
        <v/>
      </c>
      <c r="GD22" s="50" t="str">
        <f t="shared" si="17"/>
        <v/>
      </c>
      <c r="GE22" s="50" t="str">
        <f t="shared" si="17"/>
        <v/>
      </c>
      <c r="GF22" s="50" t="str">
        <f t="shared" si="17"/>
        <v/>
      </c>
      <c r="GG22" s="50" t="str">
        <f t="shared" si="17"/>
        <v/>
      </c>
      <c r="GH22" s="50" t="str">
        <f t="shared" si="14"/>
        <v/>
      </c>
      <c r="GI22" s="50" t="str">
        <f t="shared" si="14"/>
        <v/>
      </c>
      <c r="GJ22" s="50" t="str">
        <f t="shared" si="14"/>
        <v/>
      </c>
      <c r="GK22" s="50" t="str">
        <f t="shared" si="14"/>
        <v/>
      </c>
      <c r="GL22" s="50" t="str">
        <f t="shared" si="15"/>
        <v/>
      </c>
      <c r="GM22" s="50" t="str">
        <f t="shared" si="15"/>
        <v/>
      </c>
      <c r="GN22" s="50" t="str">
        <f t="shared" si="15"/>
        <v/>
      </c>
      <c r="GO22" s="50" t="str">
        <f t="shared" si="15"/>
        <v/>
      </c>
      <c r="GP22" s="50" t="str">
        <f t="shared" si="15"/>
        <v/>
      </c>
      <c r="GQ22" s="50" t="str">
        <f t="shared" si="15"/>
        <v/>
      </c>
      <c r="GR22" s="50" t="str">
        <f t="shared" si="15"/>
        <v/>
      </c>
      <c r="GS22" s="50" t="str">
        <f t="shared" si="15"/>
        <v/>
      </c>
      <c r="GT22" s="50" t="str">
        <f t="shared" si="15"/>
        <v/>
      </c>
      <c r="GU22" s="50" t="str">
        <f t="shared" si="15"/>
        <v/>
      </c>
      <c r="GV22" s="50" t="str">
        <f t="shared" si="15"/>
        <v/>
      </c>
      <c r="GW22" s="50" t="str">
        <f t="shared" si="15"/>
        <v/>
      </c>
      <c r="GX22" s="50" t="str">
        <f t="shared" si="15"/>
        <v/>
      </c>
      <c r="GY22" s="50" t="str">
        <f t="shared" si="15"/>
        <v/>
      </c>
      <c r="GZ22" s="50" t="str">
        <f t="shared" si="15"/>
        <v/>
      </c>
      <c r="HA22" s="50" t="str">
        <f t="shared" si="15"/>
        <v/>
      </c>
      <c r="HB22" s="50" t="str">
        <f t="shared" si="15"/>
        <v/>
      </c>
      <c r="HC22" s="50" t="str">
        <f t="shared" si="15"/>
        <v/>
      </c>
      <c r="HD22" s="50" t="str">
        <f t="shared" si="15"/>
        <v/>
      </c>
      <c r="HE22" s="50" t="str">
        <f t="shared" si="15"/>
        <v/>
      </c>
      <c r="HF22" s="50" t="str">
        <f t="shared" si="15"/>
        <v/>
      </c>
      <c r="HG22" s="50" t="str">
        <f t="shared" si="15"/>
        <v/>
      </c>
      <c r="HH22" s="50" t="str">
        <f t="shared" si="15"/>
        <v/>
      </c>
      <c r="HI22" s="50" t="str">
        <f t="shared" si="15"/>
        <v/>
      </c>
      <c r="HJ22" s="50" t="str">
        <f t="shared" si="15"/>
        <v/>
      </c>
      <c r="HK22" s="50" t="str">
        <f t="shared" si="15"/>
        <v/>
      </c>
      <c r="HL22" s="50" t="str">
        <f t="shared" si="15"/>
        <v/>
      </c>
      <c r="HM22" s="50" t="str">
        <f t="shared" si="15"/>
        <v/>
      </c>
      <c r="HN22" s="50" t="str">
        <f t="shared" si="15"/>
        <v/>
      </c>
      <c r="HO22" s="50" t="str">
        <f t="shared" si="15"/>
        <v/>
      </c>
      <c r="HP22" s="50" t="str">
        <f t="shared" si="15"/>
        <v/>
      </c>
      <c r="HQ22" s="50" t="str">
        <f t="shared" si="15"/>
        <v/>
      </c>
      <c r="HR22" s="112" t="str">
        <f t="shared" si="15"/>
        <v/>
      </c>
    </row>
    <row r="23" spans="1:226" ht="11.1" customHeight="1" x14ac:dyDescent="0.25">
      <c r="A23" s="26">
        <v>3725</v>
      </c>
      <c r="B23" s="144">
        <v>3</v>
      </c>
      <c r="C23" s="28" t="str">
        <f>IF(A23=0,"",VLOOKUP(A23,[2]CO!$A$3:$F$5327,2,0))</f>
        <v>ARROYO SANCHEZ JOSE CARLOS</v>
      </c>
      <c r="D23" s="148"/>
      <c r="E23" s="29"/>
      <c r="F23" s="29"/>
      <c r="G23" s="30" t="str">
        <f>IF(A23=0,"",VLOOKUP(A23,[2]CO!$A$3:$F$5327,3,0))</f>
        <v>OF</v>
      </c>
      <c r="H23" s="142"/>
      <c r="I23" s="143"/>
      <c r="J23" s="143"/>
      <c r="K23" s="143"/>
      <c r="L23" s="143">
        <v>7</v>
      </c>
      <c r="M23" s="32">
        <f t="shared" si="0"/>
        <v>7</v>
      </c>
      <c r="N23" s="32">
        <f>IF(B23=0,"",IF(H23="M",HLOOKUP(B23,$Y$12:$DT$13,2),IF(A23=0,"",VLOOKUP(A23,[2]CO!$A$3:$F$5327,4,0))))</f>
        <v>638.79999999999995</v>
      </c>
      <c r="O23" s="32">
        <f t="shared" si="7"/>
        <v>4471.5999999999995</v>
      </c>
      <c r="P23" s="33">
        <v>3</v>
      </c>
      <c r="Q23" s="34">
        <f t="shared" si="1"/>
        <v>4471.5999999999995</v>
      </c>
      <c r="R23" s="35">
        <f>IF(S23=0,"",IF(OR(G23="PEON",G23="OF",G23="JARD",G23="CARP",G23="MAESTRO",G23="SOLD",G23="BGRO",G23="CHOFER",G23="AYTE",G23="S.INTTE.",G23="ASEO",G23="P.PISOS",G23="VELADOR",G23="RESID",G23="PINTOR",G23="ELECT",G23="AZULE",G23="AUX CONT.",G23="SECRETARIA",G23="AUXILIAR ADMTVO.",G23="ARQUITECTO",G23="DIBUJANTE",G23="AUX. DE RESIDENTE"),VLOOKUP(B23,P$14:Q$55,2),"")*S23)</f>
        <v>4471.5999999999995</v>
      </c>
      <c r="S23" s="118">
        <v>1</v>
      </c>
      <c r="T23" s="53">
        <f>IF(A23=0,"",VLOOKUP(A23,[2]CO!$A$3:$F$5318,5,0))</f>
        <v>0</v>
      </c>
      <c r="U23" s="54">
        <f t="shared" si="2"/>
        <v>0</v>
      </c>
      <c r="V23" s="24"/>
      <c r="W23" s="25"/>
      <c r="X23" s="25"/>
      <c r="Y23" s="64" t="str">
        <f t="shared" si="16"/>
        <v/>
      </c>
      <c r="Z23" s="55" t="str">
        <f t="shared" si="16"/>
        <v/>
      </c>
      <c r="AA23" s="55">
        <f t="shared" si="16"/>
        <v>0</v>
      </c>
      <c r="AB23" s="55" t="str">
        <f t="shared" si="16"/>
        <v/>
      </c>
      <c r="AC23" s="55" t="str">
        <f t="shared" si="16"/>
        <v/>
      </c>
      <c r="AD23" s="55" t="str">
        <f t="shared" si="16"/>
        <v/>
      </c>
      <c r="AE23" s="55" t="str">
        <f t="shared" si="16"/>
        <v/>
      </c>
      <c r="AF23" s="55" t="str">
        <f t="shared" si="16"/>
        <v/>
      </c>
      <c r="AG23" s="55" t="str">
        <f t="shared" si="16"/>
        <v/>
      </c>
      <c r="AH23" s="55" t="str">
        <f t="shared" si="16"/>
        <v/>
      </c>
      <c r="AI23" s="55" t="str">
        <f t="shared" si="16"/>
        <v/>
      </c>
      <c r="AJ23" s="55" t="str">
        <f t="shared" si="16"/>
        <v/>
      </c>
      <c r="AK23" s="55" t="str">
        <f t="shared" si="16"/>
        <v/>
      </c>
      <c r="AL23" s="55" t="str">
        <f t="shared" si="16"/>
        <v/>
      </c>
      <c r="AM23" s="55" t="str">
        <f t="shared" si="16"/>
        <v/>
      </c>
      <c r="AN23" s="55" t="str">
        <f t="shared" si="16"/>
        <v/>
      </c>
      <c r="AO23" s="55" t="str">
        <f t="shared" si="16"/>
        <v/>
      </c>
      <c r="AP23" s="55" t="str">
        <f t="shared" si="16"/>
        <v/>
      </c>
      <c r="AQ23" s="55" t="str">
        <f t="shared" si="16"/>
        <v/>
      </c>
      <c r="AR23" s="55" t="str">
        <f t="shared" si="16"/>
        <v/>
      </c>
      <c r="AS23" s="55" t="str">
        <f t="shared" si="16"/>
        <v/>
      </c>
      <c r="AT23" s="55" t="str">
        <f t="shared" si="16"/>
        <v/>
      </c>
      <c r="AU23" s="55" t="str">
        <f t="shared" si="16"/>
        <v/>
      </c>
      <c r="AV23" s="55" t="str">
        <f t="shared" si="16"/>
        <v/>
      </c>
      <c r="AW23" s="55" t="str">
        <f t="shared" si="16"/>
        <v/>
      </c>
      <c r="AX23" s="55" t="str">
        <f t="shared" si="16"/>
        <v/>
      </c>
      <c r="AY23" s="55" t="str">
        <f t="shared" si="16"/>
        <v/>
      </c>
      <c r="AZ23" s="55" t="str">
        <f t="shared" si="16"/>
        <v/>
      </c>
      <c r="BA23" s="55" t="str">
        <f t="shared" si="16"/>
        <v/>
      </c>
      <c r="BB23" s="55" t="str">
        <f t="shared" si="16"/>
        <v/>
      </c>
      <c r="BC23" s="55" t="str">
        <f t="shared" si="16"/>
        <v/>
      </c>
      <c r="BD23" s="55" t="str">
        <f t="shared" si="16"/>
        <v/>
      </c>
      <c r="BE23" s="55" t="str">
        <f t="shared" si="16"/>
        <v/>
      </c>
      <c r="BF23" s="55" t="str">
        <f t="shared" si="16"/>
        <v/>
      </c>
      <c r="BG23" s="55" t="str">
        <f t="shared" si="16"/>
        <v/>
      </c>
      <c r="BH23" s="55" t="str">
        <f t="shared" si="16"/>
        <v/>
      </c>
      <c r="BI23" s="55" t="str">
        <f t="shared" si="16"/>
        <v/>
      </c>
      <c r="BJ23" s="55" t="str">
        <f t="shared" si="16"/>
        <v/>
      </c>
      <c r="BK23" s="55" t="str">
        <f t="shared" si="16"/>
        <v/>
      </c>
      <c r="BL23" s="55" t="str">
        <f t="shared" si="16"/>
        <v/>
      </c>
      <c r="BM23" s="55" t="str">
        <f t="shared" si="16"/>
        <v/>
      </c>
      <c r="BN23" s="55" t="str">
        <f t="shared" si="16"/>
        <v/>
      </c>
      <c r="BO23" s="55" t="str">
        <f t="shared" si="16"/>
        <v/>
      </c>
      <c r="BP23" s="55" t="str">
        <f t="shared" si="16"/>
        <v/>
      </c>
      <c r="BQ23" s="55" t="str">
        <f t="shared" si="16"/>
        <v/>
      </c>
      <c r="BR23" s="55" t="str">
        <f t="shared" si="16"/>
        <v/>
      </c>
      <c r="BS23" s="55" t="str">
        <f t="shared" si="16"/>
        <v/>
      </c>
      <c r="BT23" s="55" t="str">
        <f t="shared" si="16"/>
        <v/>
      </c>
      <c r="BU23" s="55" t="str">
        <f t="shared" si="16"/>
        <v/>
      </c>
      <c r="BV23" s="55" t="str">
        <f t="shared" si="16"/>
        <v/>
      </c>
      <c r="BW23" s="55" t="str">
        <f t="shared" si="16"/>
        <v/>
      </c>
      <c r="BX23" s="55" t="str">
        <f t="shared" si="16"/>
        <v/>
      </c>
      <c r="BY23" s="55" t="str">
        <f t="shared" si="16"/>
        <v/>
      </c>
      <c r="BZ23" s="55" t="str">
        <f t="shared" si="16"/>
        <v/>
      </c>
      <c r="CA23" s="55" t="str">
        <f t="shared" si="16"/>
        <v/>
      </c>
      <c r="CB23" s="55" t="str">
        <f t="shared" si="16"/>
        <v/>
      </c>
      <c r="CC23" s="55" t="str">
        <f t="shared" si="16"/>
        <v/>
      </c>
      <c r="CD23" s="55" t="str">
        <f t="shared" si="16"/>
        <v/>
      </c>
      <c r="CE23" s="55" t="str">
        <f t="shared" si="16"/>
        <v/>
      </c>
      <c r="CF23" s="55" t="str">
        <f t="shared" si="16"/>
        <v/>
      </c>
      <c r="CG23" s="55" t="str">
        <f t="shared" si="16"/>
        <v/>
      </c>
      <c r="CH23" s="55" t="str">
        <f t="shared" si="16"/>
        <v/>
      </c>
      <c r="CI23" s="55" t="str">
        <f t="shared" si="16"/>
        <v/>
      </c>
      <c r="CJ23" s="55" t="str">
        <f t="shared" si="12"/>
        <v/>
      </c>
      <c r="CK23" s="55" t="str">
        <f t="shared" si="12"/>
        <v/>
      </c>
      <c r="CL23" s="55" t="str">
        <f t="shared" si="12"/>
        <v/>
      </c>
      <c r="CM23" s="55" t="str">
        <f t="shared" si="12"/>
        <v/>
      </c>
      <c r="CN23" s="55" t="str">
        <f t="shared" si="13"/>
        <v/>
      </c>
      <c r="CO23" s="55" t="str">
        <f t="shared" si="13"/>
        <v/>
      </c>
      <c r="CP23" s="55" t="str">
        <f t="shared" si="13"/>
        <v/>
      </c>
      <c r="CQ23" s="55" t="str">
        <f t="shared" si="13"/>
        <v/>
      </c>
      <c r="CR23" s="55" t="str">
        <f t="shared" si="13"/>
        <v/>
      </c>
      <c r="CS23" s="55" t="str">
        <f t="shared" si="13"/>
        <v/>
      </c>
      <c r="CT23" s="55" t="str">
        <f t="shared" si="13"/>
        <v/>
      </c>
      <c r="CU23" s="55" t="str">
        <f t="shared" si="13"/>
        <v/>
      </c>
      <c r="CV23" s="55" t="str">
        <f t="shared" si="13"/>
        <v/>
      </c>
      <c r="CW23" s="55" t="str">
        <f t="shared" si="13"/>
        <v/>
      </c>
      <c r="CX23" s="55" t="str">
        <f t="shared" si="13"/>
        <v/>
      </c>
      <c r="CY23" s="55" t="str">
        <f t="shared" si="13"/>
        <v/>
      </c>
      <c r="CZ23" s="55" t="str">
        <f t="shared" si="13"/>
        <v/>
      </c>
      <c r="DA23" s="55" t="str">
        <f t="shared" si="13"/>
        <v/>
      </c>
      <c r="DB23" s="55" t="str">
        <f t="shared" si="13"/>
        <v/>
      </c>
      <c r="DC23" s="55" t="str">
        <f t="shared" si="13"/>
        <v/>
      </c>
      <c r="DD23" s="55" t="str">
        <f t="shared" si="13"/>
        <v/>
      </c>
      <c r="DE23" s="55" t="str">
        <f t="shared" si="13"/>
        <v/>
      </c>
      <c r="DF23" s="55" t="str">
        <f t="shared" si="13"/>
        <v/>
      </c>
      <c r="DG23" s="55" t="str">
        <f t="shared" si="13"/>
        <v/>
      </c>
      <c r="DH23" s="55" t="str">
        <f t="shared" si="13"/>
        <v/>
      </c>
      <c r="DI23" s="55" t="str">
        <f t="shared" si="13"/>
        <v/>
      </c>
      <c r="DJ23" s="55" t="str">
        <f t="shared" si="13"/>
        <v/>
      </c>
      <c r="DK23" s="55" t="str">
        <f t="shared" si="13"/>
        <v/>
      </c>
      <c r="DL23" s="55" t="str">
        <f t="shared" si="13"/>
        <v/>
      </c>
      <c r="DM23" s="55" t="str">
        <f t="shared" si="13"/>
        <v/>
      </c>
      <c r="DN23" s="55" t="str">
        <f t="shared" si="13"/>
        <v/>
      </c>
      <c r="DO23" s="55" t="str">
        <f t="shared" si="13"/>
        <v/>
      </c>
      <c r="DP23" s="55" t="str">
        <f t="shared" si="13"/>
        <v/>
      </c>
      <c r="DQ23" s="55" t="str">
        <f t="shared" si="13"/>
        <v/>
      </c>
      <c r="DR23" s="55" t="str">
        <f t="shared" si="13"/>
        <v/>
      </c>
      <c r="DS23" s="55" t="str">
        <f t="shared" si="13"/>
        <v/>
      </c>
      <c r="DT23" s="106" t="str">
        <f t="shared" si="13"/>
        <v/>
      </c>
      <c r="DU23" s="54"/>
      <c r="DV23" s="25"/>
      <c r="DW23" s="61" t="str">
        <f t="shared" si="17"/>
        <v/>
      </c>
      <c r="DX23" s="50" t="str">
        <f t="shared" si="17"/>
        <v/>
      </c>
      <c r="DY23" s="50">
        <f t="shared" si="17"/>
        <v>4471.5999999999995</v>
      </c>
      <c r="DZ23" s="50" t="str">
        <f t="shared" si="17"/>
        <v/>
      </c>
      <c r="EA23" s="50" t="str">
        <f t="shared" si="17"/>
        <v/>
      </c>
      <c r="EB23" s="50" t="str">
        <f t="shared" si="17"/>
        <v/>
      </c>
      <c r="EC23" s="50" t="str">
        <f t="shared" si="17"/>
        <v/>
      </c>
      <c r="ED23" s="50" t="str">
        <f t="shared" si="17"/>
        <v/>
      </c>
      <c r="EE23" s="50" t="str">
        <f t="shared" si="17"/>
        <v/>
      </c>
      <c r="EF23" s="50" t="str">
        <f t="shared" si="17"/>
        <v/>
      </c>
      <c r="EG23" s="50" t="str">
        <f t="shared" si="17"/>
        <v/>
      </c>
      <c r="EH23" s="50" t="str">
        <f t="shared" si="17"/>
        <v/>
      </c>
      <c r="EI23" s="50" t="str">
        <f t="shared" si="17"/>
        <v/>
      </c>
      <c r="EJ23" s="50" t="str">
        <f t="shared" si="17"/>
        <v/>
      </c>
      <c r="EK23" s="50" t="str">
        <f t="shared" si="17"/>
        <v/>
      </c>
      <c r="EL23" s="50" t="str">
        <f t="shared" si="17"/>
        <v/>
      </c>
      <c r="EM23" s="50" t="str">
        <f t="shared" si="17"/>
        <v/>
      </c>
      <c r="EN23" s="50" t="str">
        <f t="shared" si="17"/>
        <v/>
      </c>
      <c r="EO23" s="50" t="str">
        <f t="shared" si="17"/>
        <v/>
      </c>
      <c r="EP23" s="50" t="str">
        <f t="shared" si="17"/>
        <v/>
      </c>
      <c r="EQ23" s="50" t="str">
        <f t="shared" si="17"/>
        <v/>
      </c>
      <c r="ER23" s="50" t="str">
        <f t="shared" si="17"/>
        <v/>
      </c>
      <c r="ES23" s="50" t="str">
        <f t="shared" si="17"/>
        <v/>
      </c>
      <c r="ET23" s="50" t="str">
        <f t="shared" si="17"/>
        <v/>
      </c>
      <c r="EU23" s="50" t="str">
        <f t="shared" si="17"/>
        <v/>
      </c>
      <c r="EV23" s="50" t="str">
        <f t="shared" si="17"/>
        <v/>
      </c>
      <c r="EW23" s="50" t="str">
        <f t="shared" si="17"/>
        <v/>
      </c>
      <c r="EX23" s="50" t="str">
        <f t="shared" si="17"/>
        <v/>
      </c>
      <c r="EY23" s="50" t="str">
        <f t="shared" si="17"/>
        <v/>
      </c>
      <c r="EZ23" s="50" t="str">
        <f t="shared" si="17"/>
        <v/>
      </c>
      <c r="FA23" s="50" t="str">
        <f t="shared" si="17"/>
        <v/>
      </c>
      <c r="FB23" s="50" t="str">
        <f t="shared" si="17"/>
        <v/>
      </c>
      <c r="FC23" s="50" t="str">
        <f t="shared" si="17"/>
        <v/>
      </c>
      <c r="FD23" s="50" t="str">
        <f t="shared" si="17"/>
        <v/>
      </c>
      <c r="FE23" s="50" t="str">
        <f t="shared" si="17"/>
        <v/>
      </c>
      <c r="FF23" s="50" t="str">
        <f t="shared" si="17"/>
        <v/>
      </c>
      <c r="FG23" s="50" t="str">
        <f t="shared" si="17"/>
        <v/>
      </c>
      <c r="FH23" s="50" t="str">
        <f t="shared" si="17"/>
        <v/>
      </c>
      <c r="FI23" s="50" t="str">
        <f t="shared" si="17"/>
        <v/>
      </c>
      <c r="FJ23" s="50" t="str">
        <f t="shared" si="17"/>
        <v/>
      </c>
      <c r="FK23" s="50" t="str">
        <f t="shared" si="17"/>
        <v/>
      </c>
      <c r="FL23" s="50" t="str">
        <f t="shared" si="17"/>
        <v/>
      </c>
      <c r="FM23" s="50" t="str">
        <f t="shared" si="17"/>
        <v/>
      </c>
      <c r="FN23" s="50" t="str">
        <f t="shared" si="17"/>
        <v/>
      </c>
      <c r="FO23" s="50" t="str">
        <f t="shared" si="17"/>
        <v/>
      </c>
      <c r="FP23" s="50" t="str">
        <f t="shared" si="17"/>
        <v/>
      </c>
      <c r="FQ23" s="50" t="str">
        <f t="shared" si="17"/>
        <v/>
      </c>
      <c r="FR23" s="50" t="str">
        <f t="shared" si="17"/>
        <v/>
      </c>
      <c r="FS23" s="50" t="str">
        <f t="shared" si="17"/>
        <v/>
      </c>
      <c r="FT23" s="50" t="str">
        <f t="shared" si="17"/>
        <v/>
      </c>
      <c r="FU23" s="50" t="str">
        <f t="shared" si="17"/>
        <v/>
      </c>
      <c r="FV23" s="50" t="str">
        <f t="shared" si="17"/>
        <v/>
      </c>
      <c r="FW23" s="50" t="str">
        <f t="shared" si="17"/>
        <v/>
      </c>
      <c r="FX23" s="50" t="str">
        <f t="shared" si="17"/>
        <v/>
      </c>
      <c r="FY23" s="50" t="str">
        <f t="shared" si="17"/>
        <v/>
      </c>
      <c r="FZ23" s="50" t="str">
        <f t="shared" si="17"/>
        <v/>
      </c>
      <c r="GA23" s="50" t="str">
        <f t="shared" si="17"/>
        <v/>
      </c>
      <c r="GB23" s="50" t="str">
        <f t="shared" si="17"/>
        <v/>
      </c>
      <c r="GC23" s="50" t="str">
        <f t="shared" si="17"/>
        <v/>
      </c>
      <c r="GD23" s="50" t="str">
        <f t="shared" si="17"/>
        <v/>
      </c>
      <c r="GE23" s="50" t="str">
        <f t="shared" si="17"/>
        <v/>
      </c>
      <c r="GF23" s="50" t="str">
        <f t="shared" si="17"/>
        <v/>
      </c>
      <c r="GG23" s="50" t="str">
        <f t="shared" si="17"/>
        <v/>
      </c>
      <c r="GH23" s="50" t="str">
        <f t="shared" si="14"/>
        <v/>
      </c>
      <c r="GI23" s="50" t="str">
        <f t="shared" si="14"/>
        <v/>
      </c>
      <c r="GJ23" s="50" t="str">
        <f t="shared" si="14"/>
        <v/>
      </c>
      <c r="GK23" s="50" t="str">
        <f t="shared" si="14"/>
        <v/>
      </c>
      <c r="GL23" s="50" t="str">
        <f t="shared" si="15"/>
        <v/>
      </c>
      <c r="GM23" s="50" t="str">
        <f t="shared" si="15"/>
        <v/>
      </c>
      <c r="GN23" s="50" t="str">
        <f t="shared" si="15"/>
        <v/>
      </c>
      <c r="GO23" s="50" t="str">
        <f t="shared" si="15"/>
        <v/>
      </c>
      <c r="GP23" s="50" t="str">
        <f t="shared" si="15"/>
        <v/>
      </c>
      <c r="GQ23" s="50" t="str">
        <f t="shared" si="15"/>
        <v/>
      </c>
      <c r="GR23" s="50" t="str">
        <f t="shared" si="15"/>
        <v/>
      </c>
      <c r="GS23" s="50" t="str">
        <f t="shared" si="15"/>
        <v/>
      </c>
      <c r="GT23" s="50" t="str">
        <f t="shared" si="15"/>
        <v/>
      </c>
      <c r="GU23" s="50" t="str">
        <f t="shared" si="15"/>
        <v/>
      </c>
      <c r="GV23" s="50" t="str">
        <f t="shared" si="15"/>
        <v/>
      </c>
      <c r="GW23" s="50" t="str">
        <f t="shared" si="15"/>
        <v/>
      </c>
      <c r="GX23" s="50" t="str">
        <f t="shared" si="15"/>
        <v/>
      </c>
      <c r="GY23" s="50" t="str">
        <f t="shared" si="15"/>
        <v/>
      </c>
      <c r="GZ23" s="50" t="str">
        <f t="shared" si="15"/>
        <v/>
      </c>
      <c r="HA23" s="50" t="str">
        <f t="shared" si="15"/>
        <v/>
      </c>
      <c r="HB23" s="50" t="str">
        <f t="shared" si="15"/>
        <v/>
      </c>
      <c r="HC23" s="50" t="str">
        <f t="shared" si="15"/>
        <v/>
      </c>
      <c r="HD23" s="50" t="str">
        <f t="shared" si="15"/>
        <v/>
      </c>
      <c r="HE23" s="50" t="str">
        <f t="shared" si="15"/>
        <v/>
      </c>
      <c r="HF23" s="50" t="str">
        <f t="shared" si="15"/>
        <v/>
      </c>
      <c r="HG23" s="50" t="str">
        <f t="shared" si="15"/>
        <v/>
      </c>
      <c r="HH23" s="50" t="str">
        <f t="shared" si="15"/>
        <v/>
      </c>
      <c r="HI23" s="50" t="str">
        <f t="shared" si="15"/>
        <v/>
      </c>
      <c r="HJ23" s="50" t="str">
        <f t="shared" si="15"/>
        <v/>
      </c>
      <c r="HK23" s="50" t="str">
        <f t="shared" si="15"/>
        <v/>
      </c>
      <c r="HL23" s="50" t="str">
        <f t="shared" si="15"/>
        <v/>
      </c>
      <c r="HM23" s="50" t="str">
        <f t="shared" si="15"/>
        <v/>
      </c>
      <c r="HN23" s="50" t="str">
        <f t="shared" si="15"/>
        <v/>
      </c>
      <c r="HO23" s="50" t="str">
        <f t="shared" si="15"/>
        <v/>
      </c>
      <c r="HP23" s="50" t="str">
        <f t="shared" si="15"/>
        <v/>
      </c>
      <c r="HQ23" s="50" t="str">
        <f t="shared" si="15"/>
        <v/>
      </c>
      <c r="HR23" s="112" t="str">
        <f t="shared" si="15"/>
        <v/>
      </c>
    </row>
    <row r="24" spans="1:226" ht="11.1" customHeight="1" x14ac:dyDescent="0.25">
      <c r="A24" s="26"/>
      <c r="B24" s="144"/>
      <c r="C24" s="28" t="str">
        <f>IF(A24=0,"",VLOOKUP(A24,[2]CO!$A$3:$F$5327,2,0))</f>
        <v/>
      </c>
      <c r="D24" s="177" t="s">
        <v>30</v>
      </c>
      <c r="E24" s="29"/>
      <c r="F24" s="29"/>
      <c r="G24" s="30" t="str">
        <f>IF(A24=0,"",VLOOKUP(A24,[2]CO!$A$3:$F$5327,3,0))</f>
        <v/>
      </c>
      <c r="H24" s="142"/>
      <c r="I24" s="143"/>
      <c r="J24" s="143"/>
      <c r="K24" s="143"/>
      <c r="L24" s="143"/>
      <c r="M24" s="32" t="str">
        <f t="shared" si="0"/>
        <v/>
      </c>
      <c r="N24" s="32" t="str">
        <f>IF(B24=0,"",IF(H24="M",HLOOKUP(B24,$Y$12:$DT$13,2),IF(A24=0,"",VLOOKUP(A24,[2]CO!$A$3:$F$5327,4,0))))</f>
        <v/>
      </c>
      <c r="O24" s="32" t="str">
        <f t="shared" si="7"/>
        <v/>
      </c>
      <c r="P24" s="33"/>
      <c r="Q24" s="34" t="str">
        <f t="shared" si="1"/>
        <v/>
      </c>
      <c r="R24" s="35" t="str">
        <f>IF(S24=0,"",IF(OR(G24="PEON",G24="OF",G24="JARD",G24="CARP",G24="MAESTRO",G24="SOLD",G24="BGRO",G24="CHOFER",G24="AYTE",G24="S.INTTE.",G24="ASEO",G24="P.PISOS",G24="VELADOR",G24="RESID",G24="PINTOR",G24="ELECT",G24="AZULE",G24="AUX CONT.",G24="SECRETARIA",G24="AUXILIAR ADMTVO.",G24="ARQUITECTO",G24="DIBUJANTE",G24="AUX. DE RESIDENTE"),VLOOKUP(B24,P$14:Q$55,2),"")*S24)</f>
        <v/>
      </c>
      <c r="T24" s="53" t="str">
        <f>IF(A24=0,"",VLOOKUP(A24,[2]CO!$A$3:$F$5318,5,0))</f>
        <v/>
      </c>
      <c r="U24" s="54">
        <f t="shared" si="2"/>
        <v>0</v>
      </c>
      <c r="V24" s="24"/>
      <c r="W24" s="25"/>
      <c r="X24" s="25"/>
      <c r="Y24" s="64" t="str">
        <f t="shared" si="16"/>
        <v/>
      </c>
      <c r="Z24" s="55" t="str">
        <f t="shared" si="16"/>
        <v/>
      </c>
      <c r="AA24" s="55" t="str">
        <f t="shared" si="16"/>
        <v/>
      </c>
      <c r="AB24" s="55" t="str">
        <f t="shared" si="16"/>
        <v/>
      </c>
      <c r="AC24" s="55" t="str">
        <f t="shared" si="16"/>
        <v/>
      </c>
      <c r="AD24" s="55" t="str">
        <f t="shared" si="16"/>
        <v/>
      </c>
      <c r="AE24" s="55" t="str">
        <f t="shared" si="16"/>
        <v/>
      </c>
      <c r="AF24" s="55" t="str">
        <f t="shared" si="16"/>
        <v/>
      </c>
      <c r="AG24" s="55" t="str">
        <f t="shared" si="16"/>
        <v/>
      </c>
      <c r="AH24" s="55" t="str">
        <f t="shared" si="16"/>
        <v/>
      </c>
      <c r="AI24" s="55" t="str">
        <f t="shared" si="16"/>
        <v/>
      </c>
      <c r="AJ24" s="55" t="str">
        <f t="shared" si="16"/>
        <v/>
      </c>
      <c r="AK24" s="55" t="str">
        <f t="shared" si="16"/>
        <v/>
      </c>
      <c r="AL24" s="55" t="str">
        <f t="shared" si="16"/>
        <v/>
      </c>
      <c r="AM24" s="55" t="str">
        <f t="shared" si="16"/>
        <v/>
      </c>
      <c r="AN24" s="55" t="str">
        <f t="shared" si="16"/>
        <v/>
      </c>
      <c r="AO24" s="55" t="str">
        <f t="shared" si="16"/>
        <v/>
      </c>
      <c r="AP24" s="55" t="str">
        <f t="shared" si="16"/>
        <v/>
      </c>
      <c r="AQ24" s="55" t="str">
        <f t="shared" si="16"/>
        <v/>
      </c>
      <c r="AR24" s="55" t="str">
        <f t="shared" si="16"/>
        <v/>
      </c>
      <c r="AS24" s="55" t="str">
        <f t="shared" si="16"/>
        <v/>
      </c>
      <c r="AT24" s="55" t="str">
        <f t="shared" si="16"/>
        <v/>
      </c>
      <c r="AU24" s="55" t="str">
        <f t="shared" si="16"/>
        <v/>
      </c>
      <c r="AV24" s="55" t="str">
        <f t="shared" si="16"/>
        <v/>
      </c>
      <c r="AW24" s="55" t="str">
        <f t="shared" si="16"/>
        <v/>
      </c>
      <c r="AX24" s="55" t="str">
        <f t="shared" si="16"/>
        <v/>
      </c>
      <c r="AY24" s="55" t="str">
        <f t="shared" si="16"/>
        <v/>
      </c>
      <c r="AZ24" s="55" t="str">
        <f t="shared" si="16"/>
        <v/>
      </c>
      <c r="BA24" s="55" t="str">
        <f t="shared" si="16"/>
        <v/>
      </c>
      <c r="BB24" s="55" t="str">
        <f t="shared" si="16"/>
        <v/>
      </c>
      <c r="BC24" s="55" t="str">
        <f t="shared" si="16"/>
        <v/>
      </c>
      <c r="BD24" s="55" t="str">
        <f t="shared" si="16"/>
        <v/>
      </c>
      <c r="BE24" s="55" t="str">
        <f t="shared" si="16"/>
        <v/>
      </c>
      <c r="BF24" s="55" t="str">
        <f t="shared" si="16"/>
        <v/>
      </c>
      <c r="BG24" s="55" t="str">
        <f t="shared" si="16"/>
        <v/>
      </c>
      <c r="BH24" s="55" t="str">
        <f t="shared" si="16"/>
        <v/>
      </c>
      <c r="BI24" s="55" t="str">
        <f t="shared" si="16"/>
        <v/>
      </c>
      <c r="BJ24" s="55" t="str">
        <f t="shared" si="16"/>
        <v/>
      </c>
      <c r="BK24" s="55" t="str">
        <f t="shared" si="16"/>
        <v/>
      </c>
      <c r="BL24" s="55" t="str">
        <f t="shared" si="16"/>
        <v/>
      </c>
      <c r="BM24" s="55" t="str">
        <f t="shared" si="16"/>
        <v/>
      </c>
      <c r="BN24" s="55" t="str">
        <f t="shared" si="16"/>
        <v/>
      </c>
      <c r="BO24" s="55" t="str">
        <f t="shared" si="16"/>
        <v/>
      </c>
      <c r="BP24" s="55" t="str">
        <f t="shared" si="16"/>
        <v/>
      </c>
      <c r="BQ24" s="55" t="str">
        <f t="shared" si="16"/>
        <v/>
      </c>
      <c r="BR24" s="55" t="str">
        <f t="shared" si="16"/>
        <v/>
      </c>
      <c r="BS24" s="55" t="str">
        <f t="shared" si="16"/>
        <v/>
      </c>
      <c r="BT24" s="55" t="str">
        <f t="shared" si="16"/>
        <v/>
      </c>
      <c r="BU24" s="55" t="str">
        <f t="shared" si="16"/>
        <v/>
      </c>
      <c r="BV24" s="55" t="str">
        <f t="shared" si="16"/>
        <v/>
      </c>
      <c r="BW24" s="55" t="str">
        <f t="shared" si="16"/>
        <v/>
      </c>
      <c r="BX24" s="55" t="str">
        <f t="shared" si="16"/>
        <v/>
      </c>
      <c r="BY24" s="55" t="str">
        <f t="shared" si="16"/>
        <v/>
      </c>
      <c r="BZ24" s="55" t="str">
        <f t="shared" si="16"/>
        <v/>
      </c>
      <c r="CA24" s="55" t="str">
        <f t="shared" si="16"/>
        <v/>
      </c>
      <c r="CB24" s="55" t="str">
        <f t="shared" si="16"/>
        <v/>
      </c>
      <c r="CC24" s="55" t="str">
        <f t="shared" si="16"/>
        <v/>
      </c>
      <c r="CD24" s="55" t="str">
        <f t="shared" si="16"/>
        <v/>
      </c>
      <c r="CE24" s="55" t="str">
        <f t="shared" si="16"/>
        <v/>
      </c>
      <c r="CF24" s="55" t="str">
        <f t="shared" si="16"/>
        <v/>
      </c>
      <c r="CG24" s="55" t="str">
        <f t="shared" si="16"/>
        <v/>
      </c>
      <c r="CH24" s="55" t="str">
        <f t="shared" si="16"/>
        <v/>
      </c>
      <c r="CI24" s="55" t="str">
        <f t="shared" si="16"/>
        <v/>
      </c>
      <c r="CJ24" s="55" t="str">
        <f t="shared" si="12"/>
        <v/>
      </c>
      <c r="CK24" s="55" t="str">
        <f t="shared" si="12"/>
        <v/>
      </c>
      <c r="CL24" s="55" t="str">
        <f t="shared" si="12"/>
        <v/>
      </c>
      <c r="CM24" s="55" t="str">
        <f t="shared" si="12"/>
        <v/>
      </c>
      <c r="CN24" s="55" t="str">
        <f t="shared" si="12"/>
        <v/>
      </c>
      <c r="CO24" s="55" t="str">
        <f t="shared" si="12"/>
        <v/>
      </c>
      <c r="CP24" s="55" t="str">
        <f t="shared" si="12"/>
        <v/>
      </c>
      <c r="CQ24" s="55" t="str">
        <f t="shared" si="12"/>
        <v/>
      </c>
      <c r="CR24" s="55" t="str">
        <f t="shared" si="12"/>
        <v/>
      </c>
      <c r="CS24" s="55" t="str">
        <f t="shared" si="12"/>
        <v/>
      </c>
      <c r="CT24" s="55" t="str">
        <f t="shared" si="12"/>
        <v/>
      </c>
      <c r="CU24" s="55" t="str">
        <f t="shared" si="12"/>
        <v/>
      </c>
      <c r="CV24" s="55" t="str">
        <f t="shared" si="12"/>
        <v/>
      </c>
      <c r="CW24" s="55" t="str">
        <f t="shared" si="12"/>
        <v/>
      </c>
      <c r="CX24" s="55" t="str">
        <f t="shared" si="12"/>
        <v/>
      </c>
      <c r="CY24" s="55" t="str">
        <f t="shared" si="12"/>
        <v/>
      </c>
      <c r="CZ24" s="55" t="str">
        <f t="shared" si="13"/>
        <v/>
      </c>
      <c r="DA24" s="55" t="str">
        <f t="shared" si="13"/>
        <v/>
      </c>
      <c r="DB24" s="55" t="str">
        <f t="shared" si="13"/>
        <v/>
      </c>
      <c r="DC24" s="55" t="str">
        <f t="shared" si="13"/>
        <v/>
      </c>
      <c r="DD24" s="55" t="str">
        <f t="shared" si="13"/>
        <v/>
      </c>
      <c r="DE24" s="55" t="str">
        <f t="shared" si="13"/>
        <v/>
      </c>
      <c r="DF24" s="55" t="str">
        <f t="shared" si="13"/>
        <v/>
      </c>
      <c r="DG24" s="55" t="str">
        <f t="shared" si="13"/>
        <v/>
      </c>
      <c r="DH24" s="55" t="str">
        <f t="shared" si="13"/>
        <v/>
      </c>
      <c r="DI24" s="55" t="str">
        <f t="shared" si="13"/>
        <v/>
      </c>
      <c r="DJ24" s="55" t="str">
        <f t="shared" si="13"/>
        <v/>
      </c>
      <c r="DK24" s="55" t="str">
        <f t="shared" si="13"/>
        <v/>
      </c>
      <c r="DL24" s="55" t="str">
        <f t="shared" si="13"/>
        <v/>
      </c>
      <c r="DM24" s="55" t="str">
        <f t="shared" si="13"/>
        <v/>
      </c>
      <c r="DN24" s="55" t="str">
        <f t="shared" si="13"/>
        <v/>
      </c>
      <c r="DO24" s="55" t="str">
        <f t="shared" si="13"/>
        <v/>
      </c>
      <c r="DP24" s="55" t="str">
        <f t="shared" si="13"/>
        <v/>
      </c>
      <c r="DQ24" s="55" t="str">
        <f t="shared" si="13"/>
        <v/>
      </c>
      <c r="DR24" s="55" t="str">
        <f t="shared" si="13"/>
        <v/>
      </c>
      <c r="DS24" s="55" t="str">
        <f t="shared" si="13"/>
        <v/>
      </c>
      <c r="DT24" s="106" t="str">
        <f t="shared" si="13"/>
        <v/>
      </c>
      <c r="DU24" s="54"/>
      <c r="DV24" s="25"/>
      <c r="DW24" s="61" t="str">
        <f t="shared" si="17"/>
        <v/>
      </c>
      <c r="DX24" s="50" t="str">
        <f t="shared" si="17"/>
        <v/>
      </c>
      <c r="DY24" s="50" t="str">
        <f t="shared" si="17"/>
        <v/>
      </c>
      <c r="DZ24" s="50" t="str">
        <f t="shared" si="17"/>
        <v/>
      </c>
      <c r="EA24" s="50" t="str">
        <f t="shared" si="17"/>
        <v/>
      </c>
      <c r="EB24" s="50" t="str">
        <f t="shared" si="17"/>
        <v/>
      </c>
      <c r="EC24" s="50" t="str">
        <f t="shared" si="17"/>
        <v/>
      </c>
      <c r="ED24" s="50" t="str">
        <f t="shared" si="17"/>
        <v/>
      </c>
      <c r="EE24" s="50" t="str">
        <f t="shared" si="17"/>
        <v/>
      </c>
      <c r="EF24" s="50" t="str">
        <f t="shared" si="17"/>
        <v/>
      </c>
      <c r="EG24" s="50" t="str">
        <f t="shared" si="17"/>
        <v/>
      </c>
      <c r="EH24" s="50" t="str">
        <f t="shared" si="17"/>
        <v/>
      </c>
      <c r="EI24" s="50" t="str">
        <f t="shared" si="17"/>
        <v/>
      </c>
      <c r="EJ24" s="50" t="str">
        <f t="shared" si="17"/>
        <v/>
      </c>
      <c r="EK24" s="50" t="str">
        <f t="shared" si="17"/>
        <v/>
      </c>
      <c r="EL24" s="50" t="str">
        <f t="shared" si="17"/>
        <v/>
      </c>
      <c r="EM24" s="50" t="str">
        <f t="shared" si="17"/>
        <v/>
      </c>
      <c r="EN24" s="50" t="str">
        <f t="shared" si="17"/>
        <v/>
      </c>
      <c r="EO24" s="50" t="str">
        <f t="shared" si="17"/>
        <v/>
      </c>
      <c r="EP24" s="50" t="str">
        <f t="shared" si="17"/>
        <v/>
      </c>
      <c r="EQ24" s="50" t="str">
        <f t="shared" si="17"/>
        <v/>
      </c>
      <c r="ER24" s="50" t="str">
        <f t="shared" si="17"/>
        <v/>
      </c>
      <c r="ES24" s="50" t="str">
        <f t="shared" si="17"/>
        <v/>
      </c>
      <c r="ET24" s="50" t="str">
        <f t="shared" si="17"/>
        <v/>
      </c>
      <c r="EU24" s="50" t="str">
        <f t="shared" si="17"/>
        <v/>
      </c>
      <c r="EV24" s="50" t="str">
        <f t="shared" si="17"/>
        <v/>
      </c>
      <c r="EW24" s="50" t="str">
        <f t="shared" si="17"/>
        <v/>
      </c>
      <c r="EX24" s="50" t="str">
        <f t="shared" si="17"/>
        <v/>
      </c>
      <c r="EY24" s="50" t="str">
        <f t="shared" si="17"/>
        <v/>
      </c>
      <c r="EZ24" s="50" t="str">
        <f t="shared" si="17"/>
        <v/>
      </c>
      <c r="FA24" s="50" t="str">
        <f t="shared" si="17"/>
        <v/>
      </c>
      <c r="FB24" s="50" t="str">
        <f t="shared" si="17"/>
        <v/>
      </c>
      <c r="FC24" s="50" t="str">
        <f t="shared" si="17"/>
        <v/>
      </c>
      <c r="FD24" s="50" t="str">
        <f t="shared" si="17"/>
        <v/>
      </c>
      <c r="FE24" s="50" t="str">
        <f t="shared" si="17"/>
        <v/>
      </c>
      <c r="FF24" s="50" t="str">
        <f t="shared" si="17"/>
        <v/>
      </c>
      <c r="FG24" s="50" t="str">
        <f t="shared" si="17"/>
        <v/>
      </c>
      <c r="FH24" s="50" t="str">
        <f t="shared" si="17"/>
        <v/>
      </c>
      <c r="FI24" s="50" t="str">
        <f t="shared" si="17"/>
        <v/>
      </c>
      <c r="FJ24" s="50" t="str">
        <f t="shared" si="17"/>
        <v/>
      </c>
      <c r="FK24" s="50" t="str">
        <f t="shared" si="17"/>
        <v/>
      </c>
      <c r="FL24" s="50" t="str">
        <f t="shared" si="17"/>
        <v/>
      </c>
      <c r="FM24" s="50" t="str">
        <f t="shared" si="17"/>
        <v/>
      </c>
      <c r="FN24" s="50" t="str">
        <f t="shared" si="17"/>
        <v/>
      </c>
      <c r="FO24" s="50" t="str">
        <f t="shared" si="17"/>
        <v/>
      </c>
      <c r="FP24" s="50" t="str">
        <f t="shared" si="17"/>
        <v/>
      </c>
      <c r="FQ24" s="50" t="str">
        <f t="shared" si="17"/>
        <v/>
      </c>
      <c r="FR24" s="50" t="str">
        <f t="shared" si="17"/>
        <v/>
      </c>
      <c r="FS24" s="50" t="str">
        <f t="shared" si="17"/>
        <v/>
      </c>
      <c r="FT24" s="50" t="str">
        <f t="shared" si="17"/>
        <v/>
      </c>
      <c r="FU24" s="50" t="str">
        <f t="shared" si="17"/>
        <v/>
      </c>
      <c r="FV24" s="50" t="str">
        <f t="shared" si="17"/>
        <v/>
      </c>
      <c r="FW24" s="50" t="str">
        <f t="shared" si="17"/>
        <v/>
      </c>
      <c r="FX24" s="50" t="str">
        <f t="shared" si="17"/>
        <v/>
      </c>
      <c r="FY24" s="50" t="str">
        <f t="shared" si="17"/>
        <v/>
      </c>
      <c r="FZ24" s="50" t="str">
        <f t="shared" si="17"/>
        <v/>
      </c>
      <c r="GA24" s="50" t="str">
        <f t="shared" si="17"/>
        <v/>
      </c>
      <c r="GB24" s="50" t="str">
        <f t="shared" si="17"/>
        <v/>
      </c>
      <c r="GC24" s="50" t="str">
        <f t="shared" si="17"/>
        <v/>
      </c>
      <c r="GD24" s="50" t="str">
        <f t="shared" si="17"/>
        <v/>
      </c>
      <c r="GE24" s="50" t="str">
        <f t="shared" si="17"/>
        <v/>
      </c>
      <c r="GF24" s="50" t="str">
        <f t="shared" si="17"/>
        <v/>
      </c>
      <c r="GG24" s="50" t="str">
        <f t="shared" si="17"/>
        <v/>
      </c>
      <c r="GH24" s="50" t="str">
        <f t="shared" si="14"/>
        <v/>
      </c>
      <c r="GI24" s="50" t="str">
        <f t="shared" si="14"/>
        <v/>
      </c>
      <c r="GJ24" s="50" t="str">
        <f t="shared" si="14"/>
        <v/>
      </c>
      <c r="GK24" s="50" t="str">
        <f t="shared" si="14"/>
        <v/>
      </c>
      <c r="GL24" s="50" t="str">
        <f t="shared" si="14"/>
        <v/>
      </c>
      <c r="GM24" s="50" t="str">
        <f t="shared" si="14"/>
        <v/>
      </c>
      <c r="GN24" s="50" t="str">
        <f t="shared" si="14"/>
        <v/>
      </c>
      <c r="GO24" s="50" t="str">
        <f t="shared" si="14"/>
        <v/>
      </c>
      <c r="GP24" s="50" t="str">
        <f t="shared" si="14"/>
        <v/>
      </c>
      <c r="GQ24" s="50" t="str">
        <f t="shared" si="14"/>
        <v/>
      </c>
      <c r="GR24" s="50" t="str">
        <f t="shared" si="14"/>
        <v/>
      </c>
      <c r="GS24" s="50" t="str">
        <f t="shared" si="14"/>
        <v/>
      </c>
      <c r="GT24" s="50" t="str">
        <f t="shared" si="14"/>
        <v/>
      </c>
      <c r="GU24" s="50" t="str">
        <f t="shared" si="14"/>
        <v/>
      </c>
      <c r="GV24" s="50" t="str">
        <f t="shared" si="14"/>
        <v/>
      </c>
      <c r="GW24" s="50" t="str">
        <f t="shared" si="14"/>
        <v/>
      </c>
      <c r="GX24" s="50" t="str">
        <f t="shared" si="15"/>
        <v/>
      </c>
      <c r="GY24" s="50" t="str">
        <f t="shared" si="15"/>
        <v/>
      </c>
      <c r="GZ24" s="50" t="str">
        <f t="shared" si="15"/>
        <v/>
      </c>
      <c r="HA24" s="50" t="str">
        <f t="shared" si="15"/>
        <v/>
      </c>
      <c r="HB24" s="50" t="str">
        <f t="shared" si="15"/>
        <v/>
      </c>
      <c r="HC24" s="50" t="str">
        <f t="shared" si="15"/>
        <v/>
      </c>
      <c r="HD24" s="50" t="str">
        <f t="shared" si="15"/>
        <v/>
      </c>
      <c r="HE24" s="50" t="str">
        <f t="shared" si="15"/>
        <v/>
      </c>
      <c r="HF24" s="50" t="str">
        <f t="shared" si="15"/>
        <v/>
      </c>
      <c r="HG24" s="50" t="str">
        <f t="shared" si="15"/>
        <v/>
      </c>
      <c r="HH24" s="50" t="str">
        <f t="shared" si="15"/>
        <v/>
      </c>
      <c r="HI24" s="50" t="str">
        <f t="shared" si="15"/>
        <v/>
      </c>
      <c r="HJ24" s="50" t="str">
        <f t="shared" si="15"/>
        <v/>
      </c>
      <c r="HK24" s="50" t="str">
        <f t="shared" si="15"/>
        <v/>
      </c>
      <c r="HL24" s="50" t="str">
        <f t="shared" si="15"/>
        <v/>
      </c>
      <c r="HM24" s="50" t="str">
        <f t="shared" si="15"/>
        <v/>
      </c>
      <c r="HN24" s="50" t="str">
        <f t="shared" si="15"/>
        <v/>
      </c>
      <c r="HO24" s="50" t="str">
        <f t="shared" si="15"/>
        <v/>
      </c>
      <c r="HP24" s="50" t="str">
        <f t="shared" si="15"/>
        <v/>
      </c>
      <c r="HQ24" s="50" t="str">
        <f t="shared" si="15"/>
        <v/>
      </c>
      <c r="HR24" s="112" t="str">
        <f t="shared" si="15"/>
        <v/>
      </c>
    </row>
    <row r="25" spans="1:226" ht="11.1" customHeight="1" x14ac:dyDescent="0.25">
      <c r="A25" s="26"/>
      <c r="B25" s="144"/>
      <c r="C25" s="28" t="str">
        <f>IF(A25=0,"",VLOOKUP(A25,[2]CO!$A$3:$F$5327,2,0))</f>
        <v/>
      </c>
      <c r="D25" s="148" t="s">
        <v>31</v>
      </c>
      <c r="E25" s="29"/>
      <c r="F25" s="29"/>
      <c r="G25" s="30" t="str">
        <f>IF(A25=0,"",VLOOKUP(A25,[2]CO!$A$3:$F$5327,3,0))</f>
        <v/>
      </c>
      <c r="H25" s="142"/>
      <c r="I25" s="143"/>
      <c r="J25" s="143"/>
      <c r="K25" s="143"/>
      <c r="L25" s="143"/>
      <c r="M25" s="32" t="str">
        <f t="shared" si="0"/>
        <v/>
      </c>
      <c r="N25" s="32" t="str">
        <f>IF(B25=0,"",IF(H25="M",HLOOKUP(B25,$Y$12:$DT$13,2),IF(A25=0,"",VLOOKUP(A25,[2]CO!$A$3:$F$5327,4,0))))</f>
        <v/>
      </c>
      <c r="O25" s="32" t="str">
        <f t="shared" si="7"/>
        <v/>
      </c>
      <c r="P25" s="33"/>
      <c r="Q25" s="34" t="str">
        <f t="shared" si="1"/>
        <v/>
      </c>
      <c r="R25" s="35" t="str">
        <f>IF(S25=0,"",IF(OR(G25="PEON",G25="OF",G25="JARD",G25="CARP",G25="MAESTRO",G25="SOLD",G25="BGRO",G25="CHOFER",G25="AYTE",G25="S.INTTE.",G25="ASEO",G25="P.PISOS",G25="VELADOR",G25="RESID",G25="PINTOR",G25="ELECT",G25="AZULE",G25="AUX CONT.",G25="SECRETARIA",G25="AUXILIAR ADMTVO.",G25="ARQUITECTO",G25="DIBUJANTE",G25="AUX. DE RESIDENTE"),VLOOKUP(B25,P$14:Q$55,2),"")*S25)</f>
        <v/>
      </c>
      <c r="T25" s="53" t="str">
        <f>IF(A25=0,"",VLOOKUP(A25,[2]CO!$A$3:$F$5318,5,0))</f>
        <v/>
      </c>
      <c r="U25" s="54">
        <f t="shared" si="2"/>
        <v>0</v>
      </c>
      <c r="V25" s="24"/>
      <c r="W25" s="25"/>
      <c r="X25" s="25"/>
      <c r="Y25" s="64" t="str">
        <f t="shared" si="16"/>
        <v/>
      </c>
      <c r="Z25" s="55" t="str">
        <f t="shared" si="16"/>
        <v/>
      </c>
      <c r="AA25" s="55" t="str">
        <f t="shared" si="16"/>
        <v/>
      </c>
      <c r="AB25" s="55" t="str">
        <f t="shared" si="16"/>
        <v/>
      </c>
      <c r="AC25" s="55" t="str">
        <f t="shared" si="16"/>
        <v/>
      </c>
      <c r="AD25" s="55" t="str">
        <f t="shared" si="16"/>
        <v/>
      </c>
      <c r="AE25" s="55" t="str">
        <f t="shared" si="16"/>
        <v/>
      </c>
      <c r="AF25" s="55" t="str">
        <f t="shared" si="16"/>
        <v/>
      </c>
      <c r="AG25" s="55" t="str">
        <f t="shared" si="16"/>
        <v/>
      </c>
      <c r="AH25" s="55" t="str">
        <f t="shared" si="16"/>
        <v/>
      </c>
      <c r="AI25" s="55" t="str">
        <f t="shared" si="16"/>
        <v/>
      </c>
      <c r="AJ25" s="55" t="str">
        <f t="shared" si="16"/>
        <v/>
      </c>
      <c r="AK25" s="55" t="str">
        <f t="shared" si="16"/>
        <v/>
      </c>
      <c r="AL25" s="55" t="str">
        <f t="shared" si="16"/>
        <v/>
      </c>
      <c r="AM25" s="55" t="str">
        <f t="shared" si="16"/>
        <v/>
      </c>
      <c r="AN25" s="55" t="str">
        <f t="shared" si="16"/>
        <v/>
      </c>
      <c r="AO25" s="55" t="str">
        <f t="shared" si="16"/>
        <v/>
      </c>
      <c r="AP25" s="55" t="str">
        <f t="shared" si="16"/>
        <v/>
      </c>
      <c r="AQ25" s="55" t="str">
        <f t="shared" si="16"/>
        <v/>
      </c>
      <c r="AR25" s="55" t="str">
        <f t="shared" si="16"/>
        <v/>
      </c>
      <c r="AS25" s="55" t="str">
        <f t="shared" si="16"/>
        <v/>
      </c>
      <c r="AT25" s="55" t="str">
        <f t="shared" si="16"/>
        <v/>
      </c>
      <c r="AU25" s="55" t="str">
        <f t="shared" si="16"/>
        <v/>
      </c>
      <c r="AV25" s="55" t="str">
        <f t="shared" si="16"/>
        <v/>
      </c>
      <c r="AW25" s="55" t="str">
        <f t="shared" si="16"/>
        <v/>
      </c>
      <c r="AX25" s="55" t="str">
        <f t="shared" si="16"/>
        <v/>
      </c>
      <c r="AY25" s="55" t="str">
        <f t="shared" si="16"/>
        <v/>
      </c>
      <c r="AZ25" s="55" t="str">
        <f t="shared" si="16"/>
        <v/>
      </c>
      <c r="BA25" s="55" t="str">
        <f t="shared" si="16"/>
        <v/>
      </c>
      <c r="BB25" s="55" t="str">
        <f t="shared" si="16"/>
        <v/>
      </c>
      <c r="BC25" s="55" t="str">
        <f t="shared" si="16"/>
        <v/>
      </c>
      <c r="BD25" s="55" t="str">
        <f t="shared" si="16"/>
        <v/>
      </c>
      <c r="BE25" s="55" t="str">
        <f t="shared" si="16"/>
        <v/>
      </c>
      <c r="BF25" s="55" t="str">
        <f t="shared" si="16"/>
        <v/>
      </c>
      <c r="BG25" s="55" t="str">
        <f t="shared" si="16"/>
        <v/>
      </c>
      <c r="BH25" s="55" t="str">
        <f t="shared" si="16"/>
        <v/>
      </c>
      <c r="BI25" s="55" t="str">
        <f t="shared" si="16"/>
        <v/>
      </c>
      <c r="BJ25" s="55" t="str">
        <f t="shared" si="16"/>
        <v/>
      </c>
      <c r="BK25" s="55" t="str">
        <f t="shared" si="16"/>
        <v/>
      </c>
      <c r="BL25" s="55" t="str">
        <f t="shared" si="16"/>
        <v/>
      </c>
      <c r="BM25" s="55" t="str">
        <f t="shared" si="16"/>
        <v/>
      </c>
      <c r="BN25" s="55" t="str">
        <f t="shared" si="16"/>
        <v/>
      </c>
      <c r="BO25" s="55" t="str">
        <f t="shared" si="16"/>
        <v/>
      </c>
      <c r="BP25" s="55" t="str">
        <f t="shared" si="16"/>
        <v/>
      </c>
      <c r="BQ25" s="55" t="str">
        <f t="shared" si="16"/>
        <v/>
      </c>
      <c r="BR25" s="55" t="str">
        <f t="shared" si="16"/>
        <v/>
      </c>
      <c r="BS25" s="55" t="str">
        <f t="shared" si="16"/>
        <v/>
      </c>
      <c r="BT25" s="55" t="str">
        <f t="shared" si="16"/>
        <v/>
      </c>
      <c r="BU25" s="55" t="str">
        <f t="shared" si="16"/>
        <v/>
      </c>
      <c r="BV25" s="55" t="str">
        <f t="shared" si="16"/>
        <v/>
      </c>
      <c r="BW25" s="55" t="str">
        <f t="shared" si="16"/>
        <v/>
      </c>
      <c r="BX25" s="55" t="str">
        <f t="shared" si="16"/>
        <v/>
      </c>
      <c r="BY25" s="55" t="str">
        <f t="shared" si="16"/>
        <v/>
      </c>
      <c r="BZ25" s="55" t="str">
        <f t="shared" si="16"/>
        <v/>
      </c>
      <c r="CA25" s="55" t="str">
        <f t="shared" si="16"/>
        <v/>
      </c>
      <c r="CB25" s="55" t="str">
        <f t="shared" si="16"/>
        <v/>
      </c>
      <c r="CC25" s="55" t="str">
        <f t="shared" si="16"/>
        <v/>
      </c>
      <c r="CD25" s="55" t="str">
        <f t="shared" si="16"/>
        <v/>
      </c>
      <c r="CE25" s="55" t="str">
        <f t="shared" si="16"/>
        <v/>
      </c>
      <c r="CF25" s="55" t="str">
        <f t="shared" si="16"/>
        <v/>
      </c>
      <c r="CG25" s="55" t="str">
        <f t="shared" si="16"/>
        <v/>
      </c>
      <c r="CH25" s="55" t="str">
        <f t="shared" si="16"/>
        <v/>
      </c>
      <c r="CI25" s="55" t="str">
        <f t="shared" si="16"/>
        <v/>
      </c>
      <c r="CJ25" s="55" t="str">
        <f t="shared" si="12"/>
        <v/>
      </c>
      <c r="CK25" s="55" t="str">
        <f t="shared" si="12"/>
        <v/>
      </c>
      <c r="CL25" s="55" t="str">
        <f t="shared" si="12"/>
        <v/>
      </c>
      <c r="CM25" s="55" t="str">
        <f t="shared" si="12"/>
        <v/>
      </c>
      <c r="CN25" s="55" t="str">
        <f t="shared" si="12"/>
        <v/>
      </c>
      <c r="CO25" s="55" t="str">
        <f t="shared" si="12"/>
        <v/>
      </c>
      <c r="CP25" s="55" t="str">
        <f t="shared" si="12"/>
        <v/>
      </c>
      <c r="CQ25" s="55" t="str">
        <f t="shared" si="12"/>
        <v/>
      </c>
      <c r="CR25" s="55" t="str">
        <f t="shared" si="12"/>
        <v/>
      </c>
      <c r="CS25" s="55" t="str">
        <f t="shared" si="12"/>
        <v/>
      </c>
      <c r="CT25" s="55" t="str">
        <f t="shared" si="12"/>
        <v/>
      </c>
      <c r="CU25" s="55" t="str">
        <f t="shared" si="12"/>
        <v/>
      </c>
      <c r="CV25" s="55" t="str">
        <f t="shared" si="12"/>
        <v/>
      </c>
      <c r="CW25" s="55" t="str">
        <f t="shared" si="12"/>
        <v/>
      </c>
      <c r="CX25" s="55" t="str">
        <f t="shared" si="12"/>
        <v/>
      </c>
      <c r="CY25" s="55" t="str">
        <f t="shared" si="12"/>
        <v/>
      </c>
      <c r="CZ25" s="55" t="str">
        <f t="shared" si="13"/>
        <v/>
      </c>
      <c r="DA25" s="55" t="str">
        <f t="shared" si="13"/>
        <v/>
      </c>
      <c r="DB25" s="55" t="str">
        <f t="shared" si="13"/>
        <v/>
      </c>
      <c r="DC25" s="55" t="str">
        <f t="shared" si="13"/>
        <v/>
      </c>
      <c r="DD25" s="55" t="str">
        <f t="shared" si="13"/>
        <v/>
      </c>
      <c r="DE25" s="55" t="str">
        <f t="shared" si="13"/>
        <v/>
      </c>
      <c r="DF25" s="55" t="str">
        <f t="shared" si="13"/>
        <v/>
      </c>
      <c r="DG25" s="55" t="str">
        <f t="shared" si="13"/>
        <v/>
      </c>
      <c r="DH25" s="55" t="str">
        <f t="shared" si="13"/>
        <v/>
      </c>
      <c r="DI25" s="55" t="str">
        <f t="shared" si="13"/>
        <v/>
      </c>
      <c r="DJ25" s="55" t="str">
        <f t="shared" si="13"/>
        <v/>
      </c>
      <c r="DK25" s="55" t="str">
        <f t="shared" si="13"/>
        <v/>
      </c>
      <c r="DL25" s="55" t="str">
        <f t="shared" si="13"/>
        <v/>
      </c>
      <c r="DM25" s="55" t="str">
        <f t="shared" si="13"/>
        <v/>
      </c>
      <c r="DN25" s="55" t="str">
        <f t="shared" si="13"/>
        <v/>
      </c>
      <c r="DO25" s="55" t="str">
        <f t="shared" si="13"/>
        <v/>
      </c>
      <c r="DP25" s="55" t="str">
        <f t="shared" si="13"/>
        <v/>
      </c>
      <c r="DQ25" s="55" t="str">
        <f t="shared" si="13"/>
        <v/>
      </c>
      <c r="DR25" s="55" t="str">
        <f t="shared" si="13"/>
        <v/>
      </c>
      <c r="DS25" s="55" t="str">
        <f t="shared" si="13"/>
        <v/>
      </c>
      <c r="DT25" s="106" t="str">
        <f t="shared" si="13"/>
        <v/>
      </c>
      <c r="DU25" s="54"/>
      <c r="DV25" s="25"/>
      <c r="DW25" s="61" t="str">
        <f t="shared" si="17"/>
        <v/>
      </c>
      <c r="DX25" s="50" t="str">
        <f t="shared" si="17"/>
        <v/>
      </c>
      <c r="DY25" s="50" t="str">
        <f t="shared" si="17"/>
        <v/>
      </c>
      <c r="DZ25" s="50" t="str">
        <f t="shared" si="17"/>
        <v/>
      </c>
      <c r="EA25" s="50" t="str">
        <f t="shared" si="17"/>
        <v/>
      </c>
      <c r="EB25" s="50" t="str">
        <f t="shared" si="17"/>
        <v/>
      </c>
      <c r="EC25" s="50" t="str">
        <f t="shared" si="17"/>
        <v/>
      </c>
      <c r="ED25" s="50" t="str">
        <f t="shared" si="17"/>
        <v/>
      </c>
      <c r="EE25" s="50" t="str">
        <f t="shared" si="17"/>
        <v/>
      </c>
      <c r="EF25" s="50" t="str">
        <f t="shared" si="17"/>
        <v/>
      </c>
      <c r="EG25" s="50" t="str">
        <f t="shared" si="17"/>
        <v/>
      </c>
      <c r="EH25" s="50" t="str">
        <f t="shared" si="17"/>
        <v/>
      </c>
      <c r="EI25" s="50" t="str">
        <f t="shared" si="17"/>
        <v/>
      </c>
      <c r="EJ25" s="50" t="str">
        <f t="shared" si="17"/>
        <v/>
      </c>
      <c r="EK25" s="50" t="str">
        <f t="shared" si="17"/>
        <v/>
      </c>
      <c r="EL25" s="50" t="str">
        <f t="shared" si="17"/>
        <v/>
      </c>
      <c r="EM25" s="50" t="str">
        <f t="shared" si="17"/>
        <v/>
      </c>
      <c r="EN25" s="50" t="str">
        <f t="shared" si="17"/>
        <v/>
      </c>
      <c r="EO25" s="50" t="str">
        <f t="shared" si="17"/>
        <v/>
      </c>
      <c r="EP25" s="50" t="str">
        <f t="shared" si="17"/>
        <v/>
      </c>
      <c r="EQ25" s="50" t="str">
        <f t="shared" si="17"/>
        <v/>
      </c>
      <c r="ER25" s="50" t="str">
        <f t="shared" si="17"/>
        <v/>
      </c>
      <c r="ES25" s="50" t="str">
        <f t="shared" si="17"/>
        <v/>
      </c>
      <c r="ET25" s="50" t="str">
        <f t="shared" si="17"/>
        <v/>
      </c>
      <c r="EU25" s="50" t="str">
        <f t="shared" si="17"/>
        <v/>
      </c>
      <c r="EV25" s="50" t="str">
        <f t="shared" si="17"/>
        <v/>
      </c>
      <c r="EW25" s="50" t="str">
        <f t="shared" si="17"/>
        <v/>
      </c>
      <c r="EX25" s="50" t="str">
        <f t="shared" si="17"/>
        <v/>
      </c>
      <c r="EY25" s="50" t="str">
        <f t="shared" si="17"/>
        <v/>
      </c>
      <c r="EZ25" s="50" t="str">
        <f t="shared" si="17"/>
        <v/>
      </c>
      <c r="FA25" s="50" t="str">
        <f t="shared" si="17"/>
        <v/>
      </c>
      <c r="FB25" s="50" t="str">
        <f t="shared" si="17"/>
        <v/>
      </c>
      <c r="FC25" s="50" t="str">
        <f t="shared" si="17"/>
        <v/>
      </c>
      <c r="FD25" s="50" t="str">
        <f t="shared" si="17"/>
        <v/>
      </c>
      <c r="FE25" s="50" t="str">
        <f t="shared" si="17"/>
        <v/>
      </c>
      <c r="FF25" s="50" t="str">
        <f t="shared" si="17"/>
        <v/>
      </c>
      <c r="FG25" s="50" t="str">
        <f t="shared" si="17"/>
        <v/>
      </c>
      <c r="FH25" s="50" t="str">
        <f t="shared" si="17"/>
        <v/>
      </c>
      <c r="FI25" s="50" t="str">
        <f t="shared" si="17"/>
        <v/>
      </c>
      <c r="FJ25" s="50" t="str">
        <f t="shared" si="17"/>
        <v/>
      </c>
      <c r="FK25" s="50" t="str">
        <f t="shared" si="17"/>
        <v/>
      </c>
      <c r="FL25" s="50" t="str">
        <f t="shared" si="17"/>
        <v/>
      </c>
      <c r="FM25" s="50" t="str">
        <f t="shared" si="17"/>
        <v/>
      </c>
      <c r="FN25" s="50" t="str">
        <f t="shared" si="17"/>
        <v/>
      </c>
      <c r="FO25" s="50" t="str">
        <f t="shared" si="17"/>
        <v/>
      </c>
      <c r="FP25" s="50" t="str">
        <f t="shared" si="17"/>
        <v/>
      </c>
      <c r="FQ25" s="50" t="str">
        <f t="shared" si="17"/>
        <v/>
      </c>
      <c r="FR25" s="50" t="str">
        <f t="shared" si="17"/>
        <v/>
      </c>
      <c r="FS25" s="50" t="str">
        <f t="shared" si="17"/>
        <v/>
      </c>
      <c r="FT25" s="50" t="str">
        <f t="shared" si="17"/>
        <v/>
      </c>
      <c r="FU25" s="50" t="str">
        <f t="shared" si="17"/>
        <v/>
      </c>
      <c r="FV25" s="50" t="str">
        <f t="shared" si="17"/>
        <v/>
      </c>
      <c r="FW25" s="50" t="str">
        <f t="shared" si="17"/>
        <v/>
      </c>
      <c r="FX25" s="50" t="str">
        <f t="shared" si="17"/>
        <v/>
      </c>
      <c r="FY25" s="50" t="str">
        <f t="shared" si="17"/>
        <v/>
      </c>
      <c r="FZ25" s="50" t="str">
        <f t="shared" si="17"/>
        <v/>
      </c>
      <c r="GA25" s="50" t="str">
        <f t="shared" si="17"/>
        <v/>
      </c>
      <c r="GB25" s="50" t="str">
        <f t="shared" si="17"/>
        <v/>
      </c>
      <c r="GC25" s="50" t="str">
        <f t="shared" si="17"/>
        <v/>
      </c>
      <c r="GD25" s="50" t="str">
        <f t="shared" si="17"/>
        <v/>
      </c>
      <c r="GE25" s="50" t="str">
        <f t="shared" si="17"/>
        <v/>
      </c>
      <c r="GF25" s="50" t="str">
        <f t="shared" si="17"/>
        <v/>
      </c>
      <c r="GG25" s="50" t="str">
        <f t="shared" si="17"/>
        <v/>
      </c>
      <c r="GH25" s="50" t="str">
        <f t="shared" si="14"/>
        <v/>
      </c>
      <c r="GI25" s="50" t="str">
        <f t="shared" si="14"/>
        <v/>
      </c>
      <c r="GJ25" s="50" t="str">
        <f t="shared" si="14"/>
        <v/>
      </c>
      <c r="GK25" s="50" t="str">
        <f t="shared" si="14"/>
        <v/>
      </c>
      <c r="GL25" s="50" t="str">
        <f t="shared" si="14"/>
        <v/>
      </c>
      <c r="GM25" s="50" t="str">
        <f t="shared" si="14"/>
        <v/>
      </c>
      <c r="GN25" s="50" t="str">
        <f t="shared" si="14"/>
        <v/>
      </c>
      <c r="GO25" s="50" t="str">
        <f t="shared" si="14"/>
        <v/>
      </c>
      <c r="GP25" s="50" t="str">
        <f t="shared" si="14"/>
        <v/>
      </c>
      <c r="GQ25" s="50" t="str">
        <f t="shared" si="14"/>
        <v/>
      </c>
      <c r="GR25" s="50" t="str">
        <f t="shared" si="14"/>
        <v/>
      </c>
      <c r="GS25" s="50" t="str">
        <f t="shared" si="14"/>
        <v/>
      </c>
      <c r="GT25" s="50" t="str">
        <f t="shared" si="14"/>
        <v/>
      </c>
      <c r="GU25" s="50" t="str">
        <f t="shared" si="14"/>
        <v/>
      </c>
      <c r="GV25" s="50" t="str">
        <f t="shared" si="14"/>
        <v/>
      </c>
      <c r="GW25" s="50" t="str">
        <f t="shared" si="14"/>
        <v/>
      </c>
      <c r="GX25" s="50" t="str">
        <f t="shared" si="15"/>
        <v/>
      </c>
      <c r="GY25" s="50" t="str">
        <f t="shared" si="15"/>
        <v/>
      </c>
      <c r="GZ25" s="50" t="str">
        <f t="shared" si="15"/>
        <v/>
      </c>
      <c r="HA25" s="50" t="str">
        <f t="shared" si="15"/>
        <v/>
      </c>
      <c r="HB25" s="50" t="str">
        <f t="shared" si="15"/>
        <v/>
      </c>
      <c r="HC25" s="50" t="str">
        <f t="shared" si="15"/>
        <v/>
      </c>
      <c r="HD25" s="50" t="str">
        <f t="shared" si="15"/>
        <v/>
      </c>
      <c r="HE25" s="50" t="str">
        <f t="shared" si="15"/>
        <v/>
      </c>
      <c r="HF25" s="50" t="str">
        <f t="shared" si="15"/>
        <v/>
      </c>
      <c r="HG25" s="50" t="str">
        <f t="shared" si="15"/>
        <v/>
      </c>
      <c r="HH25" s="50" t="str">
        <f t="shared" si="15"/>
        <v/>
      </c>
      <c r="HI25" s="50" t="str">
        <f t="shared" si="15"/>
        <v/>
      </c>
      <c r="HJ25" s="50" t="str">
        <f t="shared" si="15"/>
        <v/>
      </c>
      <c r="HK25" s="50" t="str">
        <f t="shared" si="15"/>
        <v/>
      </c>
      <c r="HL25" s="50" t="str">
        <f t="shared" si="15"/>
        <v/>
      </c>
      <c r="HM25" s="50" t="str">
        <f t="shared" si="15"/>
        <v/>
      </c>
      <c r="HN25" s="50" t="str">
        <f t="shared" si="15"/>
        <v/>
      </c>
      <c r="HO25" s="50" t="str">
        <f t="shared" si="15"/>
        <v/>
      </c>
      <c r="HP25" s="50" t="str">
        <f t="shared" si="15"/>
        <v/>
      </c>
      <c r="HQ25" s="50" t="str">
        <f t="shared" si="15"/>
        <v/>
      </c>
      <c r="HR25" s="112" t="str">
        <f t="shared" si="15"/>
        <v/>
      </c>
    </row>
    <row r="26" spans="1:226" ht="11.1" customHeight="1" x14ac:dyDescent="0.25">
      <c r="A26" s="26"/>
      <c r="B26" s="27"/>
      <c r="C26" s="28" t="str">
        <f>IF(A26=0,"",VLOOKUP(A26,[2]CO!$A$3:$F$5327,2,0))</f>
        <v/>
      </c>
      <c r="D26" s="29"/>
      <c r="E26" s="29"/>
      <c r="F26" s="29"/>
      <c r="G26" s="30" t="str">
        <f>IF(A26=0,"",VLOOKUP(A26,[2]CO!$A$3:$F$5327,3,0))</f>
        <v/>
      </c>
      <c r="H26" s="29"/>
      <c r="I26" s="31"/>
      <c r="J26" s="31"/>
      <c r="K26" s="31"/>
      <c r="L26" s="31"/>
      <c r="M26" s="32" t="str">
        <f t="shared" ref="M26:M28" si="18">IF(L26=0,"",PRODUCT(I26:L26))</f>
        <v/>
      </c>
      <c r="N26" s="32" t="str">
        <f>IF(B26=0,"",IF(H26="M",HLOOKUP(B26,$Y$12:$DT$13,2),IF(A26=0,"",VLOOKUP(A26,[2]CO!$A$3:$F$5327,4,0))))</f>
        <v/>
      </c>
      <c r="O26" s="32" t="str">
        <f t="shared" ref="O26:O28" si="19">IF(L26=0,"",PRODUCT(M26:N26))</f>
        <v/>
      </c>
      <c r="P26" s="33"/>
      <c r="Q26" s="34" t="str">
        <f t="shared" ref="Q26:Q28" si="20">IF(P26=0,"",(HLOOKUP(P26,$DW$12:$HR$13,2)))</f>
        <v/>
      </c>
      <c r="R26" s="35" t="str">
        <f>IF(S26=0,"",IF(OR(G26="PEON",G26="OF",G26="JARD",G26="CARP",G26="MAESTRO",G26="SOLD",G26="BGRO",G26="CHOFER",G26="AYTE",G26="S.INTTE.",G26="ASEO",G26="P.PISOS",G26="VELADOR",G26="RESID",G26="PINTOR",G26="ELECT",G26="AZULE",G26="AUX CONT.",G26="SECRETARIA",G26="AUXILIAR ADMTVO.",G26="ARQUITECTO",G26="DIBUJANTE",G26="AUX. DE RESIDENTE"),VLOOKUP(B26,P$14:Q$55,2),"")*S26)</f>
        <v/>
      </c>
      <c r="T26" s="53" t="str">
        <f>IF(A26=0,"",VLOOKUP(A26,[2]CO!$A$3:$F$5318,5,0))</f>
        <v/>
      </c>
      <c r="U26" s="54">
        <f t="shared" ref="U26:U28" si="21">IF(T26=1,O26*0.1,)</f>
        <v>0</v>
      </c>
      <c r="V26" s="24"/>
      <c r="W26" s="25"/>
      <c r="X26" s="25"/>
      <c r="Y26" s="64" t="str">
        <f t="shared" ref="Y26:AA26" si="22">IF($B26=Y$12,$U26,"")</f>
        <v/>
      </c>
      <c r="Z26" s="55" t="str">
        <f t="shared" si="22"/>
        <v/>
      </c>
      <c r="AA26" s="55" t="str">
        <f t="shared" si="22"/>
        <v/>
      </c>
      <c r="AB26" s="55" t="str">
        <f t="shared" ref="AB26:CI26" si="23">IF($B26=AB$12,$U26,"")</f>
        <v/>
      </c>
      <c r="AC26" s="55" t="str">
        <f t="shared" si="23"/>
        <v/>
      </c>
      <c r="AD26" s="55" t="str">
        <f t="shared" si="23"/>
        <v/>
      </c>
      <c r="AE26" s="55" t="str">
        <f t="shared" si="23"/>
        <v/>
      </c>
      <c r="AF26" s="55" t="str">
        <f t="shared" si="23"/>
        <v/>
      </c>
      <c r="AG26" s="55" t="str">
        <f t="shared" si="23"/>
        <v/>
      </c>
      <c r="AH26" s="55" t="str">
        <f t="shared" si="23"/>
        <v/>
      </c>
      <c r="AI26" s="55" t="str">
        <f t="shared" si="23"/>
        <v/>
      </c>
      <c r="AJ26" s="55" t="str">
        <f t="shared" si="23"/>
        <v/>
      </c>
      <c r="AK26" s="55" t="str">
        <f t="shared" si="23"/>
        <v/>
      </c>
      <c r="AL26" s="55" t="str">
        <f t="shared" si="23"/>
        <v/>
      </c>
      <c r="AM26" s="55" t="str">
        <f t="shared" si="23"/>
        <v/>
      </c>
      <c r="AN26" s="55" t="str">
        <f t="shared" si="23"/>
        <v/>
      </c>
      <c r="AO26" s="55" t="str">
        <f t="shared" si="23"/>
        <v/>
      </c>
      <c r="AP26" s="55" t="str">
        <f t="shared" si="23"/>
        <v/>
      </c>
      <c r="AQ26" s="55" t="str">
        <f t="shared" si="23"/>
        <v/>
      </c>
      <c r="AR26" s="55" t="str">
        <f t="shared" si="23"/>
        <v/>
      </c>
      <c r="AS26" s="55" t="str">
        <f t="shared" si="23"/>
        <v/>
      </c>
      <c r="AT26" s="55" t="str">
        <f t="shared" si="23"/>
        <v/>
      </c>
      <c r="AU26" s="55" t="str">
        <f t="shared" si="23"/>
        <v/>
      </c>
      <c r="AV26" s="55" t="str">
        <f t="shared" si="23"/>
        <v/>
      </c>
      <c r="AW26" s="55" t="str">
        <f t="shared" si="23"/>
        <v/>
      </c>
      <c r="AX26" s="55" t="str">
        <f t="shared" si="23"/>
        <v/>
      </c>
      <c r="AY26" s="55" t="str">
        <f t="shared" si="23"/>
        <v/>
      </c>
      <c r="AZ26" s="55" t="str">
        <f t="shared" si="23"/>
        <v/>
      </c>
      <c r="BA26" s="55" t="str">
        <f t="shared" si="23"/>
        <v/>
      </c>
      <c r="BB26" s="55" t="str">
        <f t="shared" si="23"/>
        <v/>
      </c>
      <c r="BC26" s="55" t="str">
        <f t="shared" si="23"/>
        <v/>
      </c>
      <c r="BD26" s="55" t="str">
        <f t="shared" si="23"/>
        <v/>
      </c>
      <c r="BE26" s="55" t="str">
        <f t="shared" si="23"/>
        <v/>
      </c>
      <c r="BF26" s="55" t="str">
        <f t="shared" si="23"/>
        <v/>
      </c>
      <c r="BG26" s="55" t="str">
        <f t="shared" si="23"/>
        <v/>
      </c>
      <c r="BH26" s="55" t="str">
        <f t="shared" si="23"/>
        <v/>
      </c>
      <c r="BI26" s="55" t="str">
        <f t="shared" si="23"/>
        <v/>
      </c>
      <c r="BJ26" s="55" t="str">
        <f t="shared" si="23"/>
        <v/>
      </c>
      <c r="BK26" s="55" t="str">
        <f t="shared" si="23"/>
        <v/>
      </c>
      <c r="BL26" s="55" t="str">
        <f t="shared" si="23"/>
        <v/>
      </c>
      <c r="BM26" s="55" t="str">
        <f t="shared" si="23"/>
        <v/>
      </c>
      <c r="BN26" s="55" t="str">
        <f t="shared" si="23"/>
        <v/>
      </c>
      <c r="BO26" s="55" t="str">
        <f t="shared" si="23"/>
        <v/>
      </c>
      <c r="BP26" s="55" t="str">
        <f t="shared" si="23"/>
        <v/>
      </c>
      <c r="BQ26" s="55" t="str">
        <f t="shared" si="23"/>
        <v/>
      </c>
      <c r="BR26" s="55" t="str">
        <f t="shared" si="23"/>
        <v/>
      </c>
      <c r="BS26" s="55" t="str">
        <f t="shared" si="23"/>
        <v/>
      </c>
      <c r="BT26" s="55" t="str">
        <f t="shared" si="23"/>
        <v/>
      </c>
      <c r="BU26" s="55" t="str">
        <f t="shared" si="23"/>
        <v/>
      </c>
      <c r="BV26" s="55" t="str">
        <f t="shared" si="23"/>
        <v/>
      </c>
      <c r="BW26" s="55" t="str">
        <f t="shared" si="23"/>
        <v/>
      </c>
      <c r="BX26" s="55" t="str">
        <f t="shared" si="23"/>
        <v/>
      </c>
      <c r="BY26" s="55" t="str">
        <f t="shared" si="23"/>
        <v/>
      </c>
      <c r="BZ26" s="55" t="str">
        <f t="shared" si="23"/>
        <v/>
      </c>
      <c r="CA26" s="55" t="str">
        <f t="shared" si="23"/>
        <v/>
      </c>
      <c r="CB26" s="55" t="str">
        <f t="shared" si="23"/>
        <v/>
      </c>
      <c r="CC26" s="55" t="str">
        <f t="shared" si="23"/>
        <v/>
      </c>
      <c r="CD26" s="55" t="str">
        <f t="shared" si="23"/>
        <v/>
      </c>
      <c r="CE26" s="55" t="str">
        <f t="shared" si="23"/>
        <v/>
      </c>
      <c r="CF26" s="55" t="str">
        <f t="shared" si="23"/>
        <v/>
      </c>
      <c r="CG26" s="55" t="str">
        <f t="shared" si="23"/>
        <v/>
      </c>
      <c r="CH26" s="55" t="str">
        <f t="shared" si="23"/>
        <v/>
      </c>
      <c r="CI26" s="55" t="str">
        <f t="shared" si="23"/>
        <v/>
      </c>
      <c r="CJ26" s="55" t="str">
        <f t="shared" ref="CJ26:CY28" si="24">IF($B26=CJ$12,$U26,"")</f>
        <v/>
      </c>
      <c r="CK26" s="55" t="str">
        <f t="shared" si="24"/>
        <v/>
      </c>
      <c r="CL26" s="55" t="str">
        <f t="shared" si="24"/>
        <v/>
      </c>
      <c r="CM26" s="55" t="str">
        <f t="shared" si="24"/>
        <v/>
      </c>
      <c r="CN26" s="55" t="str">
        <f t="shared" ref="CN26:CY27" si="25">IF($B26=CN$12,$U26,"")</f>
        <v/>
      </c>
      <c r="CO26" s="55" t="str">
        <f t="shared" si="25"/>
        <v/>
      </c>
      <c r="CP26" s="55" t="str">
        <f t="shared" si="25"/>
        <v/>
      </c>
      <c r="CQ26" s="55" t="str">
        <f t="shared" si="25"/>
        <v/>
      </c>
      <c r="CR26" s="55" t="str">
        <f t="shared" si="25"/>
        <v/>
      </c>
      <c r="CS26" s="55" t="str">
        <f t="shared" si="25"/>
        <v/>
      </c>
      <c r="CT26" s="55" t="str">
        <f t="shared" si="25"/>
        <v/>
      </c>
      <c r="CU26" s="55" t="str">
        <f t="shared" si="25"/>
        <v/>
      </c>
      <c r="CV26" s="55" t="str">
        <f t="shared" si="25"/>
        <v/>
      </c>
      <c r="CW26" s="55" t="str">
        <f t="shared" si="25"/>
        <v/>
      </c>
      <c r="CX26" s="55" t="str">
        <f t="shared" si="25"/>
        <v/>
      </c>
      <c r="CY26" s="55" t="str">
        <f t="shared" si="25"/>
        <v/>
      </c>
      <c r="CZ26" s="55" t="str">
        <f t="shared" ref="CZ26:DN28" si="26">IF($B26=CZ$12,$U26,"")</f>
        <v/>
      </c>
      <c r="DA26" s="55" t="str">
        <f t="shared" si="26"/>
        <v/>
      </c>
      <c r="DB26" s="55" t="str">
        <f t="shared" si="26"/>
        <v/>
      </c>
      <c r="DC26" s="55" t="str">
        <f t="shared" si="26"/>
        <v/>
      </c>
      <c r="DD26" s="55" t="str">
        <f t="shared" si="26"/>
        <v/>
      </c>
      <c r="DE26" s="55" t="str">
        <f t="shared" si="26"/>
        <v/>
      </c>
      <c r="DF26" s="55" t="str">
        <f t="shared" si="26"/>
        <v/>
      </c>
      <c r="DG26" s="55" t="str">
        <f t="shared" si="26"/>
        <v/>
      </c>
      <c r="DH26" s="55" t="str">
        <f t="shared" si="26"/>
        <v/>
      </c>
      <c r="DI26" s="55" t="str">
        <f t="shared" si="26"/>
        <v/>
      </c>
      <c r="DJ26" s="55" t="str">
        <f t="shared" si="26"/>
        <v/>
      </c>
      <c r="DK26" s="55" t="str">
        <f t="shared" si="26"/>
        <v/>
      </c>
      <c r="DL26" s="55" t="str">
        <f t="shared" si="26"/>
        <v/>
      </c>
      <c r="DM26" s="55" t="str">
        <f t="shared" si="26"/>
        <v/>
      </c>
      <c r="DN26" s="55" t="str">
        <f t="shared" si="26"/>
        <v/>
      </c>
      <c r="DO26" s="55" t="str">
        <f t="shared" ref="DO26:DT28" si="27">IF($B26=DO$12,$U26,"")</f>
        <v/>
      </c>
      <c r="DP26" s="55" t="str">
        <f t="shared" si="27"/>
        <v/>
      </c>
      <c r="DQ26" s="55" t="str">
        <f t="shared" si="27"/>
        <v/>
      </c>
      <c r="DR26" s="55" t="str">
        <f t="shared" si="27"/>
        <v/>
      </c>
      <c r="DS26" s="55" t="str">
        <f t="shared" si="27"/>
        <v/>
      </c>
      <c r="DT26" s="106" t="str">
        <f t="shared" si="27"/>
        <v/>
      </c>
      <c r="DU26" s="54"/>
      <c r="DV26" s="25"/>
      <c r="DW26" s="61" t="str">
        <f t="shared" ref="DW26:DY26" si="28">IF($B26=DW$12,$O26,"")</f>
        <v/>
      </c>
      <c r="DX26" s="50" t="str">
        <f t="shared" si="28"/>
        <v/>
      </c>
      <c r="DY26" s="50" t="str">
        <f t="shared" si="28"/>
        <v/>
      </c>
      <c r="DZ26" s="50" t="str">
        <f t="shared" ref="DZ26:GG26" si="29">IF($B26=DZ$12,$O26,"")</f>
        <v/>
      </c>
      <c r="EA26" s="50" t="str">
        <f t="shared" si="29"/>
        <v/>
      </c>
      <c r="EB26" s="50" t="str">
        <f t="shared" si="29"/>
        <v/>
      </c>
      <c r="EC26" s="50" t="str">
        <f t="shared" si="29"/>
        <v/>
      </c>
      <c r="ED26" s="50" t="str">
        <f t="shared" si="29"/>
        <v/>
      </c>
      <c r="EE26" s="50" t="str">
        <f t="shared" si="29"/>
        <v/>
      </c>
      <c r="EF26" s="50" t="str">
        <f t="shared" si="29"/>
        <v/>
      </c>
      <c r="EG26" s="50" t="str">
        <f t="shared" si="29"/>
        <v/>
      </c>
      <c r="EH26" s="50" t="str">
        <f t="shared" si="29"/>
        <v/>
      </c>
      <c r="EI26" s="50" t="str">
        <f t="shared" si="29"/>
        <v/>
      </c>
      <c r="EJ26" s="50" t="str">
        <f t="shared" si="29"/>
        <v/>
      </c>
      <c r="EK26" s="50" t="str">
        <f t="shared" si="29"/>
        <v/>
      </c>
      <c r="EL26" s="50" t="str">
        <f t="shared" si="29"/>
        <v/>
      </c>
      <c r="EM26" s="50" t="str">
        <f t="shared" si="29"/>
        <v/>
      </c>
      <c r="EN26" s="50" t="str">
        <f t="shared" si="29"/>
        <v/>
      </c>
      <c r="EO26" s="50" t="str">
        <f t="shared" si="29"/>
        <v/>
      </c>
      <c r="EP26" s="50" t="str">
        <f t="shared" si="29"/>
        <v/>
      </c>
      <c r="EQ26" s="50" t="str">
        <f t="shared" si="29"/>
        <v/>
      </c>
      <c r="ER26" s="50" t="str">
        <f t="shared" si="29"/>
        <v/>
      </c>
      <c r="ES26" s="50" t="str">
        <f t="shared" si="29"/>
        <v/>
      </c>
      <c r="ET26" s="50" t="str">
        <f t="shared" si="29"/>
        <v/>
      </c>
      <c r="EU26" s="50" t="str">
        <f t="shared" si="29"/>
        <v/>
      </c>
      <c r="EV26" s="50" t="str">
        <f t="shared" si="29"/>
        <v/>
      </c>
      <c r="EW26" s="50" t="str">
        <f t="shared" si="29"/>
        <v/>
      </c>
      <c r="EX26" s="50" t="str">
        <f t="shared" si="29"/>
        <v/>
      </c>
      <c r="EY26" s="50" t="str">
        <f t="shared" si="29"/>
        <v/>
      </c>
      <c r="EZ26" s="50" t="str">
        <f t="shared" si="29"/>
        <v/>
      </c>
      <c r="FA26" s="50" t="str">
        <f t="shared" si="29"/>
        <v/>
      </c>
      <c r="FB26" s="50" t="str">
        <f t="shared" si="29"/>
        <v/>
      </c>
      <c r="FC26" s="50" t="str">
        <f t="shared" si="29"/>
        <v/>
      </c>
      <c r="FD26" s="50" t="str">
        <f t="shared" si="29"/>
        <v/>
      </c>
      <c r="FE26" s="50" t="str">
        <f t="shared" si="29"/>
        <v/>
      </c>
      <c r="FF26" s="50" t="str">
        <f t="shared" si="29"/>
        <v/>
      </c>
      <c r="FG26" s="50" t="str">
        <f t="shared" si="29"/>
        <v/>
      </c>
      <c r="FH26" s="50" t="str">
        <f t="shared" si="29"/>
        <v/>
      </c>
      <c r="FI26" s="50" t="str">
        <f t="shared" si="29"/>
        <v/>
      </c>
      <c r="FJ26" s="50" t="str">
        <f t="shared" si="29"/>
        <v/>
      </c>
      <c r="FK26" s="50" t="str">
        <f t="shared" si="29"/>
        <v/>
      </c>
      <c r="FL26" s="50" t="str">
        <f t="shared" si="29"/>
        <v/>
      </c>
      <c r="FM26" s="50" t="str">
        <f t="shared" si="29"/>
        <v/>
      </c>
      <c r="FN26" s="50" t="str">
        <f t="shared" si="29"/>
        <v/>
      </c>
      <c r="FO26" s="50" t="str">
        <f t="shared" si="29"/>
        <v/>
      </c>
      <c r="FP26" s="50" t="str">
        <f t="shared" si="29"/>
        <v/>
      </c>
      <c r="FQ26" s="50" t="str">
        <f t="shared" si="29"/>
        <v/>
      </c>
      <c r="FR26" s="50" t="str">
        <f t="shared" si="29"/>
        <v/>
      </c>
      <c r="FS26" s="50" t="str">
        <f t="shared" si="29"/>
        <v/>
      </c>
      <c r="FT26" s="50" t="str">
        <f t="shared" si="29"/>
        <v/>
      </c>
      <c r="FU26" s="50" t="str">
        <f t="shared" si="29"/>
        <v/>
      </c>
      <c r="FV26" s="50" t="str">
        <f t="shared" si="29"/>
        <v/>
      </c>
      <c r="FW26" s="50" t="str">
        <f t="shared" si="29"/>
        <v/>
      </c>
      <c r="FX26" s="50" t="str">
        <f t="shared" si="29"/>
        <v/>
      </c>
      <c r="FY26" s="50" t="str">
        <f t="shared" si="29"/>
        <v/>
      </c>
      <c r="FZ26" s="50" t="str">
        <f t="shared" si="29"/>
        <v/>
      </c>
      <c r="GA26" s="50" t="str">
        <f t="shared" si="29"/>
        <v/>
      </c>
      <c r="GB26" s="50" t="str">
        <f t="shared" si="29"/>
        <v/>
      </c>
      <c r="GC26" s="50" t="str">
        <f t="shared" si="29"/>
        <v/>
      </c>
      <c r="GD26" s="50" t="str">
        <f t="shared" si="29"/>
        <v/>
      </c>
      <c r="GE26" s="50" t="str">
        <f t="shared" si="29"/>
        <v/>
      </c>
      <c r="GF26" s="50" t="str">
        <f t="shared" si="29"/>
        <v/>
      </c>
      <c r="GG26" s="50" t="str">
        <f t="shared" si="29"/>
        <v/>
      </c>
      <c r="GH26" s="50" t="str">
        <f t="shared" ref="GH26:GW28" si="30">IF($B26=GH$12,$O26,"")</f>
        <v/>
      </c>
      <c r="GI26" s="50" t="str">
        <f t="shared" si="30"/>
        <v/>
      </c>
      <c r="GJ26" s="50" t="str">
        <f t="shared" si="30"/>
        <v/>
      </c>
      <c r="GK26" s="50" t="str">
        <f t="shared" si="30"/>
        <v/>
      </c>
      <c r="GL26" s="50" t="str">
        <f t="shared" ref="GL26:GW27" si="31">IF($B26=GL$12,$O26,"")</f>
        <v/>
      </c>
      <c r="GM26" s="50" t="str">
        <f t="shared" si="31"/>
        <v/>
      </c>
      <c r="GN26" s="50" t="str">
        <f t="shared" si="31"/>
        <v/>
      </c>
      <c r="GO26" s="50" t="str">
        <f t="shared" si="31"/>
        <v/>
      </c>
      <c r="GP26" s="50" t="str">
        <f t="shared" si="31"/>
        <v/>
      </c>
      <c r="GQ26" s="50" t="str">
        <f t="shared" si="31"/>
        <v/>
      </c>
      <c r="GR26" s="50" t="str">
        <f t="shared" si="31"/>
        <v/>
      </c>
      <c r="GS26" s="50" t="str">
        <f t="shared" si="31"/>
        <v/>
      </c>
      <c r="GT26" s="50" t="str">
        <f t="shared" si="31"/>
        <v/>
      </c>
      <c r="GU26" s="50" t="str">
        <f t="shared" si="31"/>
        <v/>
      </c>
      <c r="GV26" s="50" t="str">
        <f t="shared" si="31"/>
        <v/>
      </c>
      <c r="GW26" s="50" t="str">
        <f t="shared" si="31"/>
        <v/>
      </c>
      <c r="GX26" s="50" t="str">
        <f t="shared" ref="GX26:HL28" si="32">IF($B26=GX$12,$O26,"")</f>
        <v/>
      </c>
      <c r="GY26" s="50" t="str">
        <f t="shared" si="32"/>
        <v/>
      </c>
      <c r="GZ26" s="50" t="str">
        <f t="shared" si="32"/>
        <v/>
      </c>
      <c r="HA26" s="50" t="str">
        <f t="shared" si="32"/>
        <v/>
      </c>
      <c r="HB26" s="50" t="str">
        <f t="shared" si="32"/>
        <v/>
      </c>
      <c r="HC26" s="50" t="str">
        <f t="shared" si="32"/>
        <v/>
      </c>
      <c r="HD26" s="50" t="str">
        <f t="shared" si="32"/>
        <v/>
      </c>
      <c r="HE26" s="50" t="str">
        <f t="shared" si="32"/>
        <v/>
      </c>
      <c r="HF26" s="50" t="str">
        <f t="shared" si="32"/>
        <v/>
      </c>
      <c r="HG26" s="50" t="str">
        <f t="shared" si="32"/>
        <v/>
      </c>
      <c r="HH26" s="50" t="str">
        <f t="shared" si="32"/>
        <v/>
      </c>
      <c r="HI26" s="50" t="str">
        <f t="shared" si="32"/>
        <v/>
      </c>
      <c r="HJ26" s="50" t="str">
        <f t="shared" si="32"/>
        <v/>
      </c>
      <c r="HK26" s="50" t="str">
        <f t="shared" si="32"/>
        <v/>
      </c>
      <c r="HL26" s="50" t="str">
        <f t="shared" si="32"/>
        <v/>
      </c>
      <c r="HM26" s="50" t="str">
        <f t="shared" ref="HM26:HR28" si="33">IF($B26=HM$12,$O26,"")</f>
        <v/>
      </c>
      <c r="HN26" s="50" t="str">
        <f t="shared" si="33"/>
        <v/>
      </c>
      <c r="HO26" s="50" t="str">
        <f t="shared" si="33"/>
        <v/>
      </c>
      <c r="HP26" s="50" t="str">
        <f t="shared" si="33"/>
        <v/>
      </c>
      <c r="HQ26" s="50" t="str">
        <f t="shared" si="33"/>
        <v/>
      </c>
      <c r="HR26" s="112" t="str">
        <f t="shared" si="33"/>
        <v/>
      </c>
    </row>
    <row r="27" spans="1:226" ht="11.1" customHeight="1" x14ac:dyDescent="0.25">
      <c r="A27" s="26"/>
      <c r="B27" s="27"/>
      <c r="C27" s="28" t="str">
        <f>IF(A27=0,"",VLOOKUP(A27,[2]CO!$A$3:$F$5327,2,0))</f>
        <v/>
      </c>
      <c r="D27" s="29"/>
      <c r="E27" s="29"/>
      <c r="F27" s="29"/>
      <c r="G27" s="30" t="str">
        <f>IF(A27=0,"",VLOOKUP(A27,[2]CO!$A$3:$F$5327,3,0))</f>
        <v/>
      </c>
      <c r="H27" s="29"/>
      <c r="I27" s="31"/>
      <c r="J27" s="31"/>
      <c r="K27" s="31"/>
      <c r="L27" s="31"/>
      <c r="M27" s="32" t="str">
        <f t="shared" si="18"/>
        <v/>
      </c>
      <c r="N27" s="32" t="str">
        <f>IF(B27=0,"",IF(H27="M",HLOOKUP(B27,$Y$12:$DT$13,2),IF(A27=0,"",VLOOKUP(A27,[2]CO!$A$3:$F$5327,4,0))))</f>
        <v/>
      </c>
      <c r="O27" s="32" t="str">
        <f t="shared" si="19"/>
        <v/>
      </c>
      <c r="P27" s="33"/>
      <c r="Q27" s="34" t="str">
        <f t="shared" si="20"/>
        <v/>
      </c>
      <c r="R27" s="35" t="str">
        <f>IF(S27=0,"",IF(OR(G27="PEON",G27="OF",G27="JARD",G27="CARP",G27="MAESTRO",G27="SOLD",G27="BGRO",G27="CHOFER",G27="AYTE",G27="S.INTTE.",G27="ASEO",G27="P.PISOS",G27="VELADOR",G27="RESID",G27="PINTOR",G27="ELECT",G27="AZULE",G27="AUX CONT.",G27="SECRETARIA",G27="AUXILIAR ADMTVO.",G27="ARQUITECTO",G27="DIBUJANTE",G27="AUX. DE RESIDENTE"),VLOOKUP(B27,P$14:Q$55,2),"")*S27)</f>
        <v/>
      </c>
      <c r="T27" s="53" t="str">
        <f>IF(A27=0,"",VLOOKUP(A27,[2]CO!$A$3:$F$5318,5,0))</f>
        <v/>
      </c>
      <c r="U27" s="54">
        <f t="shared" si="21"/>
        <v>0</v>
      </c>
      <c r="V27" s="24"/>
      <c r="W27" s="25"/>
      <c r="X27" s="25"/>
      <c r="Y27" s="64" t="str">
        <f t="shared" ref="Y27:CI28" si="34">IF($B27=Y$12,$U27,"")</f>
        <v/>
      </c>
      <c r="Z27" s="55" t="str">
        <f t="shared" si="34"/>
        <v/>
      </c>
      <c r="AA27" s="55" t="str">
        <f t="shared" si="34"/>
        <v/>
      </c>
      <c r="AB27" s="55" t="str">
        <f t="shared" si="34"/>
        <v/>
      </c>
      <c r="AC27" s="55" t="str">
        <f t="shared" si="34"/>
        <v/>
      </c>
      <c r="AD27" s="55" t="str">
        <f t="shared" si="34"/>
        <v/>
      </c>
      <c r="AE27" s="55" t="str">
        <f t="shared" si="34"/>
        <v/>
      </c>
      <c r="AF27" s="55" t="str">
        <f t="shared" si="34"/>
        <v/>
      </c>
      <c r="AG27" s="55" t="str">
        <f t="shared" si="34"/>
        <v/>
      </c>
      <c r="AH27" s="55" t="str">
        <f t="shared" si="34"/>
        <v/>
      </c>
      <c r="AI27" s="55" t="str">
        <f t="shared" si="34"/>
        <v/>
      </c>
      <c r="AJ27" s="55" t="str">
        <f t="shared" si="34"/>
        <v/>
      </c>
      <c r="AK27" s="55" t="str">
        <f t="shared" si="34"/>
        <v/>
      </c>
      <c r="AL27" s="55" t="str">
        <f t="shared" si="34"/>
        <v/>
      </c>
      <c r="AM27" s="55" t="str">
        <f t="shared" si="34"/>
        <v/>
      </c>
      <c r="AN27" s="55" t="str">
        <f t="shared" si="34"/>
        <v/>
      </c>
      <c r="AO27" s="55" t="str">
        <f t="shared" si="34"/>
        <v/>
      </c>
      <c r="AP27" s="55" t="str">
        <f t="shared" si="34"/>
        <v/>
      </c>
      <c r="AQ27" s="55" t="str">
        <f t="shared" si="34"/>
        <v/>
      </c>
      <c r="AR27" s="55" t="str">
        <f t="shared" si="34"/>
        <v/>
      </c>
      <c r="AS27" s="55" t="str">
        <f t="shared" si="34"/>
        <v/>
      </c>
      <c r="AT27" s="55" t="str">
        <f t="shared" si="34"/>
        <v/>
      </c>
      <c r="AU27" s="55" t="str">
        <f t="shared" si="34"/>
        <v/>
      </c>
      <c r="AV27" s="55" t="str">
        <f t="shared" si="34"/>
        <v/>
      </c>
      <c r="AW27" s="55" t="str">
        <f t="shared" si="34"/>
        <v/>
      </c>
      <c r="AX27" s="55" t="str">
        <f t="shared" si="34"/>
        <v/>
      </c>
      <c r="AY27" s="55" t="str">
        <f t="shared" si="34"/>
        <v/>
      </c>
      <c r="AZ27" s="55" t="str">
        <f t="shared" si="34"/>
        <v/>
      </c>
      <c r="BA27" s="55" t="str">
        <f t="shared" si="34"/>
        <v/>
      </c>
      <c r="BB27" s="55" t="str">
        <f t="shared" si="34"/>
        <v/>
      </c>
      <c r="BC27" s="55" t="str">
        <f t="shared" si="34"/>
        <v/>
      </c>
      <c r="BD27" s="55" t="str">
        <f t="shared" si="34"/>
        <v/>
      </c>
      <c r="BE27" s="55" t="str">
        <f t="shared" si="34"/>
        <v/>
      </c>
      <c r="BF27" s="55" t="str">
        <f t="shared" si="34"/>
        <v/>
      </c>
      <c r="BG27" s="55" t="str">
        <f t="shared" si="34"/>
        <v/>
      </c>
      <c r="BH27" s="55" t="str">
        <f t="shared" si="34"/>
        <v/>
      </c>
      <c r="BI27" s="55" t="str">
        <f t="shared" si="34"/>
        <v/>
      </c>
      <c r="BJ27" s="55" t="str">
        <f t="shared" si="34"/>
        <v/>
      </c>
      <c r="BK27" s="55" t="str">
        <f t="shared" si="34"/>
        <v/>
      </c>
      <c r="BL27" s="55" t="str">
        <f t="shared" si="34"/>
        <v/>
      </c>
      <c r="BM27" s="55" t="str">
        <f t="shared" si="34"/>
        <v/>
      </c>
      <c r="BN27" s="55" t="str">
        <f t="shared" si="34"/>
        <v/>
      </c>
      <c r="BO27" s="55" t="str">
        <f t="shared" si="34"/>
        <v/>
      </c>
      <c r="BP27" s="55" t="str">
        <f t="shared" si="34"/>
        <v/>
      </c>
      <c r="BQ27" s="55" t="str">
        <f t="shared" si="34"/>
        <v/>
      </c>
      <c r="BR27" s="55" t="str">
        <f t="shared" si="34"/>
        <v/>
      </c>
      <c r="BS27" s="55" t="str">
        <f t="shared" si="34"/>
        <v/>
      </c>
      <c r="BT27" s="55" t="str">
        <f t="shared" si="34"/>
        <v/>
      </c>
      <c r="BU27" s="55" t="str">
        <f t="shared" si="34"/>
        <v/>
      </c>
      <c r="BV27" s="55" t="str">
        <f t="shared" si="34"/>
        <v/>
      </c>
      <c r="BW27" s="55" t="str">
        <f t="shared" si="34"/>
        <v/>
      </c>
      <c r="BX27" s="55" t="str">
        <f t="shared" si="34"/>
        <v/>
      </c>
      <c r="BY27" s="55" t="str">
        <f t="shared" si="34"/>
        <v/>
      </c>
      <c r="BZ27" s="55" t="str">
        <f t="shared" si="34"/>
        <v/>
      </c>
      <c r="CA27" s="55" t="str">
        <f t="shared" si="34"/>
        <v/>
      </c>
      <c r="CB27" s="55" t="str">
        <f t="shared" si="34"/>
        <v/>
      </c>
      <c r="CC27" s="55" t="str">
        <f t="shared" si="34"/>
        <v/>
      </c>
      <c r="CD27" s="55" t="str">
        <f t="shared" si="34"/>
        <v/>
      </c>
      <c r="CE27" s="55" t="str">
        <f t="shared" si="34"/>
        <v/>
      </c>
      <c r="CF27" s="55" t="str">
        <f t="shared" si="34"/>
        <v/>
      </c>
      <c r="CG27" s="55" t="str">
        <f t="shared" si="34"/>
        <v/>
      </c>
      <c r="CH27" s="55" t="str">
        <f t="shared" si="34"/>
        <v/>
      </c>
      <c r="CI27" s="55" t="str">
        <f t="shared" si="34"/>
        <v/>
      </c>
      <c r="CJ27" s="55" t="str">
        <f t="shared" si="24"/>
        <v/>
      </c>
      <c r="CK27" s="55" t="str">
        <f t="shared" si="24"/>
        <v/>
      </c>
      <c r="CL27" s="55" t="str">
        <f t="shared" si="24"/>
        <v/>
      </c>
      <c r="CM27" s="55" t="str">
        <f t="shared" si="24"/>
        <v/>
      </c>
      <c r="CN27" s="55" t="str">
        <f t="shared" si="25"/>
        <v/>
      </c>
      <c r="CO27" s="55" t="str">
        <f t="shared" si="25"/>
        <v/>
      </c>
      <c r="CP27" s="55" t="str">
        <f t="shared" si="25"/>
        <v/>
      </c>
      <c r="CQ27" s="55" t="str">
        <f t="shared" si="25"/>
        <v/>
      </c>
      <c r="CR27" s="55" t="str">
        <f t="shared" si="25"/>
        <v/>
      </c>
      <c r="CS27" s="55" t="str">
        <f t="shared" si="25"/>
        <v/>
      </c>
      <c r="CT27" s="55" t="str">
        <f t="shared" si="25"/>
        <v/>
      </c>
      <c r="CU27" s="55" t="str">
        <f t="shared" si="25"/>
        <v/>
      </c>
      <c r="CV27" s="55" t="str">
        <f t="shared" si="25"/>
        <v/>
      </c>
      <c r="CW27" s="55" t="str">
        <f t="shared" si="25"/>
        <v/>
      </c>
      <c r="CX27" s="55" t="str">
        <f t="shared" si="25"/>
        <v/>
      </c>
      <c r="CY27" s="55" t="str">
        <f t="shared" si="25"/>
        <v/>
      </c>
      <c r="CZ27" s="55" t="str">
        <f t="shared" si="26"/>
        <v/>
      </c>
      <c r="DA27" s="55" t="str">
        <f t="shared" si="26"/>
        <v/>
      </c>
      <c r="DB27" s="55" t="str">
        <f t="shared" si="26"/>
        <v/>
      </c>
      <c r="DC27" s="55" t="str">
        <f t="shared" si="26"/>
        <v/>
      </c>
      <c r="DD27" s="55" t="str">
        <f t="shared" si="26"/>
        <v/>
      </c>
      <c r="DE27" s="55" t="str">
        <f t="shared" si="26"/>
        <v/>
      </c>
      <c r="DF27" s="55" t="str">
        <f t="shared" si="26"/>
        <v/>
      </c>
      <c r="DG27" s="55" t="str">
        <f t="shared" si="26"/>
        <v/>
      </c>
      <c r="DH27" s="55" t="str">
        <f t="shared" si="26"/>
        <v/>
      </c>
      <c r="DI27" s="55" t="str">
        <f t="shared" si="26"/>
        <v/>
      </c>
      <c r="DJ27" s="55" t="str">
        <f t="shared" si="26"/>
        <v/>
      </c>
      <c r="DK27" s="55" t="str">
        <f t="shared" si="26"/>
        <v/>
      </c>
      <c r="DL27" s="55" t="str">
        <f t="shared" si="26"/>
        <v/>
      </c>
      <c r="DM27" s="55" t="str">
        <f t="shared" si="26"/>
        <v/>
      </c>
      <c r="DN27" s="55" t="str">
        <f t="shared" si="26"/>
        <v/>
      </c>
      <c r="DO27" s="55" t="str">
        <f t="shared" si="27"/>
        <v/>
      </c>
      <c r="DP27" s="55" t="str">
        <f t="shared" si="27"/>
        <v/>
      </c>
      <c r="DQ27" s="55" t="str">
        <f t="shared" si="27"/>
        <v/>
      </c>
      <c r="DR27" s="55" t="str">
        <f t="shared" si="27"/>
        <v/>
      </c>
      <c r="DS27" s="55" t="str">
        <f t="shared" si="27"/>
        <v/>
      </c>
      <c r="DT27" s="106" t="str">
        <f t="shared" si="27"/>
        <v/>
      </c>
      <c r="DU27" s="54"/>
      <c r="DV27" s="25"/>
      <c r="DW27" s="61" t="str">
        <f t="shared" ref="DW27:GG28" si="35">IF($B27=DW$12,$O27,"")</f>
        <v/>
      </c>
      <c r="DX27" s="50" t="str">
        <f t="shared" si="35"/>
        <v/>
      </c>
      <c r="DY27" s="50" t="str">
        <f t="shared" si="35"/>
        <v/>
      </c>
      <c r="DZ27" s="50" t="str">
        <f t="shared" si="35"/>
        <v/>
      </c>
      <c r="EA27" s="50" t="str">
        <f t="shared" si="35"/>
        <v/>
      </c>
      <c r="EB27" s="50" t="str">
        <f t="shared" si="35"/>
        <v/>
      </c>
      <c r="EC27" s="50" t="str">
        <f t="shared" si="35"/>
        <v/>
      </c>
      <c r="ED27" s="50" t="str">
        <f t="shared" si="35"/>
        <v/>
      </c>
      <c r="EE27" s="50" t="str">
        <f t="shared" si="35"/>
        <v/>
      </c>
      <c r="EF27" s="50" t="str">
        <f t="shared" si="35"/>
        <v/>
      </c>
      <c r="EG27" s="50" t="str">
        <f t="shared" si="35"/>
        <v/>
      </c>
      <c r="EH27" s="50" t="str">
        <f t="shared" si="35"/>
        <v/>
      </c>
      <c r="EI27" s="50" t="str">
        <f t="shared" si="35"/>
        <v/>
      </c>
      <c r="EJ27" s="50" t="str">
        <f t="shared" si="35"/>
        <v/>
      </c>
      <c r="EK27" s="50" t="str">
        <f t="shared" si="35"/>
        <v/>
      </c>
      <c r="EL27" s="50" t="str">
        <f t="shared" si="35"/>
        <v/>
      </c>
      <c r="EM27" s="50" t="str">
        <f t="shared" si="35"/>
        <v/>
      </c>
      <c r="EN27" s="50" t="str">
        <f t="shared" si="35"/>
        <v/>
      </c>
      <c r="EO27" s="50" t="str">
        <f t="shared" si="35"/>
        <v/>
      </c>
      <c r="EP27" s="50" t="str">
        <f t="shared" si="35"/>
        <v/>
      </c>
      <c r="EQ27" s="50" t="str">
        <f t="shared" si="35"/>
        <v/>
      </c>
      <c r="ER27" s="50" t="str">
        <f t="shared" si="35"/>
        <v/>
      </c>
      <c r="ES27" s="50" t="str">
        <f t="shared" si="35"/>
        <v/>
      </c>
      <c r="ET27" s="50" t="str">
        <f t="shared" si="35"/>
        <v/>
      </c>
      <c r="EU27" s="50" t="str">
        <f t="shared" si="35"/>
        <v/>
      </c>
      <c r="EV27" s="50" t="str">
        <f t="shared" si="35"/>
        <v/>
      </c>
      <c r="EW27" s="50" t="str">
        <f t="shared" si="35"/>
        <v/>
      </c>
      <c r="EX27" s="50" t="str">
        <f t="shared" si="35"/>
        <v/>
      </c>
      <c r="EY27" s="50" t="str">
        <f t="shared" si="35"/>
        <v/>
      </c>
      <c r="EZ27" s="50" t="str">
        <f t="shared" si="35"/>
        <v/>
      </c>
      <c r="FA27" s="50" t="str">
        <f t="shared" si="35"/>
        <v/>
      </c>
      <c r="FB27" s="50" t="str">
        <f t="shared" si="35"/>
        <v/>
      </c>
      <c r="FC27" s="50" t="str">
        <f t="shared" si="35"/>
        <v/>
      </c>
      <c r="FD27" s="50" t="str">
        <f t="shared" si="35"/>
        <v/>
      </c>
      <c r="FE27" s="50" t="str">
        <f t="shared" si="35"/>
        <v/>
      </c>
      <c r="FF27" s="50" t="str">
        <f t="shared" si="35"/>
        <v/>
      </c>
      <c r="FG27" s="50" t="str">
        <f t="shared" si="35"/>
        <v/>
      </c>
      <c r="FH27" s="50" t="str">
        <f t="shared" si="35"/>
        <v/>
      </c>
      <c r="FI27" s="50" t="str">
        <f t="shared" si="35"/>
        <v/>
      </c>
      <c r="FJ27" s="50" t="str">
        <f t="shared" si="35"/>
        <v/>
      </c>
      <c r="FK27" s="50" t="str">
        <f t="shared" si="35"/>
        <v/>
      </c>
      <c r="FL27" s="50" t="str">
        <f t="shared" si="35"/>
        <v/>
      </c>
      <c r="FM27" s="50" t="str">
        <f t="shared" si="35"/>
        <v/>
      </c>
      <c r="FN27" s="50" t="str">
        <f t="shared" si="35"/>
        <v/>
      </c>
      <c r="FO27" s="50" t="str">
        <f t="shared" si="35"/>
        <v/>
      </c>
      <c r="FP27" s="50" t="str">
        <f t="shared" si="35"/>
        <v/>
      </c>
      <c r="FQ27" s="50" t="str">
        <f t="shared" si="35"/>
        <v/>
      </c>
      <c r="FR27" s="50" t="str">
        <f t="shared" si="35"/>
        <v/>
      </c>
      <c r="FS27" s="50" t="str">
        <f t="shared" si="35"/>
        <v/>
      </c>
      <c r="FT27" s="50" t="str">
        <f t="shared" si="35"/>
        <v/>
      </c>
      <c r="FU27" s="50" t="str">
        <f t="shared" si="35"/>
        <v/>
      </c>
      <c r="FV27" s="50" t="str">
        <f t="shared" si="35"/>
        <v/>
      </c>
      <c r="FW27" s="50" t="str">
        <f t="shared" si="35"/>
        <v/>
      </c>
      <c r="FX27" s="50" t="str">
        <f t="shared" si="35"/>
        <v/>
      </c>
      <c r="FY27" s="50" t="str">
        <f t="shared" si="35"/>
        <v/>
      </c>
      <c r="FZ27" s="50" t="str">
        <f t="shared" si="35"/>
        <v/>
      </c>
      <c r="GA27" s="50" t="str">
        <f t="shared" si="35"/>
        <v/>
      </c>
      <c r="GB27" s="50" t="str">
        <f t="shared" si="35"/>
        <v/>
      </c>
      <c r="GC27" s="50" t="str">
        <f t="shared" si="35"/>
        <v/>
      </c>
      <c r="GD27" s="50" t="str">
        <f t="shared" si="35"/>
        <v/>
      </c>
      <c r="GE27" s="50" t="str">
        <f t="shared" si="35"/>
        <v/>
      </c>
      <c r="GF27" s="50" t="str">
        <f t="shared" si="35"/>
        <v/>
      </c>
      <c r="GG27" s="50" t="str">
        <f t="shared" si="35"/>
        <v/>
      </c>
      <c r="GH27" s="50" t="str">
        <f t="shared" si="30"/>
        <v/>
      </c>
      <c r="GI27" s="50" t="str">
        <f t="shared" si="30"/>
        <v/>
      </c>
      <c r="GJ27" s="50" t="str">
        <f t="shared" si="30"/>
        <v/>
      </c>
      <c r="GK27" s="50" t="str">
        <f t="shared" si="30"/>
        <v/>
      </c>
      <c r="GL27" s="50" t="str">
        <f t="shared" si="31"/>
        <v/>
      </c>
      <c r="GM27" s="50" t="str">
        <f t="shared" si="31"/>
        <v/>
      </c>
      <c r="GN27" s="50" t="str">
        <f t="shared" si="31"/>
        <v/>
      </c>
      <c r="GO27" s="50" t="str">
        <f t="shared" si="31"/>
        <v/>
      </c>
      <c r="GP27" s="50" t="str">
        <f t="shared" si="31"/>
        <v/>
      </c>
      <c r="GQ27" s="50" t="str">
        <f t="shared" si="31"/>
        <v/>
      </c>
      <c r="GR27" s="50" t="str">
        <f t="shared" si="31"/>
        <v/>
      </c>
      <c r="GS27" s="50" t="str">
        <f t="shared" si="31"/>
        <v/>
      </c>
      <c r="GT27" s="50" t="str">
        <f t="shared" si="31"/>
        <v/>
      </c>
      <c r="GU27" s="50" t="str">
        <f t="shared" si="31"/>
        <v/>
      </c>
      <c r="GV27" s="50" t="str">
        <f t="shared" si="31"/>
        <v/>
      </c>
      <c r="GW27" s="50" t="str">
        <f t="shared" si="31"/>
        <v/>
      </c>
      <c r="GX27" s="50" t="str">
        <f t="shared" si="32"/>
        <v/>
      </c>
      <c r="GY27" s="50" t="str">
        <f t="shared" si="32"/>
        <v/>
      </c>
      <c r="GZ27" s="50" t="str">
        <f t="shared" si="32"/>
        <v/>
      </c>
      <c r="HA27" s="50" t="str">
        <f t="shared" si="32"/>
        <v/>
      </c>
      <c r="HB27" s="50" t="str">
        <f t="shared" si="32"/>
        <v/>
      </c>
      <c r="HC27" s="50" t="str">
        <f t="shared" si="32"/>
        <v/>
      </c>
      <c r="HD27" s="50" t="str">
        <f t="shared" si="32"/>
        <v/>
      </c>
      <c r="HE27" s="50" t="str">
        <f t="shared" si="32"/>
        <v/>
      </c>
      <c r="HF27" s="50" t="str">
        <f t="shared" si="32"/>
        <v/>
      </c>
      <c r="HG27" s="50" t="str">
        <f t="shared" si="32"/>
        <v/>
      </c>
      <c r="HH27" s="50" t="str">
        <f t="shared" si="32"/>
        <v/>
      </c>
      <c r="HI27" s="50" t="str">
        <f t="shared" si="32"/>
        <v/>
      </c>
      <c r="HJ27" s="50" t="str">
        <f t="shared" si="32"/>
        <v/>
      </c>
      <c r="HK27" s="50" t="str">
        <f t="shared" si="32"/>
        <v/>
      </c>
      <c r="HL27" s="50" t="str">
        <f t="shared" si="32"/>
        <v/>
      </c>
      <c r="HM27" s="50" t="str">
        <f t="shared" si="33"/>
        <v/>
      </c>
      <c r="HN27" s="50" t="str">
        <f t="shared" si="33"/>
        <v/>
      </c>
      <c r="HO27" s="50" t="str">
        <f t="shared" si="33"/>
        <v/>
      </c>
      <c r="HP27" s="50" t="str">
        <f t="shared" si="33"/>
        <v/>
      </c>
      <c r="HQ27" s="50" t="str">
        <f t="shared" si="33"/>
        <v/>
      </c>
      <c r="HR27" s="112" t="str">
        <f t="shared" si="33"/>
        <v/>
      </c>
    </row>
    <row r="28" spans="1:226" ht="11.1" customHeight="1" x14ac:dyDescent="0.25">
      <c r="A28" s="26"/>
      <c r="B28" s="27"/>
      <c r="C28" s="28" t="str">
        <f>IF(A28=0,"",VLOOKUP(A28,[2]CO!$A$3:$F$5327,2,0))</f>
        <v/>
      </c>
      <c r="D28" s="29"/>
      <c r="E28" s="29"/>
      <c r="F28" s="29"/>
      <c r="G28" s="30" t="str">
        <f>IF(A28=0,"",VLOOKUP(A28,[2]CO!$A$3:$F$5327,3,0))</f>
        <v/>
      </c>
      <c r="H28" s="29"/>
      <c r="I28" s="31"/>
      <c r="J28" s="31"/>
      <c r="K28" s="31"/>
      <c r="L28" s="31"/>
      <c r="M28" s="32" t="str">
        <f t="shared" si="18"/>
        <v/>
      </c>
      <c r="N28" s="32" t="str">
        <f>IF(B28=0,"",IF(H28="M",HLOOKUP(B28,$Y$12:$DT$13,2),IF(A28=0,"",VLOOKUP(A28,[2]CO!$A$3:$F$5327,4,0))))</f>
        <v/>
      </c>
      <c r="O28" s="32" t="str">
        <f t="shared" si="19"/>
        <v/>
      </c>
      <c r="P28" s="33"/>
      <c r="Q28" s="34" t="str">
        <f t="shared" si="20"/>
        <v/>
      </c>
      <c r="R28" s="35" t="str">
        <f>IF(S28=0,"",IF(OR(G28="PEON",G28="OF",G28="JARD",G28="CARP",G28="MAESTRO",G28="SOLD",G28="BGRO",G28="CHOFER",G28="AYTE",G28="S.INTTE.",G28="ASEO",G28="P.PISOS",G28="VELADOR",G28="RESID",G28="PINTOR",G28="ELECT",G28="AZULE",G28="AUX CONT.",G28="SECRETARIA",G28="AUXILIAR ADMTVO.",G28="ARQUITECTO",G28="DIBUJANTE",G28="AUX. DE RESIDENTE"),VLOOKUP(B28,P$14:Q$55,2),"")*S28)</f>
        <v/>
      </c>
      <c r="T28" s="53" t="str">
        <f>IF(A28=0,"",VLOOKUP(A28,[2]CO!$A$3:$F$5318,5,0))</f>
        <v/>
      </c>
      <c r="U28" s="54">
        <f t="shared" si="21"/>
        <v>0</v>
      </c>
      <c r="V28" s="24"/>
      <c r="W28" s="25"/>
      <c r="X28" s="25"/>
      <c r="Y28" s="64" t="str">
        <f t="shared" si="34"/>
        <v/>
      </c>
      <c r="Z28" s="55" t="str">
        <f t="shared" si="34"/>
        <v/>
      </c>
      <c r="AA28" s="55" t="str">
        <f t="shared" si="34"/>
        <v/>
      </c>
      <c r="AB28" s="55" t="str">
        <f t="shared" si="34"/>
        <v/>
      </c>
      <c r="AC28" s="55" t="str">
        <f t="shared" si="34"/>
        <v/>
      </c>
      <c r="AD28" s="55" t="str">
        <f t="shared" si="34"/>
        <v/>
      </c>
      <c r="AE28" s="55" t="str">
        <f t="shared" si="34"/>
        <v/>
      </c>
      <c r="AF28" s="55" t="str">
        <f t="shared" si="34"/>
        <v/>
      </c>
      <c r="AG28" s="55" t="str">
        <f t="shared" si="34"/>
        <v/>
      </c>
      <c r="AH28" s="55" t="str">
        <f t="shared" si="34"/>
        <v/>
      </c>
      <c r="AI28" s="55" t="str">
        <f t="shared" si="34"/>
        <v/>
      </c>
      <c r="AJ28" s="55" t="str">
        <f t="shared" si="34"/>
        <v/>
      </c>
      <c r="AK28" s="55" t="str">
        <f t="shared" si="34"/>
        <v/>
      </c>
      <c r="AL28" s="55" t="str">
        <f t="shared" si="34"/>
        <v/>
      </c>
      <c r="AM28" s="55" t="str">
        <f t="shared" si="34"/>
        <v/>
      </c>
      <c r="AN28" s="55" t="str">
        <f t="shared" si="34"/>
        <v/>
      </c>
      <c r="AO28" s="55" t="str">
        <f t="shared" si="34"/>
        <v/>
      </c>
      <c r="AP28" s="55" t="str">
        <f t="shared" si="34"/>
        <v/>
      </c>
      <c r="AQ28" s="55" t="str">
        <f t="shared" si="34"/>
        <v/>
      </c>
      <c r="AR28" s="55" t="str">
        <f t="shared" si="34"/>
        <v/>
      </c>
      <c r="AS28" s="55" t="str">
        <f t="shared" si="34"/>
        <v/>
      </c>
      <c r="AT28" s="55" t="str">
        <f t="shared" si="34"/>
        <v/>
      </c>
      <c r="AU28" s="55" t="str">
        <f t="shared" si="34"/>
        <v/>
      </c>
      <c r="AV28" s="55" t="str">
        <f t="shared" si="34"/>
        <v/>
      </c>
      <c r="AW28" s="55" t="str">
        <f t="shared" si="34"/>
        <v/>
      </c>
      <c r="AX28" s="55" t="str">
        <f t="shared" si="34"/>
        <v/>
      </c>
      <c r="AY28" s="55" t="str">
        <f t="shared" si="34"/>
        <v/>
      </c>
      <c r="AZ28" s="55" t="str">
        <f t="shared" si="34"/>
        <v/>
      </c>
      <c r="BA28" s="55" t="str">
        <f t="shared" si="34"/>
        <v/>
      </c>
      <c r="BB28" s="55" t="str">
        <f t="shared" si="34"/>
        <v/>
      </c>
      <c r="BC28" s="55" t="str">
        <f t="shared" si="34"/>
        <v/>
      </c>
      <c r="BD28" s="55" t="str">
        <f t="shared" si="34"/>
        <v/>
      </c>
      <c r="BE28" s="55" t="str">
        <f t="shared" si="34"/>
        <v/>
      </c>
      <c r="BF28" s="55" t="str">
        <f t="shared" si="34"/>
        <v/>
      </c>
      <c r="BG28" s="55" t="str">
        <f t="shared" si="34"/>
        <v/>
      </c>
      <c r="BH28" s="55" t="str">
        <f t="shared" si="34"/>
        <v/>
      </c>
      <c r="BI28" s="55" t="str">
        <f t="shared" si="34"/>
        <v/>
      </c>
      <c r="BJ28" s="55" t="str">
        <f t="shared" si="34"/>
        <v/>
      </c>
      <c r="BK28" s="55" t="str">
        <f t="shared" si="34"/>
        <v/>
      </c>
      <c r="BL28" s="55" t="str">
        <f t="shared" si="34"/>
        <v/>
      </c>
      <c r="BM28" s="55" t="str">
        <f t="shared" si="34"/>
        <v/>
      </c>
      <c r="BN28" s="55" t="str">
        <f t="shared" si="34"/>
        <v/>
      </c>
      <c r="BO28" s="55" t="str">
        <f t="shared" si="34"/>
        <v/>
      </c>
      <c r="BP28" s="55" t="str">
        <f t="shared" si="34"/>
        <v/>
      </c>
      <c r="BQ28" s="55" t="str">
        <f t="shared" si="34"/>
        <v/>
      </c>
      <c r="BR28" s="55" t="str">
        <f t="shared" si="34"/>
        <v/>
      </c>
      <c r="BS28" s="55" t="str">
        <f t="shared" si="34"/>
        <v/>
      </c>
      <c r="BT28" s="55" t="str">
        <f t="shared" si="34"/>
        <v/>
      </c>
      <c r="BU28" s="55" t="str">
        <f t="shared" si="34"/>
        <v/>
      </c>
      <c r="BV28" s="55" t="str">
        <f t="shared" si="34"/>
        <v/>
      </c>
      <c r="BW28" s="55" t="str">
        <f t="shared" si="34"/>
        <v/>
      </c>
      <c r="BX28" s="55" t="str">
        <f t="shared" si="34"/>
        <v/>
      </c>
      <c r="BY28" s="55" t="str">
        <f t="shared" si="34"/>
        <v/>
      </c>
      <c r="BZ28" s="55" t="str">
        <f t="shared" si="34"/>
        <v/>
      </c>
      <c r="CA28" s="55" t="str">
        <f t="shared" si="34"/>
        <v/>
      </c>
      <c r="CB28" s="55" t="str">
        <f t="shared" si="34"/>
        <v/>
      </c>
      <c r="CC28" s="55" t="str">
        <f t="shared" si="34"/>
        <v/>
      </c>
      <c r="CD28" s="55" t="str">
        <f t="shared" si="34"/>
        <v/>
      </c>
      <c r="CE28" s="55" t="str">
        <f t="shared" si="34"/>
        <v/>
      </c>
      <c r="CF28" s="55" t="str">
        <f t="shared" si="34"/>
        <v/>
      </c>
      <c r="CG28" s="55" t="str">
        <f t="shared" si="34"/>
        <v/>
      </c>
      <c r="CH28" s="55" t="str">
        <f t="shared" si="34"/>
        <v/>
      </c>
      <c r="CI28" s="55" t="str">
        <f t="shared" si="34"/>
        <v/>
      </c>
      <c r="CJ28" s="55" t="str">
        <f t="shared" si="24"/>
        <v/>
      </c>
      <c r="CK28" s="55" t="str">
        <f t="shared" si="24"/>
        <v/>
      </c>
      <c r="CL28" s="55" t="str">
        <f t="shared" si="24"/>
        <v/>
      </c>
      <c r="CM28" s="55" t="str">
        <f t="shared" si="24"/>
        <v/>
      </c>
      <c r="CN28" s="55" t="str">
        <f t="shared" si="24"/>
        <v/>
      </c>
      <c r="CO28" s="55" t="str">
        <f t="shared" si="24"/>
        <v/>
      </c>
      <c r="CP28" s="55" t="str">
        <f t="shared" si="24"/>
        <v/>
      </c>
      <c r="CQ28" s="55" t="str">
        <f t="shared" si="24"/>
        <v/>
      </c>
      <c r="CR28" s="55" t="str">
        <f t="shared" si="24"/>
        <v/>
      </c>
      <c r="CS28" s="55" t="str">
        <f t="shared" si="24"/>
        <v/>
      </c>
      <c r="CT28" s="55" t="str">
        <f t="shared" si="24"/>
        <v/>
      </c>
      <c r="CU28" s="55" t="str">
        <f t="shared" si="24"/>
        <v/>
      </c>
      <c r="CV28" s="55" t="str">
        <f t="shared" si="24"/>
        <v/>
      </c>
      <c r="CW28" s="55" t="str">
        <f t="shared" si="24"/>
        <v/>
      </c>
      <c r="CX28" s="55" t="str">
        <f t="shared" si="24"/>
        <v/>
      </c>
      <c r="CY28" s="55" t="str">
        <f t="shared" si="24"/>
        <v/>
      </c>
      <c r="CZ28" s="55" t="str">
        <f t="shared" si="26"/>
        <v/>
      </c>
      <c r="DA28" s="55" t="str">
        <f t="shared" si="26"/>
        <v/>
      </c>
      <c r="DB28" s="55" t="str">
        <f t="shared" si="26"/>
        <v/>
      </c>
      <c r="DC28" s="55" t="str">
        <f t="shared" si="26"/>
        <v/>
      </c>
      <c r="DD28" s="55" t="str">
        <f t="shared" si="26"/>
        <v/>
      </c>
      <c r="DE28" s="55" t="str">
        <f t="shared" si="26"/>
        <v/>
      </c>
      <c r="DF28" s="55" t="str">
        <f t="shared" si="26"/>
        <v/>
      </c>
      <c r="DG28" s="55" t="str">
        <f t="shared" si="26"/>
        <v/>
      </c>
      <c r="DH28" s="55" t="str">
        <f t="shared" si="26"/>
        <v/>
      </c>
      <c r="DI28" s="55" t="str">
        <f t="shared" si="26"/>
        <v/>
      </c>
      <c r="DJ28" s="55" t="str">
        <f t="shared" si="26"/>
        <v/>
      </c>
      <c r="DK28" s="55" t="str">
        <f t="shared" si="26"/>
        <v/>
      </c>
      <c r="DL28" s="55" t="str">
        <f t="shared" si="26"/>
        <v/>
      </c>
      <c r="DM28" s="55" t="str">
        <f t="shared" si="26"/>
        <v/>
      </c>
      <c r="DN28" s="55" t="str">
        <f t="shared" si="26"/>
        <v/>
      </c>
      <c r="DO28" s="55" t="str">
        <f t="shared" si="27"/>
        <v/>
      </c>
      <c r="DP28" s="55" t="str">
        <f t="shared" si="27"/>
        <v/>
      </c>
      <c r="DQ28" s="55" t="str">
        <f t="shared" si="27"/>
        <v/>
      </c>
      <c r="DR28" s="55" t="str">
        <f t="shared" si="27"/>
        <v/>
      </c>
      <c r="DS28" s="55" t="str">
        <f t="shared" si="27"/>
        <v/>
      </c>
      <c r="DT28" s="106" t="str">
        <f t="shared" si="27"/>
        <v/>
      </c>
      <c r="DU28" s="54"/>
      <c r="DV28" s="25"/>
      <c r="DW28" s="61" t="str">
        <f t="shared" si="35"/>
        <v/>
      </c>
      <c r="DX28" s="50" t="str">
        <f t="shared" si="35"/>
        <v/>
      </c>
      <c r="DY28" s="50" t="str">
        <f t="shared" si="35"/>
        <v/>
      </c>
      <c r="DZ28" s="50" t="str">
        <f t="shared" si="35"/>
        <v/>
      </c>
      <c r="EA28" s="50" t="str">
        <f t="shared" si="35"/>
        <v/>
      </c>
      <c r="EB28" s="50" t="str">
        <f t="shared" si="35"/>
        <v/>
      </c>
      <c r="EC28" s="50" t="str">
        <f t="shared" si="35"/>
        <v/>
      </c>
      <c r="ED28" s="50" t="str">
        <f t="shared" si="35"/>
        <v/>
      </c>
      <c r="EE28" s="50" t="str">
        <f t="shared" si="35"/>
        <v/>
      </c>
      <c r="EF28" s="50" t="str">
        <f t="shared" si="35"/>
        <v/>
      </c>
      <c r="EG28" s="50" t="str">
        <f t="shared" si="35"/>
        <v/>
      </c>
      <c r="EH28" s="50" t="str">
        <f t="shared" si="35"/>
        <v/>
      </c>
      <c r="EI28" s="50" t="str">
        <f t="shared" si="35"/>
        <v/>
      </c>
      <c r="EJ28" s="50" t="str">
        <f t="shared" si="35"/>
        <v/>
      </c>
      <c r="EK28" s="50" t="str">
        <f t="shared" si="35"/>
        <v/>
      </c>
      <c r="EL28" s="50" t="str">
        <f t="shared" si="35"/>
        <v/>
      </c>
      <c r="EM28" s="50" t="str">
        <f t="shared" si="35"/>
        <v/>
      </c>
      <c r="EN28" s="50" t="str">
        <f t="shared" si="35"/>
        <v/>
      </c>
      <c r="EO28" s="50" t="str">
        <f t="shared" si="35"/>
        <v/>
      </c>
      <c r="EP28" s="50" t="str">
        <f t="shared" si="35"/>
        <v/>
      </c>
      <c r="EQ28" s="50" t="str">
        <f t="shared" si="35"/>
        <v/>
      </c>
      <c r="ER28" s="50" t="str">
        <f t="shared" si="35"/>
        <v/>
      </c>
      <c r="ES28" s="50" t="str">
        <f t="shared" si="35"/>
        <v/>
      </c>
      <c r="ET28" s="50" t="str">
        <f t="shared" si="35"/>
        <v/>
      </c>
      <c r="EU28" s="50" t="str">
        <f t="shared" si="35"/>
        <v/>
      </c>
      <c r="EV28" s="50" t="str">
        <f t="shared" si="35"/>
        <v/>
      </c>
      <c r="EW28" s="50" t="str">
        <f t="shared" si="35"/>
        <v/>
      </c>
      <c r="EX28" s="50" t="str">
        <f t="shared" si="35"/>
        <v/>
      </c>
      <c r="EY28" s="50" t="str">
        <f t="shared" si="35"/>
        <v/>
      </c>
      <c r="EZ28" s="50" t="str">
        <f t="shared" si="35"/>
        <v/>
      </c>
      <c r="FA28" s="50" t="str">
        <f t="shared" si="35"/>
        <v/>
      </c>
      <c r="FB28" s="50" t="str">
        <f t="shared" si="35"/>
        <v/>
      </c>
      <c r="FC28" s="50" t="str">
        <f t="shared" si="35"/>
        <v/>
      </c>
      <c r="FD28" s="50" t="str">
        <f t="shared" si="35"/>
        <v/>
      </c>
      <c r="FE28" s="50" t="str">
        <f t="shared" si="35"/>
        <v/>
      </c>
      <c r="FF28" s="50" t="str">
        <f t="shared" si="35"/>
        <v/>
      </c>
      <c r="FG28" s="50" t="str">
        <f t="shared" si="35"/>
        <v/>
      </c>
      <c r="FH28" s="50" t="str">
        <f t="shared" si="35"/>
        <v/>
      </c>
      <c r="FI28" s="50" t="str">
        <f t="shared" si="35"/>
        <v/>
      </c>
      <c r="FJ28" s="50" t="str">
        <f t="shared" si="35"/>
        <v/>
      </c>
      <c r="FK28" s="50" t="str">
        <f t="shared" si="35"/>
        <v/>
      </c>
      <c r="FL28" s="50" t="str">
        <f t="shared" si="35"/>
        <v/>
      </c>
      <c r="FM28" s="50" t="str">
        <f t="shared" si="35"/>
        <v/>
      </c>
      <c r="FN28" s="50" t="str">
        <f t="shared" si="35"/>
        <v/>
      </c>
      <c r="FO28" s="50" t="str">
        <f t="shared" si="35"/>
        <v/>
      </c>
      <c r="FP28" s="50" t="str">
        <f t="shared" si="35"/>
        <v/>
      </c>
      <c r="FQ28" s="50" t="str">
        <f t="shared" si="35"/>
        <v/>
      </c>
      <c r="FR28" s="50" t="str">
        <f t="shared" si="35"/>
        <v/>
      </c>
      <c r="FS28" s="50" t="str">
        <f t="shared" si="35"/>
        <v/>
      </c>
      <c r="FT28" s="50" t="str">
        <f t="shared" si="35"/>
        <v/>
      </c>
      <c r="FU28" s="50" t="str">
        <f t="shared" si="35"/>
        <v/>
      </c>
      <c r="FV28" s="50" t="str">
        <f t="shared" si="35"/>
        <v/>
      </c>
      <c r="FW28" s="50" t="str">
        <f t="shared" si="35"/>
        <v/>
      </c>
      <c r="FX28" s="50" t="str">
        <f t="shared" si="35"/>
        <v/>
      </c>
      <c r="FY28" s="50" t="str">
        <f t="shared" si="35"/>
        <v/>
      </c>
      <c r="FZ28" s="50" t="str">
        <f t="shared" si="35"/>
        <v/>
      </c>
      <c r="GA28" s="50" t="str">
        <f t="shared" si="35"/>
        <v/>
      </c>
      <c r="GB28" s="50" t="str">
        <f t="shared" si="35"/>
        <v/>
      </c>
      <c r="GC28" s="50" t="str">
        <f t="shared" si="35"/>
        <v/>
      </c>
      <c r="GD28" s="50" t="str">
        <f t="shared" si="35"/>
        <v/>
      </c>
      <c r="GE28" s="50" t="str">
        <f t="shared" si="35"/>
        <v/>
      </c>
      <c r="GF28" s="50" t="str">
        <f t="shared" si="35"/>
        <v/>
      </c>
      <c r="GG28" s="50" t="str">
        <f t="shared" si="35"/>
        <v/>
      </c>
      <c r="GH28" s="50" t="str">
        <f t="shared" si="30"/>
        <v/>
      </c>
      <c r="GI28" s="50" t="str">
        <f t="shared" si="30"/>
        <v/>
      </c>
      <c r="GJ28" s="50" t="str">
        <f t="shared" si="30"/>
        <v/>
      </c>
      <c r="GK28" s="50" t="str">
        <f t="shared" si="30"/>
        <v/>
      </c>
      <c r="GL28" s="50" t="str">
        <f t="shared" si="30"/>
        <v/>
      </c>
      <c r="GM28" s="50" t="str">
        <f t="shared" si="30"/>
        <v/>
      </c>
      <c r="GN28" s="50" t="str">
        <f t="shared" si="30"/>
        <v/>
      </c>
      <c r="GO28" s="50" t="str">
        <f t="shared" si="30"/>
        <v/>
      </c>
      <c r="GP28" s="50" t="str">
        <f t="shared" si="30"/>
        <v/>
      </c>
      <c r="GQ28" s="50" t="str">
        <f t="shared" si="30"/>
        <v/>
      </c>
      <c r="GR28" s="50" t="str">
        <f t="shared" si="30"/>
        <v/>
      </c>
      <c r="GS28" s="50" t="str">
        <f t="shared" si="30"/>
        <v/>
      </c>
      <c r="GT28" s="50" t="str">
        <f t="shared" si="30"/>
        <v/>
      </c>
      <c r="GU28" s="50" t="str">
        <f t="shared" si="30"/>
        <v/>
      </c>
      <c r="GV28" s="50" t="str">
        <f t="shared" si="30"/>
        <v/>
      </c>
      <c r="GW28" s="50" t="str">
        <f t="shared" si="30"/>
        <v/>
      </c>
      <c r="GX28" s="50" t="str">
        <f t="shared" si="32"/>
        <v/>
      </c>
      <c r="GY28" s="50" t="str">
        <f t="shared" si="32"/>
        <v/>
      </c>
      <c r="GZ28" s="50" t="str">
        <f t="shared" si="32"/>
        <v/>
      </c>
      <c r="HA28" s="50" t="str">
        <f t="shared" si="32"/>
        <v/>
      </c>
      <c r="HB28" s="50" t="str">
        <f t="shared" si="32"/>
        <v/>
      </c>
      <c r="HC28" s="50" t="str">
        <f t="shared" si="32"/>
        <v/>
      </c>
      <c r="HD28" s="50" t="str">
        <f t="shared" si="32"/>
        <v/>
      </c>
      <c r="HE28" s="50" t="str">
        <f t="shared" si="32"/>
        <v/>
      </c>
      <c r="HF28" s="50" t="str">
        <f t="shared" si="32"/>
        <v/>
      </c>
      <c r="HG28" s="50" t="str">
        <f t="shared" si="32"/>
        <v/>
      </c>
      <c r="HH28" s="50" t="str">
        <f t="shared" si="32"/>
        <v/>
      </c>
      <c r="HI28" s="50" t="str">
        <f t="shared" si="32"/>
        <v/>
      </c>
      <c r="HJ28" s="50" t="str">
        <f t="shared" si="32"/>
        <v/>
      </c>
      <c r="HK28" s="50" t="str">
        <f t="shared" si="32"/>
        <v/>
      </c>
      <c r="HL28" s="50" t="str">
        <f t="shared" si="32"/>
        <v/>
      </c>
      <c r="HM28" s="50" t="str">
        <f t="shared" si="33"/>
        <v/>
      </c>
      <c r="HN28" s="50" t="str">
        <f t="shared" si="33"/>
        <v/>
      </c>
      <c r="HO28" s="50" t="str">
        <f t="shared" si="33"/>
        <v/>
      </c>
      <c r="HP28" s="50" t="str">
        <f t="shared" si="33"/>
        <v/>
      </c>
      <c r="HQ28" s="50" t="str">
        <f t="shared" si="33"/>
        <v/>
      </c>
      <c r="HR28" s="112" t="str">
        <f t="shared" si="33"/>
        <v/>
      </c>
    </row>
    <row r="29" spans="1:226" ht="11.1" customHeight="1" x14ac:dyDescent="0.25">
      <c r="A29" s="26"/>
      <c r="B29" s="27"/>
      <c r="C29" s="28" t="str">
        <f>IF(A29=0,"",VLOOKUP(A29,[2]CO!$A$3:$F$5327,2,0))</f>
        <v/>
      </c>
      <c r="D29" s="29"/>
      <c r="E29" s="29"/>
      <c r="F29" s="29"/>
      <c r="G29" s="30" t="str">
        <f>IF(A29=0,"",VLOOKUP(A29,[2]CO!$A$3:$F$5327,3,0))</f>
        <v/>
      </c>
      <c r="H29" s="29"/>
      <c r="I29" s="31"/>
      <c r="J29" s="31"/>
      <c r="K29" s="31"/>
      <c r="L29" s="31"/>
      <c r="M29" s="32" t="str">
        <f t="shared" si="0"/>
        <v/>
      </c>
      <c r="N29" s="32" t="str">
        <f>IF(B29=0,"",IF(H29="M",HLOOKUP(B29,$Y$12:$DT$13,2),IF(A29=0,"",VLOOKUP(A29,[2]CO!$A$3:$F$5327,4,0))))</f>
        <v/>
      </c>
      <c r="O29" s="32" t="str">
        <f t="shared" si="7"/>
        <v/>
      </c>
      <c r="P29" s="33"/>
      <c r="Q29" s="34" t="str">
        <f t="shared" si="1"/>
        <v/>
      </c>
      <c r="R29" s="35" t="str">
        <f>IF(S29=0,"",IF(OR(G29="PEON",G29="OF",G29="JARD",G29="CARP",G29="MAESTRO",G29="SOLD",G29="BGRO",G29="CHOFER",G29="AYTE",G29="S.INTTE.",G29="ASEO",G29="P.PISOS",G29="VELADOR",G29="RESID",G29="PINTOR",G29="ELECT",G29="AZULE",G29="AUX CONT.",G29="SECRETARIA",G29="AUXILIAR ADMTVO.",G29="ARQUITECTO",G29="DIBUJANTE",G29="AUX. DE RESIDENTE"),VLOOKUP(B29,P$14:Q$55,2),"")*S29)</f>
        <v/>
      </c>
      <c r="T29" s="53" t="str">
        <f>IF(A29=0,"",VLOOKUP(A29,[2]CO!$A$3:$F$5318,5,0))</f>
        <v/>
      </c>
      <c r="U29" s="54">
        <f t="shared" si="2"/>
        <v>0</v>
      </c>
      <c r="V29" s="24"/>
      <c r="W29" s="25"/>
      <c r="X29" s="25"/>
      <c r="Y29" s="64" t="str">
        <f t="shared" ref="Y29:CI30" si="36">IF($B29=Y$12,$U29,"")</f>
        <v/>
      </c>
      <c r="Z29" s="55" t="str">
        <f t="shared" si="36"/>
        <v/>
      </c>
      <c r="AA29" s="55" t="str">
        <f t="shared" si="36"/>
        <v/>
      </c>
      <c r="AB29" s="55" t="str">
        <f t="shared" si="36"/>
        <v/>
      </c>
      <c r="AC29" s="55" t="str">
        <f t="shared" si="36"/>
        <v/>
      </c>
      <c r="AD29" s="55" t="str">
        <f t="shared" si="36"/>
        <v/>
      </c>
      <c r="AE29" s="55" t="str">
        <f t="shared" si="36"/>
        <v/>
      </c>
      <c r="AF29" s="55" t="str">
        <f t="shared" si="36"/>
        <v/>
      </c>
      <c r="AG29" s="55" t="str">
        <f t="shared" si="36"/>
        <v/>
      </c>
      <c r="AH29" s="55" t="str">
        <f t="shared" si="36"/>
        <v/>
      </c>
      <c r="AI29" s="55" t="str">
        <f t="shared" si="36"/>
        <v/>
      </c>
      <c r="AJ29" s="55" t="str">
        <f t="shared" si="36"/>
        <v/>
      </c>
      <c r="AK29" s="55" t="str">
        <f t="shared" si="36"/>
        <v/>
      </c>
      <c r="AL29" s="55" t="str">
        <f t="shared" si="36"/>
        <v/>
      </c>
      <c r="AM29" s="55" t="str">
        <f t="shared" si="36"/>
        <v/>
      </c>
      <c r="AN29" s="55" t="str">
        <f t="shared" si="36"/>
        <v/>
      </c>
      <c r="AO29" s="55" t="str">
        <f t="shared" si="36"/>
        <v/>
      </c>
      <c r="AP29" s="55" t="str">
        <f t="shared" si="36"/>
        <v/>
      </c>
      <c r="AQ29" s="55" t="str">
        <f t="shared" si="36"/>
        <v/>
      </c>
      <c r="AR29" s="55" t="str">
        <f t="shared" si="36"/>
        <v/>
      </c>
      <c r="AS29" s="55" t="str">
        <f t="shared" si="36"/>
        <v/>
      </c>
      <c r="AT29" s="55" t="str">
        <f t="shared" si="36"/>
        <v/>
      </c>
      <c r="AU29" s="55" t="str">
        <f t="shared" si="36"/>
        <v/>
      </c>
      <c r="AV29" s="55" t="str">
        <f t="shared" si="36"/>
        <v/>
      </c>
      <c r="AW29" s="55" t="str">
        <f t="shared" si="36"/>
        <v/>
      </c>
      <c r="AX29" s="55" t="str">
        <f t="shared" si="36"/>
        <v/>
      </c>
      <c r="AY29" s="55" t="str">
        <f t="shared" si="36"/>
        <v/>
      </c>
      <c r="AZ29" s="55" t="str">
        <f t="shared" si="36"/>
        <v/>
      </c>
      <c r="BA29" s="55" t="str">
        <f t="shared" si="36"/>
        <v/>
      </c>
      <c r="BB29" s="55" t="str">
        <f t="shared" si="36"/>
        <v/>
      </c>
      <c r="BC29" s="55" t="str">
        <f t="shared" si="36"/>
        <v/>
      </c>
      <c r="BD29" s="55" t="str">
        <f t="shared" si="36"/>
        <v/>
      </c>
      <c r="BE29" s="55" t="str">
        <f t="shared" si="36"/>
        <v/>
      </c>
      <c r="BF29" s="55" t="str">
        <f t="shared" si="36"/>
        <v/>
      </c>
      <c r="BG29" s="55" t="str">
        <f t="shared" si="36"/>
        <v/>
      </c>
      <c r="BH29" s="55" t="str">
        <f t="shared" si="36"/>
        <v/>
      </c>
      <c r="BI29" s="55" t="str">
        <f t="shared" si="36"/>
        <v/>
      </c>
      <c r="BJ29" s="55" t="str">
        <f t="shared" si="36"/>
        <v/>
      </c>
      <c r="BK29" s="55" t="str">
        <f t="shared" si="36"/>
        <v/>
      </c>
      <c r="BL29" s="55" t="str">
        <f t="shared" si="36"/>
        <v/>
      </c>
      <c r="BM29" s="55" t="str">
        <f t="shared" si="36"/>
        <v/>
      </c>
      <c r="BN29" s="55" t="str">
        <f t="shared" si="36"/>
        <v/>
      </c>
      <c r="BO29" s="55" t="str">
        <f t="shared" si="36"/>
        <v/>
      </c>
      <c r="BP29" s="55" t="str">
        <f t="shared" si="36"/>
        <v/>
      </c>
      <c r="BQ29" s="55" t="str">
        <f t="shared" si="36"/>
        <v/>
      </c>
      <c r="BR29" s="55" t="str">
        <f t="shared" si="36"/>
        <v/>
      </c>
      <c r="BS29" s="55" t="str">
        <f t="shared" si="36"/>
        <v/>
      </c>
      <c r="BT29" s="55" t="str">
        <f t="shared" si="36"/>
        <v/>
      </c>
      <c r="BU29" s="55" t="str">
        <f t="shared" si="36"/>
        <v/>
      </c>
      <c r="BV29" s="55" t="str">
        <f t="shared" si="36"/>
        <v/>
      </c>
      <c r="BW29" s="55" t="str">
        <f t="shared" si="36"/>
        <v/>
      </c>
      <c r="BX29" s="55" t="str">
        <f t="shared" si="36"/>
        <v/>
      </c>
      <c r="BY29" s="55" t="str">
        <f t="shared" si="36"/>
        <v/>
      </c>
      <c r="BZ29" s="55" t="str">
        <f t="shared" si="36"/>
        <v/>
      </c>
      <c r="CA29" s="55" t="str">
        <f t="shared" si="36"/>
        <v/>
      </c>
      <c r="CB29" s="55" t="str">
        <f t="shared" si="36"/>
        <v/>
      </c>
      <c r="CC29" s="55" t="str">
        <f t="shared" si="36"/>
        <v/>
      </c>
      <c r="CD29" s="55" t="str">
        <f t="shared" si="36"/>
        <v/>
      </c>
      <c r="CE29" s="55" t="str">
        <f t="shared" si="36"/>
        <v/>
      </c>
      <c r="CF29" s="55" t="str">
        <f t="shared" si="36"/>
        <v/>
      </c>
      <c r="CG29" s="55" t="str">
        <f t="shared" si="36"/>
        <v/>
      </c>
      <c r="CH29" s="55" t="str">
        <f t="shared" si="36"/>
        <v/>
      </c>
      <c r="CI29" s="55" t="str">
        <f t="shared" si="36"/>
        <v/>
      </c>
      <c r="CJ29" s="55" t="str">
        <f t="shared" ref="CJ29:CY30" si="37">IF($B29=CJ$12,$U29,"")</f>
        <v/>
      </c>
      <c r="CK29" s="55" t="str">
        <f t="shared" si="37"/>
        <v/>
      </c>
      <c r="CL29" s="55" t="str">
        <f t="shared" si="37"/>
        <v/>
      </c>
      <c r="CM29" s="55" t="str">
        <f t="shared" si="37"/>
        <v/>
      </c>
      <c r="CN29" s="55" t="str">
        <f t="shared" si="37"/>
        <v/>
      </c>
      <c r="CO29" s="55" t="str">
        <f t="shared" si="37"/>
        <v/>
      </c>
      <c r="CP29" s="55" t="str">
        <f t="shared" si="37"/>
        <v/>
      </c>
      <c r="CQ29" s="55" t="str">
        <f t="shared" si="37"/>
        <v/>
      </c>
      <c r="CR29" s="55" t="str">
        <f t="shared" si="37"/>
        <v/>
      </c>
      <c r="CS29" s="55" t="str">
        <f t="shared" si="37"/>
        <v/>
      </c>
      <c r="CT29" s="55" t="str">
        <f t="shared" si="37"/>
        <v/>
      </c>
      <c r="CU29" s="55" t="str">
        <f t="shared" si="37"/>
        <v/>
      </c>
      <c r="CV29" s="55" t="str">
        <f t="shared" si="37"/>
        <v/>
      </c>
      <c r="CW29" s="55" t="str">
        <f t="shared" si="37"/>
        <v/>
      </c>
      <c r="CX29" s="55" t="str">
        <f t="shared" si="37"/>
        <v/>
      </c>
      <c r="CY29" s="55" t="str">
        <f t="shared" si="37"/>
        <v/>
      </c>
      <c r="CZ29" s="55" t="str">
        <f t="shared" ref="CZ29:DO30" si="38">IF($B29=CZ$12,$U29,"")</f>
        <v/>
      </c>
      <c r="DA29" s="55" t="str">
        <f t="shared" si="38"/>
        <v/>
      </c>
      <c r="DB29" s="55" t="str">
        <f t="shared" si="38"/>
        <v/>
      </c>
      <c r="DC29" s="55" t="str">
        <f t="shared" si="38"/>
        <v/>
      </c>
      <c r="DD29" s="55" t="str">
        <f t="shared" si="38"/>
        <v/>
      </c>
      <c r="DE29" s="55" t="str">
        <f t="shared" si="38"/>
        <v/>
      </c>
      <c r="DF29" s="55" t="str">
        <f t="shared" si="38"/>
        <v/>
      </c>
      <c r="DG29" s="55" t="str">
        <f t="shared" si="38"/>
        <v/>
      </c>
      <c r="DH29" s="55" t="str">
        <f t="shared" si="38"/>
        <v/>
      </c>
      <c r="DI29" s="55" t="str">
        <f t="shared" si="38"/>
        <v/>
      </c>
      <c r="DJ29" s="55" t="str">
        <f t="shared" si="38"/>
        <v/>
      </c>
      <c r="DK29" s="55" t="str">
        <f t="shared" si="38"/>
        <v/>
      </c>
      <c r="DL29" s="55" t="str">
        <f t="shared" si="38"/>
        <v/>
      </c>
      <c r="DM29" s="55" t="str">
        <f t="shared" si="38"/>
        <v/>
      </c>
      <c r="DN29" s="55" t="str">
        <f t="shared" si="38"/>
        <v/>
      </c>
      <c r="DO29" s="55" t="str">
        <f t="shared" ref="DO29:DT30" si="39">IF($B29=DO$12,$U29,"")</f>
        <v/>
      </c>
      <c r="DP29" s="55" t="str">
        <f t="shared" si="39"/>
        <v/>
      </c>
      <c r="DQ29" s="55" t="str">
        <f t="shared" si="39"/>
        <v/>
      </c>
      <c r="DR29" s="55" t="str">
        <f t="shared" si="39"/>
        <v/>
      </c>
      <c r="DS29" s="55" t="str">
        <f t="shared" si="39"/>
        <v/>
      </c>
      <c r="DT29" s="106" t="str">
        <f t="shared" si="39"/>
        <v/>
      </c>
      <c r="DU29" s="54"/>
      <c r="DV29" s="25"/>
      <c r="DW29" s="61" t="str">
        <f t="shared" ref="DW29:GG30" si="40">IF($B29=DW$12,$O29,"")</f>
        <v/>
      </c>
      <c r="DX29" s="50" t="str">
        <f t="shared" si="40"/>
        <v/>
      </c>
      <c r="DY29" s="50" t="str">
        <f t="shared" si="40"/>
        <v/>
      </c>
      <c r="DZ29" s="50" t="str">
        <f t="shared" si="40"/>
        <v/>
      </c>
      <c r="EA29" s="50" t="str">
        <f t="shared" si="40"/>
        <v/>
      </c>
      <c r="EB29" s="50" t="str">
        <f t="shared" si="40"/>
        <v/>
      </c>
      <c r="EC29" s="50" t="str">
        <f t="shared" si="40"/>
        <v/>
      </c>
      <c r="ED29" s="50" t="str">
        <f t="shared" si="40"/>
        <v/>
      </c>
      <c r="EE29" s="50" t="str">
        <f t="shared" si="40"/>
        <v/>
      </c>
      <c r="EF29" s="50" t="str">
        <f t="shared" si="40"/>
        <v/>
      </c>
      <c r="EG29" s="50" t="str">
        <f t="shared" si="40"/>
        <v/>
      </c>
      <c r="EH29" s="50" t="str">
        <f t="shared" si="40"/>
        <v/>
      </c>
      <c r="EI29" s="50" t="str">
        <f t="shared" si="40"/>
        <v/>
      </c>
      <c r="EJ29" s="50" t="str">
        <f t="shared" si="40"/>
        <v/>
      </c>
      <c r="EK29" s="50" t="str">
        <f t="shared" si="40"/>
        <v/>
      </c>
      <c r="EL29" s="50" t="str">
        <f t="shared" si="40"/>
        <v/>
      </c>
      <c r="EM29" s="50" t="str">
        <f t="shared" si="40"/>
        <v/>
      </c>
      <c r="EN29" s="50" t="str">
        <f t="shared" si="40"/>
        <v/>
      </c>
      <c r="EO29" s="50" t="str">
        <f t="shared" si="40"/>
        <v/>
      </c>
      <c r="EP29" s="50" t="str">
        <f t="shared" si="40"/>
        <v/>
      </c>
      <c r="EQ29" s="50" t="str">
        <f t="shared" si="40"/>
        <v/>
      </c>
      <c r="ER29" s="50" t="str">
        <f t="shared" si="40"/>
        <v/>
      </c>
      <c r="ES29" s="50" t="str">
        <f t="shared" si="40"/>
        <v/>
      </c>
      <c r="ET29" s="50" t="str">
        <f t="shared" si="40"/>
        <v/>
      </c>
      <c r="EU29" s="50" t="str">
        <f t="shared" si="40"/>
        <v/>
      </c>
      <c r="EV29" s="50" t="str">
        <f t="shared" si="40"/>
        <v/>
      </c>
      <c r="EW29" s="50" t="str">
        <f t="shared" si="40"/>
        <v/>
      </c>
      <c r="EX29" s="50" t="str">
        <f t="shared" si="40"/>
        <v/>
      </c>
      <c r="EY29" s="50" t="str">
        <f t="shared" si="40"/>
        <v/>
      </c>
      <c r="EZ29" s="50" t="str">
        <f t="shared" si="40"/>
        <v/>
      </c>
      <c r="FA29" s="50" t="str">
        <f t="shared" si="40"/>
        <v/>
      </c>
      <c r="FB29" s="50" t="str">
        <f t="shared" si="40"/>
        <v/>
      </c>
      <c r="FC29" s="50" t="str">
        <f t="shared" si="40"/>
        <v/>
      </c>
      <c r="FD29" s="50" t="str">
        <f t="shared" si="40"/>
        <v/>
      </c>
      <c r="FE29" s="50" t="str">
        <f t="shared" si="40"/>
        <v/>
      </c>
      <c r="FF29" s="50" t="str">
        <f t="shared" si="40"/>
        <v/>
      </c>
      <c r="FG29" s="50" t="str">
        <f t="shared" si="40"/>
        <v/>
      </c>
      <c r="FH29" s="50" t="str">
        <f t="shared" si="40"/>
        <v/>
      </c>
      <c r="FI29" s="50" t="str">
        <f t="shared" si="40"/>
        <v/>
      </c>
      <c r="FJ29" s="50" t="str">
        <f t="shared" si="40"/>
        <v/>
      </c>
      <c r="FK29" s="50" t="str">
        <f t="shared" si="40"/>
        <v/>
      </c>
      <c r="FL29" s="50" t="str">
        <f t="shared" si="40"/>
        <v/>
      </c>
      <c r="FM29" s="50" t="str">
        <f t="shared" si="40"/>
        <v/>
      </c>
      <c r="FN29" s="50" t="str">
        <f t="shared" si="40"/>
        <v/>
      </c>
      <c r="FO29" s="50" t="str">
        <f t="shared" si="40"/>
        <v/>
      </c>
      <c r="FP29" s="50" t="str">
        <f t="shared" si="40"/>
        <v/>
      </c>
      <c r="FQ29" s="50" t="str">
        <f t="shared" si="40"/>
        <v/>
      </c>
      <c r="FR29" s="50" t="str">
        <f t="shared" si="40"/>
        <v/>
      </c>
      <c r="FS29" s="50" t="str">
        <f t="shared" si="40"/>
        <v/>
      </c>
      <c r="FT29" s="50" t="str">
        <f t="shared" si="40"/>
        <v/>
      </c>
      <c r="FU29" s="50" t="str">
        <f t="shared" si="40"/>
        <v/>
      </c>
      <c r="FV29" s="50" t="str">
        <f t="shared" si="40"/>
        <v/>
      </c>
      <c r="FW29" s="50" t="str">
        <f t="shared" si="40"/>
        <v/>
      </c>
      <c r="FX29" s="50" t="str">
        <f t="shared" si="40"/>
        <v/>
      </c>
      <c r="FY29" s="50" t="str">
        <f t="shared" si="40"/>
        <v/>
      </c>
      <c r="FZ29" s="50" t="str">
        <f t="shared" si="40"/>
        <v/>
      </c>
      <c r="GA29" s="50" t="str">
        <f t="shared" si="40"/>
        <v/>
      </c>
      <c r="GB29" s="50" t="str">
        <f t="shared" si="40"/>
        <v/>
      </c>
      <c r="GC29" s="50" t="str">
        <f t="shared" si="40"/>
        <v/>
      </c>
      <c r="GD29" s="50" t="str">
        <f t="shared" si="40"/>
        <v/>
      </c>
      <c r="GE29" s="50" t="str">
        <f t="shared" si="40"/>
        <v/>
      </c>
      <c r="GF29" s="50" t="str">
        <f t="shared" si="40"/>
        <v/>
      </c>
      <c r="GG29" s="50" t="str">
        <f t="shared" si="40"/>
        <v/>
      </c>
      <c r="GH29" s="50" t="str">
        <f t="shared" ref="GH29:GW30" si="41">IF($B29=GH$12,$O29,"")</f>
        <v/>
      </c>
      <c r="GI29" s="50" t="str">
        <f t="shared" si="41"/>
        <v/>
      </c>
      <c r="GJ29" s="50" t="str">
        <f t="shared" si="41"/>
        <v/>
      </c>
      <c r="GK29" s="50" t="str">
        <f t="shared" si="41"/>
        <v/>
      </c>
      <c r="GL29" s="50" t="str">
        <f t="shared" si="41"/>
        <v/>
      </c>
      <c r="GM29" s="50" t="str">
        <f t="shared" si="41"/>
        <v/>
      </c>
      <c r="GN29" s="50" t="str">
        <f t="shared" si="41"/>
        <v/>
      </c>
      <c r="GO29" s="50" t="str">
        <f t="shared" si="41"/>
        <v/>
      </c>
      <c r="GP29" s="50" t="str">
        <f t="shared" si="41"/>
        <v/>
      </c>
      <c r="GQ29" s="50" t="str">
        <f t="shared" si="41"/>
        <v/>
      </c>
      <c r="GR29" s="50" t="str">
        <f t="shared" si="41"/>
        <v/>
      </c>
      <c r="GS29" s="50" t="str">
        <f t="shared" si="41"/>
        <v/>
      </c>
      <c r="GT29" s="50" t="str">
        <f t="shared" si="41"/>
        <v/>
      </c>
      <c r="GU29" s="50" t="str">
        <f t="shared" si="41"/>
        <v/>
      </c>
      <c r="GV29" s="50" t="str">
        <f t="shared" si="41"/>
        <v/>
      </c>
      <c r="GW29" s="50" t="str">
        <f t="shared" si="41"/>
        <v/>
      </c>
      <c r="GX29" s="50" t="str">
        <f t="shared" ref="GX29:HM30" si="42">IF($B29=GX$12,$O29,"")</f>
        <v/>
      </c>
      <c r="GY29" s="50" t="str">
        <f t="shared" si="42"/>
        <v/>
      </c>
      <c r="GZ29" s="50" t="str">
        <f t="shared" si="42"/>
        <v/>
      </c>
      <c r="HA29" s="50" t="str">
        <f t="shared" si="42"/>
        <v/>
      </c>
      <c r="HB29" s="50" t="str">
        <f t="shared" si="42"/>
        <v/>
      </c>
      <c r="HC29" s="50" t="str">
        <f t="shared" si="42"/>
        <v/>
      </c>
      <c r="HD29" s="50" t="str">
        <f t="shared" si="42"/>
        <v/>
      </c>
      <c r="HE29" s="50" t="str">
        <f t="shared" si="42"/>
        <v/>
      </c>
      <c r="HF29" s="50" t="str">
        <f t="shared" si="42"/>
        <v/>
      </c>
      <c r="HG29" s="50" t="str">
        <f t="shared" si="42"/>
        <v/>
      </c>
      <c r="HH29" s="50" t="str">
        <f t="shared" si="42"/>
        <v/>
      </c>
      <c r="HI29" s="50" t="str">
        <f t="shared" si="42"/>
        <v/>
      </c>
      <c r="HJ29" s="50" t="str">
        <f t="shared" si="42"/>
        <v/>
      </c>
      <c r="HK29" s="50" t="str">
        <f t="shared" si="42"/>
        <v/>
      </c>
      <c r="HL29" s="50" t="str">
        <f t="shared" si="42"/>
        <v/>
      </c>
      <c r="HM29" s="50" t="str">
        <f t="shared" ref="HM29:HR30" si="43">IF($B29=HM$12,$O29,"")</f>
        <v/>
      </c>
      <c r="HN29" s="50" t="str">
        <f t="shared" si="43"/>
        <v/>
      </c>
      <c r="HO29" s="50" t="str">
        <f t="shared" si="43"/>
        <v/>
      </c>
      <c r="HP29" s="50" t="str">
        <f t="shared" si="43"/>
        <v/>
      </c>
      <c r="HQ29" s="50" t="str">
        <f t="shared" si="43"/>
        <v/>
      </c>
      <c r="HR29" s="112" t="str">
        <f t="shared" si="43"/>
        <v/>
      </c>
    </row>
    <row r="30" spans="1:226" ht="11.1" customHeight="1" thickBot="1" x14ac:dyDescent="0.3">
      <c r="A30" s="66"/>
      <c r="B30" s="67"/>
      <c r="C30" s="68" t="str">
        <f>IF(A30=0,"",VLOOKUP(A30,[2]CO!$A$3:$F$5311,2,0))</f>
        <v/>
      </c>
      <c r="D30" s="69"/>
      <c r="E30" s="69"/>
      <c r="F30" s="69"/>
      <c r="G30" s="70" t="str">
        <f>IF(A30=0,"",VLOOKUP(A30,[2]CO!$A$3:$F$5327,3,0))</f>
        <v/>
      </c>
      <c r="H30" s="69"/>
      <c r="I30" s="71"/>
      <c r="J30" s="71"/>
      <c r="K30" s="71"/>
      <c r="L30" s="71"/>
      <c r="M30" s="72" t="str">
        <f t="shared" si="0"/>
        <v/>
      </c>
      <c r="N30" s="72" t="str">
        <f>IF(B30=0,"",IF(H30="M",HLOOKUP(B30,$Y$12:$DT$13,2),IF(A30=0,"",VLOOKUP(A30,[2]CO!$A$3:$F$5327,4,0))))</f>
        <v/>
      </c>
      <c r="O30" s="72" t="str">
        <f t="shared" si="7"/>
        <v/>
      </c>
      <c r="P30" s="73"/>
      <c r="Q30" s="74" t="str">
        <f t="shared" si="1"/>
        <v/>
      </c>
      <c r="R30" s="75" t="str">
        <f>IF(S30=0,"",IF(OR(G30="PEON",G30="OF",G30="JARD",G30="CARP",G30="MAESTRO",G30="SOLD",G30="BGRO",G30="CHOFER",G30="AYTE",G30="S.INTTE.",G30="ASEO",G30="P.PISOS",G30="VELADOR",G30="RESID",G30="PINTOR",G30="ELECT",G30="AZULE",G30="AUX CONT.",G30="SECRETARIA",G30="AUXILIAR ADMTVO.",G30="ARQUITECTO",G30="DIBUJANTE",G30="AUX. DE RESIDENTE"),VLOOKUP(B30,P$14:Q$55,2),"")*S30)</f>
        <v/>
      </c>
      <c r="T30" s="53" t="str">
        <f>IF(A30=0,"",VLOOKUP(A30,[2]CO!$A$3:$F$5318,5,0))</f>
        <v/>
      </c>
      <c r="U30" s="54">
        <f t="shared" si="2"/>
        <v>0</v>
      </c>
      <c r="V30" s="24"/>
      <c r="W30" s="25"/>
      <c r="X30" s="25"/>
      <c r="Y30" s="76" t="str">
        <f t="shared" si="36"/>
        <v/>
      </c>
      <c r="Z30" s="77" t="str">
        <f t="shared" si="36"/>
        <v/>
      </c>
      <c r="AA30" s="77" t="str">
        <f t="shared" si="36"/>
        <v/>
      </c>
      <c r="AB30" s="77" t="str">
        <f t="shared" ref="AB30:CI30" si="44">IF($B30=AB$12,$U30,"")</f>
        <v/>
      </c>
      <c r="AC30" s="77" t="str">
        <f t="shared" si="44"/>
        <v/>
      </c>
      <c r="AD30" s="77" t="str">
        <f t="shared" si="44"/>
        <v/>
      </c>
      <c r="AE30" s="77" t="str">
        <f t="shared" si="44"/>
        <v/>
      </c>
      <c r="AF30" s="77" t="str">
        <f t="shared" si="44"/>
        <v/>
      </c>
      <c r="AG30" s="77" t="str">
        <f t="shared" si="44"/>
        <v/>
      </c>
      <c r="AH30" s="77" t="str">
        <f t="shared" si="44"/>
        <v/>
      </c>
      <c r="AI30" s="77" t="str">
        <f t="shared" si="44"/>
        <v/>
      </c>
      <c r="AJ30" s="77" t="str">
        <f t="shared" si="44"/>
        <v/>
      </c>
      <c r="AK30" s="77" t="str">
        <f t="shared" si="44"/>
        <v/>
      </c>
      <c r="AL30" s="77" t="str">
        <f t="shared" si="44"/>
        <v/>
      </c>
      <c r="AM30" s="77" t="str">
        <f t="shared" si="44"/>
        <v/>
      </c>
      <c r="AN30" s="77" t="str">
        <f t="shared" si="44"/>
        <v/>
      </c>
      <c r="AO30" s="77" t="str">
        <f t="shared" si="44"/>
        <v/>
      </c>
      <c r="AP30" s="77" t="str">
        <f t="shared" si="44"/>
        <v/>
      </c>
      <c r="AQ30" s="77" t="str">
        <f t="shared" si="44"/>
        <v/>
      </c>
      <c r="AR30" s="77" t="str">
        <f t="shared" si="44"/>
        <v/>
      </c>
      <c r="AS30" s="77" t="str">
        <f t="shared" si="44"/>
        <v/>
      </c>
      <c r="AT30" s="77" t="str">
        <f t="shared" si="44"/>
        <v/>
      </c>
      <c r="AU30" s="77" t="str">
        <f t="shared" si="44"/>
        <v/>
      </c>
      <c r="AV30" s="77" t="str">
        <f t="shared" si="44"/>
        <v/>
      </c>
      <c r="AW30" s="77" t="str">
        <f t="shared" si="44"/>
        <v/>
      </c>
      <c r="AX30" s="77" t="str">
        <f t="shared" si="44"/>
        <v/>
      </c>
      <c r="AY30" s="77" t="str">
        <f t="shared" si="44"/>
        <v/>
      </c>
      <c r="AZ30" s="77" t="str">
        <f t="shared" si="44"/>
        <v/>
      </c>
      <c r="BA30" s="77" t="str">
        <f t="shared" si="44"/>
        <v/>
      </c>
      <c r="BB30" s="77" t="str">
        <f t="shared" si="44"/>
        <v/>
      </c>
      <c r="BC30" s="77" t="str">
        <f t="shared" si="44"/>
        <v/>
      </c>
      <c r="BD30" s="77" t="str">
        <f t="shared" si="44"/>
        <v/>
      </c>
      <c r="BE30" s="77" t="str">
        <f t="shared" si="44"/>
        <v/>
      </c>
      <c r="BF30" s="77" t="str">
        <f t="shared" si="44"/>
        <v/>
      </c>
      <c r="BG30" s="77" t="str">
        <f t="shared" si="44"/>
        <v/>
      </c>
      <c r="BH30" s="77" t="str">
        <f t="shared" si="44"/>
        <v/>
      </c>
      <c r="BI30" s="77" t="str">
        <f t="shared" si="44"/>
        <v/>
      </c>
      <c r="BJ30" s="77" t="str">
        <f t="shared" si="44"/>
        <v/>
      </c>
      <c r="BK30" s="77" t="str">
        <f t="shared" si="44"/>
        <v/>
      </c>
      <c r="BL30" s="77" t="str">
        <f t="shared" si="44"/>
        <v/>
      </c>
      <c r="BM30" s="77" t="str">
        <f t="shared" si="44"/>
        <v/>
      </c>
      <c r="BN30" s="77" t="str">
        <f t="shared" si="44"/>
        <v/>
      </c>
      <c r="BO30" s="77" t="str">
        <f t="shared" si="44"/>
        <v/>
      </c>
      <c r="BP30" s="77" t="str">
        <f t="shared" si="44"/>
        <v/>
      </c>
      <c r="BQ30" s="77" t="str">
        <f t="shared" si="44"/>
        <v/>
      </c>
      <c r="BR30" s="77" t="str">
        <f t="shared" si="44"/>
        <v/>
      </c>
      <c r="BS30" s="77" t="str">
        <f t="shared" si="44"/>
        <v/>
      </c>
      <c r="BT30" s="77" t="str">
        <f t="shared" si="44"/>
        <v/>
      </c>
      <c r="BU30" s="77" t="str">
        <f t="shared" si="44"/>
        <v/>
      </c>
      <c r="BV30" s="77" t="str">
        <f t="shared" si="44"/>
        <v/>
      </c>
      <c r="BW30" s="77" t="str">
        <f t="shared" si="44"/>
        <v/>
      </c>
      <c r="BX30" s="77" t="str">
        <f t="shared" si="44"/>
        <v/>
      </c>
      <c r="BY30" s="77" t="str">
        <f t="shared" si="44"/>
        <v/>
      </c>
      <c r="BZ30" s="77" t="str">
        <f t="shared" si="44"/>
        <v/>
      </c>
      <c r="CA30" s="77" t="str">
        <f t="shared" si="44"/>
        <v/>
      </c>
      <c r="CB30" s="77" t="str">
        <f t="shared" si="44"/>
        <v/>
      </c>
      <c r="CC30" s="77" t="str">
        <f t="shared" si="44"/>
        <v/>
      </c>
      <c r="CD30" s="77" t="str">
        <f t="shared" si="44"/>
        <v/>
      </c>
      <c r="CE30" s="77" t="str">
        <f t="shared" si="44"/>
        <v/>
      </c>
      <c r="CF30" s="77" t="str">
        <f t="shared" si="44"/>
        <v/>
      </c>
      <c r="CG30" s="77" t="str">
        <f t="shared" si="44"/>
        <v/>
      </c>
      <c r="CH30" s="77" t="str">
        <f t="shared" si="44"/>
        <v/>
      </c>
      <c r="CI30" s="77" t="str">
        <f t="shared" si="44"/>
        <v/>
      </c>
      <c r="CJ30" s="77" t="str">
        <f t="shared" si="37"/>
        <v/>
      </c>
      <c r="CK30" s="77" t="str">
        <f t="shared" si="37"/>
        <v/>
      </c>
      <c r="CL30" s="77" t="str">
        <f t="shared" si="37"/>
        <v/>
      </c>
      <c r="CM30" s="77" t="str">
        <f t="shared" si="37"/>
        <v/>
      </c>
      <c r="CN30" s="77" t="str">
        <f t="shared" si="37"/>
        <v/>
      </c>
      <c r="CO30" s="77" t="str">
        <f t="shared" si="37"/>
        <v/>
      </c>
      <c r="CP30" s="77" t="str">
        <f t="shared" si="37"/>
        <v/>
      </c>
      <c r="CQ30" s="77" t="str">
        <f t="shared" si="37"/>
        <v/>
      </c>
      <c r="CR30" s="77" t="str">
        <f t="shared" si="37"/>
        <v/>
      </c>
      <c r="CS30" s="77" t="str">
        <f t="shared" si="37"/>
        <v/>
      </c>
      <c r="CT30" s="77" t="str">
        <f t="shared" si="37"/>
        <v/>
      </c>
      <c r="CU30" s="77" t="str">
        <f t="shared" si="37"/>
        <v/>
      </c>
      <c r="CV30" s="77" t="str">
        <f t="shared" si="37"/>
        <v/>
      </c>
      <c r="CW30" s="77" t="str">
        <f t="shared" si="37"/>
        <v/>
      </c>
      <c r="CX30" s="77" t="str">
        <f t="shared" si="37"/>
        <v/>
      </c>
      <c r="CY30" s="77" t="str">
        <f t="shared" si="37"/>
        <v/>
      </c>
      <c r="CZ30" s="77" t="str">
        <f t="shared" si="38"/>
        <v/>
      </c>
      <c r="DA30" s="77" t="str">
        <f t="shared" si="38"/>
        <v/>
      </c>
      <c r="DB30" s="77" t="str">
        <f t="shared" si="38"/>
        <v/>
      </c>
      <c r="DC30" s="77" t="str">
        <f t="shared" si="38"/>
        <v/>
      </c>
      <c r="DD30" s="77" t="str">
        <f t="shared" si="38"/>
        <v/>
      </c>
      <c r="DE30" s="77" t="str">
        <f t="shared" si="38"/>
        <v/>
      </c>
      <c r="DF30" s="77" t="str">
        <f t="shared" si="38"/>
        <v/>
      </c>
      <c r="DG30" s="77" t="str">
        <f t="shared" si="38"/>
        <v/>
      </c>
      <c r="DH30" s="77" t="str">
        <f t="shared" si="38"/>
        <v/>
      </c>
      <c r="DI30" s="77" t="str">
        <f t="shared" si="38"/>
        <v/>
      </c>
      <c r="DJ30" s="77" t="str">
        <f t="shared" si="38"/>
        <v/>
      </c>
      <c r="DK30" s="77" t="str">
        <f t="shared" si="38"/>
        <v/>
      </c>
      <c r="DL30" s="77" t="str">
        <f t="shared" si="38"/>
        <v/>
      </c>
      <c r="DM30" s="77" t="str">
        <f t="shared" si="38"/>
        <v/>
      </c>
      <c r="DN30" s="77" t="str">
        <f t="shared" si="38"/>
        <v/>
      </c>
      <c r="DO30" s="77" t="str">
        <f t="shared" si="38"/>
        <v/>
      </c>
      <c r="DP30" s="77" t="str">
        <f t="shared" si="39"/>
        <v/>
      </c>
      <c r="DQ30" s="77" t="str">
        <f t="shared" si="39"/>
        <v/>
      </c>
      <c r="DR30" s="77" t="str">
        <f t="shared" si="39"/>
        <v/>
      </c>
      <c r="DS30" s="77" t="str">
        <f t="shared" si="39"/>
        <v/>
      </c>
      <c r="DT30" s="107" t="str">
        <f t="shared" si="39"/>
        <v/>
      </c>
      <c r="DU30" s="54"/>
      <c r="DV30" s="25"/>
      <c r="DW30" s="78" t="str">
        <f t="shared" si="40"/>
        <v/>
      </c>
      <c r="DX30" s="79" t="str">
        <f t="shared" si="40"/>
        <v/>
      </c>
      <c r="DY30" s="79" t="str">
        <f t="shared" si="40"/>
        <v/>
      </c>
      <c r="DZ30" s="79" t="str">
        <f t="shared" ref="DZ30:GG30" si="45">IF($B30=DZ$12,$O30,"")</f>
        <v/>
      </c>
      <c r="EA30" s="79" t="str">
        <f t="shared" si="45"/>
        <v/>
      </c>
      <c r="EB30" s="79" t="str">
        <f t="shared" si="45"/>
        <v/>
      </c>
      <c r="EC30" s="79" t="str">
        <f t="shared" si="45"/>
        <v/>
      </c>
      <c r="ED30" s="79" t="str">
        <f t="shared" si="45"/>
        <v/>
      </c>
      <c r="EE30" s="79" t="str">
        <f t="shared" si="45"/>
        <v/>
      </c>
      <c r="EF30" s="79" t="str">
        <f t="shared" si="45"/>
        <v/>
      </c>
      <c r="EG30" s="79" t="str">
        <f t="shared" si="45"/>
        <v/>
      </c>
      <c r="EH30" s="79" t="str">
        <f t="shared" si="45"/>
        <v/>
      </c>
      <c r="EI30" s="79" t="str">
        <f t="shared" si="45"/>
        <v/>
      </c>
      <c r="EJ30" s="79" t="str">
        <f t="shared" si="45"/>
        <v/>
      </c>
      <c r="EK30" s="79" t="str">
        <f t="shared" si="45"/>
        <v/>
      </c>
      <c r="EL30" s="79" t="str">
        <f t="shared" si="45"/>
        <v/>
      </c>
      <c r="EM30" s="79" t="str">
        <f t="shared" si="45"/>
        <v/>
      </c>
      <c r="EN30" s="79" t="str">
        <f t="shared" si="45"/>
        <v/>
      </c>
      <c r="EO30" s="79" t="str">
        <f t="shared" si="45"/>
        <v/>
      </c>
      <c r="EP30" s="79" t="str">
        <f t="shared" si="45"/>
        <v/>
      </c>
      <c r="EQ30" s="79" t="str">
        <f t="shared" si="45"/>
        <v/>
      </c>
      <c r="ER30" s="79" t="str">
        <f t="shared" si="45"/>
        <v/>
      </c>
      <c r="ES30" s="79" t="str">
        <f t="shared" si="45"/>
        <v/>
      </c>
      <c r="ET30" s="79" t="str">
        <f t="shared" si="45"/>
        <v/>
      </c>
      <c r="EU30" s="79" t="str">
        <f t="shared" si="45"/>
        <v/>
      </c>
      <c r="EV30" s="79" t="str">
        <f t="shared" si="45"/>
        <v/>
      </c>
      <c r="EW30" s="79" t="str">
        <f t="shared" si="45"/>
        <v/>
      </c>
      <c r="EX30" s="79" t="str">
        <f t="shared" si="45"/>
        <v/>
      </c>
      <c r="EY30" s="79" t="str">
        <f t="shared" si="45"/>
        <v/>
      </c>
      <c r="EZ30" s="79" t="str">
        <f t="shared" si="45"/>
        <v/>
      </c>
      <c r="FA30" s="79" t="str">
        <f t="shared" si="45"/>
        <v/>
      </c>
      <c r="FB30" s="79" t="str">
        <f t="shared" si="45"/>
        <v/>
      </c>
      <c r="FC30" s="79" t="str">
        <f t="shared" si="45"/>
        <v/>
      </c>
      <c r="FD30" s="79" t="str">
        <f t="shared" si="45"/>
        <v/>
      </c>
      <c r="FE30" s="79" t="str">
        <f t="shared" si="45"/>
        <v/>
      </c>
      <c r="FF30" s="79" t="str">
        <f t="shared" si="45"/>
        <v/>
      </c>
      <c r="FG30" s="79" t="str">
        <f t="shared" si="45"/>
        <v/>
      </c>
      <c r="FH30" s="79" t="str">
        <f t="shared" si="45"/>
        <v/>
      </c>
      <c r="FI30" s="79" t="str">
        <f t="shared" si="45"/>
        <v/>
      </c>
      <c r="FJ30" s="79" t="str">
        <f t="shared" si="45"/>
        <v/>
      </c>
      <c r="FK30" s="79" t="str">
        <f t="shared" si="45"/>
        <v/>
      </c>
      <c r="FL30" s="79" t="str">
        <f t="shared" si="45"/>
        <v/>
      </c>
      <c r="FM30" s="79" t="str">
        <f t="shared" si="45"/>
        <v/>
      </c>
      <c r="FN30" s="79" t="str">
        <f t="shared" si="45"/>
        <v/>
      </c>
      <c r="FO30" s="79" t="str">
        <f t="shared" si="45"/>
        <v/>
      </c>
      <c r="FP30" s="79" t="str">
        <f t="shared" si="45"/>
        <v/>
      </c>
      <c r="FQ30" s="79" t="str">
        <f t="shared" si="45"/>
        <v/>
      </c>
      <c r="FR30" s="79" t="str">
        <f t="shared" si="45"/>
        <v/>
      </c>
      <c r="FS30" s="79" t="str">
        <f t="shared" si="45"/>
        <v/>
      </c>
      <c r="FT30" s="79" t="str">
        <f t="shared" si="45"/>
        <v/>
      </c>
      <c r="FU30" s="79" t="str">
        <f t="shared" si="45"/>
        <v/>
      </c>
      <c r="FV30" s="79" t="str">
        <f t="shared" si="45"/>
        <v/>
      </c>
      <c r="FW30" s="79" t="str">
        <f t="shared" si="45"/>
        <v/>
      </c>
      <c r="FX30" s="79" t="str">
        <f t="shared" si="45"/>
        <v/>
      </c>
      <c r="FY30" s="79" t="str">
        <f t="shared" si="45"/>
        <v/>
      </c>
      <c r="FZ30" s="79" t="str">
        <f t="shared" si="45"/>
        <v/>
      </c>
      <c r="GA30" s="79" t="str">
        <f t="shared" si="45"/>
        <v/>
      </c>
      <c r="GB30" s="79" t="str">
        <f t="shared" si="45"/>
        <v/>
      </c>
      <c r="GC30" s="79" t="str">
        <f t="shared" si="45"/>
        <v/>
      </c>
      <c r="GD30" s="79" t="str">
        <f t="shared" si="45"/>
        <v/>
      </c>
      <c r="GE30" s="79" t="str">
        <f t="shared" si="45"/>
        <v/>
      </c>
      <c r="GF30" s="79" t="str">
        <f t="shared" si="45"/>
        <v/>
      </c>
      <c r="GG30" s="79" t="str">
        <f t="shared" si="45"/>
        <v/>
      </c>
      <c r="GH30" s="79" t="str">
        <f t="shared" si="41"/>
        <v/>
      </c>
      <c r="GI30" s="79" t="str">
        <f t="shared" si="41"/>
        <v/>
      </c>
      <c r="GJ30" s="79" t="str">
        <f t="shared" si="41"/>
        <v/>
      </c>
      <c r="GK30" s="79" t="str">
        <f t="shared" si="41"/>
        <v/>
      </c>
      <c r="GL30" s="79" t="str">
        <f t="shared" si="41"/>
        <v/>
      </c>
      <c r="GM30" s="79" t="str">
        <f t="shared" si="41"/>
        <v/>
      </c>
      <c r="GN30" s="79" t="str">
        <f t="shared" si="41"/>
        <v/>
      </c>
      <c r="GO30" s="79" t="str">
        <f t="shared" si="41"/>
        <v/>
      </c>
      <c r="GP30" s="79" t="str">
        <f t="shared" si="41"/>
        <v/>
      </c>
      <c r="GQ30" s="79" t="str">
        <f t="shared" si="41"/>
        <v/>
      </c>
      <c r="GR30" s="79" t="str">
        <f t="shared" si="41"/>
        <v/>
      </c>
      <c r="GS30" s="79" t="str">
        <f t="shared" si="41"/>
        <v/>
      </c>
      <c r="GT30" s="79" t="str">
        <f t="shared" si="41"/>
        <v/>
      </c>
      <c r="GU30" s="79" t="str">
        <f t="shared" si="41"/>
        <v/>
      </c>
      <c r="GV30" s="79" t="str">
        <f t="shared" si="41"/>
        <v/>
      </c>
      <c r="GW30" s="79" t="str">
        <f t="shared" si="41"/>
        <v/>
      </c>
      <c r="GX30" s="79" t="str">
        <f t="shared" si="42"/>
        <v/>
      </c>
      <c r="GY30" s="79" t="str">
        <f t="shared" si="42"/>
        <v/>
      </c>
      <c r="GZ30" s="79" t="str">
        <f t="shared" si="42"/>
        <v/>
      </c>
      <c r="HA30" s="79" t="str">
        <f t="shared" si="42"/>
        <v/>
      </c>
      <c r="HB30" s="79" t="str">
        <f t="shared" si="42"/>
        <v/>
      </c>
      <c r="HC30" s="79" t="str">
        <f t="shared" si="42"/>
        <v/>
      </c>
      <c r="HD30" s="79" t="str">
        <f t="shared" si="42"/>
        <v/>
      </c>
      <c r="HE30" s="79" t="str">
        <f t="shared" si="42"/>
        <v/>
      </c>
      <c r="HF30" s="79" t="str">
        <f t="shared" si="42"/>
        <v/>
      </c>
      <c r="HG30" s="79" t="str">
        <f t="shared" si="42"/>
        <v/>
      </c>
      <c r="HH30" s="79" t="str">
        <f t="shared" si="42"/>
        <v/>
      </c>
      <c r="HI30" s="79" t="str">
        <f t="shared" si="42"/>
        <v/>
      </c>
      <c r="HJ30" s="79" t="str">
        <f t="shared" si="42"/>
        <v/>
      </c>
      <c r="HK30" s="79" t="str">
        <f t="shared" si="42"/>
        <v/>
      </c>
      <c r="HL30" s="79" t="str">
        <f t="shared" si="42"/>
        <v/>
      </c>
      <c r="HM30" s="79" t="str">
        <f t="shared" si="42"/>
        <v/>
      </c>
      <c r="HN30" s="79" t="str">
        <f t="shared" si="43"/>
        <v/>
      </c>
      <c r="HO30" s="79" t="str">
        <f t="shared" si="43"/>
        <v/>
      </c>
      <c r="HP30" s="79" t="str">
        <f t="shared" si="43"/>
        <v/>
      </c>
      <c r="HQ30" s="79" t="str">
        <f t="shared" si="43"/>
        <v/>
      </c>
      <c r="HR30" s="113" t="str">
        <f t="shared" si="43"/>
        <v/>
      </c>
    </row>
    <row r="31" spans="1:226" ht="11.1" customHeight="1" thickTop="1" x14ac:dyDescent="0.25"/>
    <row r="32" spans="1:226" x14ac:dyDescent="0.25">
      <c r="O32" s="48" t="s">
        <v>17</v>
      </c>
      <c r="P32" s="49"/>
      <c r="Q32" s="104" t="e">
        <f>SUM(Q14:Q30)</f>
        <v>#N/A</v>
      </c>
      <c r="R32" s="104" t="e">
        <f>SUM(R14:R30)</f>
        <v>#N/A</v>
      </c>
    </row>
    <row r="33" spans="1:226" ht="11.1" customHeight="1" thickBot="1" x14ac:dyDescent="0.3"/>
    <row r="34" spans="1:226" ht="16.2" thickBot="1" x14ac:dyDescent="0.3">
      <c r="A34" s="146"/>
      <c r="B34" s="147"/>
      <c r="C34" s="99"/>
      <c r="D34" s="147"/>
      <c r="E34" s="99"/>
      <c r="F34" s="99"/>
      <c r="G34" s="99" t="s">
        <v>20</v>
      </c>
      <c r="H34" s="99"/>
      <c r="I34" s="99"/>
      <c r="J34" s="125"/>
      <c r="K34" s="99"/>
      <c r="L34" s="99"/>
      <c r="M34" s="99"/>
      <c r="N34" s="99"/>
      <c r="O34" s="99"/>
      <c r="P34" s="99"/>
      <c r="Q34" s="99"/>
      <c r="R34" s="100"/>
    </row>
    <row r="35" spans="1:226" ht="11.1" customHeight="1" thickBot="1" x14ac:dyDescent="0.3"/>
    <row r="36" spans="1:226" ht="11.1" customHeight="1" thickTop="1" x14ac:dyDescent="0.25">
      <c r="A36" s="80"/>
      <c r="B36" s="81"/>
      <c r="C36" s="82" t="str">
        <f>IF(A36=0,"",VLOOKUP(A36,[2]CO!$A$3:$F$5327,2,0))</f>
        <v/>
      </c>
      <c r="D36" s="83"/>
      <c r="E36" s="83"/>
      <c r="F36" s="83"/>
      <c r="G36" s="84" t="str">
        <f>IF(A36=0,"",VLOOKUP(A36,[2]CO!$A$3:$F$5327,3,0))</f>
        <v/>
      </c>
      <c r="H36" s="94"/>
      <c r="I36" s="85"/>
      <c r="J36" s="85"/>
      <c r="K36" s="85"/>
      <c r="L36" s="85"/>
      <c r="M36" s="86" t="str">
        <f t="shared" ref="M36:M43" si="46">IF(H36&gt;0,H36*Q$32/N36,IF(AND(L36&gt;0,I36&gt;0),L36*I36,IF(L36&gt;0,L36,"")))</f>
        <v/>
      </c>
      <c r="N36" s="86" t="str">
        <f>IF(B36=0,"",IF(H36="M",HLOOKUP(B36,$Y$12:$DT$13,2),IF(A36=0,"",VLOOKUP(A36,[2]CO!$A$3:$F$5327,4,0))))</f>
        <v/>
      </c>
      <c r="O36" s="86" t="str">
        <f t="shared" si="7"/>
        <v/>
      </c>
      <c r="P36" s="87"/>
      <c r="Q36" s="88" t="str">
        <f t="shared" ref="Q36:Q43" si="47">IF(P36=0,"",(HLOOKUP(P36,$DW$12:$HR$13,2)))</f>
        <v/>
      </c>
      <c r="R36" s="89" t="str">
        <f>IF(S36=0,"",IF(OR(G36="PEON",G36="OF",G36="JARD",G36="CARP",G36="MAESTRO",G36="SOLD",G36="BGRO",G36="CHOFER",G36="AYTE",G36="S.INTTE.",G36="ASEO",G36="P.PISOS",G36="VELADOR",G36="RESID",G36="PINTOR",G36="ELECT",G36="AZULE",G36="AUX CONT.",G36="SECRETARIA",G36="AUXILIAR ADMTVO.",G36="ARQUITECTO",G36="DIBUJANTE",G36="AUX. DE RESIDENTE",G36="TOPOGRAFIA"),VLOOKUP(B36,P$14:Q$62,2),"")*S36)</f>
        <v/>
      </c>
      <c r="T36" s="53" t="str">
        <f>IF(A36=0,"",VLOOKUP(A36,[2]CO!$A$3:$F$5318,5,0))</f>
        <v/>
      </c>
      <c r="U36" s="54">
        <f t="shared" ref="U36:U55" si="48">IF(T36=1,O36*0.1,)</f>
        <v>0</v>
      </c>
      <c r="V36" s="24"/>
      <c r="W36" s="25"/>
      <c r="X36" s="25"/>
      <c r="Y36" s="90" t="str">
        <f t="shared" ref="Y36:AN43" si="49">IF($B36=Y$12,$U36,"")</f>
        <v/>
      </c>
      <c r="Z36" s="91" t="str">
        <f t="shared" si="49"/>
        <v/>
      </c>
      <c r="AA36" s="91" t="str">
        <f t="shared" si="49"/>
        <v/>
      </c>
      <c r="AB36" s="91" t="str">
        <f t="shared" si="49"/>
        <v/>
      </c>
      <c r="AC36" s="91" t="str">
        <f t="shared" si="49"/>
        <v/>
      </c>
      <c r="AD36" s="91" t="str">
        <f t="shared" si="49"/>
        <v/>
      </c>
      <c r="AE36" s="91" t="str">
        <f t="shared" si="49"/>
        <v/>
      </c>
      <c r="AF36" s="91" t="str">
        <f t="shared" si="49"/>
        <v/>
      </c>
      <c r="AG36" s="91" t="str">
        <f t="shared" si="49"/>
        <v/>
      </c>
      <c r="AH36" s="91" t="str">
        <f t="shared" si="49"/>
        <v/>
      </c>
      <c r="AI36" s="91" t="str">
        <f t="shared" si="49"/>
        <v/>
      </c>
      <c r="AJ36" s="91" t="str">
        <f t="shared" si="49"/>
        <v/>
      </c>
      <c r="AK36" s="91" t="str">
        <f t="shared" si="49"/>
        <v/>
      </c>
      <c r="AL36" s="91" t="str">
        <f t="shared" si="49"/>
        <v/>
      </c>
      <c r="AM36" s="91" t="str">
        <f t="shared" si="49"/>
        <v/>
      </c>
      <c r="AN36" s="91" t="str">
        <f t="shared" si="49"/>
        <v/>
      </c>
      <c r="AO36" s="91" t="str">
        <f t="shared" ref="AO36:CZ39" si="50">IF($B36=AO$12,$U36,"")</f>
        <v/>
      </c>
      <c r="AP36" s="91" t="str">
        <f t="shared" si="50"/>
        <v/>
      </c>
      <c r="AQ36" s="91" t="str">
        <f t="shared" si="50"/>
        <v/>
      </c>
      <c r="AR36" s="91" t="str">
        <f t="shared" si="50"/>
        <v/>
      </c>
      <c r="AS36" s="91" t="str">
        <f t="shared" si="50"/>
        <v/>
      </c>
      <c r="AT36" s="91" t="str">
        <f t="shared" si="50"/>
        <v/>
      </c>
      <c r="AU36" s="91" t="str">
        <f t="shared" si="50"/>
        <v/>
      </c>
      <c r="AV36" s="91" t="str">
        <f t="shared" si="50"/>
        <v/>
      </c>
      <c r="AW36" s="91" t="str">
        <f t="shared" si="50"/>
        <v/>
      </c>
      <c r="AX36" s="91" t="str">
        <f t="shared" si="50"/>
        <v/>
      </c>
      <c r="AY36" s="91" t="str">
        <f t="shared" si="50"/>
        <v/>
      </c>
      <c r="AZ36" s="91" t="str">
        <f t="shared" si="50"/>
        <v/>
      </c>
      <c r="BA36" s="91" t="str">
        <f t="shared" si="50"/>
        <v/>
      </c>
      <c r="BB36" s="91" t="str">
        <f t="shared" si="50"/>
        <v/>
      </c>
      <c r="BC36" s="91" t="str">
        <f t="shared" si="50"/>
        <v/>
      </c>
      <c r="BD36" s="91" t="str">
        <f t="shared" si="50"/>
        <v/>
      </c>
      <c r="BE36" s="91" t="str">
        <f t="shared" si="50"/>
        <v/>
      </c>
      <c r="BF36" s="91" t="str">
        <f t="shared" si="50"/>
        <v/>
      </c>
      <c r="BG36" s="91" t="str">
        <f t="shared" si="50"/>
        <v/>
      </c>
      <c r="BH36" s="91" t="str">
        <f t="shared" si="50"/>
        <v/>
      </c>
      <c r="BI36" s="91" t="str">
        <f t="shared" si="50"/>
        <v/>
      </c>
      <c r="BJ36" s="91" t="str">
        <f t="shared" si="50"/>
        <v/>
      </c>
      <c r="BK36" s="91" t="str">
        <f t="shared" si="50"/>
        <v/>
      </c>
      <c r="BL36" s="91" t="str">
        <f t="shared" si="50"/>
        <v/>
      </c>
      <c r="BM36" s="91" t="str">
        <f t="shared" si="50"/>
        <v/>
      </c>
      <c r="BN36" s="91" t="str">
        <f t="shared" si="50"/>
        <v/>
      </c>
      <c r="BO36" s="91" t="str">
        <f t="shared" si="50"/>
        <v/>
      </c>
      <c r="BP36" s="91" t="str">
        <f t="shared" si="50"/>
        <v/>
      </c>
      <c r="BQ36" s="91" t="str">
        <f t="shared" si="50"/>
        <v/>
      </c>
      <c r="BR36" s="91" t="str">
        <f t="shared" si="50"/>
        <v/>
      </c>
      <c r="BS36" s="91" t="str">
        <f t="shared" si="50"/>
        <v/>
      </c>
      <c r="BT36" s="91" t="str">
        <f t="shared" si="50"/>
        <v/>
      </c>
      <c r="BU36" s="91" t="str">
        <f t="shared" si="50"/>
        <v/>
      </c>
      <c r="BV36" s="91" t="str">
        <f t="shared" si="50"/>
        <v/>
      </c>
      <c r="BW36" s="91" t="str">
        <f t="shared" si="50"/>
        <v/>
      </c>
      <c r="BX36" s="91" t="str">
        <f t="shared" si="50"/>
        <v/>
      </c>
      <c r="BY36" s="91" t="str">
        <f t="shared" si="50"/>
        <v/>
      </c>
      <c r="BZ36" s="91" t="str">
        <f t="shared" si="50"/>
        <v/>
      </c>
      <c r="CA36" s="91" t="str">
        <f t="shared" si="50"/>
        <v/>
      </c>
      <c r="CB36" s="91" t="str">
        <f t="shared" si="50"/>
        <v/>
      </c>
      <c r="CC36" s="91" t="str">
        <f t="shared" si="50"/>
        <v/>
      </c>
      <c r="CD36" s="91" t="str">
        <f t="shared" si="50"/>
        <v/>
      </c>
      <c r="CE36" s="91" t="str">
        <f t="shared" si="50"/>
        <v/>
      </c>
      <c r="CF36" s="91" t="str">
        <f t="shared" si="50"/>
        <v/>
      </c>
      <c r="CG36" s="91" t="str">
        <f t="shared" si="50"/>
        <v/>
      </c>
      <c r="CH36" s="91" t="str">
        <f t="shared" si="50"/>
        <v/>
      </c>
      <c r="CI36" s="91" t="str">
        <f t="shared" si="50"/>
        <v/>
      </c>
      <c r="CJ36" s="91" t="str">
        <f t="shared" si="50"/>
        <v/>
      </c>
      <c r="CK36" s="91" t="str">
        <f t="shared" si="50"/>
        <v/>
      </c>
      <c r="CL36" s="91" t="str">
        <f t="shared" si="50"/>
        <v/>
      </c>
      <c r="CM36" s="91" t="str">
        <f t="shared" si="50"/>
        <v/>
      </c>
      <c r="CN36" s="91" t="str">
        <f t="shared" si="50"/>
        <v/>
      </c>
      <c r="CO36" s="91" t="str">
        <f t="shared" si="50"/>
        <v/>
      </c>
      <c r="CP36" s="91" t="str">
        <f t="shared" si="50"/>
        <v/>
      </c>
      <c r="CQ36" s="91" t="str">
        <f t="shared" si="50"/>
        <v/>
      </c>
      <c r="CR36" s="91" t="str">
        <f t="shared" si="50"/>
        <v/>
      </c>
      <c r="CS36" s="91" t="str">
        <f t="shared" si="50"/>
        <v/>
      </c>
      <c r="CT36" s="91" t="str">
        <f t="shared" si="50"/>
        <v/>
      </c>
      <c r="CU36" s="91" t="str">
        <f t="shared" si="50"/>
        <v/>
      </c>
      <c r="CV36" s="91" t="str">
        <f t="shared" si="50"/>
        <v/>
      </c>
      <c r="CW36" s="91" t="str">
        <f t="shared" si="50"/>
        <v/>
      </c>
      <c r="CX36" s="91" t="str">
        <f t="shared" si="50"/>
        <v/>
      </c>
      <c r="CY36" s="91" t="str">
        <f t="shared" si="50"/>
        <v/>
      </c>
      <c r="CZ36" s="91" t="str">
        <f t="shared" si="50"/>
        <v/>
      </c>
      <c r="DA36" s="91" t="str">
        <f t="shared" ref="DA36:DP43" si="51">IF($B36=DA$12,$U36,"")</f>
        <v/>
      </c>
      <c r="DB36" s="91" t="str">
        <f t="shared" si="51"/>
        <v/>
      </c>
      <c r="DC36" s="91" t="str">
        <f t="shared" si="51"/>
        <v/>
      </c>
      <c r="DD36" s="91" t="str">
        <f t="shared" si="51"/>
        <v/>
      </c>
      <c r="DE36" s="91" t="str">
        <f t="shared" si="51"/>
        <v/>
      </c>
      <c r="DF36" s="91" t="str">
        <f t="shared" si="51"/>
        <v/>
      </c>
      <c r="DG36" s="91" t="str">
        <f t="shared" si="51"/>
        <v/>
      </c>
      <c r="DH36" s="91" t="str">
        <f t="shared" si="51"/>
        <v/>
      </c>
      <c r="DI36" s="91" t="str">
        <f t="shared" si="51"/>
        <v/>
      </c>
      <c r="DJ36" s="91" t="str">
        <f t="shared" si="51"/>
        <v/>
      </c>
      <c r="DK36" s="91" t="str">
        <f t="shared" si="51"/>
        <v/>
      </c>
      <c r="DL36" s="91" t="str">
        <f t="shared" si="51"/>
        <v/>
      </c>
      <c r="DM36" s="91" t="str">
        <f t="shared" si="51"/>
        <v/>
      </c>
      <c r="DN36" s="91" t="str">
        <f t="shared" si="51"/>
        <v/>
      </c>
      <c r="DO36" s="91" t="str">
        <f t="shared" si="51"/>
        <v/>
      </c>
      <c r="DP36" s="91" t="str">
        <f t="shared" si="51"/>
        <v/>
      </c>
      <c r="DQ36" s="91" t="str">
        <f t="shared" ref="DQ36:DT43" si="52">IF($B36=DQ$12,$U36,"")</f>
        <v/>
      </c>
      <c r="DR36" s="91" t="str">
        <f t="shared" si="52"/>
        <v/>
      </c>
      <c r="DS36" s="91" t="str">
        <f t="shared" si="52"/>
        <v/>
      </c>
      <c r="DT36" s="105" t="str">
        <f t="shared" si="52"/>
        <v/>
      </c>
      <c r="DU36" s="54"/>
      <c r="DV36" s="25"/>
      <c r="DW36" s="92" t="str">
        <f t="shared" ref="DW36:EL43" si="53">IF($B36=DW$12,$O36,"")</f>
        <v/>
      </c>
      <c r="DX36" s="93" t="str">
        <f t="shared" si="53"/>
        <v/>
      </c>
      <c r="DY36" s="93" t="str">
        <f t="shared" si="53"/>
        <v/>
      </c>
      <c r="DZ36" s="93" t="str">
        <f t="shared" si="53"/>
        <v/>
      </c>
      <c r="EA36" s="93" t="str">
        <f t="shared" si="53"/>
        <v/>
      </c>
      <c r="EB36" s="93" t="str">
        <f t="shared" si="53"/>
        <v/>
      </c>
      <c r="EC36" s="93" t="str">
        <f t="shared" si="53"/>
        <v/>
      </c>
      <c r="ED36" s="93" t="str">
        <f t="shared" si="53"/>
        <v/>
      </c>
      <c r="EE36" s="93" t="str">
        <f t="shared" si="53"/>
        <v/>
      </c>
      <c r="EF36" s="93" t="str">
        <f t="shared" si="53"/>
        <v/>
      </c>
      <c r="EG36" s="93" t="str">
        <f t="shared" si="53"/>
        <v/>
      </c>
      <c r="EH36" s="93" t="str">
        <f t="shared" si="53"/>
        <v/>
      </c>
      <c r="EI36" s="93" t="str">
        <f t="shared" si="53"/>
        <v/>
      </c>
      <c r="EJ36" s="93" t="str">
        <f t="shared" si="53"/>
        <v/>
      </c>
      <c r="EK36" s="93" t="str">
        <f t="shared" si="53"/>
        <v/>
      </c>
      <c r="EL36" s="93" t="str">
        <f t="shared" si="53"/>
        <v/>
      </c>
      <c r="EM36" s="93" t="str">
        <f t="shared" ref="EM36:GX39" si="54">IF($B36=EM$12,$O36,"")</f>
        <v/>
      </c>
      <c r="EN36" s="93" t="str">
        <f t="shared" si="54"/>
        <v/>
      </c>
      <c r="EO36" s="93" t="str">
        <f t="shared" si="54"/>
        <v/>
      </c>
      <c r="EP36" s="93" t="str">
        <f t="shared" si="54"/>
        <v/>
      </c>
      <c r="EQ36" s="93" t="str">
        <f t="shared" si="54"/>
        <v/>
      </c>
      <c r="ER36" s="93" t="str">
        <f t="shared" si="54"/>
        <v/>
      </c>
      <c r="ES36" s="93" t="str">
        <f t="shared" si="54"/>
        <v/>
      </c>
      <c r="ET36" s="93" t="str">
        <f t="shared" si="54"/>
        <v/>
      </c>
      <c r="EU36" s="93" t="str">
        <f t="shared" si="54"/>
        <v/>
      </c>
      <c r="EV36" s="93" t="str">
        <f t="shared" si="54"/>
        <v/>
      </c>
      <c r="EW36" s="93" t="str">
        <f t="shared" si="54"/>
        <v/>
      </c>
      <c r="EX36" s="93" t="str">
        <f t="shared" si="54"/>
        <v/>
      </c>
      <c r="EY36" s="93" t="str">
        <f t="shared" si="54"/>
        <v/>
      </c>
      <c r="EZ36" s="93" t="str">
        <f t="shared" si="54"/>
        <v/>
      </c>
      <c r="FA36" s="93" t="str">
        <f t="shared" si="54"/>
        <v/>
      </c>
      <c r="FB36" s="93" t="str">
        <f t="shared" si="54"/>
        <v/>
      </c>
      <c r="FC36" s="93" t="str">
        <f t="shared" si="54"/>
        <v/>
      </c>
      <c r="FD36" s="93" t="str">
        <f t="shared" si="54"/>
        <v/>
      </c>
      <c r="FE36" s="93" t="str">
        <f t="shared" si="54"/>
        <v/>
      </c>
      <c r="FF36" s="93" t="str">
        <f t="shared" si="54"/>
        <v/>
      </c>
      <c r="FG36" s="93" t="str">
        <f t="shared" si="54"/>
        <v/>
      </c>
      <c r="FH36" s="93" t="str">
        <f t="shared" si="54"/>
        <v/>
      </c>
      <c r="FI36" s="93" t="str">
        <f t="shared" si="54"/>
        <v/>
      </c>
      <c r="FJ36" s="93" t="str">
        <f t="shared" si="54"/>
        <v/>
      </c>
      <c r="FK36" s="93" t="str">
        <f t="shared" si="54"/>
        <v/>
      </c>
      <c r="FL36" s="93" t="str">
        <f t="shared" si="54"/>
        <v/>
      </c>
      <c r="FM36" s="93" t="str">
        <f t="shared" si="54"/>
        <v/>
      </c>
      <c r="FN36" s="93" t="str">
        <f t="shared" si="54"/>
        <v/>
      </c>
      <c r="FO36" s="93" t="str">
        <f t="shared" si="54"/>
        <v/>
      </c>
      <c r="FP36" s="93" t="str">
        <f t="shared" si="54"/>
        <v/>
      </c>
      <c r="FQ36" s="93" t="str">
        <f t="shared" si="54"/>
        <v/>
      </c>
      <c r="FR36" s="93" t="str">
        <f t="shared" si="54"/>
        <v/>
      </c>
      <c r="FS36" s="93" t="str">
        <f t="shared" si="54"/>
        <v/>
      </c>
      <c r="FT36" s="93" t="str">
        <f t="shared" si="54"/>
        <v/>
      </c>
      <c r="FU36" s="93" t="str">
        <f t="shared" si="54"/>
        <v/>
      </c>
      <c r="FV36" s="93" t="str">
        <f t="shared" si="54"/>
        <v/>
      </c>
      <c r="FW36" s="93" t="str">
        <f t="shared" si="54"/>
        <v/>
      </c>
      <c r="FX36" s="93" t="str">
        <f t="shared" si="54"/>
        <v/>
      </c>
      <c r="FY36" s="93" t="str">
        <f t="shared" si="54"/>
        <v/>
      </c>
      <c r="FZ36" s="93" t="str">
        <f t="shared" si="54"/>
        <v/>
      </c>
      <c r="GA36" s="93" t="str">
        <f t="shared" si="54"/>
        <v/>
      </c>
      <c r="GB36" s="93" t="str">
        <f t="shared" si="54"/>
        <v/>
      </c>
      <c r="GC36" s="93" t="str">
        <f t="shared" si="54"/>
        <v/>
      </c>
      <c r="GD36" s="93" t="str">
        <f t="shared" si="54"/>
        <v/>
      </c>
      <c r="GE36" s="93" t="str">
        <f t="shared" si="54"/>
        <v/>
      </c>
      <c r="GF36" s="93" t="str">
        <f t="shared" si="54"/>
        <v/>
      </c>
      <c r="GG36" s="93" t="str">
        <f t="shared" si="54"/>
        <v/>
      </c>
      <c r="GH36" s="93" t="str">
        <f t="shared" si="54"/>
        <v/>
      </c>
      <c r="GI36" s="93" t="str">
        <f t="shared" si="54"/>
        <v/>
      </c>
      <c r="GJ36" s="93" t="str">
        <f t="shared" si="54"/>
        <v/>
      </c>
      <c r="GK36" s="93" t="str">
        <f t="shared" si="54"/>
        <v/>
      </c>
      <c r="GL36" s="93" t="str">
        <f t="shared" si="54"/>
        <v/>
      </c>
      <c r="GM36" s="93" t="str">
        <f t="shared" si="54"/>
        <v/>
      </c>
      <c r="GN36" s="93" t="str">
        <f t="shared" si="54"/>
        <v/>
      </c>
      <c r="GO36" s="93" t="str">
        <f t="shared" si="54"/>
        <v/>
      </c>
      <c r="GP36" s="93" t="str">
        <f t="shared" si="54"/>
        <v/>
      </c>
      <c r="GQ36" s="93" t="str">
        <f t="shared" si="54"/>
        <v/>
      </c>
      <c r="GR36" s="93" t="str">
        <f t="shared" si="54"/>
        <v/>
      </c>
      <c r="GS36" s="93" t="str">
        <f t="shared" si="54"/>
        <v/>
      </c>
      <c r="GT36" s="93" t="str">
        <f t="shared" si="54"/>
        <v/>
      </c>
      <c r="GU36" s="93" t="str">
        <f t="shared" si="54"/>
        <v/>
      </c>
      <c r="GV36" s="93" t="str">
        <f t="shared" si="54"/>
        <v/>
      </c>
      <c r="GW36" s="93" t="str">
        <f t="shared" si="54"/>
        <v/>
      </c>
      <c r="GX36" s="93" t="str">
        <f t="shared" si="54"/>
        <v/>
      </c>
      <c r="GY36" s="93" t="str">
        <f t="shared" ref="GY36:HN38" si="55">IF($B36=GY$12,$O36,"")</f>
        <v/>
      </c>
      <c r="GZ36" s="93" t="str">
        <f t="shared" si="55"/>
        <v/>
      </c>
      <c r="HA36" s="93" t="str">
        <f t="shared" si="55"/>
        <v/>
      </c>
      <c r="HB36" s="93" t="str">
        <f t="shared" si="55"/>
        <v/>
      </c>
      <c r="HC36" s="93" t="str">
        <f t="shared" si="55"/>
        <v/>
      </c>
      <c r="HD36" s="93" t="str">
        <f t="shared" si="55"/>
        <v/>
      </c>
      <c r="HE36" s="93" t="str">
        <f t="shared" si="55"/>
        <v/>
      </c>
      <c r="HF36" s="93" t="str">
        <f t="shared" si="55"/>
        <v/>
      </c>
      <c r="HG36" s="93" t="str">
        <f t="shared" si="55"/>
        <v/>
      </c>
      <c r="HH36" s="93" t="str">
        <f t="shared" si="55"/>
        <v/>
      </c>
      <c r="HI36" s="93" t="str">
        <f t="shared" si="55"/>
        <v/>
      </c>
      <c r="HJ36" s="93" t="str">
        <f t="shared" si="55"/>
        <v/>
      </c>
      <c r="HK36" s="93" t="str">
        <f t="shared" si="55"/>
        <v/>
      </c>
      <c r="HL36" s="93" t="str">
        <f t="shared" si="55"/>
        <v/>
      </c>
      <c r="HM36" s="93" t="str">
        <f t="shared" si="55"/>
        <v/>
      </c>
      <c r="HN36" s="93" t="str">
        <f t="shared" si="55"/>
        <v/>
      </c>
      <c r="HO36" s="93" t="str">
        <f t="shared" ref="HI36:HR43" si="56">IF($B36=HO$12,$O36,"")</f>
        <v/>
      </c>
      <c r="HP36" s="93" t="str">
        <f t="shared" si="56"/>
        <v/>
      </c>
      <c r="HQ36" s="93" t="str">
        <f t="shared" si="56"/>
        <v/>
      </c>
      <c r="HR36" s="111" t="str">
        <f t="shared" si="56"/>
        <v/>
      </c>
    </row>
    <row r="37" spans="1:226" ht="11.1" customHeight="1" x14ac:dyDescent="0.25">
      <c r="A37" s="26">
        <v>34</v>
      </c>
      <c r="B37" s="27">
        <v>60</v>
      </c>
      <c r="C37" s="28" t="str">
        <f>IF(A37=0,"",VLOOKUP(A37,[2]CO!$A$3:$F$5327,2,0))</f>
        <v>VIDAL OCHOA ROBERTO ENRIQUE</v>
      </c>
      <c r="D37" s="29"/>
      <c r="E37" s="29"/>
      <c r="F37" s="29"/>
      <c r="G37" s="30" t="str">
        <f>IF(A37=0,"",VLOOKUP(A37,[2]CO!$A$3:$F$5327,3,0))</f>
        <v>DESTAJOS</v>
      </c>
      <c r="H37" s="95"/>
      <c r="I37" s="31"/>
      <c r="J37" s="31"/>
      <c r="K37" s="31"/>
      <c r="L37" s="31"/>
      <c r="M37" s="32" t="str">
        <f t="shared" si="46"/>
        <v/>
      </c>
      <c r="N37" s="32">
        <f>IF(B37=0,"",IF(H37="M",HLOOKUP(B37,$Y$12:$DT$13,2),IF(A37=0,"",VLOOKUP(A37,[2]CO!$A$3:$F$5327,4,0))))</f>
        <v>0</v>
      </c>
      <c r="O37" s="32" t="str">
        <f t="shared" si="7"/>
        <v/>
      </c>
      <c r="P37" s="33"/>
      <c r="Q37" s="34" t="str">
        <f t="shared" si="47"/>
        <v/>
      </c>
      <c r="R37" s="35" t="e">
        <f>IF(S37=0,"",IF(OR(G37="PEON",G37="OF",G37="JARD",G37="CARP",G37="MAESTRO",G37="SOLD",G37="BGRO",G37="CHOFER",G37="AYTE",G37="S.INTTE.",G37="ASEO",G37="P.PISOS",G37="VELADOR",G37="RESID",G37="PINTOR",G37="ELECT",G37="AZULE",G37="AUX CONT.",G37="SECRETARIA",G37="AUXILIAR ADMTVO.",G37="ARQUITECTO",G37="DIBUJANTE",G37="AUX. DE RESIDENTE",G37="TOPOGRAFIA",G37="DESTAJOS"),VLOOKUP(B37,P$14:Q$55,2),"")*S37)</f>
        <v>#N/A</v>
      </c>
      <c r="S37" s="118">
        <v>1</v>
      </c>
      <c r="T37" s="53">
        <f>IF(A37=0,"",VLOOKUP(A37,[2]CO!$A$3:$F$5318,5,0))</f>
        <v>0</v>
      </c>
      <c r="U37" s="54">
        <f t="shared" si="48"/>
        <v>0</v>
      </c>
      <c r="V37" s="24"/>
      <c r="W37" s="25"/>
      <c r="X37" s="25"/>
      <c r="Y37" s="64" t="str">
        <f t="shared" si="49"/>
        <v/>
      </c>
      <c r="Z37" s="55" t="str">
        <f t="shared" si="49"/>
        <v/>
      </c>
      <c r="AA37" s="55" t="str">
        <f t="shared" si="49"/>
        <v/>
      </c>
      <c r="AB37" s="55" t="str">
        <f t="shared" si="49"/>
        <v/>
      </c>
      <c r="AC37" s="55" t="str">
        <f t="shared" si="49"/>
        <v/>
      </c>
      <c r="AD37" s="55" t="str">
        <f t="shared" si="49"/>
        <v/>
      </c>
      <c r="AE37" s="55" t="str">
        <f t="shared" si="49"/>
        <v/>
      </c>
      <c r="AF37" s="55" t="str">
        <f t="shared" si="49"/>
        <v/>
      </c>
      <c r="AG37" s="55" t="str">
        <f t="shared" si="49"/>
        <v/>
      </c>
      <c r="AH37" s="55" t="str">
        <f t="shared" si="49"/>
        <v/>
      </c>
      <c r="AI37" s="55" t="str">
        <f t="shared" si="49"/>
        <v/>
      </c>
      <c r="AJ37" s="55" t="str">
        <f t="shared" si="49"/>
        <v/>
      </c>
      <c r="AK37" s="55" t="str">
        <f t="shared" si="49"/>
        <v/>
      </c>
      <c r="AL37" s="55" t="str">
        <f t="shared" si="49"/>
        <v/>
      </c>
      <c r="AM37" s="55" t="str">
        <f t="shared" si="49"/>
        <v/>
      </c>
      <c r="AN37" s="55" t="str">
        <f t="shared" si="49"/>
        <v/>
      </c>
      <c r="AO37" s="55" t="str">
        <f t="shared" si="50"/>
        <v/>
      </c>
      <c r="AP37" s="55" t="str">
        <f t="shared" si="50"/>
        <v/>
      </c>
      <c r="AQ37" s="55" t="str">
        <f t="shared" si="50"/>
        <v/>
      </c>
      <c r="AR37" s="55" t="str">
        <f t="shared" si="50"/>
        <v/>
      </c>
      <c r="AS37" s="55" t="str">
        <f t="shared" si="50"/>
        <v/>
      </c>
      <c r="AT37" s="55" t="str">
        <f t="shared" si="50"/>
        <v/>
      </c>
      <c r="AU37" s="55" t="str">
        <f t="shared" si="50"/>
        <v/>
      </c>
      <c r="AV37" s="55" t="str">
        <f t="shared" si="50"/>
        <v/>
      </c>
      <c r="AW37" s="55" t="str">
        <f t="shared" si="50"/>
        <v/>
      </c>
      <c r="AX37" s="55" t="str">
        <f t="shared" si="50"/>
        <v/>
      </c>
      <c r="AY37" s="55" t="str">
        <f t="shared" si="50"/>
        <v/>
      </c>
      <c r="AZ37" s="55" t="str">
        <f t="shared" si="50"/>
        <v/>
      </c>
      <c r="BA37" s="55" t="str">
        <f t="shared" si="50"/>
        <v/>
      </c>
      <c r="BB37" s="55" t="str">
        <f t="shared" si="50"/>
        <v/>
      </c>
      <c r="BC37" s="55" t="str">
        <f t="shared" si="50"/>
        <v/>
      </c>
      <c r="BD37" s="55" t="str">
        <f t="shared" si="50"/>
        <v/>
      </c>
      <c r="BE37" s="55" t="str">
        <f t="shared" si="50"/>
        <v/>
      </c>
      <c r="BF37" s="55" t="str">
        <f t="shared" si="50"/>
        <v/>
      </c>
      <c r="BG37" s="55" t="str">
        <f t="shared" si="50"/>
        <v/>
      </c>
      <c r="BH37" s="55" t="str">
        <f t="shared" si="50"/>
        <v/>
      </c>
      <c r="BI37" s="55" t="str">
        <f t="shared" si="50"/>
        <v/>
      </c>
      <c r="BJ37" s="55" t="str">
        <f t="shared" si="50"/>
        <v/>
      </c>
      <c r="BK37" s="55" t="str">
        <f t="shared" si="50"/>
        <v/>
      </c>
      <c r="BL37" s="55" t="str">
        <f t="shared" si="50"/>
        <v/>
      </c>
      <c r="BM37" s="55" t="str">
        <f t="shared" si="50"/>
        <v/>
      </c>
      <c r="BN37" s="55" t="str">
        <f t="shared" si="50"/>
        <v/>
      </c>
      <c r="BO37" s="55" t="str">
        <f t="shared" si="50"/>
        <v/>
      </c>
      <c r="BP37" s="55" t="str">
        <f t="shared" si="50"/>
        <v/>
      </c>
      <c r="BQ37" s="55" t="str">
        <f t="shared" si="50"/>
        <v/>
      </c>
      <c r="BR37" s="55" t="str">
        <f t="shared" si="50"/>
        <v/>
      </c>
      <c r="BS37" s="55" t="str">
        <f t="shared" si="50"/>
        <v/>
      </c>
      <c r="BT37" s="55" t="str">
        <f t="shared" si="50"/>
        <v/>
      </c>
      <c r="BU37" s="55" t="str">
        <f t="shared" si="50"/>
        <v/>
      </c>
      <c r="BV37" s="55" t="str">
        <f t="shared" si="50"/>
        <v/>
      </c>
      <c r="BW37" s="55" t="str">
        <f t="shared" si="50"/>
        <v/>
      </c>
      <c r="BX37" s="55" t="str">
        <f t="shared" si="50"/>
        <v/>
      </c>
      <c r="BY37" s="55" t="str">
        <f t="shared" si="50"/>
        <v/>
      </c>
      <c r="BZ37" s="55" t="str">
        <f t="shared" si="50"/>
        <v/>
      </c>
      <c r="CA37" s="55" t="str">
        <f t="shared" si="50"/>
        <v/>
      </c>
      <c r="CB37" s="55" t="str">
        <f t="shared" si="50"/>
        <v/>
      </c>
      <c r="CC37" s="55" t="str">
        <f t="shared" si="50"/>
        <v/>
      </c>
      <c r="CD37" s="55" t="str">
        <f t="shared" si="50"/>
        <v/>
      </c>
      <c r="CE37" s="55" t="str">
        <f t="shared" si="50"/>
        <v/>
      </c>
      <c r="CF37" s="55">
        <f t="shared" si="50"/>
        <v>0</v>
      </c>
      <c r="CG37" s="55" t="str">
        <f t="shared" si="50"/>
        <v/>
      </c>
      <c r="CH37" s="55" t="str">
        <f t="shared" si="50"/>
        <v/>
      </c>
      <c r="CI37" s="55" t="str">
        <f t="shared" si="50"/>
        <v/>
      </c>
      <c r="CJ37" s="55" t="str">
        <f t="shared" si="50"/>
        <v/>
      </c>
      <c r="CK37" s="55" t="str">
        <f t="shared" si="50"/>
        <v/>
      </c>
      <c r="CL37" s="55" t="str">
        <f t="shared" si="50"/>
        <v/>
      </c>
      <c r="CM37" s="55" t="str">
        <f t="shared" si="50"/>
        <v/>
      </c>
      <c r="CN37" s="55" t="str">
        <f t="shared" si="50"/>
        <v/>
      </c>
      <c r="CO37" s="55" t="str">
        <f t="shared" si="50"/>
        <v/>
      </c>
      <c r="CP37" s="55" t="str">
        <f t="shared" si="50"/>
        <v/>
      </c>
      <c r="CQ37" s="55" t="str">
        <f t="shared" si="50"/>
        <v/>
      </c>
      <c r="CR37" s="55" t="str">
        <f t="shared" si="50"/>
        <v/>
      </c>
      <c r="CS37" s="55" t="str">
        <f t="shared" si="50"/>
        <v/>
      </c>
      <c r="CT37" s="55" t="str">
        <f t="shared" si="50"/>
        <v/>
      </c>
      <c r="CU37" s="55" t="str">
        <f t="shared" si="50"/>
        <v/>
      </c>
      <c r="CV37" s="55" t="str">
        <f t="shared" si="50"/>
        <v/>
      </c>
      <c r="CW37" s="55" t="str">
        <f t="shared" si="50"/>
        <v/>
      </c>
      <c r="CX37" s="55" t="str">
        <f t="shared" si="50"/>
        <v/>
      </c>
      <c r="CY37" s="55" t="str">
        <f t="shared" si="50"/>
        <v/>
      </c>
      <c r="CZ37" s="55" t="str">
        <f t="shared" si="50"/>
        <v/>
      </c>
      <c r="DA37" s="55" t="str">
        <f t="shared" si="51"/>
        <v/>
      </c>
      <c r="DB37" s="55" t="str">
        <f t="shared" si="51"/>
        <v/>
      </c>
      <c r="DC37" s="55" t="str">
        <f t="shared" si="51"/>
        <v/>
      </c>
      <c r="DD37" s="55" t="str">
        <f t="shared" si="51"/>
        <v/>
      </c>
      <c r="DE37" s="55" t="str">
        <f t="shared" si="51"/>
        <v/>
      </c>
      <c r="DF37" s="55" t="str">
        <f t="shared" si="51"/>
        <v/>
      </c>
      <c r="DG37" s="55" t="str">
        <f t="shared" si="51"/>
        <v/>
      </c>
      <c r="DH37" s="55" t="str">
        <f t="shared" si="51"/>
        <v/>
      </c>
      <c r="DI37" s="55" t="str">
        <f t="shared" si="51"/>
        <v/>
      </c>
      <c r="DJ37" s="55" t="str">
        <f t="shared" si="51"/>
        <v/>
      </c>
      <c r="DK37" s="55" t="str">
        <f t="shared" si="51"/>
        <v/>
      </c>
      <c r="DL37" s="55" t="str">
        <f t="shared" si="51"/>
        <v/>
      </c>
      <c r="DM37" s="55" t="str">
        <f t="shared" si="51"/>
        <v/>
      </c>
      <c r="DN37" s="55" t="str">
        <f t="shared" si="51"/>
        <v/>
      </c>
      <c r="DO37" s="55" t="str">
        <f t="shared" si="51"/>
        <v/>
      </c>
      <c r="DP37" s="55" t="str">
        <f t="shared" si="51"/>
        <v/>
      </c>
      <c r="DQ37" s="55" t="str">
        <f t="shared" si="52"/>
        <v/>
      </c>
      <c r="DR37" s="55" t="str">
        <f t="shared" si="52"/>
        <v/>
      </c>
      <c r="DS37" s="55" t="str">
        <f t="shared" si="52"/>
        <v/>
      </c>
      <c r="DT37" s="106" t="str">
        <f t="shared" si="52"/>
        <v/>
      </c>
      <c r="DU37" s="54"/>
      <c r="DV37" s="25"/>
      <c r="DW37" s="61" t="str">
        <f t="shared" si="53"/>
        <v/>
      </c>
      <c r="DX37" s="50" t="str">
        <f t="shared" si="53"/>
        <v/>
      </c>
      <c r="DY37" s="50" t="str">
        <f t="shared" si="53"/>
        <v/>
      </c>
      <c r="DZ37" s="50" t="str">
        <f t="shared" si="53"/>
        <v/>
      </c>
      <c r="EA37" s="50" t="str">
        <f t="shared" si="53"/>
        <v/>
      </c>
      <c r="EB37" s="50" t="str">
        <f t="shared" si="53"/>
        <v/>
      </c>
      <c r="EC37" s="50" t="str">
        <f t="shared" si="53"/>
        <v/>
      </c>
      <c r="ED37" s="50" t="str">
        <f t="shared" si="53"/>
        <v/>
      </c>
      <c r="EE37" s="50" t="str">
        <f t="shared" si="53"/>
        <v/>
      </c>
      <c r="EF37" s="50" t="str">
        <f t="shared" si="53"/>
        <v/>
      </c>
      <c r="EG37" s="50" t="str">
        <f t="shared" si="53"/>
        <v/>
      </c>
      <c r="EH37" s="50" t="str">
        <f t="shared" si="53"/>
        <v/>
      </c>
      <c r="EI37" s="50" t="str">
        <f t="shared" si="53"/>
        <v/>
      </c>
      <c r="EJ37" s="50" t="str">
        <f t="shared" si="53"/>
        <v/>
      </c>
      <c r="EK37" s="50" t="str">
        <f t="shared" si="53"/>
        <v/>
      </c>
      <c r="EL37" s="50" t="str">
        <f t="shared" si="53"/>
        <v/>
      </c>
      <c r="EM37" s="50" t="str">
        <f t="shared" si="54"/>
        <v/>
      </c>
      <c r="EN37" s="50" t="str">
        <f t="shared" si="54"/>
        <v/>
      </c>
      <c r="EO37" s="50" t="str">
        <f t="shared" si="54"/>
        <v/>
      </c>
      <c r="EP37" s="50" t="str">
        <f t="shared" si="54"/>
        <v/>
      </c>
      <c r="EQ37" s="50" t="str">
        <f t="shared" si="54"/>
        <v/>
      </c>
      <c r="ER37" s="50" t="str">
        <f t="shared" si="54"/>
        <v/>
      </c>
      <c r="ES37" s="50" t="str">
        <f t="shared" si="54"/>
        <v/>
      </c>
      <c r="ET37" s="50" t="str">
        <f t="shared" si="54"/>
        <v/>
      </c>
      <c r="EU37" s="50" t="str">
        <f t="shared" si="54"/>
        <v/>
      </c>
      <c r="EV37" s="50" t="str">
        <f t="shared" si="54"/>
        <v/>
      </c>
      <c r="EW37" s="50" t="str">
        <f t="shared" si="54"/>
        <v/>
      </c>
      <c r="EX37" s="50" t="str">
        <f t="shared" si="54"/>
        <v/>
      </c>
      <c r="EY37" s="50" t="str">
        <f t="shared" si="54"/>
        <v/>
      </c>
      <c r="EZ37" s="50" t="str">
        <f t="shared" si="54"/>
        <v/>
      </c>
      <c r="FA37" s="50" t="str">
        <f t="shared" si="54"/>
        <v/>
      </c>
      <c r="FB37" s="50" t="str">
        <f t="shared" si="54"/>
        <v/>
      </c>
      <c r="FC37" s="50" t="str">
        <f t="shared" si="54"/>
        <v/>
      </c>
      <c r="FD37" s="50" t="str">
        <f t="shared" si="54"/>
        <v/>
      </c>
      <c r="FE37" s="50" t="str">
        <f t="shared" si="54"/>
        <v/>
      </c>
      <c r="FF37" s="50" t="str">
        <f t="shared" si="54"/>
        <v/>
      </c>
      <c r="FG37" s="50" t="str">
        <f t="shared" si="54"/>
        <v/>
      </c>
      <c r="FH37" s="50" t="str">
        <f t="shared" si="54"/>
        <v/>
      </c>
      <c r="FI37" s="50" t="str">
        <f t="shared" si="54"/>
        <v/>
      </c>
      <c r="FJ37" s="50" t="str">
        <f t="shared" si="54"/>
        <v/>
      </c>
      <c r="FK37" s="50" t="str">
        <f t="shared" si="54"/>
        <v/>
      </c>
      <c r="FL37" s="50" t="str">
        <f t="shared" si="54"/>
        <v/>
      </c>
      <c r="FM37" s="50" t="str">
        <f t="shared" si="54"/>
        <v/>
      </c>
      <c r="FN37" s="50" t="str">
        <f t="shared" si="54"/>
        <v/>
      </c>
      <c r="FO37" s="50" t="str">
        <f t="shared" si="54"/>
        <v/>
      </c>
      <c r="FP37" s="50" t="str">
        <f t="shared" si="54"/>
        <v/>
      </c>
      <c r="FQ37" s="50" t="str">
        <f t="shared" si="54"/>
        <v/>
      </c>
      <c r="FR37" s="50" t="str">
        <f t="shared" si="54"/>
        <v/>
      </c>
      <c r="FS37" s="50" t="str">
        <f t="shared" si="54"/>
        <v/>
      </c>
      <c r="FT37" s="50" t="str">
        <f t="shared" si="54"/>
        <v/>
      </c>
      <c r="FU37" s="50" t="str">
        <f t="shared" si="54"/>
        <v/>
      </c>
      <c r="FV37" s="50" t="str">
        <f t="shared" si="54"/>
        <v/>
      </c>
      <c r="FW37" s="50" t="str">
        <f t="shared" si="54"/>
        <v/>
      </c>
      <c r="FX37" s="50" t="str">
        <f t="shared" si="54"/>
        <v/>
      </c>
      <c r="FY37" s="50" t="str">
        <f t="shared" si="54"/>
        <v/>
      </c>
      <c r="FZ37" s="50" t="str">
        <f t="shared" si="54"/>
        <v/>
      </c>
      <c r="GA37" s="50" t="str">
        <f t="shared" si="54"/>
        <v/>
      </c>
      <c r="GB37" s="50" t="str">
        <f t="shared" si="54"/>
        <v/>
      </c>
      <c r="GC37" s="50" t="str">
        <f t="shared" si="54"/>
        <v/>
      </c>
      <c r="GD37" s="50" t="str">
        <f t="shared" si="54"/>
        <v/>
      </c>
      <c r="GE37" s="50" t="str">
        <f t="shared" si="54"/>
        <v/>
      </c>
      <c r="GF37" s="50" t="str">
        <f t="shared" si="54"/>
        <v/>
      </c>
      <c r="GG37" s="50" t="str">
        <f t="shared" si="54"/>
        <v/>
      </c>
      <c r="GH37" s="50" t="str">
        <f t="shared" si="54"/>
        <v/>
      </c>
      <c r="GI37" s="50" t="str">
        <f t="shared" si="54"/>
        <v/>
      </c>
      <c r="GJ37" s="50" t="str">
        <f t="shared" si="54"/>
        <v/>
      </c>
      <c r="GK37" s="50" t="str">
        <f t="shared" si="54"/>
        <v/>
      </c>
      <c r="GL37" s="50" t="str">
        <f t="shared" si="54"/>
        <v/>
      </c>
      <c r="GM37" s="50" t="str">
        <f t="shared" si="54"/>
        <v/>
      </c>
      <c r="GN37" s="50" t="str">
        <f t="shared" si="54"/>
        <v/>
      </c>
      <c r="GO37" s="50" t="str">
        <f t="shared" si="54"/>
        <v/>
      </c>
      <c r="GP37" s="50" t="str">
        <f t="shared" si="54"/>
        <v/>
      </c>
      <c r="GQ37" s="50" t="str">
        <f t="shared" si="54"/>
        <v/>
      </c>
      <c r="GR37" s="50" t="str">
        <f t="shared" si="54"/>
        <v/>
      </c>
      <c r="GS37" s="50" t="str">
        <f t="shared" si="54"/>
        <v/>
      </c>
      <c r="GT37" s="50" t="str">
        <f t="shared" si="54"/>
        <v/>
      </c>
      <c r="GU37" s="50" t="str">
        <f t="shared" si="54"/>
        <v/>
      </c>
      <c r="GV37" s="50" t="str">
        <f t="shared" si="54"/>
        <v/>
      </c>
      <c r="GW37" s="50" t="str">
        <f t="shared" si="54"/>
        <v/>
      </c>
      <c r="GX37" s="50" t="str">
        <f t="shared" si="54"/>
        <v/>
      </c>
      <c r="GY37" s="50" t="str">
        <f t="shared" si="55"/>
        <v/>
      </c>
      <c r="GZ37" s="50" t="str">
        <f t="shared" si="55"/>
        <v/>
      </c>
      <c r="HA37" s="50" t="str">
        <f t="shared" si="55"/>
        <v/>
      </c>
      <c r="HB37" s="50" t="str">
        <f t="shared" si="55"/>
        <v/>
      </c>
      <c r="HC37" s="50" t="str">
        <f t="shared" si="55"/>
        <v/>
      </c>
      <c r="HD37" s="50" t="str">
        <f t="shared" si="55"/>
        <v/>
      </c>
      <c r="HE37" s="50" t="str">
        <f t="shared" si="55"/>
        <v/>
      </c>
      <c r="HF37" s="50" t="str">
        <f t="shared" si="55"/>
        <v/>
      </c>
      <c r="HG37" s="50" t="str">
        <f t="shared" si="55"/>
        <v/>
      </c>
      <c r="HH37" s="50" t="str">
        <f t="shared" si="55"/>
        <v/>
      </c>
      <c r="HI37" s="50" t="str">
        <f t="shared" si="56"/>
        <v/>
      </c>
      <c r="HJ37" s="50" t="str">
        <f t="shared" si="56"/>
        <v/>
      </c>
      <c r="HK37" s="50" t="str">
        <f t="shared" si="56"/>
        <v/>
      </c>
      <c r="HL37" s="50" t="str">
        <f t="shared" si="56"/>
        <v/>
      </c>
      <c r="HM37" s="50" t="str">
        <f t="shared" si="56"/>
        <v/>
      </c>
      <c r="HN37" s="50" t="str">
        <f t="shared" si="56"/>
        <v/>
      </c>
      <c r="HO37" s="50" t="str">
        <f t="shared" si="56"/>
        <v/>
      </c>
      <c r="HP37" s="50" t="str">
        <f t="shared" si="56"/>
        <v/>
      </c>
      <c r="HQ37" s="50" t="str">
        <f t="shared" si="56"/>
        <v/>
      </c>
      <c r="HR37" s="112" t="str">
        <f t="shared" si="56"/>
        <v/>
      </c>
    </row>
    <row r="38" spans="1:226" ht="11.1" customHeight="1" x14ac:dyDescent="0.25">
      <c r="A38" s="26" t="s">
        <v>32</v>
      </c>
      <c r="B38" s="27">
        <v>60</v>
      </c>
      <c r="C38" s="28" t="str">
        <f>IF(A38=0,"",VLOOKUP(A38,[2]CO!$A$3:$F$5327,2,0))</f>
        <v>Destajos y nominas</v>
      </c>
      <c r="D38" s="29"/>
      <c r="E38" s="29"/>
      <c r="F38" s="29"/>
      <c r="G38" s="30" t="str">
        <f>IF(A38=0,"",VLOOKUP(A38,[2]CO!$A$3:$F$5327,3,0))</f>
        <v>LOTE</v>
      </c>
      <c r="H38" s="126">
        <v>0.04</v>
      </c>
      <c r="I38" s="31"/>
      <c r="J38" s="31"/>
      <c r="K38" s="31"/>
      <c r="L38" s="31">
        <v>1</v>
      </c>
      <c r="M38" s="32" t="e">
        <f t="shared" si="46"/>
        <v>#N/A</v>
      </c>
      <c r="N38" s="32">
        <f>IF(B38=0,"",IF(H38="M",HLOOKUP(B38,$Y$12:$DT$13,2),IF(A38=0,"",VLOOKUP(A38,[2]CO!$A$3:$F$5327,4,0))))</f>
        <v>100</v>
      </c>
      <c r="O38" s="32" t="e">
        <f t="shared" si="7"/>
        <v>#N/A</v>
      </c>
      <c r="P38" s="33">
        <v>60</v>
      </c>
      <c r="Q38" s="34" t="e">
        <f t="shared" si="47"/>
        <v>#N/A</v>
      </c>
      <c r="R38" s="35" t="str">
        <f>IF(S38=0,"",IF(OR(G38="PEON",G38="OF",G38="JARD",G38="CARP",G38="MAESTRO",G38="SOLD",G38="BGRO",G38="CHOFER",G38="AYTE",G38="S.INTTE.",G38="ASEO",G38="P.PISOS",G38="VELADOR",G38="RESID",G38="PINTOR",G38="ELECT",G38="AZULE",G38="AUX CONT.",G38="SECRETARIA",G38="AUXILIAR ADMTVO.",G38="ARQUITECTO",G38="DIBUJANTE",G38="AUX. DE RESIDENTE",G38="TOPOGRAFIA"),VLOOKUP(B38,P$14:Q$62,2),"")*S38)</f>
        <v/>
      </c>
      <c r="T38" s="53">
        <f>IF(A38=0,"",VLOOKUP(A38,[2]CO!$A$3:$F$5318,5,0))</f>
        <v>0</v>
      </c>
      <c r="U38" s="54">
        <f t="shared" si="48"/>
        <v>0</v>
      </c>
      <c r="V38" s="24"/>
      <c r="W38" s="25"/>
      <c r="X38" s="25"/>
      <c r="Y38" s="64" t="str">
        <f t="shared" si="49"/>
        <v/>
      </c>
      <c r="Z38" s="55" t="str">
        <f t="shared" si="49"/>
        <v/>
      </c>
      <c r="AA38" s="55" t="str">
        <f t="shared" si="49"/>
        <v/>
      </c>
      <c r="AB38" s="55" t="str">
        <f t="shared" si="49"/>
        <v/>
      </c>
      <c r="AC38" s="55" t="str">
        <f t="shared" si="49"/>
        <v/>
      </c>
      <c r="AD38" s="55" t="str">
        <f t="shared" si="49"/>
        <v/>
      </c>
      <c r="AE38" s="55" t="str">
        <f t="shared" si="49"/>
        <v/>
      </c>
      <c r="AF38" s="55" t="str">
        <f t="shared" si="49"/>
        <v/>
      </c>
      <c r="AG38" s="55" t="str">
        <f t="shared" si="49"/>
        <v/>
      </c>
      <c r="AH38" s="55" t="str">
        <f t="shared" si="49"/>
        <v/>
      </c>
      <c r="AI38" s="55" t="str">
        <f t="shared" si="49"/>
        <v/>
      </c>
      <c r="AJ38" s="55" t="str">
        <f t="shared" si="49"/>
        <v/>
      </c>
      <c r="AK38" s="55" t="str">
        <f t="shared" si="49"/>
        <v/>
      </c>
      <c r="AL38" s="55" t="str">
        <f t="shared" si="49"/>
        <v/>
      </c>
      <c r="AM38" s="55" t="str">
        <f t="shared" si="49"/>
        <v/>
      </c>
      <c r="AN38" s="55" t="str">
        <f t="shared" si="49"/>
        <v/>
      </c>
      <c r="AO38" s="55" t="str">
        <f t="shared" si="50"/>
        <v/>
      </c>
      <c r="AP38" s="55" t="str">
        <f t="shared" si="50"/>
        <v/>
      </c>
      <c r="AQ38" s="55" t="str">
        <f t="shared" si="50"/>
        <v/>
      </c>
      <c r="AR38" s="55" t="str">
        <f t="shared" si="50"/>
        <v/>
      </c>
      <c r="AS38" s="55" t="str">
        <f t="shared" si="50"/>
        <v/>
      </c>
      <c r="AT38" s="55" t="str">
        <f t="shared" si="50"/>
        <v/>
      </c>
      <c r="AU38" s="55" t="str">
        <f t="shared" si="50"/>
        <v/>
      </c>
      <c r="AV38" s="55" t="str">
        <f t="shared" si="50"/>
        <v/>
      </c>
      <c r="AW38" s="55" t="str">
        <f t="shared" si="50"/>
        <v/>
      </c>
      <c r="AX38" s="55" t="str">
        <f t="shared" si="50"/>
        <v/>
      </c>
      <c r="AY38" s="55" t="str">
        <f t="shared" si="50"/>
        <v/>
      </c>
      <c r="AZ38" s="55" t="str">
        <f t="shared" si="50"/>
        <v/>
      </c>
      <c r="BA38" s="55" t="str">
        <f t="shared" si="50"/>
        <v/>
      </c>
      <c r="BB38" s="55" t="str">
        <f t="shared" si="50"/>
        <v/>
      </c>
      <c r="BC38" s="55" t="str">
        <f t="shared" si="50"/>
        <v/>
      </c>
      <c r="BD38" s="55" t="str">
        <f t="shared" si="50"/>
        <v/>
      </c>
      <c r="BE38" s="55" t="str">
        <f t="shared" si="50"/>
        <v/>
      </c>
      <c r="BF38" s="55" t="str">
        <f t="shared" si="50"/>
        <v/>
      </c>
      <c r="BG38" s="55" t="str">
        <f t="shared" si="50"/>
        <v/>
      </c>
      <c r="BH38" s="55" t="str">
        <f t="shared" si="50"/>
        <v/>
      </c>
      <c r="BI38" s="55" t="str">
        <f t="shared" si="50"/>
        <v/>
      </c>
      <c r="BJ38" s="55" t="str">
        <f t="shared" si="50"/>
        <v/>
      </c>
      <c r="BK38" s="55" t="str">
        <f t="shared" si="50"/>
        <v/>
      </c>
      <c r="BL38" s="55" t="str">
        <f t="shared" si="50"/>
        <v/>
      </c>
      <c r="BM38" s="55" t="str">
        <f t="shared" si="50"/>
        <v/>
      </c>
      <c r="BN38" s="55" t="str">
        <f t="shared" si="50"/>
        <v/>
      </c>
      <c r="BO38" s="55" t="str">
        <f t="shared" si="50"/>
        <v/>
      </c>
      <c r="BP38" s="55" t="str">
        <f t="shared" si="50"/>
        <v/>
      </c>
      <c r="BQ38" s="55" t="str">
        <f t="shared" si="50"/>
        <v/>
      </c>
      <c r="BR38" s="55" t="str">
        <f t="shared" si="50"/>
        <v/>
      </c>
      <c r="BS38" s="55" t="str">
        <f t="shared" si="50"/>
        <v/>
      </c>
      <c r="BT38" s="55" t="str">
        <f t="shared" si="50"/>
        <v/>
      </c>
      <c r="BU38" s="55" t="str">
        <f t="shared" si="50"/>
        <v/>
      </c>
      <c r="BV38" s="55" t="str">
        <f t="shared" si="50"/>
        <v/>
      </c>
      <c r="BW38" s="55" t="str">
        <f t="shared" si="50"/>
        <v/>
      </c>
      <c r="BX38" s="55" t="str">
        <f t="shared" si="50"/>
        <v/>
      </c>
      <c r="BY38" s="55" t="str">
        <f t="shared" si="50"/>
        <v/>
      </c>
      <c r="BZ38" s="55" t="str">
        <f t="shared" si="50"/>
        <v/>
      </c>
      <c r="CA38" s="55" t="str">
        <f t="shared" si="50"/>
        <v/>
      </c>
      <c r="CB38" s="55" t="str">
        <f t="shared" si="50"/>
        <v/>
      </c>
      <c r="CC38" s="55" t="str">
        <f t="shared" si="50"/>
        <v/>
      </c>
      <c r="CD38" s="55" t="str">
        <f t="shared" si="50"/>
        <v/>
      </c>
      <c r="CE38" s="55" t="str">
        <f t="shared" si="50"/>
        <v/>
      </c>
      <c r="CF38" s="55">
        <f t="shared" si="50"/>
        <v>0</v>
      </c>
      <c r="CG38" s="55" t="str">
        <f t="shared" si="50"/>
        <v/>
      </c>
      <c r="CH38" s="55" t="str">
        <f t="shared" si="50"/>
        <v/>
      </c>
      <c r="CI38" s="55" t="str">
        <f t="shared" si="50"/>
        <v/>
      </c>
      <c r="CJ38" s="55" t="str">
        <f t="shared" si="50"/>
        <v/>
      </c>
      <c r="CK38" s="55" t="str">
        <f t="shared" si="50"/>
        <v/>
      </c>
      <c r="CL38" s="55" t="str">
        <f t="shared" si="50"/>
        <v/>
      </c>
      <c r="CM38" s="55" t="str">
        <f t="shared" si="50"/>
        <v/>
      </c>
      <c r="CN38" s="55" t="str">
        <f t="shared" si="50"/>
        <v/>
      </c>
      <c r="CO38" s="55" t="str">
        <f t="shared" si="50"/>
        <v/>
      </c>
      <c r="CP38" s="55" t="str">
        <f t="shared" si="50"/>
        <v/>
      </c>
      <c r="CQ38" s="55" t="str">
        <f t="shared" si="50"/>
        <v/>
      </c>
      <c r="CR38" s="55" t="str">
        <f t="shared" si="50"/>
        <v/>
      </c>
      <c r="CS38" s="55" t="str">
        <f t="shared" si="50"/>
        <v/>
      </c>
      <c r="CT38" s="55" t="str">
        <f t="shared" si="50"/>
        <v/>
      </c>
      <c r="CU38" s="55" t="str">
        <f t="shared" si="50"/>
        <v/>
      </c>
      <c r="CV38" s="55" t="str">
        <f t="shared" si="50"/>
        <v/>
      </c>
      <c r="CW38" s="55" t="str">
        <f t="shared" si="50"/>
        <v/>
      </c>
      <c r="CX38" s="55" t="str">
        <f t="shared" si="50"/>
        <v/>
      </c>
      <c r="CY38" s="55" t="str">
        <f t="shared" si="50"/>
        <v/>
      </c>
      <c r="CZ38" s="55" t="str">
        <f t="shared" si="50"/>
        <v/>
      </c>
      <c r="DA38" s="55" t="str">
        <f t="shared" si="51"/>
        <v/>
      </c>
      <c r="DB38" s="55" t="str">
        <f t="shared" si="51"/>
        <v/>
      </c>
      <c r="DC38" s="55" t="str">
        <f t="shared" si="51"/>
        <v/>
      </c>
      <c r="DD38" s="55" t="str">
        <f t="shared" si="51"/>
        <v/>
      </c>
      <c r="DE38" s="55" t="str">
        <f t="shared" si="51"/>
        <v/>
      </c>
      <c r="DF38" s="55" t="str">
        <f t="shared" si="51"/>
        <v/>
      </c>
      <c r="DG38" s="55" t="str">
        <f t="shared" si="51"/>
        <v/>
      </c>
      <c r="DH38" s="55" t="str">
        <f t="shared" si="51"/>
        <v/>
      </c>
      <c r="DI38" s="55" t="str">
        <f t="shared" si="51"/>
        <v/>
      </c>
      <c r="DJ38" s="55" t="str">
        <f t="shared" si="51"/>
        <v/>
      </c>
      <c r="DK38" s="55" t="str">
        <f t="shared" si="51"/>
        <v/>
      </c>
      <c r="DL38" s="55" t="str">
        <f t="shared" si="51"/>
        <v/>
      </c>
      <c r="DM38" s="55" t="str">
        <f t="shared" si="51"/>
        <v/>
      </c>
      <c r="DN38" s="55" t="str">
        <f t="shared" si="51"/>
        <v/>
      </c>
      <c r="DO38" s="55" t="str">
        <f t="shared" si="51"/>
        <v/>
      </c>
      <c r="DP38" s="55" t="str">
        <f t="shared" si="51"/>
        <v/>
      </c>
      <c r="DQ38" s="55" t="str">
        <f t="shared" si="52"/>
        <v/>
      </c>
      <c r="DR38" s="55" t="str">
        <f t="shared" si="52"/>
        <v/>
      </c>
      <c r="DS38" s="55" t="str">
        <f t="shared" si="52"/>
        <v/>
      </c>
      <c r="DT38" s="106" t="str">
        <f t="shared" si="52"/>
        <v/>
      </c>
      <c r="DU38" s="54"/>
      <c r="DV38" s="25"/>
      <c r="DW38" s="61" t="str">
        <f t="shared" si="53"/>
        <v/>
      </c>
      <c r="DX38" s="50" t="str">
        <f t="shared" si="53"/>
        <v/>
      </c>
      <c r="DY38" s="50" t="str">
        <f t="shared" si="53"/>
        <v/>
      </c>
      <c r="DZ38" s="50" t="str">
        <f t="shared" si="53"/>
        <v/>
      </c>
      <c r="EA38" s="50" t="str">
        <f t="shared" si="53"/>
        <v/>
      </c>
      <c r="EB38" s="50" t="str">
        <f t="shared" si="53"/>
        <v/>
      </c>
      <c r="EC38" s="50" t="str">
        <f t="shared" si="53"/>
        <v/>
      </c>
      <c r="ED38" s="50" t="str">
        <f t="shared" si="53"/>
        <v/>
      </c>
      <c r="EE38" s="50" t="str">
        <f t="shared" si="53"/>
        <v/>
      </c>
      <c r="EF38" s="50" t="str">
        <f t="shared" si="53"/>
        <v/>
      </c>
      <c r="EG38" s="50" t="str">
        <f t="shared" si="53"/>
        <v/>
      </c>
      <c r="EH38" s="50" t="str">
        <f t="shared" si="53"/>
        <v/>
      </c>
      <c r="EI38" s="50" t="str">
        <f t="shared" si="53"/>
        <v/>
      </c>
      <c r="EJ38" s="50" t="str">
        <f t="shared" si="53"/>
        <v/>
      </c>
      <c r="EK38" s="50" t="str">
        <f t="shared" si="53"/>
        <v/>
      </c>
      <c r="EL38" s="50" t="str">
        <f t="shared" si="53"/>
        <v/>
      </c>
      <c r="EM38" s="50" t="str">
        <f t="shared" si="54"/>
        <v/>
      </c>
      <c r="EN38" s="50" t="str">
        <f t="shared" si="54"/>
        <v/>
      </c>
      <c r="EO38" s="50" t="str">
        <f t="shared" si="54"/>
        <v/>
      </c>
      <c r="EP38" s="50" t="str">
        <f t="shared" si="54"/>
        <v/>
      </c>
      <c r="EQ38" s="50" t="str">
        <f t="shared" si="54"/>
        <v/>
      </c>
      <c r="ER38" s="50" t="str">
        <f t="shared" si="54"/>
        <v/>
      </c>
      <c r="ES38" s="50" t="str">
        <f t="shared" si="54"/>
        <v/>
      </c>
      <c r="ET38" s="50" t="str">
        <f t="shared" si="54"/>
        <v/>
      </c>
      <c r="EU38" s="50" t="str">
        <f t="shared" si="54"/>
        <v/>
      </c>
      <c r="EV38" s="50" t="str">
        <f t="shared" si="54"/>
        <v/>
      </c>
      <c r="EW38" s="50" t="str">
        <f t="shared" si="54"/>
        <v/>
      </c>
      <c r="EX38" s="50" t="str">
        <f t="shared" si="54"/>
        <v/>
      </c>
      <c r="EY38" s="50" t="str">
        <f t="shared" si="54"/>
        <v/>
      </c>
      <c r="EZ38" s="50" t="str">
        <f t="shared" si="54"/>
        <v/>
      </c>
      <c r="FA38" s="50" t="str">
        <f t="shared" si="54"/>
        <v/>
      </c>
      <c r="FB38" s="50" t="str">
        <f t="shared" si="54"/>
        <v/>
      </c>
      <c r="FC38" s="50" t="str">
        <f t="shared" si="54"/>
        <v/>
      </c>
      <c r="FD38" s="50" t="str">
        <f t="shared" si="54"/>
        <v/>
      </c>
      <c r="FE38" s="50" t="str">
        <f t="shared" si="54"/>
        <v/>
      </c>
      <c r="FF38" s="50" t="str">
        <f t="shared" si="54"/>
        <v/>
      </c>
      <c r="FG38" s="50" t="str">
        <f t="shared" si="54"/>
        <v/>
      </c>
      <c r="FH38" s="50" t="str">
        <f t="shared" si="54"/>
        <v/>
      </c>
      <c r="FI38" s="50" t="str">
        <f t="shared" si="54"/>
        <v/>
      </c>
      <c r="FJ38" s="50" t="str">
        <f t="shared" si="54"/>
        <v/>
      </c>
      <c r="FK38" s="50" t="str">
        <f t="shared" si="54"/>
        <v/>
      </c>
      <c r="FL38" s="50" t="str">
        <f t="shared" si="54"/>
        <v/>
      </c>
      <c r="FM38" s="50" t="str">
        <f t="shared" si="54"/>
        <v/>
      </c>
      <c r="FN38" s="50" t="str">
        <f t="shared" si="54"/>
        <v/>
      </c>
      <c r="FO38" s="50" t="str">
        <f t="shared" si="54"/>
        <v/>
      </c>
      <c r="FP38" s="50" t="str">
        <f t="shared" si="54"/>
        <v/>
      </c>
      <c r="FQ38" s="50" t="str">
        <f t="shared" si="54"/>
        <v/>
      </c>
      <c r="FR38" s="50" t="str">
        <f t="shared" si="54"/>
        <v/>
      </c>
      <c r="FS38" s="50" t="str">
        <f t="shared" si="54"/>
        <v/>
      </c>
      <c r="FT38" s="50" t="str">
        <f t="shared" si="54"/>
        <v/>
      </c>
      <c r="FU38" s="50" t="str">
        <f t="shared" si="54"/>
        <v/>
      </c>
      <c r="FV38" s="50" t="str">
        <f t="shared" si="54"/>
        <v/>
      </c>
      <c r="FW38" s="50" t="str">
        <f t="shared" si="54"/>
        <v/>
      </c>
      <c r="FX38" s="50" t="str">
        <f t="shared" si="54"/>
        <v/>
      </c>
      <c r="FY38" s="50" t="str">
        <f t="shared" si="54"/>
        <v/>
      </c>
      <c r="FZ38" s="50" t="str">
        <f t="shared" si="54"/>
        <v/>
      </c>
      <c r="GA38" s="50" t="str">
        <f t="shared" si="54"/>
        <v/>
      </c>
      <c r="GB38" s="50" t="str">
        <f t="shared" si="54"/>
        <v/>
      </c>
      <c r="GC38" s="50" t="str">
        <f t="shared" si="54"/>
        <v/>
      </c>
      <c r="GD38" s="50" t="e">
        <f t="shared" si="54"/>
        <v>#N/A</v>
      </c>
      <c r="GE38" s="50" t="str">
        <f t="shared" si="54"/>
        <v/>
      </c>
      <c r="GF38" s="50" t="str">
        <f t="shared" si="54"/>
        <v/>
      </c>
      <c r="GG38" s="50" t="str">
        <f t="shared" si="54"/>
        <v/>
      </c>
      <c r="GH38" s="50" t="str">
        <f t="shared" si="54"/>
        <v/>
      </c>
      <c r="GI38" s="50" t="str">
        <f t="shared" si="54"/>
        <v/>
      </c>
      <c r="GJ38" s="50" t="str">
        <f t="shared" si="54"/>
        <v/>
      </c>
      <c r="GK38" s="50" t="str">
        <f t="shared" si="54"/>
        <v/>
      </c>
      <c r="GL38" s="50" t="str">
        <f t="shared" si="54"/>
        <v/>
      </c>
      <c r="GM38" s="50" t="str">
        <f t="shared" si="54"/>
        <v/>
      </c>
      <c r="GN38" s="50" t="str">
        <f t="shared" si="54"/>
        <v/>
      </c>
      <c r="GO38" s="50" t="str">
        <f t="shared" si="54"/>
        <v/>
      </c>
      <c r="GP38" s="50" t="str">
        <f t="shared" si="54"/>
        <v/>
      </c>
      <c r="GQ38" s="50" t="str">
        <f t="shared" si="54"/>
        <v/>
      </c>
      <c r="GR38" s="50" t="str">
        <f t="shared" si="54"/>
        <v/>
      </c>
      <c r="GS38" s="50" t="str">
        <f t="shared" si="54"/>
        <v/>
      </c>
      <c r="GT38" s="50" t="str">
        <f t="shared" si="54"/>
        <v/>
      </c>
      <c r="GU38" s="50" t="str">
        <f t="shared" si="54"/>
        <v/>
      </c>
      <c r="GV38" s="50" t="str">
        <f t="shared" si="54"/>
        <v/>
      </c>
      <c r="GW38" s="50" t="str">
        <f t="shared" si="54"/>
        <v/>
      </c>
      <c r="GX38" s="50" t="str">
        <f t="shared" si="54"/>
        <v/>
      </c>
      <c r="GY38" s="50" t="str">
        <f t="shared" si="55"/>
        <v/>
      </c>
      <c r="GZ38" s="50" t="str">
        <f t="shared" si="55"/>
        <v/>
      </c>
      <c r="HA38" s="50" t="str">
        <f t="shared" si="55"/>
        <v/>
      </c>
      <c r="HB38" s="50" t="str">
        <f t="shared" si="55"/>
        <v/>
      </c>
      <c r="HC38" s="50" t="str">
        <f t="shared" si="55"/>
        <v/>
      </c>
      <c r="HD38" s="50" t="str">
        <f t="shared" si="55"/>
        <v/>
      </c>
      <c r="HE38" s="50" t="str">
        <f t="shared" si="55"/>
        <v/>
      </c>
      <c r="HF38" s="50" t="str">
        <f t="shared" si="55"/>
        <v/>
      </c>
      <c r="HG38" s="50" t="str">
        <f t="shared" si="55"/>
        <v/>
      </c>
      <c r="HH38" s="50" t="str">
        <f t="shared" si="55"/>
        <v/>
      </c>
      <c r="HI38" s="50" t="str">
        <f t="shared" si="56"/>
        <v/>
      </c>
      <c r="HJ38" s="50" t="str">
        <f t="shared" si="56"/>
        <v/>
      </c>
      <c r="HK38" s="50" t="str">
        <f t="shared" si="56"/>
        <v/>
      </c>
      <c r="HL38" s="50" t="str">
        <f t="shared" si="56"/>
        <v/>
      </c>
      <c r="HM38" s="50" t="str">
        <f t="shared" si="56"/>
        <v/>
      </c>
      <c r="HN38" s="50" t="str">
        <f t="shared" si="56"/>
        <v/>
      </c>
      <c r="HO38" s="50" t="str">
        <f t="shared" si="56"/>
        <v/>
      </c>
      <c r="HP38" s="50" t="str">
        <f t="shared" si="56"/>
        <v/>
      </c>
      <c r="HQ38" s="50" t="str">
        <f t="shared" si="56"/>
        <v/>
      </c>
      <c r="HR38" s="112" t="str">
        <f t="shared" si="56"/>
        <v/>
      </c>
    </row>
    <row r="39" spans="1:226" ht="11.1" customHeight="1" x14ac:dyDescent="0.25">
      <c r="A39" s="26"/>
      <c r="B39" s="27"/>
      <c r="C39" s="28" t="str">
        <f>IF(A39=0,"",VLOOKUP(A39,[2]CO!$A$3:$F$5327,2,0))</f>
        <v/>
      </c>
      <c r="D39" s="29"/>
      <c r="E39" s="29"/>
      <c r="F39" s="29"/>
      <c r="G39" s="30" t="str">
        <f>IF(A39=0,"",VLOOKUP(A39,[2]CO!$A$3:$F$5327,3,0))</f>
        <v/>
      </c>
      <c r="H39" s="95"/>
      <c r="I39" s="31"/>
      <c r="J39" s="31"/>
      <c r="K39" s="31"/>
      <c r="L39" s="31"/>
      <c r="M39" s="32" t="str">
        <f t="shared" si="46"/>
        <v/>
      </c>
      <c r="N39" s="32" t="str">
        <f>IF(B39=0,"",IF(H39="M",HLOOKUP(B39,$Y$12:$DT$13,2),IF(A39=0,"",VLOOKUP(A39,[2]CO!$A$3:$F$5327,4,0))))</f>
        <v/>
      </c>
      <c r="O39" s="32" t="str">
        <f t="shared" si="7"/>
        <v/>
      </c>
      <c r="P39" s="33"/>
      <c r="Q39" s="34" t="str">
        <f t="shared" si="47"/>
        <v/>
      </c>
      <c r="R39" s="35" t="str">
        <f>IF(S39=0,"",IF(OR(G39="PEON",G39="OF",G39="JARD",G39="CARP",G39="MAESTRO",G39="SOLD",G39="BGRO",G39="CHOFER",G39="AYTE",G39="S.INTTE.",G39="ASEO",G39="P.PISOS",G39="VELADOR",G39="RESID",G39="PINTOR",G39="ELECT",G39="AZULE",G39="AUX CONT.",G39="SECRETARIA",G39="AUXILIAR ADMTVO.",G39="ARQUITECTO",G39="DIBUJANTE",G39="AUX. DE RESIDENTE",G39="TOPOGRAFIA"),VLOOKUP(B39,P$14:Q$62,2),"")*S39)</f>
        <v/>
      </c>
      <c r="T39" s="53" t="str">
        <f>IF(A39=0,"",VLOOKUP(A39,[2]CO!$A$3:$F$5318,5,0))</f>
        <v/>
      </c>
      <c r="U39" s="54">
        <f t="shared" si="48"/>
        <v>0</v>
      </c>
      <c r="V39" s="24"/>
      <c r="W39" s="25"/>
      <c r="X39" s="25"/>
      <c r="Y39" s="64" t="str">
        <f t="shared" si="49"/>
        <v/>
      </c>
      <c r="Z39" s="55" t="str">
        <f t="shared" si="49"/>
        <v/>
      </c>
      <c r="AA39" s="55" t="str">
        <f t="shared" si="49"/>
        <v/>
      </c>
      <c r="AB39" s="55" t="str">
        <f t="shared" si="49"/>
        <v/>
      </c>
      <c r="AC39" s="55" t="str">
        <f t="shared" si="49"/>
        <v/>
      </c>
      <c r="AD39" s="55" t="str">
        <f t="shared" si="49"/>
        <v/>
      </c>
      <c r="AE39" s="55" t="str">
        <f t="shared" si="49"/>
        <v/>
      </c>
      <c r="AF39" s="55" t="str">
        <f t="shared" si="49"/>
        <v/>
      </c>
      <c r="AG39" s="55" t="str">
        <f t="shared" si="49"/>
        <v/>
      </c>
      <c r="AH39" s="55" t="str">
        <f t="shared" si="49"/>
        <v/>
      </c>
      <c r="AI39" s="55" t="str">
        <f t="shared" si="49"/>
        <v/>
      </c>
      <c r="AJ39" s="55" t="str">
        <f t="shared" si="49"/>
        <v/>
      </c>
      <c r="AK39" s="55" t="str">
        <f t="shared" si="49"/>
        <v/>
      </c>
      <c r="AL39" s="55" t="str">
        <f t="shared" si="49"/>
        <v/>
      </c>
      <c r="AM39" s="55" t="str">
        <f t="shared" si="49"/>
        <v/>
      </c>
      <c r="AN39" s="55" t="str">
        <f t="shared" si="49"/>
        <v/>
      </c>
      <c r="AO39" s="55" t="str">
        <f t="shared" si="50"/>
        <v/>
      </c>
      <c r="AP39" s="55" t="str">
        <f t="shared" si="50"/>
        <v/>
      </c>
      <c r="AQ39" s="55" t="str">
        <f t="shared" si="50"/>
        <v/>
      </c>
      <c r="AR39" s="55" t="str">
        <f t="shared" si="50"/>
        <v/>
      </c>
      <c r="AS39" s="55" t="str">
        <f t="shared" si="50"/>
        <v/>
      </c>
      <c r="AT39" s="55" t="str">
        <f t="shared" si="50"/>
        <v/>
      </c>
      <c r="AU39" s="55" t="str">
        <f t="shared" si="50"/>
        <v/>
      </c>
      <c r="AV39" s="55" t="str">
        <f t="shared" si="50"/>
        <v/>
      </c>
      <c r="AW39" s="55" t="str">
        <f t="shared" si="50"/>
        <v/>
      </c>
      <c r="AX39" s="55" t="str">
        <f t="shared" si="50"/>
        <v/>
      </c>
      <c r="AY39" s="55" t="str">
        <f t="shared" si="50"/>
        <v/>
      </c>
      <c r="AZ39" s="55" t="str">
        <f t="shared" si="50"/>
        <v/>
      </c>
      <c r="BA39" s="55" t="str">
        <f t="shared" si="50"/>
        <v/>
      </c>
      <c r="BB39" s="55" t="str">
        <f t="shared" si="50"/>
        <v/>
      </c>
      <c r="BC39" s="55" t="str">
        <f t="shared" si="50"/>
        <v/>
      </c>
      <c r="BD39" s="55" t="str">
        <f t="shared" si="50"/>
        <v/>
      </c>
      <c r="BE39" s="55" t="str">
        <f t="shared" si="50"/>
        <v/>
      </c>
      <c r="BF39" s="55" t="str">
        <f t="shared" si="50"/>
        <v/>
      </c>
      <c r="BG39" s="55" t="str">
        <f t="shared" si="50"/>
        <v/>
      </c>
      <c r="BH39" s="55" t="str">
        <f t="shared" si="50"/>
        <v/>
      </c>
      <c r="BI39" s="55" t="str">
        <f t="shared" si="50"/>
        <v/>
      </c>
      <c r="BJ39" s="55" t="str">
        <f t="shared" si="50"/>
        <v/>
      </c>
      <c r="BK39" s="55" t="str">
        <f t="shared" si="50"/>
        <v/>
      </c>
      <c r="BL39" s="55" t="str">
        <f t="shared" si="50"/>
        <v/>
      </c>
      <c r="BM39" s="55" t="str">
        <f t="shared" si="50"/>
        <v/>
      </c>
      <c r="BN39" s="55" t="str">
        <f t="shared" si="50"/>
        <v/>
      </c>
      <c r="BO39" s="55" t="str">
        <f t="shared" si="50"/>
        <v/>
      </c>
      <c r="BP39" s="55" t="str">
        <f t="shared" si="50"/>
        <v/>
      </c>
      <c r="BQ39" s="55" t="str">
        <f t="shared" si="50"/>
        <v/>
      </c>
      <c r="BR39" s="55" t="str">
        <f t="shared" si="50"/>
        <v/>
      </c>
      <c r="BS39" s="55" t="str">
        <f t="shared" si="50"/>
        <v/>
      </c>
      <c r="BT39" s="55" t="str">
        <f t="shared" si="50"/>
        <v/>
      </c>
      <c r="BU39" s="55" t="str">
        <f t="shared" si="50"/>
        <v/>
      </c>
      <c r="BV39" s="55" t="str">
        <f t="shared" si="50"/>
        <v/>
      </c>
      <c r="BW39" s="55" t="str">
        <f t="shared" si="50"/>
        <v/>
      </c>
      <c r="BX39" s="55" t="str">
        <f t="shared" si="50"/>
        <v/>
      </c>
      <c r="BY39" s="55" t="str">
        <f t="shared" si="50"/>
        <v/>
      </c>
      <c r="BZ39" s="55" t="str">
        <f t="shared" si="50"/>
        <v/>
      </c>
      <c r="CA39" s="55" t="str">
        <f t="shared" si="50"/>
        <v/>
      </c>
      <c r="CB39" s="55" t="str">
        <f t="shared" si="50"/>
        <v/>
      </c>
      <c r="CC39" s="55" t="str">
        <f t="shared" si="50"/>
        <v/>
      </c>
      <c r="CD39" s="55" t="str">
        <f t="shared" si="50"/>
        <v/>
      </c>
      <c r="CE39" s="55" t="str">
        <f t="shared" si="50"/>
        <v/>
      </c>
      <c r="CF39" s="55" t="str">
        <f t="shared" si="50"/>
        <v/>
      </c>
      <c r="CG39" s="55" t="str">
        <f t="shared" si="50"/>
        <v/>
      </c>
      <c r="CH39" s="55" t="str">
        <f t="shared" si="50"/>
        <v/>
      </c>
      <c r="CI39" s="55" t="str">
        <f t="shared" si="50"/>
        <v/>
      </c>
      <c r="CJ39" s="55" t="str">
        <f t="shared" si="50"/>
        <v/>
      </c>
      <c r="CK39" s="55" t="str">
        <f t="shared" si="50"/>
        <v/>
      </c>
      <c r="CL39" s="55" t="str">
        <f t="shared" si="50"/>
        <v/>
      </c>
      <c r="CM39" s="55" t="str">
        <f t="shared" si="50"/>
        <v/>
      </c>
      <c r="CN39" s="55" t="str">
        <f t="shared" si="50"/>
        <v/>
      </c>
      <c r="CO39" s="55" t="str">
        <f t="shared" si="50"/>
        <v/>
      </c>
      <c r="CP39" s="55" t="str">
        <f t="shared" si="50"/>
        <v/>
      </c>
      <c r="CQ39" s="55" t="str">
        <f t="shared" si="50"/>
        <v/>
      </c>
      <c r="CR39" s="55" t="str">
        <f t="shared" si="50"/>
        <v/>
      </c>
      <c r="CS39" s="55" t="str">
        <f t="shared" si="50"/>
        <v/>
      </c>
      <c r="CT39" s="55" t="str">
        <f t="shared" si="50"/>
        <v/>
      </c>
      <c r="CU39" s="55" t="str">
        <f t="shared" si="50"/>
        <v/>
      </c>
      <c r="CV39" s="55" t="str">
        <f t="shared" si="50"/>
        <v/>
      </c>
      <c r="CW39" s="55" t="str">
        <f t="shared" si="50"/>
        <v/>
      </c>
      <c r="CX39" s="55" t="str">
        <f t="shared" si="50"/>
        <v/>
      </c>
      <c r="CY39" s="55" t="str">
        <f t="shared" si="50"/>
        <v/>
      </c>
      <c r="CZ39" s="55" t="str">
        <f t="shared" ref="CZ39:DJ43" si="57">IF($B39=CZ$12,$U39,"")</f>
        <v/>
      </c>
      <c r="DA39" s="55" t="str">
        <f t="shared" si="57"/>
        <v/>
      </c>
      <c r="DB39" s="55" t="str">
        <f t="shared" si="57"/>
        <v/>
      </c>
      <c r="DC39" s="55" t="str">
        <f t="shared" si="57"/>
        <v/>
      </c>
      <c r="DD39" s="55" t="str">
        <f t="shared" si="57"/>
        <v/>
      </c>
      <c r="DE39" s="55" t="str">
        <f t="shared" si="57"/>
        <v/>
      </c>
      <c r="DF39" s="55" t="str">
        <f t="shared" si="57"/>
        <v/>
      </c>
      <c r="DG39" s="55" t="str">
        <f t="shared" si="57"/>
        <v/>
      </c>
      <c r="DH39" s="55" t="str">
        <f t="shared" si="57"/>
        <v/>
      </c>
      <c r="DI39" s="55" t="str">
        <f t="shared" si="57"/>
        <v/>
      </c>
      <c r="DJ39" s="55" t="str">
        <f t="shared" si="57"/>
        <v/>
      </c>
      <c r="DK39" s="55" t="str">
        <f t="shared" si="51"/>
        <v/>
      </c>
      <c r="DL39" s="55" t="str">
        <f t="shared" si="51"/>
        <v/>
      </c>
      <c r="DM39" s="55" t="str">
        <f t="shared" si="51"/>
        <v/>
      </c>
      <c r="DN39" s="55" t="str">
        <f t="shared" si="51"/>
        <v/>
      </c>
      <c r="DO39" s="55" t="str">
        <f t="shared" si="51"/>
        <v/>
      </c>
      <c r="DP39" s="55" t="str">
        <f t="shared" si="51"/>
        <v/>
      </c>
      <c r="DQ39" s="55" t="str">
        <f t="shared" si="52"/>
        <v/>
      </c>
      <c r="DR39" s="55" t="str">
        <f t="shared" si="52"/>
        <v/>
      </c>
      <c r="DS39" s="55" t="str">
        <f t="shared" si="52"/>
        <v/>
      </c>
      <c r="DT39" s="106" t="str">
        <f t="shared" si="52"/>
        <v/>
      </c>
      <c r="DU39" s="54"/>
      <c r="DV39" s="25"/>
      <c r="DW39" s="61" t="str">
        <f t="shared" si="53"/>
        <v/>
      </c>
      <c r="DX39" s="50" t="str">
        <f t="shared" si="53"/>
        <v/>
      </c>
      <c r="DY39" s="50" t="str">
        <f t="shared" si="53"/>
        <v/>
      </c>
      <c r="DZ39" s="50" t="str">
        <f t="shared" si="53"/>
        <v/>
      </c>
      <c r="EA39" s="50" t="str">
        <f t="shared" si="53"/>
        <v/>
      </c>
      <c r="EB39" s="50" t="str">
        <f t="shared" si="53"/>
        <v/>
      </c>
      <c r="EC39" s="50" t="str">
        <f t="shared" si="53"/>
        <v/>
      </c>
      <c r="ED39" s="50" t="str">
        <f t="shared" si="53"/>
        <v/>
      </c>
      <c r="EE39" s="50" t="str">
        <f t="shared" si="53"/>
        <v/>
      </c>
      <c r="EF39" s="50" t="str">
        <f t="shared" si="53"/>
        <v/>
      </c>
      <c r="EG39" s="50" t="str">
        <f t="shared" si="53"/>
        <v/>
      </c>
      <c r="EH39" s="50" t="str">
        <f t="shared" si="53"/>
        <v/>
      </c>
      <c r="EI39" s="50" t="str">
        <f t="shared" si="53"/>
        <v/>
      </c>
      <c r="EJ39" s="50" t="str">
        <f t="shared" si="53"/>
        <v/>
      </c>
      <c r="EK39" s="50" t="str">
        <f t="shared" si="53"/>
        <v/>
      </c>
      <c r="EL39" s="50" t="str">
        <f t="shared" si="53"/>
        <v/>
      </c>
      <c r="EM39" s="50" t="str">
        <f t="shared" si="54"/>
        <v/>
      </c>
      <c r="EN39" s="50" t="str">
        <f t="shared" si="54"/>
        <v/>
      </c>
      <c r="EO39" s="50" t="str">
        <f t="shared" si="54"/>
        <v/>
      </c>
      <c r="EP39" s="50" t="str">
        <f t="shared" si="54"/>
        <v/>
      </c>
      <c r="EQ39" s="50" t="str">
        <f t="shared" si="54"/>
        <v/>
      </c>
      <c r="ER39" s="50" t="str">
        <f t="shared" si="54"/>
        <v/>
      </c>
      <c r="ES39" s="50" t="str">
        <f t="shared" si="54"/>
        <v/>
      </c>
      <c r="ET39" s="50" t="str">
        <f t="shared" si="54"/>
        <v/>
      </c>
      <c r="EU39" s="50" t="str">
        <f t="shared" si="54"/>
        <v/>
      </c>
      <c r="EV39" s="50" t="str">
        <f t="shared" si="54"/>
        <v/>
      </c>
      <c r="EW39" s="50" t="str">
        <f t="shared" si="54"/>
        <v/>
      </c>
      <c r="EX39" s="50" t="str">
        <f t="shared" si="54"/>
        <v/>
      </c>
      <c r="EY39" s="50" t="str">
        <f t="shared" si="54"/>
        <v/>
      </c>
      <c r="EZ39" s="50" t="str">
        <f t="shared" si="54"/>
        <v/>
      </c>
      <c r="FA39" s="50" t="str">
        <f t="shared" si="54"/>
        <v/>
      </c>
      <c r="FB39" s="50" t="str">
        <f t="shared" si="54"/>
        <v/>
      </c>
      <c r="FC39" s="50" t="str">
        <f t="shared" si="54"/>
        <v/>
      </c>
      <c r="FD39" s="50" t="str">
        <f t="shared" si="54"/>
        <v/>
      </c>
      <c r="FE39" s="50" t="str">
        <f t="shared" si="54"/>
        <v/>
      </c>
      <c r="FF39" s="50" t="str">
        <f t="shared" si="54"/>
        <v/>
      </c>
      <c r="FG39" s="50" t="str">
        <f t="shared" si="54"/>
        <v/>
      </c>
      <c r="FH39" s="50" t="str">
        <f t="shared" si="54"/>
        <v/>
      </c>
      <c r="FI39" s="50" t="str">
        <f t="shared" si="54"/>
        <v/>
      </c>
      <c r="FJ39" s="50" t="str">
        <f t="shared" si="54"/>
        <v/>
      </c>
      <c r="FK39" s="50" t="str">
        <f t="shared" si="54"/>
        <v/>
      </c>
      <c r="FL39" s="50" t="str">
        <f t="shared" si="54"/>
        <v/>
      </c>
      <c r="FM39" s="50" t="str">
        <f t="shared" si="54"/>
        <v/>
      </c>
      <c r="FN39" s="50" t="str">
        <f t="shared" si="54"/>
        <v/>
      </c>
      <c r="FO39" s="50" t="str">
        <f t="shared" si="54"/>
        <v/>
      </c>
      <c r="FP39" s="50" t="str">
        <f t="shared" si="54"/>
        <v/>
      </c>
      <c r="FQ39" s="50" t="str">
        <f t="shared" si="54"/>
        <v/>
      </c>
      <c r="FR39" s="50" t="str">
        <f t="shared" si="54"/>
        <v/>
      </c>
      <c r="FS39" s="50" t="str">
        <f t="shared" si="54"/>
        <v/>
      </c>
      <c r="FT39" s="50" t="str">
        <f t="shared" si="54"/>
        <v/>
      </c>
      <c r="FU39" s="50" t="str">
        <f t="shared" si="54"/>
        <v/>
      </c>
      <c r="FV39" s="50" t="str">
        <f t="shared" si="54"/>
        <v/>
      </c>
      <c r="FW39" s="50" t="str">
        <f t="shared" si="54"/>
        <v/>
      </c>
      <c r="FX39" s="50" t="str">
        <f t="shared" si="54"/>
        <v/>
      </c>
      <c r="FY39" s="50" t="str">
        <f t="shared" si="54"/>
        <v/>
      </c>
      <c r="FZ39" s="50" t="str">
        <f t="shared" si="54"/>
        <v/>
      </c>
      <c r="GA39" s="50" t="str">
        <f t="shared" si="54"/>
        <v/>
      </c>
      <c r="GB39" s="50" t="str">
        <f t="shared" si="54"/>
        <v/>
      </c>
      <c r="GC39" s="50" t="str">
        <f t="shared" si="54"/>
        <v/>
      </c>
      <c r="GD39" s="50" t="str">
        <f t="shared" si="54"/>
        <v/>
      </c>
      <c r="GE39" s="50" t="str">
        <f t="shared" si="54"/>
        <v/>
      </c>
      <c r="GF39" s="50" t="str">
        <f t="shared" si="54"/>
        <v/>
      </c>
      <c r="GG39" s="50" t="str">
        <f t="shared" si="54"/>
        <v/>
      </c>
      <c r="GH39" s="50" t="str">
        <f t="shared" si="54"/>
        <v/>
      </c>
      <c r="GI39" s="50" t="str">
        <f t="shared" si="54"/>
        <v/>
      </c>
      <c r="GJ39" s="50" t="str">
        <f t="shared" si="54"/>
        <v/>
      </c>
      <c r="GK39" s="50" t="str">
        <f t="shared" si="54"/>
        <v/>
      </c>
      <c r="GL39" s="50" t="str">
        <f t="shared" si="54"/>
        <v/>
      </c>
      <c r="GM39" s="50" t="str">
        <f t="shared" si="54"/>
        <v/>
      </c>
      <c r="GN39" s="50" t="str">
        <f t="shared" si="54"/>
        <v/>
      </c>
      <c r="GO39" s="50" t="str">
        <f t="shared" si="54"/>
        <v/>
      </c>
      <c r="GP39" s="50" t="str">
        <f t="shared" si="54"/>
        <v/>
      </c>
      <c r="GQ39" s="50" t="str">
        <f t="shared" si="54"/>
        <v/>
      </c>
      <c r="GR39" s="50" t="str">
        <f t="shared" si="54"/>
        <v/>
      </c>
      <c r="GS39" s="50" t="str">
        <f t="shared" si="54"/>
        <v/>
      </c>
      <c r="GT39" s="50" t="str">
        <f t="shared" si="54"/>
        <v/>
      </c>
      <c r="GU39" s="50" t="str">
        <f t="shared" si="54"/>
        <v/>
      </c>
      <c r="GV39" s="50" t="str">
        <f t="shared" si="54"/>
        <v/>
      </c>
      <c r="GW39" s="50" t="str">
        <f t="shared" si="54"/>
        <v/>
      </c>
      <c r="GX39" s="50" t="str">
        <f t="shared" ref="GX39:HM43" si="58">IF($B39=GX$12,$O39,"")</f>
        <v/>
      </c>
      <c r="GY39" s="50" t="str">
        <f t="shared" si="58"/>
        <v/>
      </c>
      <c r="GZ39" s="50" t="str">
        <f t="shared" si="58"/>
        <v/>
      </c>
      <c r="HA39" s="50" t="str">
        <f t="shared" si="58"/>
        <v/>
      </c>
      <c r="HB39" s="50" t="str">
        <f t="shared" si="58"/>
        <v/>
      </c>
      <c r="HC39" s="50" t="str">
        <f t="shared" si="58"/>
        <v/>
      </c>
      <c r="HD39" s="50" t="str">
        <f t="shared" si="58"/>
        <v/>
      </c>
      <c r="HE39" s="50" t="str">
        <f t="shared" si="58"/>
        <v/>
      </c>
      <c r="HF39" s="50" t="str">
        <f t="shared" si="58"/>
        <v/>
      </c>
      <c r="HG39" s="50" t="str">
        <f t="shared" si="58"/>
        <v/>
      </c>
      <c r="HH39" s="50" t="str">
        <f t="shared" si="58"/>
        <v/>
      </c>
      <c r="HI39" s="50" t="str">
        <f t="shared" si="58"/>
        <v/>
      </c>
      <c r="HJ39" s="50" t="str">
        <f t="shared" si="58"/>
        <v/>
      </c>
      <c r="HK39" s="50" t="str">
        <f t="shared" si="58"/>
        <v/>
      </c>
      <c r="HL39" s="50" t="str">
        <f t="shared" si="58"/>
        <v/>
      </c>
      <c r="HM39" s="50" t="str">
        <f t="shared" si="58"/>
        <v/>
      </c>
      <c r="HN39" s="50" t="str">
        <f t="shared" si="56"/>
        <v/>
      </c>
      <c r="HO39" s="50" t="str">
        <f t="shared" si="56"/>
        <v/>
      </c>
      <c r="HP39" s="50" t="str">
        <f t="shared" si="56"/>
        <v/>
      </c>
      <c r="HQ39" s="50" t="str">
        <f t="shared" si="56"/>
        <v/>
      </c>
      <c r="HR39" s="112" t="str">
        <f t="shared" si="56"/>
        <v/>
      </c>
    </row>
    <row r="40" spans="1:226" ht="11.1" customHeight="1" x14ac:dyDescent="0.25">
      <c r="A40" s="26"/>
      <c r="B40" s="27"/>
      <c r="C40" s="28" t="str">
        <f>IF(A40=0,"",VLOOKUP(A40,[2]CO!$A$3:$F$5327,2,0))</f>
        <v/>
      </c>
      <c r="D40" s="29"/>
      <c r="E40" s="29"/>
      <c r="F40" s="29"/>
      <c r="G40" s="30" t="str">
        <f>IF(A40=0,"",VLOOKUP(A40,[2]CO!$A$3:$F$5327,3,0))</f>
        <v/>
      </c>
      <c r="H40" s="95"/>
      <c r="I40" s="31"/>
      <c r="J40" s="31"/>
      <c r="K40" s="31"/>
      <c r="L40" s="31"/>
      <c r="M40" s="32" t="str">
        <f t="shared" ref="M40:M41" si="59">IF(H40&gt;0,H40*Q$32/N40,IF(AND(L40&gt;0,I40&gt;0),L40*I40,IF(L40&gt;0,L40,"")))</f>
        <v/>
      </c>
      <c r="N40" s="32" t="str">
        <f>IF(B40=0,"",IF(H40="M",HLOOKUP(B40,$Y$12:$DT$13,2),IF(A40=0,"",VLOOKUP(A40,[2]CO!$A$3:$F$5327,4,0))))</f>
        <v/>
      </c>
      <c r="O40" s="32" t="str">
        <f t="shared" ref="O40:O41" si="60">IF(L40=0,"",PRODUCT(M40:N40))</f>
        <v/>
      </c>
      <c r="P40" s="33"/>
      <c r="Q40" s="34" t="str">
        <f t="shared" ref="Q40:Q41" si="61">IF(P40=0,"",(HLOOKUP(P40,$DW$12:$HR$13,2)))</f>
        <v/>
      </c>
      <c r="R40" s="35" t="str">
        <f>IF(S40=0,"",IF(OR(G40="PEON",G40="OF",G40="JARD",G40="CARP",G40="MAESTRO",G40="SOLD",G40="BGRO",G40="CHOFER",G40="AYTE",G40="S.INTTE.",G40="ASEO",G40="P.PISOS",G40="VELADOR",G40="RESID",G40="PINTOR",G40="ELECT",G40="AZULE",G40="AUX CONT.",G40="SECRETARIA",G40="AUXILIAR ADMTVO.",G40="ARQUITECTO",G40="DIBUJANTE",G40="AUX. DE RESIDENTE",G40="TOPOGRAFIA"),VLOOKUP(B40,P$14:Q$62,2),"")*S40)</f>
        <v/>
      </c>
      <c r="T40" s="53" t="str">
        <f>IF(A40=0,"",VLOOKUP(A40,[2]CO!$A$3:$F$5318,5,0))</f>
        <v/>
      </c>
      <c r="U40" s="54">
        <f t="shared" ref="U40:U41" si="62">IF(T40=1,O40*0.1,)</f>
        <v>0</v>
      </c>
      <c r="V40" s="24"/>
      <c r="W40" s="25"/>
      <c r="X40" s="25"/>
      <c r="Y40" s="64" t="str">
        <f t="shared" ref="Y40:AN41" si="63">IF($B40=Y$12,$U40,"")</f>
        <v/>
      </c>
      <c r="Z40" s="55" t="str">
        <f t="shared" si="63"/>
        <v/>
      </c>
      <c r="AA40" s="55" t="str">
        <f t="shared" si="63"/>
        <v/>
      </c>
      <c r="AB40" s="55" t="str">
        <f t="shared" si="63"/>
        <v/>
      </c>
      <c r="AC40" s="55" t="str">
        <f t="shared" si="63"/>
        <v/>
      </c>
      <c r="AD40" s="55" t="str">
        <f t="shared" si="63"/>
        <v/>
      </c>
      <c r="AE40" s="55" t="str">
        <f t="shared" si="63"/>
        <v/>
      </c>
      <c r="AF40" s="55" t="str">
        <f t="shared" si="63"/>
        <v/>
      </c>
      <c r="AG40" s="55" t="str">
        <f t="shared" si="63"/>
        <v/>
      </c>
      <c r="AH40" s="55" t="str">
        <f t="shared" si="63"/>
        <v/>
      </c>
      <c r="AI40" s="55" t="str">
        <f t="shared" si="63"/>
        <v/>
      </c>
      <c r="AJ40" s="55" t="str">
        <f t="shared" si="63"/>
        <v/>
      </c>
      <c r="AK40" s="55" t="str">
        <f t="shared" si="63"/>
        <v/>
      </c>
      <c r="AL40" s="55" t="str">
        <f t="shared" si="63"/>
        <v/>
      </c>
      <c r="AM40" s="55" t="str">
        <f t="shared" si="63"/>
        <v/>
      </c>
      <c r="AN40" s="55" t="str">
        <f t="shared" si="63"/>
        <v/>
      </c>
      <c r="AO40" s="55" t="str">
        <f t="shared" ref="AO40:BD41" si="64">IF($B40=AO$12,$U40,"")</f>
        <v/>
      </c>
      <c r="AP40" s="55" t="str">
        <f t="shared" si="64"/>
        <v/>
      </c>
      <c r="AQ40" s="55" t="str">
        <f t="shared" si="64"/>
        <v/>
      </c>
      <c r="AR40" s="55" t="str">
        <f t="shared" si="64"/>
        <v/>
      </c>
      <c r="AS40" s="55" t="str">
        <f t="shared" si="64"/>
        <v/>
      </c>
      <c r="AT40" s="55" t="str">
        <f t="shared" si="64"/>
        <v/>
      </c>
      <c r="AU40" s="55" t="str">
        <f t="shared" si="64"/>
        <v/>
      </c>
      <c r="AV40" s="55" t="str">
        <f t="shared" si="64"/>
        <v/>
      </c>
      <c r="AW40" s="55" t="str">
        <f t="shared" si="64"/>
        <v/>
      </c>
      <c r="AX40" s="55" t="str">
        <f t="shared" si="64"/>
        <v/>
      </c>
      <c r="AY40" s="55" t="str">
        <f t="shared" si="64"/>
        <v/>
      </c>
      <c r="AZ40" s="55" t="str">
        <f t="shared" si="64"/>
        <v/>
      </c>
      <c r="BA40" s="55" t="str">
        <f t="shared" si="64"/>
        <v/>
      </c>
      <c r="BB40" s="55" t="str">
        <f t="shared" si="64"/>
        <v/>
      </c>
      <c r="BC40" s="55" t="str">
        <f t="shared" si="64"/>
        <v/>
      </c>
      <c r="BD40" s="55" t="str">
        <f t="shared" si="64"/>
        <v/>
      </c>
      <c r="BE40" s="55" t="str">
        <f t="shared" ref="BE40:BX40" si="65">IF($B40=BE$12,$U40,"")</f>
        <v/>
      </c>
      <c r="BF40" s="55" t="str">
        <f t="shared" si="65"/>
        <v/>
      </c>
      <c r="BG40" s="55" t="str">
        <f t="shared" si="65"/>
        <v/>
      </c>
      <c r="BH40" s="55" t="str">
        <f t="shared" si="65"/>
        <v/>
      </c>
      <c r="BI40" s="55" t="str">
        <f t="shared" si="65"/>
        <v/>
      </c>
      <c r="BJ40" s="55" t="str">
        <f t="shared" si="65"/>
        <v/>
      </c>
      <c r="BK40" s="55" t="str">
        <f t="shared" si="65"/>
        <v/>
      </c>
      <c r="BL40" s="55" t="str">
        <f t="shared" si="65"/>
        <v/>
      </c>
      <c r="BM40" s="55" t="str">
        <f t="shared" si="65"/>
        <v/>
      </c>
      <c r="BN40" s="55" t="str">
        <f t="shared" si="65"/>
        <v/>
      </c>
      <c r="BO40" s="55" t="str">
        <f t="shared" si="65"/>
        <v/>
      </c>
      <c r="BP40" s="55" t="str">
        <f t="shared" si="65"/>
        <v/>
      </c>
      <c r="BQ40" s="55" t="str">
        <f t="shared" si="65"/>
        <v/>
      </c>
      <c r="BR40" s="55" t="str">
        <f t="shared" si="65"/>
        <v/>
      </c>
      <c r="BS40" s="55" t="str">
        <f t="shared" si="65"/>
        <v/>
      </c>
      <c r="BT40" s="55" t="str">
        <f t="shared" si="65"/>
        <v/>
      </c>
      <c r="BU40" s="55" t="str">
        <f t="shared" si="65"/>
        <v/>
      </c>
      <c r="BV40" s="55" t="str">
        <f t="shared" si="65"/>
        <v/>
      </c>
      <c r="BW40" s="55" t="str">
        <f t="shared" si="65"/>
        <v/>
      </c>
      <c r="BX40" s="55" t="str">
        <f t="shared" si="65"/>
        <v/>
      </c>
      <c r="BY40" s="55" t="str">
        <f t="shared" ref="BY40:CY40" si="66">IF($B40=BY$12,$U40,"")</f>
        <v/>
      </c>
      <c r="BZ40" s="55" t="str">
        <f t="shared" si="66"/>
        <v/>
      </c>
      <c r="CA40" s="55" t="str">
        <f t="shared" si="66"/>
        <v/>
      </c>
      <c r="CB40" s="55" t="str">
        <f t="shared" si="66"/>
        <v/>
      </c>
      <c r="CC40" s="55" t="str">
        <f t="shared" si="66"/>
        <v/>
      </c>
      <c r="CD40" s="55" t="str">
        <f t="shared" si="66"/>
        <v/>
      </c>
      <c r="CE40" s="55" t="str">
        <f t="shared" si="66"/>
        <v/>
      </c>
      <c r="CF40" s="55" t="str">
        <f t="shared" si="66"/>
        <v/>
      </c>
      <c r="CG40" s="55" t="str">
        <f t="shared" si="66"/>
        <v/>
      </c>
      <c r="CH40" s="55" t="str">
        <f t="shared" si="66"/>
        <v/>
      </c>
      <c r="CI40" s="55" t="str">
        <f t="shared" si="66"/>
        <v/>
      </c>
      <c r="CJ40" s="55" t="str">
        <f t="shared" si="66"/>
        <v/>
      </c>
      <c r="CK40" s="55" t="str">
        <f t="shared" si="66"/>
        <v/>
      </c>
      <c r="CL40" s="55" t="str">
        <f t="shared" si="66"/>
        <v/>
      </c>
      <c r="CM40" s="55" t="str">
        <f t="shared" si="66"/>
        <v/>
      </c>
      <c r="CN40" s="55" t="str">
        <f t="shared" si="66"/>
        <v/>
      </c>
      <c r="CO40" s="55" t="str">
        <f t="shared" si="66"/>
        <v/>
      </c>
      <c r="CP40" s="55" t="str">
        <f t="shared" si="66"/>
        <v/>
      </c>
      <c r="CQ40" s="55" t="str">
        <f t="shared" si="66"/>
        <v/>
      </c>
      <c r="CR40" s="55" t="str">
        <f t="shared" si="66"/>
        <v/>
      </c>
      <c r="CS40" s="55" t="str">
        <f t="shared" si="66"/>
        <v/>
      </c>
      <c r="CT40" s="55" t="str">
        <f t="shared" si="66"/>
        <v/>
      </c>
      <c r="CU40" s="55" t="str">
        <f t="shared" si="66"/>
        <v/>
      </c>
      <c r="CV40" s="55" t="str">
        <f t="shared" si="66"/>
        <v/>
      </c>
      <c r="CW40" s="55" t="str">
        <f t="shared" si="66"/>
        <v/>
      </c>
      <c r="CX40" s="55" t="str">
        <f t="shared" si="66"/>
        <v/>
      </c>
      <c r="CY40" s="55" t="str">
        <f t="shared" si="66"/>
        <v/>
      </c>
      <c r="CZ40" s="55" t="str">
        <f t="shared" ref="CZ40:DJ41" si="67">IF($B40=CZ$12,$U40,"")</f>
        <v/>
      </c>
      <c r="DA40" s="55" t="str">
        <f t="shared" si="67"/>
        <v/>
      </c>
      <c r="DB40" s="55" t="str">
        <f t="shared" si="67"/>
        <v/>
      </c>
      <c r="DC40" s="55" t="str">
        <f t="shared" si="67"/>
        <v/>
      </c>
      <c r="DD40" s="55" t="str">
        <f t="shared" si="67"/>
        <v/>
      </c>
      <c r="DE40" s="55" t="str">
        <f t="shared" si="67"/>
        <v/>
      </c>
      <c r="DF40" s="55" t="str">
        <f t="shared" si="67"/>
        <v/>
      </c>
      <c r="DG40" s="55" t="str">
        <f t="shared" si="67"/>
        <v/>
      </c>
      <c r="DH40" s="55" t="str">
        <f t="shared" si="67"/>
        <v/>
      </c>
      <c r="DI40" s="55" t="str">
        <f t="shared" si="67"/>
        <v/>
      </c>
      <c r="DJ40" s="55" t="str">
        <f t="shared" si="67"/>
        <v/>
      </c>
      <c r="DK40" s="55" t="str">
        <f t="shared" si="51"/>
        <v/>
      </c>
      <c r="DL40" s="55" t="str">
        <f t="shared" si="51"/>
        <v/>
      </c>
      <c r="DM40" s="55" t="str">
        <f t="shared" si="51"/>
        <v/>
      </c>
      <c r="DN40" s="55" t="str">
        <f t="shared" si="51"/>
        <v/>
      </c>
      <c r="DO40" s="55" t="str">
        <f t="shared" si="51"/>
        <v/>
      </c>
      <c r="DP40" s="55" t="str">
        <f t="shared" si="51"/>
        <v/>
      </c>
      <c r="DQ40" s="55" t="str">
        <f t="shared" si="52"/>
        <v/>
      </c>
      <c r="DR40" s="55" t="str">
        <f t="shared" si="52"/>
        <v/>
      </c>
      <c r="DS40" s="55" t="str">
        <f t="shared" si="52"/>
        <v/>
      </c>
      <c r="DT40" s="106" t="str">
        <f t="shared" si="52"/>
        <v/>
      </c>
      <c r="DU40" s="54"/>
      <c r="DV40" s="25"/>
      <c r="DW40" s="61" t="str">
        <f t="shared" ref="DW40:EL41" si="68">IF($B40=DW$12,$O40,"")</f>
        <v/>
      </c>
      <c r="DX40" s="50" t="str">
        <f t="shared" si="68"/>
        <v/>
      </c>
      <c r="DY40" s="50" t="str">
        <f t="shared" si="68"/>
        <v/>
      </c>
      <c r="DZ40" s="50" t="str">
        <f t="shared" si="68"/>
        <v/>
      </c>
      <c r="EA40" s="50" t="str">
        <f t="shared" si="68"/>
        <v/>
      </c>
      <c r="EB40" s="50" t="str">
        <f t="shared" si="68"/>
        <v/>
      </c>
      <c r="EC40" s="50" t="str">
        <f t="shared" si="68"/>
        <v/>
      </c>
      <c r="ED40" s="50" t="str">
        <f t="shared" si="68"/>
        <v/>
      </c>
      <c r="EE40" s="50" t="str">
        <f t="shared" si="68"/>
        <v/>
      </c>
      <c r="EF40" s="50" t="str">
        <f t="shared" si="68"/>
        <v/>
      </c>
      <c r="EG40" s="50" t="str">
        <f t="shared" si="68"/>
        <v/>
      </c>
      <c r="EH40" s="50" t="str">
        <f t="shared" si="68"/>
        <v/>
      </c>
      <c r="EI40" s="50" t="str">
        <f t="shared" si="68"/>
        <v/>
      </c>
      <c r="EJ40" s="50" t="str">
        <f t="shared" si="68"/>
        <v/>
      </c>
      <c r="EK40" s="50" t="str">
        <f t="shared" si="68"/>
        <v/>
      </c>
      <c r="EL40" s="50" t="str">
        <f t="shared" si="68"/>
        <v/>
      </c>
      <c r="EM40" s="50" t="str">
        <f t="shared" ref="EM40:FB41" si="69">IF($B40=EM$12,$O40,"")</f>
        <v/>
      </c>
      <c r="EN40" s="50" t="str">
        <f t="shared" si="69"/>
        <v/>
      </c>
      <c r="EO40" s="50" t="str">
        <f t="shared" si="69"/>
        <v/>
      </c>
      <c r="EP40" s="50" t="str">
        <f t="shared" si="69"/>
        <v/>
      </c>
      <c r="EQ40" s="50" t="str">
        <f t="shared" si="69"/>
        <v/>
      </c>
      <c r="ER40" s="50" t="str">
        <f t="shared" si="69"/>
        <v/>
      </c>
      <c r="ES40" s="50" t="str">
        <f t="shared" si="69"/>
        <v/>
      </c>
      <c r="ET40" s="50" t="str">
        <f t="shared" si="69"/>
        <v/>
      </c>
      <c r="EU40" s="50" t="str">
        <f t="shared" si="69"/>
        <v/>
      </c>
      <c r="EV40" s="50" t="str">
        <f t="shared" si="69"/>
        <v/>
      </c>
      <c r="EW40" s="50" t="str">
        <f t="shared" si="69"/>
        <v/>
      </c>
      <c r="EX40" s="50" t="str">
        <f t="shared" si="69"/>
        <v/>
      </c>
      <c r="EY40" s="50" t="str">
        <f t="shared" si="69"/>
        <v/>
      </c>
      <c r="EZ40" s="50" t="str">
        <f t="shared" si="69"/>
        <v/>
      </c>
      <c r="FA40" s="50" t="str">
        <f t="shared" si="69"/>
        <v/>
      </c>
      <c r="FB40" s="50" t="str">
        <f t="shared" si="69"/>
        <v/>
      </c>
      <c r="FC40" s="50" t="str">
        <f t="shared" ref="FC40:FV40" si="70">IF($B40=FC$12,$O40,"")</f>
        <v/>
      </c>
      <c r="FD40" s="50" t="str">
        <f t="shared" si="70"/>
        <v/>
      </c>
      <c r="FE40" s="50" t="str">
        <f t="shared" si="70"/>
        <v/>
      </c>
      <c r="FF40" s="50" t="str">
        <f t="shared" si="70"/>
        <v/>
      </c>
      <c r="FG40" s="50" t="str">
        <f t="shared" si="70"/>
        <v/>
      </c>
      <c r="FH40" s="50" t="str">
        <f t="shared" si="70"/>
        <v/>
      </c>
      <c r="FI40" s="50" t="str">
        <f t="shared" si="70"/>
        <v/>
      </c>
      <c r="FJ40" s="50" t="str">
        <f t="shared" si="70"/>
        <v/>
      </c>
      <c r="FK40" s="50" t="str">
        <f t="shared" si="70"/>
        <v/>
      </c>
      <c r="FL40" s="50" t="str">
        <f t="shared" si="70"/>
        <v/>
      </c>
      <c r="FM40" s="50" t="str">
        <f t="shared" si="70"/>
        <v/>
      </c>
      <c r="FN40" s="50" t="str">
        <f t="shared" si="70"/>
        <v/>
      </c>
      <c r="FO40" s="50" t="str">
        <f t="shared" si="70"/>
        <v/>
      </c>
      <c r="FP40" s="50" t="str">
        <f t="shared" si="70"/>
        <v/>
      </c>
      <c r="FQ40" s="50" t="str">
        <f t="shared" si="70"/>
        <v/>
      </c>
      <c r="FR40" s="50" t="str">
        <f t="shared" si="70"/>
        <v/>
      </c>
      <c r="FS40" s="50" t="str">
        <f t="shared" si="70"/>
        <v/>
      </c>
      <c r="FT40" s="50" t="str">
        <f t="shared" si="70"/>
        <v/>
      </c>
      <c r="FU40" s="50" t="str">
        <f t="shared" si="70"/>
        <v/>
      </c>
      <c r="FV40" s="50" t="str">
        <f t="shared" si="70"/>
        <v/>
      </c>
      <c r="FW40" s="50" t="str">
        <f t="shared" ref="FW40:GW40" si="71">IF($B40=FW$12,$O40,"")</f>
        <v/>
      </c>
      <c r="FX40" s="50" t="str">
        <f t="shared" si="71"/>
        <v/>
      </c>
      <c r="FY40" s="50" t="str">
        <f t="shared" si="71"/>
        <v/>
      </c>
      <c r="FZ40" s="50" t="str">
        <f t="shared" si="71"/>
        <v/>
      </c>
      <c r="GA40" s="50" t="str">
        <f t="shared" si="71"/>
        <v/>
      </c>
      <c r="GB40" s="50" t="str">
        <f t="shared" si="71"/>
        <v/>
      </c>
      <c r="GC40" s="50" t="str">
        <f t="shared" si="71"/>
        <v/>
      </c>
      <c r="GD40" s="50" t="str">
        <f t="shared" si="71"/>
        <v/>
      </c>
      <c r="GE40" s="50" t="str">
        <f t="shared" si="71"/>
        <v/>
      </c>
      <c r="GF40" s="50" t="str">
        <f t="shared" si="71"/>
        <v/>
      </c>
      <c r="GG40" s="50" t="str">
        <f t="shared" si="71"/>
        <v/>
      </c>
      <c r="GH40" s="50" t="str">
        <f t="shared" si="71"/>
        <v/>
      </c>
      <c r="GI40" s="50" t="str">
        <f t="shared" si="71"/>
        <v/>
      </c>
      <c r="GJ40" s="50" t="str">
        <f t="shared" si="71"/>
        <v/>
      </c>
      <c r="GK40" s="50" t="str">
        <f t="shared" si="71"/>
        <v/>
      </c>
      <c r="GL40" s="50" t="str">
        <f t="shared" si="71"/>
        <v/>
      </c>
      <c r="GM40" s="50" t="str">
        <f t="shared" si="71"/>
        <v/>
      </c>
      <c r="GN40" s="50" t="str">
        <f t="shared" si="71"/>
        <v/>
      </c>
      <c r="GO40" s="50" t="str">
        <f t="shared" si="71"/>
        <v/>
      </c>
      <c r="GP40" s="50" t="str">
        <f t="shared" si="71"/>
        <v/>
      </c>
      <c r="GQ40" s="50" t="str">
        <f t="shared" si="71"/>
        <v/>
      </c>
      <c r="GR40" s="50" t="str">
        <f t="shared" si="71"/>
        <v/>
      </c>
      <c r="GS40" s="50" t="str">
        <f t="shared" si="71"/>
        <v/>
      </c>
      <c r="GT40" s="50" t="str">
        <f t="shared" si="71"/>
        <v/>
      </c>
      <c r="GU40" s="50" t="str">
        <f t="shared" si="71"/>
        <v/>
      </c>
      <c r="GV40" s="50" t="str">
        <f t="shared" si="71"/>
        <v/>
      </c>
      <c r="GW40" s="50" t="str">
        <f t="shared" si="71"/>
        <v/>
      </c>
      <c r="GX40" s="50" t="str">
        <f t="shared" ref="GX40:HM41" si="72">IF($B40=GX$12,$O40,"")</f>
        <v/>
      </c>
      <c r="GY40" s="50" t="str">
        <f t="shared" si="72"/>
        <v/>
      </c>
      <c r="GZ40" s="50" t="str">
        <f t="shared" si="72"/>
        <v/>
      </c>
      <c r="HA40" s="50" t="str">
        <f t="shared" si="72"/>
        <v/>
      </c>
      <c r="HB40" s="50" t="str">
        <f t="shared" si="72"/>
        <v/>
      </c>
      <c r="HC40" s="50" t="str">
        <f t="shared" si="72"/>
        <v/>
      </c>
      <c r="HD40" s="50" t="str">
        <f t="shared" si="72"/>
        <v/>
      </c>
      <c r="HE40" s="50" t="str">
        <f t="shared" si="72"/>
        <v/>
      </c>
      <c r="HF40" s="50" t="str">
        <f t="shared" si="72"/>
        <v/>
      </c>
      <c r="HG40" s="50" t="str">
        <f t="shared" si="72"/>
        <v/>
      </c>
      <c r="HH40" s="50" t="str">
        <f t="shared" si="72"/>
        <v/>
      </c>
      <c r="HI40" s="50" t="str">
        <f t="shared" si="72"/>
        <v/>
      </c>
      <c r="HJ40" s="50" t="str">
        <f t="shared" si="72"/>
        <v/>
      </c>
      <c r="HK40" s="50" t="str">
        <f t="shared" si="72"/>
        <v/>
      </c>
      <c r="HL40" s="50" t="str">
        <f t="shared" si="72"/>
        <v/>
      </c>
      <c r="HM40" s="50" t="str">
        <f t="shared" si="72"/>
        <v/>
      </c>
      <c r="HN40" s="50" t="str">
        <f t="shared" si="56"/>
        <v/>
      </c>
      <c r="HO40" s="50" t="str">
        <f t="shared" si="56"/>
        <v/>
      </c>
      <c r="HP40" s="50" t="str">
        <f t="shared" si="56"/>
        <v/>
      </c>
      <c r="HQ40" s="50" t="str">
        <f t="shared" si="56"/>
        <v/>
      </c>
      <c r="HR40" s="112" t="str">
        <f t="shared" si="56"/>
        <v/>
      </c>
    </row>
    <row r="41" spans="1:226" ht="11.1" customHeight="1" x14ac:dyDescent="0.25">
      <c r="A41" s="26"/>
      <c r="B41" s="27"/>
      <c r="C41" s="28" t="str">
        <f>IF(A41=0,"",VLOOKUP(A41,[2]CO!$A$3:$F$5327,2,0))</f>
        <v/>
      </c>
      <c r="D41" s="29"/>
      <c r="E41" s="29"/>
      <c r="F41" s="29"/>
      <c r="G41" s="30" t="str">
        <f>IF(A41=0,"",VLOOKUP(A41,[2]CO!$A$3:$F$5327,3,0))</f>
        <v/>
      </c>
      <c r="H41" s="95"/>
      <c r="I41" s="31"/>
      <c r="J41" s="31"/>
      <c r="K41" s="31"/>
      <c r="L41" s="31"/>
      <c r="M41" s="32" t="str">
        <f t="shared" si="59"/>
        <v/>
      </c>
      <c r="N41" s="32" t="str">
        <f>IF(B41=0,"",IF(H41="M",HLOOKUP(B41,$Y$12:$DT$13,2),IF(A41=0,"",VLOOKUP(A41,[2]CO!$A$3:$F$5327,4,0))))</f>
        <v/>
      </c>
      <c r="O41" s="32" t="str">
        <f t="shared" si="60"/>
        <v/>
      </c>
      <c r="P41" s="33"/>
      <c r="Q41" s="34" t="str">
        <f t="shared" si="61"/>
        <v/>
      </c>
      <c r="R41" s="35" t="str">
        <f>IF(S41=0,"",IF(OR(G41="PEON",G41="OF",G41="JARD",G41="CARP",G41="MAESTRO",G41="SOLD",G41="BGRO",G41="CHOFER",G41="AYTE",G41="S.INTTE.",G41="ASEO",G41="P.PISOS",G41="VELADOR",G41="RESID",G41="PINTOR",G41="ELECT",G41="AZULE",G41="AUX CONT.",G41="SECRETARIA",G41="AUXILIAR ADMTVO.",G41="ARQUITECTO",G41="DIBUJANTE",G41="AUX. DE RESIDENTE",G41="TOPOGRAFIA"),VLOOKUP(B41,P$14:Q$62,2),"")*S41)</f>
        <v/>
      </c>
      <c r="T41" s="53" t="str">
        <f>IF(A41=0,"",VLOOKUP(A41,[2]CO!$A$3:$F$5318,5,0))</f>
        <v/>
      </c>
      <c r="U41" s="54">
        <f t="shared" si="62"/>
        <v>0</v>
      </c>
      <c r="V41" s="24"/>
      <c r="W41" s="25"/>
      <c r="X41" s="25"/>
      <c r="Y41" s="64" t="str">
        <f t="shared" si="63"/>
        <v/>
      </c>
      <c r="Z41" s="55" t="str">
        <f t="shared" si="63"/>
        <v/>
      </c>
      <c r="AA41" s="55" t="str">
        <f t="shared" si="63"/>
        <v/>
      </c>
      <c r="AB41" s="55" t="str">
        <f t="shared" si="63"/>
        <v/>
      </c>
      <c r="AC41" s="55" t="str">
        <f t="shared" si="63"/>
        <v/>
      </c>
      <c r="AD41" s="55" t="str">
        <f t="shared" si="63"/>
        <v/>
      </c>
      <c r="AE41" s="55" t="str">
        <f t="shared" si="63"/>
        <v/>
      </c>
      <c r="AF41" s="55" t="str">
        <f t="shared" si="63"/>
        <v/>
      </c>
      <c r="AG41" s="55" t="str">
        <f t="shared" si="63"/>
        <v/>
      </c>
      <c r="AH41" s="55" t="str">
        <f t="shared" si="63"/>
        <v/>
      </c>
      <c r="AI41" s="55" t="str">
        <f t="shared" si="63"/>
        <v/>
      </c>
      <c r="AJ41" s="55" t="str">
        <f t="shared" si="63"/>
        <v/>
      </c>
      <c r="AK41" s="55" t="str">
        <f t="shared" si="63"/>
        <v/>
      </c>
      <c r="AL41" s="55" t="str">
        <f t="shared" si="63"/>
        <v/>
      </c>
      <c r="AM41" s="55" t="str">
        <f t="shared" si="63"/>
        <v/>
      </c>
      <c r="AN41" s="55" t="str">
        <f t="shared" si="63"/>
        <v/>
      </c>
      <c r="AO41" s="55" t="str">
        <f t="shared" si="64"/>
        <v/>
      </c>
      <c r="AP41" s="55" t="str">
        <f t="shared" si="64"/>
        <v/>
      </c>
      <c r="AQ41" s="55" t="str">
        <f t="shared" si="64"/>
        <v/>
      </c>
      <c r="AR41" s="55" t="str">
        <f t="shared" si="64"/>
        <v/>
      </c>
      <c r="AS41" s="55" t="str">
        <f t="shared" si="64"/>
        <v/>
      </c>
      <c r="AT41" s="55" t="str">
        <f t="shared" si="64"/>
        <v/>
      </c>
      <c r="AU41" s="55" t="str">
        <f t="shared" si="64"/>
        <v/>
      </c>
      <c r="AV41" s="55" t="str">
        <f t="shared" si="64"/>
        <v/>
      </c>
      <c r="AW41" s="55" t="str">
        <f t="shared" si="64"/>
        <v/>
      </c>
      <c r="AX41" s="55" t="str">
        <f t="shared" si="64"/>
        <v/>
      </c>
      <c r="AY41" s="55" t="str">
        <f t="shared" si="64"/>
        <v/>
      </c>
      <c r="AZ41" s="55" t="str">
        <f t="shared" si="64"/>
        <v/>
      </c>
      <c r="BA41" s="55" t="str">
        <f t="shared" si="64"/>
        <v/>
      </c>
      <c r="BB41" s="55" t="str">
        <f t="shared" si="64"/>
        <v/>
      </c>
      <c r="BC41" s="55" t="str">
        <f t="shared" si="64"/>
        <v/>
      </c>
      <c r="BD41" s="55" t="str">
        <f t="shared" si="64"/>
        <v/>
      </c>
      <c r="BE41" s="55" t="str">
        <f t="shared" ref="BE41:CY41" si="73">IF($B41=BE$12,$U41,"")</f>
        <v/>
      </c>
      <c r="BF41" s="55" t="str">
        <f t="shared" si="73"/>
        <v/>
      </c>
      <c r="BG41" s="55" t="str">
        <f t="shared" si="73"/>
        <v/>
      </c>
      <c r="BH41" s="55" t="str">
        <f t="shared" si="73"/>
        <v/>
      </c>
      <c r="BI41" s="55" t="str">
        <f t="shared" si="73"/>
        <v/>
      </c>
      <c r="BJ41" s="55" t="str">
        <f t="shared" si="73"/>
        <v/>
      </c>
      <c r="BK41" s="55" t="str">
        <f t="shared" si="73"/>
        <v/>
      </c>
      <c r="BL41" s="55" t="str">
        <f t="shared" si="73"/>
        <v/>
      </c>
      <c r="BM41" s="55" t="str">
        <f t="shared" si="73"/>
        <v/>
      </c>
      <c r="BN41" s="55" t="str">
        <f t="shared" si="73"/>
        <v/>
      </c>
      <c r="BO41" s="55" t="str">
        <f t="shared" si="73"/>
        <v/>
      </c>
      <c r="BP41" s="55" t="str">
        <f t="shared" si="73"/>
        <v/>
      </c>
      <c r="BQ41" s="55" t="str">
        <f t="shared" si="73"/>
        <v/>
      </c>
      <c r="BR41" s="55" t="str">
        <f t="shared" si="73"/>
        <v/>
      </c>
      <c r="BS41" s="55" t="str">
        <f t="shared" si="73"/>
        <v/>
      </c>
      <c r="BT41" s="55" t="str">
        <f t="shared" si="73"/>
        <v/>
      </c>
      <c r="BU41" s="55" t="str">
        <f t="shared" si="73"/>
        <v/>
      </c>
      <c r="BV41" s="55" t="str">
        <f t="shared" si="73"/>
        <v/>
      </c>
      <c r="BW41" s="55" t="str">
        <f t="shared" si="73"/>
        <v/>
      </c>
      <c r="BX41" s="55" t="str">
        <f t="shared" si="73"/>
        <v/>
      </c>
      <c r="BY41" s="55" t="str">
        <f t="shared" si="73"/>
        <v/>
      </c>
      <c r="BZ41" s="55" t="str">
        <f t="shared" si="73"/>
        <v/>
      </c>
      <c r="CA41" s="55" t="str">
        <f t="shared" si="73"/>
        <v/>
      </c>
      <c r="CB41" s="55" t="str">
        <f t="shared" si="73"/>
        <v/>
      </c>
      <c r="CC41" s="55" t="str">
        <f t="shared" si="73"/>
        <v/>
      </c>
      <c r="CD41" s="55" t="str">
        <f t="shared" si="73"/>
        <v/>
      </c>
      <c r="CE41" s="55" t="str">
        <f t="shared" si="73"/>
        <v/>
      </c>
      <c r="CF41" s="55" t="str">
        <f t="shared" si="73"/>
        <v/>
      </c>
      <c r="CG41" s="55" t="str">
        <f t="shared" si="73"/>
        <v/>
      </c>
      <c r="CH41" s="55" t="str">
        <f t="shared" si="73"/>
        <v/>
      </c>
      <c r="CI41" s="55" t="str">
        <f t="shared" si="73"/>
        <v/>
      </c>
      <c r="CJ41" s="55" t="str">
        <f t="shared" si="73"/>
        <v/>
      </c>
      <c r="CK41" s="55" t="str">
        <f t="shared" si="73"/>
        <v/>
      </c>
      <c r="CL41" s="55" t="str">
        <f t="shared" si="73"/>
        <v/>
      </c>
      <c r="CM41" s="55" t="str">
        <f t="shared" si="73"/>
        <v/>
      </c>
      <c r="CN41" s="55" t="str">
        <f t="shared" si="73"/>
        <v/>
      </c>
      <c r="CO41" s="55" t="str">
        <f t="shared" si="73"/>
        <v/>
      </c>
      <c r="CP41" s="55" t="str">
        <f t="shared" si="73"/>
        <v/>
      </c>
      <c r="CQ41" s="55" t="str">
        <f t="shared" si="73"/>
        <v/>
      </c>
      <c r="CR41" s="55" t="str">
        <f t="shared" si="73"/>
        <v/>
      </c>
      <c r="CS41" s="55" t="str">
        <f t="shared" si="73"/>
        <v/>
      </c>
      <c r="CT41" s="55" t="str">
        <f t="shared" si="73"/>
        <v/>
      </c>
      <c r="CU41" s="55" t="str">
        <f t="shared" si="73"/>
        <v/>
      </c>
      <c r="CV41" s="55" t="str">
        <f t="shared" si="73"/>
        <v/>
      </c>
      <c r="CW41" s="55" t="str">
        <f t="shared" si="73"/>
        <v/>
      </c>
      <c r="CX41" s="55" t="str">
        <f t="shared" si="73"/>
        <v/>
      </c>
      <c r="CY41" s="55" t="str">
        <f t="shared" si="73"/>
        <v/>
      </c>
      <c r="CZ41" s="55" t="str">
        <f t="shared" si="67"/>
        <v/>
      </c>
      <c r="DA41" s="55" t="str">
        <f t="shared" si="67"/>
        <v/>
      </c>
      <c r="DB41" s="55" t="str">
        <f t="shared" si="67"/>
        <v/>
      </c>
      <c r="DC41" s="55" t="str">
        <f t="shared" si="67"/>
        <v/>
      </c>
      <c r="DD41" s="55" t="str">
        <f t="shared" si="67"/>
        <v/>
      </c>
      <c r="DE41" s="55" t="str">
        <f t="shared" si="67"/>
        <v/>
      </c>
      <c r="DF41" s="55" t="str">
        <f t="shared" si="67"/>
        <v/>
      </c>
      <c r="DG41" s="55" t="str">
        <f t="shared" si="67"/>
        <v/>
      </c>
      <c r="DH41" s="55" t="str">
        <f t="shared" si="67"/>
        <v/>
      </c>
      <c r="DI41" s="55" t="str">
        <f t="shared" si="67"/>
        <v/>
      </c>
      <c r="DJ41" s="55" t="str">
        <f t="shared" si="67"/>
        <v/>
      </c>
      <c r="DK41" s="55" t="str">
        <f t="shared" si="51"/>
        <v/>
      </c>
      <c r="DL41" s="55" t="str">
        <f t="shared" si="51"/>
        <v/>
      </c>
      <c r="DM41" s="55" t="str">
        <f t="shared" si="51"/>
        <v/>
      </c>
      <c r="DN41" s="55" t="str">
        <f t="shared" si="51"/>
        <v/>
      </c>
      <c r="DO41" s="55" t="str">
        <f t="shared" si="51"/>
        <v/>
      </c>
      <c r="DP41" s="55" t="str">
        <f t="shared" si="51"/>
        <v/>
      </c>
      <c r="DQ41" s="55" t="str">
        <f t="shared" si="52"/>
        <v/>
      </c>
      <c r="DR41" s="55" t="str">
        <f t="shared" si="52"/>
        <v/>
      </c>
      <c r="DS41" s="55" t="str">
        <f t="shared" si="52"/>
        <v/>
      </c>
      <c r="DT41" s="106" t="str">
        <f t="shared" si="52"/>
        <v/>
      </c>
      <c r="DU41" s="54"/>
      <c r="DV41" s="25"/>
      <c r="DW41" s="61" t="str">
        <f t="shared" si="68"/>
        <v/>
      </c>
      <c r="DX41" s="50" t="str">
        <f t="shared" si="68"/>
        <v/>
      </c>
      <c r="DY41" s="50" t="str">
        <f t="shared" si="68"/>
        <v/>
      </c>
      <c r="DZ41" s="50" t="str">
        <f t="shared" si="68"/>
        <v/>
      </c>
      <c r="EA41" s="50" t="str">
        <f t="shared" si="68"/>
        <v/>
      </c>
      <c r="EB41" s="50" t="str">
        <f t="shared" si="68"/>
        <v/>
      </c>
      <c r="EC41" s="50" t="str">
        <f t="shared" si="68"/>
        <v/>
      </c>
      <c r="ED41" s="50" t="str">
        <f t="shared" si="68"/>
        <v/>
      </c>
      <c r="EE41" s="50" t="str">
        <f t="shared" si="68"/>
        <v/>
      </c>
      <c r="EF41" s="50" t="str">
        <f t="shared" si="68"/>
        <v/>
      </c>
      <c r="EG41" s="50" t="str">
        <f t="shared" si="68"/>
        <v/>
      </c>
      <c r="EH41" s="50" t="str">
        <f t="shared" si="68"/>
        <v/>
      </c>
      <c r="EI41" s="50" t="str">
        <f t="shared" si="68"/>
        <v/>
      </c>
      <c r="EJ41" s="50" t="str">
        <f t="shared" si="68"/>
        <v/>
      </c>
      <c r="EK41" s="50" t="str">
        <f t="shared" si="68"/>
        <v/>
      </c>
      <c r="EL41" s="50" t="str">
        <f t="shared" si="68"/>
        <v/>
      </c>
      <c r="EM41" s="50" t="str">
        <f t="shared" si="69"/>
        <v/>
      </c>
      <c r="EN41" s="50" t="str">
        <f t="shared" si="69"/>
        <v/>
      </c>
      <c r="EO41" s="50" t="str">
        <f t="shared" si="69"/>
        <v/>
      </c>
      <c r="EP41" s="50" t="str">
        <f t="shared" si="69"/>
        <v/>
      </c>
      <c r="EQ41" s="50" t="str">
        <f t="shared" si="69"/>
        <v/>
      </c>
      <c r="ER41" s="50" t="str">
        <f t="shared" si="69"/>
        <v/>
      </c>
      <c r="ES41" s="50" t="str">
        <f t="shared" si="69"/>
        <v/>
      </c>
      <c r="ET41" s="50" t="str">
        <f t="shared" si="69"/>
        <v/>
      </c>
      <c r="EU41" s="50" t="str">
        <f t="shared" si="69"/>
        <v/>
      </c>
      <c r="EV41" s="50" t="str">
        <f t="shared" si="69"/>
        <v/>
      </c>
      <c r="EW41" s="50" t="str">
        <f t="shared" si="69"/>
        <v/>
      </c>
      <c r="EX41" s="50" t="str">
        <f t="shared" si="69"/>
        <v/>
      </c>
      <c r="EY41" s="50" t="str">
        <f t="shared" si="69"/>
        <v/>
      </c>
      <c r="EZ41" s="50" t="str">
        <f t="shared" si="69"/>
        <v/>
      </c>
      <c r="FA41" s="50" t="str">
        <f t="shared" si="69"/>
        <v/>
      </c>
      <c r="FB41" s="50" t="str">
        <f t="shared" si="69"/>
        <v/>
      </c>
      <c r="FC41" s="50" t="str">
        <f t="shared" ref="FC41:GW41" si="74">IF($B41=FC$12,$O41,"")</f>
        <v/>
      </c>
      <c r="FD41" s="50" t="str">
        <f t="shared" si="74"/>
        <v/>
      </c>
      <c r="FE41" s="50" t="str">
        <f t="shared" si="74"/>
        <v/>
      </c>
      <c r="FF41" s="50" t="str">
        <f t="shared" si="74"/>
        <v/>
      </c>
      <c r="FG41" s="50" t="str">
        <f t="shared" si="74"/>
        <v/>
      </c>
      <c r="FH41" s="50" t="str">
        <f t="shared" si="74"/>
        <v/>
      </c>
      <c r="FI41" s="50" t="str">
        <f t="shared" si="74"/>
        <v/>
      </c>
      <c r="FJ41" s="50" t="str">
        <f t="shared" si="74"/>
        <v/>
      </c>
      <c r="FK41" s="50" t="str">
        <f t="shared" si="74"/>
        <v/>
      </c>
      <c r="FL41" s="50" t="str">
        <f t="shared" si="74"/>
        <v/>
      </c>
      <c r="FM41" s="50" t="str">
        <f t="shared" si="74"/>
        <v/>
      </c>
      <c r="FN41" s="50" t="str">
        <f t="shared" si="74"/>
        <v/>
      </c>
      <c r="FO41" s="50" t="str">
        <f t="shared" si="74"/>
        <v/>
      </c>
      <c r="FP41" s="50" t="str">
        <f t="shared" si="74"/>
        <v/>
      </c>
      <c r="FQ41" s="50" t="str">
        <f t="shared" si="74"/>
        <v/>
      </c>
      <c r="FR41" s="50" t="str">
        <f t="shared" si="74"/>
        <v/>
      </c>
      <c r="FS41" s="50" t="str">
        <f t="shared" si="74"/>
        <v/>
      </c>
      <c r="FT41" s="50" t="str">
        <f t="shared" si="74"/>
        <v/>
      </c>
      <c r="FU41" s="50" t="str">
        <f t="shared" si="74"/>
        <v/>
      </c>
      <c r="FV41" s="50" t="str">
        <f t="shared" si="74"/>
        <v/>
      </c>
      <c r="FW41" s="50" t="str">
        <f t="shared" si="74"/>
        <v/>
      </c>
      <c r="FX41" s="50" t="str">
        <f t="shared" si="74"/>
        <v/>
      </c>
      <c r="FY41" s="50" t="str">
        <f t="shared" si="74"/>
        <v/>
      </c>
      <c r="FZ41" s="50" t="str">
        <f t="shared" si="74"/>
        <v/>
      </c>
      <c r="GA41" s="50" t="str">
        <f t="shared" si="74"/>
        <v/>
      </c>
      <c r="GB41" s="50" t="str">
        <f t="shared" si="74"/>
        <v/>
      </c>
      <c r="GC41" s="50" t="str">
        <f t="shared" si="74"/>
        <v/>
      </c>
      <c r="GD41" s="50" t="str">
        <f t="shared" si="74"/>
        <v/>
      </c>
      <c r="GE41" s="50" t="str">
        <f t="shared" si="74"/>
        <v/>
      </c>
      <c r="GF41" s="50" t="str">
        <f t="shared" si="74"/>
        <v/>
      </c>
      <c r="GG41" s="50" t="str">
        <f t="shared" si="74"/>
        <v/>
      </c>
      <c r="GH41" s="50" t="str">
        <f t="shared" si="74"/>
        <v/>
      </c>
      <c r="GI41" s="50" t="str">
        <f t="shared" si="74"/>
        <v/>
      </c>
      <c r="GJ41" s="50" t="str">
        <f t="shared" si="74"/>
        <v/>
      </c>
      <c r="GK41" s="50" t="str">
        <f t="shared" si="74"/>
        <v/>
      </c>
      <c r="GL41" s="50" t="str">
        <f t="shared" si="74"/>
        <v/>
      </c>
      <c r="GM41" s="50" t="str">
        <f t="shared" si="74"/>
        <v/>
      </c>
      <c r="GN41" s="50" t="str">
        <f t="shared" si="74"/>
        <v/>
      </c>
      <c r="GO41" s="50" t="str">
        <f t="shared" si="74"/>
        <v/>
      </c>
      <c r="GP41" s="50" t="str">
        <f t="shared" si="74"/>
        <v/>
      </c>
      <c r="GQ41" s="50" t="str">
        <f t="shared" si="74"/>
        <v/>
      </c>
      <c r="GR41" s="50" t="str">
        <f t="shared" si="74"/>
        <v/>
      </c>
      <c r="GS41" s="50" t="str">
        <f t="shared" si="74"/>
        <v/>
      </c>
      <c r="GT41" s="50" t="str">
        <f t="shared" si="74"/>
        <v/>
      </c>
      <c r="GU41" s="50" t="str">
        <f t="shared" si="74"/>
        <v/>
      </c>
      <c r="GV41" s="50" t="str">
        <f t="shared" si="74"/>
        <v/>
      </c>
      <c r="GW41" s="50" t="str">
        <f t="shared" si="74"/>
        <v/>
      </c>
      <c r="GX41" s="50" t="str">
        <f t="shared" si="72"/>
        <v/>
      </c>
      <c r="GY41" s="50" t="str">
        <f t="shared" si="72"/>
        <v/>
      </c>
      <c r="GZ41" s="50" t="str">
        <f t="shared" si="72"/>
        <v/>
      </c>
      <c r="HA41" s="50" t="str">
        <f t="shared" si="72"/>
        <v/>
      </c>
      <c r="HB41" s="50" t="str">
        <f t="shared" si="72"/>
        <v/>
      </c>
      <c r="HC41" s="50" t="str">
        <f t="shared" si="72"/>
        <v/>
      </c>
      <c r="HD41" s="50" t="str">
        <f t="shared" si="72"/>
        <v/>
      </c>
      <c r="HE41" s="50" t="str">
        <f t="shared" si="72"/>
        <v/>
      </c>
      <c r="HF41" s="50" t="str">
        <f t="shared" si="72"/>
        <v/>
      </c>
      <c r="HG41" s="50" t="str">
        <f t="shared" si="72"/>
        <v/>
      </c>
      <c r="HH41" s="50" t="str">
        <f t="shared" si="72"/>
        <v/>
      </c>
      <c r="HI41" s="50" t="str">
        <f t="shared" si="72"/>
        <v/>
      </c>
      <c r="HJ41" s="50" t="str">
        <f t="shared" si="72"/>
        <v/>
      </c>
      <c r="HK41" s="50" t="str">
        <f t="shared" si="72"/>
        <v/>
      </c>
      <c r="HL41" s="50" t="str">
        <f t="shared" si="72"/>
        <v/>
      </c>
      <c r="HM41" s="50" t="str">
        <f t="shared" ref="HM41" si="75">IF($B41=HM$12,$O41,"")</f>
        <v/>
      </c>
      <c r="HN41" s="50" t="str">
        <f t="shared" si="56"/>
        <v/>
      </c>
      <c r="HO41" s="50" t="str">
        <f t="shared" si="56"/>
        <v/>
      </c>
      <c r="HP41" s="50" t="str">
        <f t="shared" si="56"/>
        <v/>
      </c>
      <c r="HQ41" s="50" t="str">
        <f t="shared" si="56"/>
        <v/>
      </c>
      <c r="HR41" s="112" t="str">
        <f t="shared" si="56"/>
        <v/>
      </c>
    </row>
    <row r="42" spans="1:226" ht="11.1" customHeight="1" x14ac:dyDescent="0.25">
      <c r="A42" s="26"/>
      <c r="B42" s="27"/>
      <c r="C42" s="28" t="str">
        <f>IF(A42=0,"",VLOOKUP(A42,[2]CO!$A$3:$F$5327,2,0))</f>
        <v/>
      </c>
      <c r="D42" s="29"/>
      <c r="E42" s="29"/>
      <c r="F42" s="29"/>
      <c r="G42" s="30" t="str">
        <f>IF(A42=0,"",VLOOKUP(A42,[2]CO!$A$3:$F$5327,3,0))</f>
        <v/>
      </c>
      <c r="H42" s="95"/>
      <c r="I42" s="31"/>
      <c r="J42" s="31"/>
      <c r="K42" s="31"/>
      <c r="L42" s="31"/>
      <c r="M42" s="32" t="str">
        <f t="shared" si="46"/>
        <v/>
      </c>
      <c r="N42" s="32" t="str">
        <f>IF(B42=0,"",IF(H42="M",HLOOKUP(B42,$Y$12:$DT$13,2),IF(A42=0,"",VLOOKUP(A42,[2]CO!$A$3:$F$5327,4,0))))</f>
        <v/>
      </c>
      <c r="O42" s="32" t="str">
        <f t="shared" si="7"/>
        <v/>
      </c>
      <c r="P42" s="33"/>
      <c r="Q42" s="34" t="str">
        <f t="shared" si="47"/>
        <v/>
      </c>
      <c r="R42" s="35" t="str">
        <f>IF(S42=0,"",IF(OR(G42="PEON",G42="OF",G42="JARD",G42="CARP",G42="MAESTRO",G42="SOLD",G42="BGRO",G42="CHOFER",G42="AYTE",G42="S.INTTE.",G42="ASEO",G42="P.PISOS",G42="VELADOR",G42="RESID",G42="PINTOR",G42="ELECT",G42="AZULE",G42="AUX CONT.",G42="SECRETARIA",G42="AUXILIAR ADMTVO.",G42="ARQUITECTO",G42="DIBUJANTE",G42="AUX. DE RESIDENTE",G42="TOPOGRAFIA"),VLOOKUP(B42,P$14:Q$62,2),"")*S42)</f>
        <v/>
      </c>
      <c r="T42" s="53" t="str">
        <f>IF(A42=0,"",VLOOKUP(A42,[2]CO!$A$3:$F$5318,5,0))</f>
        <v/>
      </c>
      <c r="U42" s="54">
        <f t="shared" si="48"/>
        <v>0</v>
      </c>
      <c r="V42" s="24"/>
      <c r="W42" s="25"/>
      <c r="X42" s="25"/>
      <c r="Y42" s="64" t="str">
        <f t="shared" si="49"/>
        <v/>
      </c>
      <c r="Z42" s="55" t="str">
        <f t="shared" si="49"/>
        <v/>
      </c>
      <c r="AA42" s="55" t="str">
        <f t="shared" si="49"/>
        <v/>
      </c>
      <c r="AB42" s="55" t="str">
        <f t="shared" si="49"/>
        <v/>
      </c>
      <c r="AC42" s="55" t="str">
        <f t="shared" si="49"/>
        <v/>
      </c>
      <c r="AD42" s="55" t="str">
        <f t="shared" si="49"/>
        <v/>
      </c>
      <c r="AE42" s="55" t="str">
        <f t="shared" si="49"/>
        <v/>
      </c>
      <c r="AF42" s="55" t="str">
        <f t="shared" si="49"/>
        <v/>
      </c>
      <c r="AG42" s="55" t="str">
        <f t="shared" si="49"/>
        <v/>
      </c>
      <c r="AH42" s="55" t="str">
        <f t="shared" si="49"/>
        <v/>
      </c>
      <c r="AI42" s="55" t="str">
        <f t="shared" si="49"/>
        <v/>
      </c>
      <c r="AJ42" s="55" t="str">
        <f t="shared" si="49"/>
        <v/>
      </c>
      <c r="AK42" s="55" t="str">
        <f t="shared" si="49"/>
        <v/>
      </c>
      <c r="AL42" s="55" t="str">
        <f t="shared" si="49"/>
        <v/>
      </c>
      <c r="AM42" s="55" t="str">
        <f t="shared" si="49"/>
        <v/>
      </c>
      <c r="AN42" s="55" t="str">
        <f t="shared" si="49"/>
        <v/>
      </c>
      <c r="AO42" s="55" t="str">
        <f t="shared" ref="AO42:BD43" si="76">IF($B42=AO$12,$U42,"")</f>
        <v/>
      </c>
      <c r="AP42" s="55" t="str">
        <f t="shared" si="76"/>
        <v/>
      </c>
      <c r="AQ42" s="55" t="str">
        <f t="shared" si="76"/>
        <v/>
      </c>
      <c r="AR42" s="55" t="str">
        <f t="shared" si="76"/>
        <v/>
      </c>
      <c r="AS42" s="55" t="str">
        <f t="shared" si="76"/>
        <v/>
      </c>
      <c r="AT42" s="55" t="str">
        <f t="shared" si="76"/>
        <v/>
      </c>
      <c r="AU42" s="55" t="str">
        <f t="shared" si="76"/>
        <v/>
      </c>
      <c r="AV42" s="55" t="str">
        <f t="shared" si="76"/>
        <v/>
      </c>
      <c r="AW42" s="55" t="str">
        <f t="shared" si="76"/>
        <v/>
      </c>
      <c r="AX42" s="55" t="str">
        <f t="shared" si="76"/>
        <v/>
      </c>
      <c r="AY42" s="55" t="str">
        <f t="shared" si="76"/>
        <v/>
      </c>
      <c r="AZ42" s="55" t="str">
        <f t="shared" si="76"/>
        <v/>
      </c>
      <c r="BA42" s="55" t="str">
        <f t="shared" si="76"/>
        <v/>
      </c>
      <c r="BB42" s="55" t="str">
        <f t="shared" si="76"/>
        <v/>
      </c>
      <c r="BC42" s="55" t="str">
        <f t="shared" si="76"/>
        <v/>
      </c>
      <c r="BD42" s="55" t="str">
        <f t="shared" si="76"/>
        <v/>
      </c>
      <c r="BE42" s="55" t="str">
        <f t="shared" ref="BE42:CY43" si="77">IF($B42=BE$12,$U42,"")</f>
        <v/>
      </c>
      <c r="BF42" s="55" t="str">
        <f t="shared" si="77"/>
        <v/>
      </c>
      <c r="BG42" s="55" t="str">
        <f t="shared" si="77"/>
        <v/>
      </c>
      <c r="BH42" s="55" t="str">
        <f t="shared" si="77"/>
        <v/>
      </c>
      <c r="BI42" s="55" t="str">
        <f t="shared" si="77"/>
        <v/>
      </c>
      <c r="BJ42" s="55" t="str">
        <f t="shared" si="77"/>
        <v/>
      </c>
      <c r="BK42" s="55" t="str">
        <f t="shared" si="77"/>
        <v/>
      </c>
      <c r="BL42" s="55" t="str">
        <f t="shared" si="77"/>
        <v/>
      </c>
      <c r="BM42" s="55" t="str">
        <f t="shared" si="77"/>
        <v/>
      </c>
      <c r="BN42" s="55" t="str">
        <f t="shared" si="77"/>
        <v/>
      </c>
      <c r="BO42" s="55" t="str">
        <f t="shared" si="77"/>
        <v/>
      </c>
      <c r="BP42" s="55" t="str">
        <f t="shared" si="77"/>
        <v/>
      </c>
      <c r="BQ42" s="55" t="str">
        <f t="shared" si="77"/>
        <v/>
      </c>
      <c r="BR42" s="55" t="str">
        <f t="shared" si="77"/>
        <v/>
      </c>
      <c r="BS42" s="55" t="str">
        <f t="shared" si="77"/>
        <v/>
      </c>
      <c r="BT42" s="55" t="str">
        <f t="shared" si="77"/>
        <v/>
      </c>
      <c r="BU42" s="55" t="str">
        <f t="shared" si="77"/>
        <v/>
      </c>
      <c r="BV42" s="55" t="str">
        <f t="shared" si="77"/>
        <v/>
      </c>
      <c r="BW42" s="55" t="str">
        <f t="shared" si="77"/>
        <v/>
      </c>
      <c r="BX42" s="55" t="str">
        <f t="shared" si="77"/>
        <v/>
      </c>
      <c r="BY42" s="55" t="str">
        <f t="shared" si="77"/>
        <v/>
      </c>
      <c r="BZ42" s="55" t="str">
        <f t="shared" si="77"/>
        <v/>
      </c>
      <c r="CA42" s="55" t="str">
        <f t="shared" si="77"/>
        <v/>
      </c>
      <c r="CB42" s="55" t="str">
        <f t="shared" si="77"/>
        <v/>
      </c>
      <c r="CC42" s="55" t="str">
        <f t="shared" si="77"/>
        <v/>
      </c>
      <c r="CD42" s="55" t="str">
        <f t="shared" si="77"/>
        <v/>
      </c>
      <c r="CE42" s="55" t="str">
        <f t="shared" si="77"/>
        <v/>
      </c>
      <c r="CF42" s="55" t="str">
        <f t="shared" si="77"/>
        <v/>
      </c>
      <c r="CG42" s="55" t="str">
        <f t="shared" si="77"/>
        <v/>
      </c>
      <c r="CH42" s="55" t="str">
        <f t="shared" si="77"/>
        <v/>
      </c>
      <c r="CI42" s="55" t="str">
        <f t="shared" si="77"/>
        <v/>
      </c>
      <c r="CJ42" s="55" t="str">
        <f t="shared" si="77"/>
        <v/>
      </c>
      <c r="CK42" s="55" t="str">
        <f t="shared" si="77"/>
        <v/>
      </c>
      <c r="CL42" s="55" t="str">
        <f t="shared" si="77"/>
        <v/>
      </c>
      <c r="CM42" s="55" t="str">
        <f t="shared" si="77"/>
        <v/>
      </c>
      <c r="CN42" s="55" t="str">
        <f t="shared" si="77"/>
        <v/>
      </c>
      <c r="CO42" s="55" t="str">
        <f t="shared" si="77"/>
        <v/>
      </c>
      <c r="CP42" s="55" t="str">
        <f t="shared" si="77"/>
        <v/>
      </c>
      <c r="CQ42" s="55" t="str">
        <f t="shared" si="77"/>
        <v/>
      </c>
      <c r="CR42" s="55" t="str">
        <f t="shared" si="77"/>
        <v/>
      </c>
      <c r="CS42" s="55" t="str">
        <f t="shared" si="77"/>
        <v/>
      </c>
      <c r="CT42" s="55" t="str">
        <f t="shared" si="77"/>
        <v/>
      </c>
      <c r="CU42" s="55" t="str">
        <f t="shared" si="77"/>
        <v/>
      </c>
      <c r="CV42" s="55" t="str">
        <f t="shared" si="77"/>
        <v/>
      </c>
      <c r="CW42" s="55" t="str">
        <f t="shared" si="77"/>
        <v/>
      </c>
      <c r="CX42" s="55" t="str">
        <f t="shared" si="77"/>
        <v/>
      </c>
      <c r="CY42" s="55" t="str">
        <f t="shared" si="77"/>
        <v/>
      </c>
      <c r="CZ42" s="55" t="str">
        <f t="shared" si="57"/>
        <v/>
      </c>
      <c r="DA42" s="55" t="str">
        <f t="shared" si="57"/>
        <v/>
      </c>
      <c r="DB42" s="55" t="str">
        <f t="shared" si="57"/>
        <v/>
      </c>
      <c r="DC42" s="55" t="str">
        <f t="shared" si="57"/>
        <v/>
      </c>
      <c r="DD42" s="55" t="str">
        <f t="shared" si="57"/>
        <v/>
      </c>
      <c r="DE42" s="55" t="str">
        <f t="shared" si="57"/>
        <v/>
      </c>
      <c r="DF42" s="55" t="str">
        <f t="shared" si="57"/>
        <v/>
      </c>
      <c r="DG42" s="55" t="str">
        <f t="shared" si="57"/>
        <v/>
      </c>
      <c r="DH42" s="55" t="str">
        <f t="shared" si="57"/>
        <v/>
      </c>
      <c r="DI42" s="55" t="str">
        <f t="shared" si="57"/>
        <v/>
      </c>
      <c r="DJ42" s="55" t="str">
        <f t="shared" si="57"/>
        <v/>
      </c>
      <c r="DK42" s="55" t="str">
        <f t="shared" si="51"/>
        <v/>
      </c>
      <c r="DL42" s="55" t="str">
        <f t="shared" si="51"/>
        <v/>
      </c>
      <c r="DM42" s="55" t="str">
        <f t="shared" si="51"/>
        <v/>
      </c>
      <c r="DN42" s="55" t="str">
        <f t="shared" si="51"/>
        <v/>
      </c>
      <c r="DO42" s="55" t="str">
        <f t="shared" si="51"/>
        <v/>
      </c>
      <c r="DP42" s="55" t="str">
        <f t="shared" si="51"/>
        <v/>
      </c>
      <c r="DQ42" s="55" t="str">
        <f t="shared" si="52"/>
        <v/>
      </c>
      <c r="DR42" s="55" t="str">
        <f t="shared" si="52"/>
        <v/>
      </c>
      <c r="DS42" s="55" t="str">
        <f t="shared" si="52"/>
        <v/>
      </c>
      <c r="DT42" s="106" t="str">
        <f t="shared" si="52"/>
        <v/>
      </c>
      <c r="DU42" s="54"/>
      <c r="DV42" s="25"/>
      <c r="DW42" s="61" t="str">
        <f t="shared" si="53"/>
        <v/>
      </c>
      <c r="DX42" s="50" t="str">
        <f t="shared" si="53"/>
        <v/>
      </c>
      <c r="DY42" s="50" t="str">
        <f t="shared" si="53"/>
        <v/>
      </c>
      <c r="DZ42" s="50" t="str">
        <f t="shared" si="53"/>
        <v/>
      </c>
      <c r="EA42" s="50" t="str">
        <f t="shared" si="53"/>
        <v/>
      </c>
      <c r="EB42" s="50" t="str">
        <f t="shared" si="53"/>
        <v/>
      </c>
      <c r="EC42" s="50" t="str">
        <f t="shared" si="53"/>
        <v/>
      </c>
      <c r="ED42" s="50" t="str">
        <f t="shared" si="53"/>
        <v/>
      </c>
      <c r="EE42" s="50" t="str">
        <f t="shared" si="53"/>
        <v/>
      </c>
      <c r="EF42" s="50" t="str">
        <f t="shared" si="53"/>
        <v/>
      </c>
      <c r="EG42" s="50" t="str">
        <f t="shared" si="53"/>
        <v/>
      </c>
      <c r="EH42" s="50" t="str">
        <f t="shared" si="53"/>
        <v/>
      </c>
      <c r="EI42" s="50" t="str">
        <f t="shared" si="53"/>
        <v/>
      </c>
      <c r="EJ42" s="50" t="str">
        <f t="shared" si="53"/>
        <v/>
      </c>
      <c r="EK42" s="50" t="str">
        <f t="shared" si="53"/>
        <v/>
      </c>
      <c r="EL42" s="50" t="str">
        <f t="shared" si="53"/>
        <v/>
      </c>
      <c r="EM42" s="50" t="str">
        <f t="shared" ref="EM42:FB43" si="78">IF($B42=EM$12,$O42,"")</f>
        <v/>
      </c>
      <c r="EN42" s="50" t="str">
        <f t="shared" si="78"/>
        <v/>
      </c>
      <c r="EO42" s="50" t="str">
        <f t="shared" si="78"/>
        <v/>
      </c>
      <c r="EP42" s="50" t="str">
        <f t="shared" si="78"/>
        <v/>
      </c>
      <c r="EQ42" s="50" t="str">
        <f t="shared" si="78"/>
        <v/>
      </c>
      <c r="ER42" s="50" t="str">
        <f t="shared" si="78"/>
        <v/>
      </c>
      <c r="ES42" s="50" t="str">
        <f t="shared" si="78"/>
        <v/>
      </c>
      <c r="ET42" s="50" t="str">
        <f t="shared" si="78"/>
        <v/>
      </c>
      <c r="EU42" s="50" t="str">
        <f t="shared" si="78"/>
        <v/>
      </c>
      <c r="EV42" s="50" t="str">
        <f t="shared" si="78"/>
        <v/>
      </c>
      <c r="EW42" s="50" t="str">
        <f t="shared" si="78"/>
        <v/>
      </c>
      <c r="EX42" s="50" t="str">
        <f t="shared" si="78"/>
        <v/>
      </c>
      <c r="EY42" s="50" t="str">
        <f t="shared" si="78"/>
        <v/>
      </c>
      <c r="EZ42" s="50" t="str">
        <f t="shared" si="78"/>
        <v/>
      </c>
      <c r="FA42" s="50" t="str">
        <f t="shared" si="78"/>
        <v/>
      </c>
      <c r="FB42" s="50" t="str">
        <f t="shared" si="78"/>
        <v/>
      </c>
      <c r="FC42" s="50" t="str">
        <f t="shared" ref="FC42:GW43" si="79">IF($B42=FC$12,$O42,"")</f>
        <v/>
      </c>
      <c r="FD42" s="50" t="str">
        <f t="shared" si="79"/>
        <v/>
      </c>
      <c r="FE42" s="50" t="str">
        <f t="shared" si="79"/>
        <v/>
      </c>
      <c r="FF42" s="50" t="str">
        <f t="shared" si="79"/>
        <v/>
      </c>
      <c r="FG42" s="50" t="str">
        <f t="shared" si="79"/>
        <v/>
      </c>
      <c r="FH42" s="50" t="str">
        <f t="shared" si="79"/>
        <v/>
      </c>
      <c r="FI42" s="50" t="str">
        <f t="shared" si="79"/>
        <v/>
      </c>
      <c r="FJ42" s="50" t="str">
        <f t="shared" si="79"/>
        <v/>
      </c>
      <c r="FK42" s="50" t="str">
        <f t="shared" si="79"/>
        <v/>
      </c>
      <c r="FL42" s="50" t="str">
        <f t="shared" si="79"/>
        <v/>
      </c>
      <c r="FM42" s="50" t="str">
        <f t="shared" si="79"/>
        <v/>
      </c>
      <c r="FN42" s="50" t="str">
        <f t="shared" si="79"/>
        <v/>
      </c>
      <c r="FO42" s="50" t="str">
        <f t="shared" si="79"/>
        <v/>
      </c>
      <c r="FP42" s="50" t="str">
        <f t="shared" si="79"/>
        <v/>
      </c>
      <c r="FQ42" s="50" t="str">
        <f t="shared" si="79"/>
        <v/>
      </c>
      <c r="FR42" s="50" t="str">
        <f t="shared" si="79"/>
        <v/>
      </c>
      <c r="FS42" s="50" t="str">
        <f t="shared" si="79"/>
        <v/>
      </c>
      <c r="FT42" s="50" t="str">
        <f t="shared" si="79"/>
        <v/>
      </c>
      <c r="FU42" s="50" t="str">
        <f t="shared" si="79"/>
        <v/>
      </c>
      <c r="FV42" s="50" t="str">
        <f t="shared" si="79"/>
        <v/>
      </c>
      <c r="FW42" s="50" t="str">
        <f t="shared" si="79"/>
        <v/>
      </c>
      <c r="FX42" s="50" t="str">
        <f t="shared" si="79"/>
        <v/>
      </c>
      <c r="FY42" s="50" t="str">
        <f t="shared" si="79"/>
        <v/>
      </c>
      <c r="FZ42" s="50" t="str">
        <f t="shared" si="79"/>
        <v/>
      </c>
      <c r="GA42" s="50" t="str">
        <f t="shared" si="79"/>
        <v/>
      </c>
      <c r="GB42" s="50" t="str">
        <f t="shared" si="79"/>
        <v/>
      </c>
      <c r="GC42" s="50" t="str">
        <f t="shared" si="79"/>
        <v/>
      </c>
      <c r="GD42" s="50" t="str">
        <f t="shared" si="79"/>
        <v/>
      </c>
      <c r="GE42" s="50" t="str">
        <f t="shared" si="79"/>
        <v/>
      </c>
      <c r="GF42" s="50" t="str">
        <f t="shared" si="79"/>
        <v/>
      </c>
      <c r="GG42" s="50" t="str">
        <f t="shared" si="79"/>
        <v/>
      </c>
      <c r="GH42" s="50" t="str">
        <f t="shared" si="79"/>
        <v/>
      </c>
      <c r="GI42" s="50" t="str">
        <f t="shared" si="79"/>
        <v/>
      </c>
      <c r="GJ42" s="50" t="str">
        <f t="shared" si="79"/>
        <v/>
      </c>
      <c r="GK42" s="50" t="str">
        <f t="shared" si="79"/>
        <v/>
      </c>
      <c r="GL42" s="50" t="str">
        <f t="shared" si="79"/>
        <v/>
      </c>
      <c r="GM42" s="50" t="str">
        <f t="shared" si="79"/>
        <v/>
      </c>
      <c r="GN42" s="50" t="str">
        <f t="shared" si="79"/>
        <v/>
      </c>
      <c r="GO42" s="50" t="str">
        <f t="shared" si="79"/>
        <v/>
      </c>
      <c r="GP42" s="50" t="str">
        <f t="shared" si="79"/>
        <v/>
      </c>
      <c r="GQ42" s="50" t="str">
        <f t="shared" si="79"/>
        <v/>
      </c>
      <c r="GR42" s="50" t="str">
        <f t="shared" si="79"/>
        <v/>
      </c>
      <c r="GS42" s="50" t="str">
        <f t="shared" si="79"/>
        <v/>
      </c>
      <c r="GT42" s="50" t="str">
        <f t="shared" si="79"/>
        <v/>
      </c>
      <c r="GU42" s="50" t="str">
        <f t="shared" si="79"/>
        <v/>
      </c>
      <c r="GV42" s="50" t="str">
        <f t="shared" si="79"/>
        <v/>
      </c>
      <c r="GW42" s="50" t="str">
        <f t="shared" si="79"/>
        <v/>
      </c>
      <c r="GX42" s="50" t="str">
        <f t="shared" si="58"/>
        <v/>
      </c>
      <c r="GY42" s="50" t="str">
        <f t="shared" si="58"/>
        <v/>
      </c>
      <c r="GZ42" s="50" t="str">
        <f t="shared" si="58"/>
        <v/>
      </c>
      <c r="HA42" s="50" t="str">
        <f t="shared" si="58"/>
        <v/>
      </c>
      <c r="HB42" s="50" t="str">
        <f t="shared" si="58"/>
        <v/>
      </c>
      <c r="HC42" s="50" t="str">
        <f t="shared" si="58"/>
        <v/>
      </c>
      <c r="HD42" s="50" t="str">
        <f t="shared" si="58"/>
        <v/>
      </c>
      <c r="HE42" s="50" t="str">
        <f t="shared" si="58"/>
        <v/>
      </c>
      <c r="HF42" s="50" t="str">
        <f t="shared" si="58"/>
        <v/>
      </c>
      <c r="HG42" s="50" t="str">
        <f t="shared" si="58"/>
        <v/>
      </c>
      <c r="HH42" s="50" t="str">
        <f t="shared" si="58"/>
        <v/>
      </c>
      <c r="HI42" s="50" t="str">
        <f t="shared" si="58"/>
        <v/>
      </c>
      <c r="HJ42" s="50" t="str">
        <f t="shared" si="58"/>
        <v/>
      </c>
      <c r="HK42" s="50" t="str">
        <f t="shared" si="58"/>
        <v/>
      </c>
      <c r="HL42" s="50" t="str">
        <f t="shared" si="58"/>
        <v/>
      </c>
      <c r="HM42" s="50" t="str">
        <f t="shared" si="58"/>
        <v/>
      </c>
      <c r="HN42" s="50" t="str">
        <f t="shared" si="56"/>
        <v/>
      </c>
      <c r="HO42" s="50" t="str">
        <f t="shared" si="56"/>
        <v/>
      </c>
      <c r="HP42" s="50" t="str">
        <f t="shared" si="56"/>
        <v/>
      </c>
      <c r="HQ42" s="50" t="str">
        <f t="shared" si="56"/>
        <v/>
      </c>
      <c r="HR42" s="112" t="str">
        <f t="shared" si="56"/>
        <v/>
      </c>
    </row>
    <row r="43" spans="1:226" ht="11.1" customHeight="1" thickBot="1" x14ac:dyDescent="0.3">
      <c r="A43" s="66"/>
      <c r="B43" s="67"/>
      <c r="C43" s="68" t="str">
        <f>IF(A43=0,"",VLOOKUP(A43,[2]CO!$A$3:$F$5327,2,0))</f>
        <v/>
      </c>
      <c r="D43" s="69"/>
      <c r="E43" s="69"/>
      <c r="F43" s="69"/>
      <c r="G43" s="70" t="str">
        <f>IF(A43=0,"",VLOOKUP(A43,[2]CO!$A$3:$F$5327,3,0))</f>
        <v/>
      </c>
      <c r="H43" s="96"/>
      <c r="I43" s="71"/>
      <c r="J43" s="71"/>
      <c r="K43" s="71"/>
      <c r="L43" s="71"/>
      <c r="M43" s="72" t="str">
        <f t="shared" si="46"/>
        <v/>
      </c>
      <c r="N43" s="72" t="str">
        <f>IF(B43=0,"",IF(H43="M",HLOOKUP(B43,$Y$12:$DT$13,2),IF(A43=0,"",VLOOKUP(A43,[2]CO!$A$3:$F$5327,4,0))))</f>
        <v/>
      </c>
      <c r="O43" s="72" t="str">
        <f t="shared" si="7"/>
        <v/>
      </c>
      <c r="P43" s="73"/>
      <c r="Q43" s="74" t="str">
        <f t="shared" si="47"/>
        <v/>
      </c>
      <c r="R43" s="75" t="str">
        <f>IF(S43=0,"",IF(OR(G43="PEON",G43="OF",G43="JARD",G43="CARP",G43="MAESTRO",G43="SOLD",G43="BGRO",G43="CHOFER",G43="AYTE",G43="S.INTTE.",G43="ASEO",G43="P.PISOS",G43="VELADOR",G43="RESID",G43="PINTOR",G43="ELECT",G43="AZULE",G43="AUX CONT.",G43="SECRETARIA",G43="AUXILIAR ADMTVO.",G43="ARQUITECTO",G43="DIBUJANTE",G43="AUX. DE RESIDENTE",G43="TOPOGRAFIA"),VLOOKUP(B43,P$14:Q$62,2),"")*S43)</f>
        <v/>
      </c>
      <c r="T43" s="53" t="str">
        <f>IF(A43=0,"",VLOOKUP(A43,[2]CO!$A$3:$F$5318,5,0))</f>
        <v/>
      </c>
      <c r="U43" s="54">
        <f t="shared" si="48"/>
        <v>0</v>
      </c>
      <c r="V43" s="24"/>
      <c r="W43" s="25"/>
      <c r="X43" s="25"/>
      <c r="Y43" s="76" t="str">
        <f t="shared" si="49"/>
        <v/>
      </c>
      <c r="Z43" s="77" t="str">
        <f t="shared" si="49"/>
        <v/>
      </c>
      <c r="AA43" s="77" t="str">
        <f t="shared" si="49"/>
        <v/>
      </c>
      <c r="AB43" s="77" t="str">
        <f t="shared" si="49"/>
        <v/>
      </c>
      <c r="AC43" s="77" t="str">
        <f t="shared" si="49"/>
        <v/>
      </c>
      <c r="AD43" s="77" t="str">
        <f t="shared" si="49"/>
        <v/>
      </c>
      <c r="AE43" s="77" t="str">
        <f t="shared" si="49"/>
        <v/>
      </c>
      <c r="AF43" s="77" t="str">
        <f t="shared" si="49"/>
        <v/>
      </c>
      <c r="AG43" s="77" t="str">
        <f t="shared" si="49"/>
        <v/>
      </c>
      <c r="AH43" s="77" t="str">
        <f t="shared" si="49"/>
        <v/>
      </c>
      <c r="AI43" s="77" t="str">
        <f t="shared" si="49"/>
        <v/>
      </c>
      <c r="AJ43" s="77" t="str">
        <f t="shared" si="49"/>
        <v/>
      </c>
      <c r="AK43" s="77" t="str">
        <f t="shared" si="49"/>
        <v/>
      </c>
      <c r="AL43" s="77" t="str">
        <f t="shared" si="49"/>
        <v/>
      </c>
      <c r="AM43" s="77" t="str">
        <f t="shared" si="49"/>
        <v/>
      </c>
      <c r="AN43" s="77" t="str">
        <f t="shared" si="49"/>
        <v/>
      </c>
      <c r="AO43" s="77" t="str">
        <f t="shared" si="76"/>
        <v/>
      </c>
      <c r="AP43" s="77" t="str">
        <f t="shared" si="76"/>
        <v/>
      </c>
      <c r="AQ43" s="77" t="str">
        <f t="shared" si="76"/>
        <v/>
      </c>
      <c r="AR43" s="77" t="str">
        <f t="shared" si="76"/>
        <v/>
      </c>
      <c r="AS43" s="77" t="str">
        <f t="shared" si="76"/>
        <v/>
      </c>
      <c r="AT43" s="77" t="str">
        <f t="shared" si="76"/>
        <v/>
      </c>
      <c r="AU43" s="77" t="str">
        <f t="shared" si="76"/>
        <v/>
      </c>
      <c r="AV43" s="77" t="str">
        <f t="shared" si="76"/>
        <v/>
      </c>
      <c r="AW43" s="77" t="str">
        <f t="shared" si="76"/>
        <v/>
      </c>
      <c r="AX43" s="77" t="str">
        <f t="shared" si="76"/>
        <v/>
      </c>
      <c r="AY43" s="77" t="str">
        <f t="shared" si="76"/>
        <v/>
      </c>
      <c r="AZ43" s="77" t="str">
        <f t="shared" si="76"/>
        <v/>
      </c>
      <c r="BA43" s="77" t="str">
        <f t="shared" si="76"/>
        <v/>
      </c>
      <c r="BB43" s="77" t="str">
        <f t="shared" si="76"/>
        <v/>
      </c>
      <c r="BC43" s="77" t="str">
        <f t="shared" si="76"/>
        <v/>
      </c>
      <c r="BD43" s="77" t="str">
        <f t="shared" si="76"/>
        <v/>
      </c>
      <c r="BE43" s="77" t="str">
        <f t="shared" si="77"/>
        <v/>
      </c>
      <c r="BF43" s="77" t="str">
        <f t="shared" si="77"/>
        <v/>
      </c>
      <c r="BG43" s="77" t="str">
        <f t="shared" si="77"/>
        <v/>
      </c>
      <c r="BH43" s="77" t="str">
        <f t="shared" si="77"/>
        <v/>
      </c>
      <c r="BI43" s="77" t="str">
        <f t="shared" si="77"/>
        <v/>
      </c>
      <c r="BJ43" s="77" t="str">
        <f t="shared" si="77"/>
        <v/>
      </c>
      <c r="BK43" s="77" t="str">
        <f t="shared" si="77"/>
        <v/>
      </c>
      <c r="BL43" s="77" t="str">
        <f t="shared" si="77"/>
        <v/>
      </c>
      <c r="BM43" s="77" t="str">
        <f t="shared" si="77"/>
        <v/>
      </c>
      <c r="BN43" s="77" t="str">
        <f t="shared" si="77"/>
        <v/>
      </c>
      <c r="BO43" s="77" t="str">
        <f t="shared" si="77"/>
        <v/>
      </c>
      <c r="BP43" s="77" t="str">
        <f t="shared" si="77"/>
        <v/>
      </c>
      <c r="BQ43" s="77" t="str">
        <f t="shared" si="77"/>
        <v/>
      </c>
      <c r="BR43" s="77" t="str">
        <f t="shared" si="77"/>
        <v/>
      </c>
      <c r="BS43" s="77" t="str">
        <f t="shared" si="77"/>
        <v/>
      </c>
      <c r="BT43" s="77" t="str">
        <f t="shared" si="77"/>
        <v/>
      </c>
      <c r="BU43" s="77" t="str">
        <f t="shared" si="77"/>
        <v/>
      </c>
      <c r="BV43" s="77" t="str">
        <f t="shared" si="77"/>
        <v/>
      </c>
      <c r="BW43" s="77" t="str">
        <f t="shared" si="77"/>
        <v/>
      </c>
      <c r="BX43" s="77" t="str">
        <f t="shared" si="77"/>
        <v/>
      </c>
      <c r="BY43" s="77" t="str">
        <f t="shared" ref="BY43:CY43" si="80">IF($B43=BY$12,$U43,"")</f>
        <v/>
      </c>
      <c r="BZ43" s="77" t="str">
        <f t="shared" si="80"/>
        <v/>
      </c>
      <c r="CA43" s="77" t="str">
        <f t="shared" si="80"/>
        <v/>
      </c>
      <c r="CB43" s="77" t="str">
        <f t="shared" si="80"/>
        <v/>
      </c>
      <c r="CC43" s="77" t="str">
        <f t="shared" si="80"/>
        <v/>
      </c>
      <c r="CD43" s="77" t="str">
        <f t="shared" si="80"/>
        <v/>
      </c>
      <c r="CE43" s="77" t="str">
        <f t="shared" si="80"/>
        <v/>
      </c>
      <c r="CF43" s="77" t="str">
        <f t="shared" si="80"/>
        <v/>
      </c>
      <c r="CG43" s="77" t="str">
        <f t="shared" si="80"/>
        <v/>
      </c>
      <c r="CH43" s="77" t="str">
        <f t="shared" si="80"/>
        <v/>
      </c>
      <c r="CI43" s="77" t="str">
        <f t="shared" si="80"/>
        <v/>
      </c>
      <c r="CJ43" s="77" t="str">
        <f t="shared" si="80"/>
        <v/>
      </c>
      <c r="CK43" s="77" t="str">
        <f t="shared" si="80"/>
        <v/>
      </c>
      <c r="CL43" s="77" t="str">
        <f t="shared" si="80"/>
        <v/>
      </c>
      <c r="CM43" s="77" t="str">
        <f t="shared" si="80"/>
        <v/>
      </c>
      <c r="CN43" s="77" t="str">
        <f t="shared" si="80"/>
        <v/>
      </c>
      <c r="CO43" s="77" t="str">
        <f t="shared" si="80"/>
        <v/>
      </c>
      <c r="CP43" s="77" t="str">
        <f t="shared" si="80"/>
        <v/>
      </c>
      <c r="CQ43" s="77" t="str">
        <f t="shared" si="80"/>
        <v/>
      </c>
      <c r="CR43" s="77" t="str">
        <f t="shared" si="80"/>
        <v/>
      </c>
      <c r="CS43" s="77" t="str">
        <f t="shared" si="80"/>
        <v/>
      </c>
      <c r="CT43" s="77" t="str">
        <f t="shared" si="80"/>
        <v/>
      </c>
      <c r="CU43" s="77" t="str">
        <f t="shared" si="80"/>
        <v/>
      </c>
      <c r="CV43" s="77" t="str">
        <f t="shared" si="80"/>
        <v/>
      </c>
      <c r="CW43" s="77" t="str">
        <f t="shared" si="80"/>
        <v/>
      </c>
      <c r="CX43" s="77" t="str">
        <f t="shared" si="80"/>
        <v/>
      </c>
      <c r="CY43" s="77" t="str">
        <f t="shared" si="80"/>
        <v/>
      </c>
      <c r="CZ43" s="77" t="str">
        <f t="shared" si="57"/>
        <v/>
      </c>
      <c r="DA43" s="77" t="str">
        <f t="shared" si="57"/>
        <v/>
      </c>
      <c r="DB43" s="77" t="str">
        <f t="shared" si="57"/>
        <v/>
      </c>
      <c r="DC43" s="77" t="str">
        <f t="shared" si="57"/>
        <v/>
      </c>
      <c r="DD43" s="77" t="str">
        <f t="shared" si="57"/>
        <v/>
      </c>
      <c r="DE43" s="77" t="str">
        <f t="shared" si="57"/>
        <v/>
      </c>
      <c r="DF43" s="77" t="str">
        <f t="shared" si="57"/>
        <v/>
      </c>
      <c r="DG43" s="77" t="str">
        <f t="shared" si="57"/>
        <v/>
      </c>
      <c r="DH43" s="77" t="str">
        <f t="shared" si="57"/>
        <v/>
      </c>
      <c r="DI43" s="77" t="str">
        <f t="shared" si="57"/>
        <v/>
      </c>
      <c r="DJ43" s="77" t="str">
        <f t="shared" si="57"/>
        <v/>
      </c>
      <c r="DK43" s="77" t="str">
        <f t="shared" si="51"/>
        <v/>
      </c>
      <c r="DL43" s="77" t="str">
        <f t="shared" si="51"/>
        <v/>
      </c>
      <c r="DM43" s="77" t="str">
        <f t="shared" si="51"/>
        <v/>
      </c>
      <c r="DN43" s="77" t="str">
        <f t="shared" si="51"/>
        <v/>
      </c>
      <c r="DO43" s="77" t="str">
        <f t="shared" si="51"/>
        <v/>
      </c>
      <c r="DP43" s="77" t="str">
        <f t="shared" si="51"/>
        <v/>
      </c>
      <c r="DQ43" s="77" t="str">
        <f t="shared" si="52"/>
        <v/>
      </c>
      <c r="DR43" s="77" t="str">
        <f t="shared" si="52"/>
        <v/>
      </c>
      <c r="DS43" s="77" t="str">
        <f t="shared" si="52"/>
        <v/>
      </c>
      <c r="DT43" s="107" t="str">
        <f t="shared" si="52"/>
        <v/>
      </c>
      <c r="DU43" s="54"/>
      <c r="DV43" s="25"/>
      <c r="DW43" s="78" t="str">
        <f t="shared" si="53"/>
        <v/>
      </c>
      <c r="DX43" s="79" t="str">
        <f t="shared" si="53"/>
        <v/>
      </c>
      <c r="DY43" s="79" t="str">
        <f t="shared" si="53"/>
        <v/>
      </c>
      <c r="DZ43" s="79" t="str">
        <f t="shared" si="53"/>
        <v/>
      </c>
      <c r="EA43" s="79" t="str">
        <f t="shared" si="53"/>
        <v/>
      </c>
      <c r="EB43" s="79" t="str">
        <f t="shared" si="53"/>
        <v/>
      </c>
      <c r="EC43" s="79" t="str">
        <f t="shared" si="53"/>
        <v/>
      </c>
      <c r="ED43" s="79" t="str">
        <f t="shared" si="53"/>
        <v/>
      </c>
      <c r="EE43" s="79" t="str">
        <f t="shared" si="53"/>
        <v/>
      </c>
      <c r="EF43" s="79" t="str">
        <f t="shared" si="53"/>
        <v/>
      </c>
      <c r="EG43" s="79" t="str">
        <f t="shared" si="53"/>
        <v/>
      </c>
      <c r="EH43" s="79" t="str">
        <f t="shared" si="53"/>
        <v/>
      </c>
      <c r="EI43" s="79" t="str">
        <f t="shared" si="53"/>
        <v/>
      </c>
      <c r="EJ43" s="79" t="str">
        <f t="shared" si="53"/>
        <v/>
      </c>
      <c r="EK43" s="79" t="str">
        <f t="shared" si="53"/>
        <v/>
      </c>
      <c r="EL43" s="79" t="str">
        <f t="shared" si="53"/>
        <v/>
      </c>
      <c r="EM43" s="79" t="str">
        <f t="shared" si="78"/>
        <v/>
      </c>
      <c r="EN43" s="79" t="str">
        <f t="shared" si="78"/>
        <v/>
      </c>
      <c r="EO43" s="79" t="str">
        <f t="shared" si="78"/>
        <v/>
      </c>
      <c r="EP43" s="79" t="str">
        <f t="shared" si="78"/>
        <v/>
      </c>
      <c r="EQ43" s="79" t="str">
        <f t="shared" si="78"/>
        <v/>
      </c>
      <c r="ER43" s="79" t="str">
        <f t="shared" si="78"/>
        <v/>
      </c>
      <c r="ES43" s="79" t="str">
        <f t="shared" si="78"/>
        <v/>
      </c>
      <c r="ET43" s="79" t="str">
        <f t="shared" si="78"/>
        <v/>
      </c>
      <c r="EU43" s="79" t="str">
        <f t="shared" si="78"/>
        <v/>
      </c>
      <c r="EV43" s="79" t="str">
        <f t="shared" si="78"/>
        <v/>
      </c>
      <c r="EW43" s="79" t="str">
        <f t="shared" si="78"/>
        <v/>
      </c>
      <c r="EX43" s="79" t="str">
        <f t="shared" si="78"/>
        <v/>
      </c>
      <c r="EY43" s="79" t="str">
        <f t="shared" si="78"/>
        <v/>
      </c>
      <c r="EZ43" s="79" t="str">
        <f t="shared" si="78"/>
        <v/>
      </c>
      <c r="FA43" s="79" t="str">
        <f t="shared" si="78"/>
        <v/>
      </c>
      <c r="FB43" s="79" t="str">
        <f t="shared" si="78"/>
        <v/>
      </c>
      <c r="FC43" s="79" t="str">
        <f t="shared" si="79"/>
        <v/>
      </c>
      <c r="FD43" s="79" t="str">
        <f t="shared" si="79"/>
        <v/>
      </c>
      <c r="FE43" s="79" t="str">
        <f t="shared" si="79"/>
        <v/>
      </c>
      <c r="FF43" s="79" t="str">
        <f t="shared" si="79"/>
        <v/>
      </c>
      <c r="FG43" s="79" t="str">
        <f t="shared" si="79"/>
        <v/>
      </c>
      <c r="FH43" s="79" t="str">
        <f t="shared" si="79"/>
        <v/>
      </c>
      <c r="FI43" s="79" t="str">
        <f t="shared" si="79"/>
        <v/>
      </c>
      <c r="FJ43" s="79" t="str">
        <f t="shared" si="79"/>
        <v/>
      </c>
      <c r="FK43" s="79" t="str">
        <f t="shared" si="79"/>
        <v/>
      </c>
      <c r="FL43" s="79" t="str">
        <f t="shared" si="79"/>
        <v/>
      </c>
      <c r="FM43" s="79" t="str">
        <f t="shared" si="79"/>
        <v/>
      </c>
      <c r="FN43" s="79" t="str">
        <f t="shared" si="79"/>
        <v/>
      </c>
      <c r="FO43" s="79" t="str">
        <f t="shared" si="79"/>
        <v/>
      </c>
      <c r="FP43" s="79" t="str">
        <f t="shared" si="79"/>
        <v/>
      </c>
      <c r="FQ43" s="79" t="str">
        <f t="shared" si="79"/>
        <v/>
      </c>
      <c r="FR43" s="79" t="str">
        <f t="shared" si="79"/>
        <v/>
      </c>
      <c r="FS43" s="79" t="str">
        <f t="shared" si="79"/>
        <v/>
      </c>
      <c r="FT43" s="79" t="str">
        <f t="shared" si="79"/>
        <v/>
      </c>
      <c r="FU43" s="79" t="str">
        <f t="shared" si="79"/>
        <v/>
      </c>
      <c r="FV43" s="79" t="str">
        <f t="shared" si="79"/>
        <v/>
      </c>
      <c r="FW43" s="79" t="str">
        <f t="shared" ref="FW43:GW43" si="81">IF($B43=FW$12,$O43,"")</f>
        <v/>
      </c>
      <c r="FX43" s="79" t="str">
        <f t="shared" si="81"/>
        <v/>
      </c>
      <c r="FY43" s="79" t="str">
        <f t="shared" si="81"/>
        <v/>
      </c>
      <c r="FZ43" s="79" t="str">
        <f t="shared" si="81"/>
        <v/>
      </c>
      <c r="GA43" s="79" t="str">
        <f t="shared" si="81"/>
        <v/>
      </c>
      <c r="GB43" s="79" t="str">
        <f t="shared" si="81"/>
        <v/>
      </c>
      <c r="GC43" s="79" t="str">
        <f t="shared" si="81"/>
        <v/>
      </c>
      <c r="GD43" s="79" t="str">
        <f t="shared" si="81"/>
        <v/>
      </c>
      <c r="GE43" s="79" t="str">
        <f t="shared" si="81"/>
        <v/>
      </c>
      <c r="GF43" s="79" t="str">
        <f t="shared" si="81"/>
        <v/>
      </c>
      <c r="GG43" s="79" t="str">
        <f t="shared" si="81"/>
        <v/>
      </c>
      <c r="GH43" s="79" t="str">
        <f t="shared" si="81"/>
        <v/>
      </c>
      <c r="GI43" s="79" t="str">
        <f t="shared" si="81"/>
        <v/>
      </c>
      <c r="GJ43" s="79" t="str">
        <f t="shared" si="81"/>
        <v/>
      </c>
      <c r="GK43" s="79" t="str">
        <f t="shared" si="81"/>
        <v/>
      </c>
      <c r="GL43" s="79" t="str">
        <f t="shared" si="81"/>
        <v/>
      </c>
      <c r="GM43" s="79" t="str">
        <f t="shared" si="81"/>
        <v/>
      </c>
      <c r="GN43" s="79" t="str">
        <f t="shared" si="81"/>
        <v/>
      </c>
      <c r="GO43" s="79" t="str">
        <f t="shared" si="81"/>
        <v/>
      </c>
      <c r="GP43" s="79" t="str">
        <f t="shared" si="81"/>
        <v/>
      </c>
      <c r="GQ43" s="79" t="str">
        <f t="shared" si="81"/>
        <v/>
      </c>
      <c r="GR43" s="79" t="str">
        <f t="shared" si="81"/>
        <v/>
      </c>
      <c r="GS43" s="79" t="str">
        <f t="shared" si="81"/>
        <v/>
      </c>
      <c r="GT43" s="79" t="str">
        <f t="shared" si="81"/>
        <v/>
      </c>
      <c r="GU43" s="79" t="str">
        <f t="shared" si="81"/>
        <v/>
      </c>
      <c r="GV43" s="79" t="str">
        <f t="shared" si="81"/>
        <v/>
      </c>
      <c r="GW43" s="79" t="str">
        <f t="shared" si="81"/>
        <v/>
      </c>
      <c r="GX43" s="79" t="str">
        <f t="shared" si="58"/>
        <v/>
      </c>
      <c r="GY43" s="79" t="str">
        <f t="shared" si="58"/>
        <v/>
      </c>
      <c r="GZ43" s="79" t="str">
        <f t="shared" si="58"/>
        <v/>
      </c>
      <c r="HA43" s="79" t="str">
        <f t="shared" si="58"/>
        <v/>
      </c>
      <c r="HB43" s="79" t="str">
        <f t="shared" si="58"/>
        <v/>
      </c>
      <c r="HC43" s="79" t="str">
        <f t="shared" si="58"/>
        <v/>
      </c>
      <c r="HD43" s="79" t="str">
        <f t="shared" si="58"/>
        <v/>
      </c>
      <c r="HE43" s="79" t="str">
        <f t="shared" si="58"/>
        <v/>
      </c>
      <c r="HF43" s="79" t="str">
        <f t="shared" si="58"/>
        <v/>
      </c>
      <c r="HG43" s="79" t="str">
        <f t="shared" si="58"/>
        <v/>
      </c>
      <c r="HH43" s="79" t="str">
        <f t="shared" si="58"/>
        <v/>
      </c>
      <c r="HI43" s="79" t="str">
        <f t="shared" si="58"/>
        <v/>
      </c>
      <c r="HJ43" s="79" t="str">
        <f t="shared" si="58"/>
        <v/>
      </c>
      <c r="HK43" s="79" t="str">
        <f t="shared" si="58"/>
        <v/>
      </c>
      <c r="HL43" s="79" t="str">
        <f t="shared" si="58"/>
        <v/>
      </c>
      <c r="HM43" s="79" t="str">
        <f t="shared" si="58"/>
        <v/>
      </c>
      <c r="HN43" s="79" t="str">
        <f t="shared" si="56"/>
        <v/>
      </c>
      <c r="HO43" s="79" t="str">
        <f t="shared" si="56"/>
        <v/>
      </c>
      <c r="HP43" s="79" t="str">
        <f t="shared" si="56"/>
        <v/>
      </c>
      <c r="HQ43" s="79" t="str">
        <f t="shared" si="56"/>
        <v/>
      </c>
      <c r="HR43" s="113" t="str">
        <f t="shared" si="56"/>
        <v/>
      </c>
    </row>
    <row r="44" spans="1:226" ht="11.1" customHeight="1" thickTop="1" x14ac:dyDescent="0.25"/>
    <row r="45" spans="1:226" x14ac:dyDescent="0.25">
      <c r="L45" s="119"/>
      <c r="O45" s="48" t="s">
        <v>17</v>
      </c>
      <c r="P45" s="49"/>
      <c r="Q45" s="104" t="e">
        <f>SUM(Q36:Q43)</f>
        <v>#N/A</v>
      </c>
      <c r="R45" s="104" t="e">
        <f>SUM(R36:R43)</f>
        <v>#N/A</v>
      </c>
    </row>
    <row r="46" spans="1:226" ht="11.1" customHeight="1" thickBot="1" x14ac:dyDescent="0.3"/>
    <row r="47" spans="1:226" ht="16.2" thickBot="1" x14ac:dyDescent="0.3">
      <c r="A47" s="146"/>
      <c r="B47" s="147"/>
      <c r="C47" s="99"/>
      <c r="D47" s="147"/>
      <c r="E47" s="99"/>
      <c r="F47" s="99"/>
      <c r="G47" s="99" t="s">
        <v>19</v>
      </c>
      <c r="H47" s="99"/>
      <c r="I47" s="99"/>
      <c r="J47" s="99"/>
      <c r="K47" s="99"/>
      <c r="L47" s="99"/>
      <c r="M47" s="99"/>
      <c r="N47" s="99"/>
      <c r="O47" s="99"/>
      <c r="P47" s="99"/>
      <c r="Q47" s="99"/>
      <c r="R47" s="100"/>
    </row>
    <row r="48" spans="1:226" ht="11.1" customHeight="1" thickBot="1" x14ac:dyDescent="0.3"/>
    <row r="49" spans="1:226" ht="11.1" customHeight="1" thickTop="1" x14ac:dyDescent="0.25">
      <c r="A49" s="80"/>
      <c r="B49" s="81"/>
      <c r="C49" s="82" t="str">
        <f>IF(A49=0,"",VLOOKUP(A49,[2]CO!$A$3:$F$5327,2,0))</f>
        <v/>
      </c>
      <c r="D49" s="83"/>
      <c r="E49" s="83"/>
      <c r="F49" s="102" t="str">
        <f t="shared" ref="F49:F55" si="82">IF(AND(B49&gt;0,H49&gt;0),(H49*100) &amp; "% DE $" &amp;$Q$32,"")</f>
        <v/>
      </c>
      <c r="G49" s="84" t="str">
        <f>IF(A49=0,"",VLOOKUP(A49,[2]CO!$A$3:$F$5327,3,0))</f>
        <v/>
      </c>
      <c r="H49" s="94"/>
      <c r="I49" s="85"/>
      <c r="J49" s="85"/>
      <c r="K49" s="85"/>
      <c r="L49" s="85"/>
      <c r="M49" s="86" t="str">
        <f t="shared" ref="M49:M54" si="83">IF(L49=0,"",H49*Q$32/N49)</f>
        <v/>
      </c>
      <c r="N49" s="86" t="str">
        <f>IF(B49=0,"",IF(H49="M",HLOOKUP(B49,$Y$12:$DT$13,2),IF(A49=0,"",VLOOKUP(A49,[2]CO!$A$3:$F$5327,4,0))))</f>
        <v/>
      </c>
      <c r="O49" s="86" t="str">
        <f t="shared" si="7"/>
        <v/>
      </c>
      <c r="P49" s="87"/>
      <c r="Q49" s="88" t="str">
        <f t="shared" ref="Q49:Q55" si="84">IF(P49=0,"",(HLOOKUP(P49,$DW$12:$HR$13,2)))</f>
        <v/>
      </c>
      <c r="R49" s="89"/>
      <c r="T49" s="53" t="str">
        <f>IF(A49=0,"",VLOOKUP(A49,[2]CO!$A$3:$F$5318,5,0))</f>
        <v/>
      </c>
      <c r="U49" s="54">
        <f t="shared" si="48"/>
        <v>0</v>
      </c>
      <c r="V49" s="24"/>
      <c r="W49" s="25"/>
      <c r="X49" s="25"/>
      <c r="Y49" s="90" t="str">
        <f t="shared" ref="Y49:AN55" si="85">IF($B49=Y$12,$U49,"")</f>
        <v/>
      </c>
      <c r="Z49" s="91" t="str">
        <f t="shared" si="85"/>
        <v/>
      </c>
      <c r="AA49" s="91" t="str">
        <f t="shared" si="85"/>
        <v/>
      </c>
      <c r="AB49" s="91" t="str">
        <f t="shared" si="85"/>
        <v/>
      </c>
      <c r="AC49" s="91" t="str">
        <f t="shared" si="85"/>
        <v/>
      </c>
      <c r="AD49" s="91" t="str">
        <f t="shared" si="85"/>
        <v/>
      </c>
      <c r="AE49" s="91" t="str">
        <f t="shared" si="85"/>
        <v/>
      </c>
      <c r="AF49" s="91" t="str">
        <f t="shared" si="85"/>
        <v/>
      </c>
      <c r="AG49" s="91" t="str">
        <f t="shared" si="85"/>
        <v/>
      </c>
      <c r="AH49" s="91" t="str">
        <f t="shared" si="85"/>
        <v/>
      </c>
      <c r="AI49" s="91" t="str">
        <f t="shared" si="85"/>
        <v/>
      </c>
      <c r="AJ49" s="91" t="str">
        <f t="shared" si="85"/>
        <v/>
      </c>
      <c r="AK49" s="91" t="str">
        <f t="shared" si="85"/>
        <v/>
      </c>
      <c r="AL49" s="91" t="str">
        <f t="shared" si="85"/>
        <v/>
      </c>
      <c r="AM49" s="91" t="str">
        <f t="shared" si="85"/>
        <v/>
      </c>
      <c r="AN49" s="91" t="str">
        <f t="shared" si="85"/>
        <v/>
      </c>
      <c r="AO49" s="91" t="str">
        <f t="shared" ref="AO49:BD55" si="86">IF($B49=AO$12,$U49,"")</f>
        <v/>
      </c>
      <c r="AP49" s="91" t="str">
        <f t="shared" si="86"/>
        <v/>
      </c>
      <c r="AQ49" s="91" t="str">
        <f t="shared" si="86"/>
        <v/>
      </c>
      <c r="AR49" s="91" t="str">
        <f t="shared" si="86"/>
        <v/>
      </c>
      <c r="AS49" s="91" t="str">
        <f t="shared" si="86"/>
        <v/>
      </c>
      <c r="AT49" s="91" t="str">
        <f t="shared" si="86"/>
        <v/>
      </c>
      <c r="AU49" s="91" t="str">
        <f t="shared" si="86"/>
        <v/>
      </c>
      <c r="AV49" s="91" t="str">
        <f t="shared" si="86"/>
        <v/>
      </c>
      <c r="AW49" s="91" t="str">
        <f t="shared" si="86"/>
        <v/>
      </c>
      <c r="AX49" s="91" t="str">
        <f t="shared" si="86"/>
        <v/>
      </c>
      <c r="AY49" s="91" t="str">
        <f t="shared" si="86"/>
        <v/>
      </c>
      <c r="AZ49" s="91" t="str">
        <f t="shared" si="86"/>
        <v/>
      </c>
      <c r="BA49" s="91" t="str">
        <f t="shared" si="86"/>
        <v/>
      </c>
      <c r="BB49" s="91" t="str">
        <f t="shared" si="86"/>
        <v/>
      </c>
      <c r="BC49" s="91" t="str">
        <f t="shared" si="86"/>
        <v/>
      </c>
      <c r="BD49" s="91" t="str">
        <f t="shared" si="86"/>
        <v/>
      </c>
      <c r="BE49" s="91" t="str">
        <f t="shared" ref="BE49:BT55" si="87">IF($B49=BE$12,$U49,"")</f>
        <v/>
      </c>
      <c r="BF49" s="91" t="str">
        <f t="shared" si="87"/>
        <v/>
      </c>
      <c r="BG49" s="91" t="str">
        <f t="shared" si="87"/>
        <v/>
      </c>
      <c r="BH49" s="91" t="str">
        <f t="shared" si="87"/>
        <v/>
      </c>
      <c r="BI49" s="91" t="str">
        <f t="shared" si="87"/>
        <v/>
      </c>
      <c r="BJ49" s="91" t="str">
        <f t="shared" si="87"/>
        <v/>
      </c>
      <c r="BK49" s="91" t="str">
        <f t="shared" si="87"/>
        <v/>
      </c>
      <c r="BL49" s="91" t="str">
        <f t="shared" si="87"/>
        <v/>
      </c>
      <c r="BM49" s="91" t="str">
        <f t="shared" si="87"/>
        <v/>
      </c>
      <c r="BN49" s="91" t="str">
        <f t="shared" si="87"/>
        <v/>
      </c>
      <c r="BO49" s="91" t="str">
        <f t="shared" si="87"/>
        <v/>
      </c>
      <c r="BP49" s="91" t="str">
        <f t="shared" si="87"/>
        <v/>
      </c>
      <c r="BQ49" s="91" t="str">
        <f t="shared" si="87"/>
        <v/>
      </c>
      <c r="BR49" s="91" t="str">
        <f t="shared" si="87"/>
        <v/>
      </c>
      <c r="BS49" s="91" t="str">
        <f t="shared" si="87"/>
        <v/>
      </c>
      <c r="BT49" s="91" t="str">
        <f t="shared" si="87"/>
        <v/>
      </c>
      <c r="BU49" s="91" t="str">
        <f t="shared" ref="BU49:DT53" si="88">IF($B49=BU$12,$U49,"")</f>
        <v/>
      </c>
      <c r="BV49" s="91" t="str">
        <f t="shared" si="88"/>
        <v/>
      </c>
      <c r="BW49" s="91" t="str">
        <f t="shared" si="88"/>
        <v/>
      </c>
      <c r="BX49" s="91" t="str">
        <f t="shared" si="88"/>
        <v/>
      </c>
      <c r="BY49" s="91" t="str">
        <f t="shared" si="88"/>
        <v/>
      </c>
      <c r="BZ49" s="91" t="str">
        <f t="shared" si="88"/>
        <v/>
      </c>
      <c r="CA49" s="91" t="str">
        <f t="shared" si="88"/>
        <v/>
      </c>
      <c r="CB49" s="91" t="str">
        <f t="shared" si="88"/>
        <v/>
      </c>
      <c r="CC49" s="91" t="str">
        <f t="shared" si="88"/>
        <v/>
      </c>
      <c r="CD49" s="91" t="str">
        <f t="shared" si="88"/>
        <v/>
      </c>
      <c r="CE49" s="91" t="str">
        <f t="shared" si="88"/>
        <v/>
      </c>
      <c r="CF49" s="91" t="str">
        <f t="shared" si="88"/>
        <v/>
      </c>
      <c r="CG49" s="91" t="str">
        <f t="shared" si="88"/>
        <v/>
      </c>
      <c r="CH49" s="91" t="str">
        <f t="shared" si="88"/>
        <v/>
      </c>
      <c r="CI49" s="91" t="str">
        <f t="shared" si="88"/>
        <v/>
      </c>
      <c r="CJ49" s="91" t="str">
        <f t="shared" si="88"/>
        <v/>
      </c>
      <c r="CK49" s="91" t="str">
        <f t="shared" si="88"/>
        <v/>
      </c>
      <c r="CL49" s="91" t="str">
        <f t="shared" si="88"/>
        <v/>
      </c>
      <c r="CM49" s="91" t="str">
        <f t="shared" si="88"/>
        <v/>
      </c>
      <c r="CN49" s="91" t="str">
        <f t="shared" si="88"/>
        <v/>
      </c>
      <c r="CO49" s="91" t="str">
        <f t="shared" si="88"/>
        <v/>
      </c>
      <c r="CP49" s="91" t="str">
        <f t="shared" si="88"/>
        <v/>
      </c>
      <c r="CQ49" s="91" t="str">
        <f t="shared" si="88"/>
        <v/>
      </c>
      <c r="CR49" s="91" t="str">
        <f t="shared" si="88"/>
        <v/>
      </c>
      <c r="CS49" s="91" t="str">
        <f t="shared" si="88"/>
        <v/>
      </c>
      <c r="CT49" s="91" t="str">
        <f t="shared" si="88"/>
        <v/>
      </c>
      <c r="CU49" s="91" t="str">
        <f t="shared" si="88"/>
        <v/>
      </c>
      <c r="CV49" s="91" t="str">
        <f t="shared" si="88"/>
        <v/>
      </c>
      <c r="CW49" s="91" t="str">
        <f t="shared" si="88"/>
        <v/>
      </c>
      <c r="CX49" s="91" t="str">
        <f t="shared" si="88"/>
        <v/>
      </c>
      <c r="CY49" s="91" t="str">
        <f t="shared" si="88"/>
        <v/>
      </c>
      <c r="CZ49" s="91" t="str">
        <f t="shared" si="88"/>
        <v/>
      </c>
      <c r="DA49" s="91" t="str">
        <f t="shared" si="88"/>
        <v/>
      </c>
      <c r="DB49" s="91" t="str">
        <f t="shared" si="88"/>
        <v/>
      </c>
      <c r="DC49" s="91" t="str">
        <f t="shared" si="88"/>
        <v/>
      </c>
      <c r="DD49" s="91" t="str">
        <f t="shared" si="88"/>
        <v/>
      </c>
      <c r="DE49" s="91" t="str">
        <f t="shared" si="88"/>
        <v/>
      </c>
      <c r="DF49" s="91" t="str">
        <f t="shared" si="88"/>
        <v/>
      </c>
      <c r="DG49" s="91" t="str">
        <f t="shared" si="88"/>
        <v/>
      </c>
      <c r="DH49" s="91" t="str">
        <f t="shared" si="88"/>
        <v/>
      </c>
      <c r="DI49" s="91" t="str">
        <f t="shared" si="88"/>
        <v/>
      </c>
      <c r="DJ49" s="91" t="str">
        <f t="shared" si="88"/>
        <v/>
      </c>
      <c r="DK49" s="91" t="str">
        <f t="shared" si="88"/>
        <v/>
      </c>
      <c r="DL49" s="91" t="str">
        <f t="shared" si="88"/>
        <v/>
      </c>
      <c r="DM49" s="91" t="str">
        <f t="shared" si="88"/>
        <v/>
      </c>
      <c r="DN49" s="91" t="str">
        <f t="shared" si="88"/>
        <v/>
      </c>
      <c r="DO49" s="91" t="str">
        <f t="shared" si="88"/>
        <v/>
      </c>
      <c r="DP49" s="91" t="str">
        <f t="shared" si="88"/>
        <v/>
      </c>
      <c r="DQ49" s="91" t="str">
        <f t="shared" si="88"/>
        <v/>
      </c>
      <c r="DR49" s="91" t="str">
        <f t="shared" si="88"/>
        <v/>
      </c>
      <c r="DS49" s="91" t="str">
        <f t="shared" si="88"/>
        <v/>
      </c>
      <c r="DT49" s="105" t="str">
        <f t="shared" si="88"/>
        <v/>
      </c>
      <c r="DU49" s="54"/>
      <c r="DV49" s="25"/>
      <c r="DW49" s="92" t="str">
        <f t="shared" ref="DW49:EL55" si="89">IF($B49=DW$12,$O49,"")</f>
        <v/>
      </c>
      <c r="DX49" s="93" t="str">
        <f t="shared" si="89"/>
        <v/>
      </c>
      <c r="DY49" s="93" t="str">
        <f t="shared" si="89"/>
        <v/>
      </c>
      <c r="DZ49" s="93" t="str">
        <f t="shared" si="89"/>
        <v/>
      </c>
      <c r="EA49" s="93" t="str">
        <f t="shared" si="89"/>
        <v/>
      </c>
      <c r="EB49" s="93" t="str">
        <f t="shared" si="89"/>
        <v/>
      </c>
      <c r="EC49" s="93" t="str">
        <f t="shared" si="89"/>
        <v/>
      </c>
      <c r="ED49" s="93" t="str">
        <f t="shared" si="89"/>
        <v/>
      </c>
      <c r="EE49" s="93" t="str">
        <f t="shared" si="89"/>
        <v/>
      </c>
      <c r="EF49" s="93" t="str">
        <f t="shared" si="89"/>
        <v/>
      </c>
      <c r="EG49" s="93" t="str">
        <f t="shared" si="89"/>
        <v/>
      </c>
      <c r="EH49" s="93" t="str">
        <f t="shared" si="89"/>
        <v/>
      </c>
      <c r="EI49" s="93" t="str">
        <f t="shared" si="89"/>
        <v/>
      </c>
      <c r="EJ49" s="93" t="str">
        <f t="shared" si="89"/>
        <v/>
      </c>
      <c r="EK49" s="93" t="str">
        <f t="shared" si="89"/>
        <v/>
      </c>
      <c r="EL49" s="93" t="str">
        <f t="shared" si="89"/>
        <v/>
      </c>
      <c r="EM49" s="93" t="str">
        <f t="shared" ref="EM49:FB55" si="90">IF($B49=EM$12,$O49,"")</f>
        <v/>
      </c>
      <c r="EN49" s="93" t="str">
        <f t="shared" si="90"/>
        <v/>
      </c>
      <c r="EO49" s="93" t="str">
        <f t="shared" si="90"/>
        <v/>
      </c>
      <c r="EP49" s="93" t="str">
        <f t="shared" si="90"/>
        <v/>
      </c>
      <c r="EQ49" s="93" t="str">
        <f t="shared" si="90"/>
        <v/>
      </c>
      <c r="ER49" s="93" t="str">
        <f t="shared" si="90"/>
        <v/>
      </c>
      <c r="ES49" s="93" t="str">
        <f t="shared" si="90"/>
        <v/>
      </c>
      <c r="ET49" s="93" t="str">
        <f t="shared" si="90"/>
        <v/>
      </c>
      <c r="EU49" s="93" t="str">
        <f t="shared" si="90"/>
        <v/>
      </c>
      <c r="EV49" s="93" t="str">
        <f t="shared" si="90"/>
        <v/>
      </c>
      <c r="EW49" s="93" t="str">
        <f t="shared" si="90"/>
        <v/>
      </c>
      <c r="EX49" s="93" t="str">
        <f t="shared" si="90"/>
        <v/>
      </c>
      <c r="EY49" s="93" t="str">
        <f t="shared" si="90"/>
        <v/>
      </c>
      <c r="EZ49" s="93" t="str">
        <f t="shared" si="90"/>
        <v/>
      </c>
      <c r="FA49" s="93" t="str">
        <f t="shared" si="90"/>
        <v/>
      </c>
      <c r="FB49" s="93" t="str">
        <f t="shared" si="90"/>
        <v/>
      </c>
      <c r="FC49" s="93" t="str">
        <f t="shared" ref="FC49:FR55" si="91">IF($B49=FC$12,$O49,"")</f>
        <v/>
      </c>
      <c r="FD49" s="93" t="str">
        <f t="shared" si="91"/>
        <v/>
      </c>
      <c r="FE49" s="93" t="str">
        <f t="shared" si="91"/>
        <v/>
      </c>
      <c r="FF49" s="93" t="str">
        <f t="shared" si="91"/>
        <v/>
      </c>
      <c r="FG49" s="93" t="str">
        <f t="shared" si="91"/>
        <v/>
      </c>
      <c r="FH49" s="93" t="str">
        <f t="shared" si="91"/>
        <v/>
      </c>
      <c r="FI49" s="93" t="str">
        <f t="shared" si="91"/>
        <v/>
      </c>
      <c r="FJ49" s="93" t="str">
        <f t="shared" si="91"/>
        <v/>
      </c>
      <c r="FK49" s="93" t="str">
        <f t="shared" si="91"/>
        <v/>
      </c>
      <c r="FL49" s="93" t="str">
        <f t="shared" si="91"/>
        <v/>
      </c>
      <c r="FM49" s="93" t="str">
        <f t="shared" si="91"/>
        <v/>
      </c>
      <c r="FN49" s="93" t="str">
        <f t="shared" si="91"/>
        <v/>
      </c>
      <c r="FO49" s="93" t="str">
        <f t="shared" si="91"/>
        <v/>
      </c>
      <c r="FP49" s="93" t="str">
        <f t="shared" si="91"/>
        <v/>
      </c>
      <c r="FQ49" s="93" t="str">
        <f t="shared" si="91"/>
        <v/>
      </c>
      <c r="FR49" s="93" t="str">
        <f t="shared" si="91"/>
        <v/>
      </c>
      <c r="FS49" s="93" t="str">
        <f t="shared" ref="FS49:HR53" si="92">IF($B49=FS$12,$O49,"")</f>
        <v/>
      </c>
      <c r="FT49" s="93" t="str">
        <f t="shared" si="92"/>
        <v/>
      </c>
      <c r="FU49" s="93" t="str">
        <f t="shared" si="92"/>
        <v/>
      </c>
      <c r="FV49" s="93" t="str">
        <f t="shared" si="92"/>
        <v/>
      </c>
      <c r="FW49" s="93" t="str">
        <f t="shared" si="92"/>
        <v/>
      </c>
      <c r="FX49" s="93" t="str">
        <f t="shared" si="92"/>
        <v/>
      </c>
      <c r="FY49" s="93" t="str">
        <f t="shared" si="92"/>
        <v/>
      </c>
      <c r="FZ49" s="93" t="str">
        <f t="shared" si="92"/>
        <v/>
      </c>
      <c r="GA49" s="93" t="str">
        <f t="shared" si="92"/>
        <v/>
      </c>
      <c r="GB49" s="93" t="str">
        <f t="shared" si="92"/>
        <v/>
      </c>
      <c r="GC49" s="93" t="str">
        <f t="shared" si="92"/>
        <v/>
      </c>
      <c r="GD49" s="93" t="str">
        <f t="shared" si="92"/>
        <v/>
      </c>
      <c r="GE49" s="93" t="str">
        <f t="shared" si="92"/>
        <v/>
      </c>
      <c r="GF49" s="93" t="str">
        <f t="shared" si="92"/>
        <v/>
      </c>
      <c r="GG49" s="93" t="str">
        <f t="shared" si="92"/>
        <v/>
      </c>
      <c r="GH49" s="93" t="str">
        <f t="shared" si="92"/>
        <v/>
      </c>
      <c r="GI49" s="93" t="str">
        <f t="shared" si="92"/>
        <v/>
      </c>
      <c r="GJ49" s="93" t="str">
        <f t="shared" si="92"/>
        <v/>
      </c>
      <c r="GK49" s="93" t="str">
        <f t="shared" si="92"/>
        <v/>
      </c>
      <c r="GL49" s="93" t="str">
        <f t="shared" si="92"/>
        <v/>
      </c>
      <c r="GM49" s="93" t="str">
        <f t="shared" si="92"/>
        <v/>
      </c>
      <c r="GN49" s="93" t="str">
        <f t="shared" si="92"/>
        <v/>
      </c>
      <c r="GO49" s="93" t="str">
        <f t="shared" si="92"/>
        <v/>
      </c>
      <c r="GP49" s="93" t="str">
        <f t="shared" si="92"/>
        <v/>
      </c>
      <c r="GQ49" s="93" t="str">
        <f t="shared" si="92"/>
        <v/>
      </c>
      <c r="GR49" s="93" t="str">
        <f t="shared" si="92"/>
        <v/>
      </c>
      <c r="GS49" s="93" t="str">
        <f t="shared" si="92"/>
        <v/>
      </c>
      <c r="GT49" s="93" t="str">
        <f t="shared" si="92"/>
        <v/>
      </c>
      <c r="GU49" s="93" t="str">
        <f t="shared" si="92"/>
        <v/>
      </c>
      <c r="GV49" s="93" t="str">
        <f t="shared" si="92"/>
        <v/>
      </c>
      <c r="GW49" s="93" t="str">
        <f t="shared" si="92"/>
        <v/>
      </c>
      <c r="GX49" s="93" t="str">
        <f t="shared" si="92"/>
        <v/>
      </c>
      <c r="GY49" s="93" t="str">
        <f t="shared" si="92"/>
        <v/>
      </c>
      <c r="GZ49" s="93" t="str">
        <f t="shared" si="92"/>
        <v/>
      </c>
      <c r="HA49" s="93" t="str">
        <f t="shared" si="92"/>
        <v/>
      </c>
      <c r="HB49" s="93" t="str">
        <f t="shared" si="92"/>
        <v/>
      </c>
      <c r="HC49" s="93" t="str">
        <f t="shared" si="92"/>
        <v/>
      </c>
      <c r="HD49" s="93" t="str">
        <f t="shared" si="92"/>
        <v/>
      </c>
      <c r="HE49" s="93" t="str">
        <f t="shared" si="92"/>
        <v/>
      </c>
      <c r="HF49" s="93" t="str">
        <f t="shared" si="92"/>
        <v/>
      </c>
      <c r="HG49" s="93" t="str">
        <f t="shared" si="92"/>
        <v/>
      </c>
      <c r="HH49" s="93" t="str">
        <f t="shared" si="92"/>
        <v/>
      </c>
      <c r="HI49" s="93" t="str">
        <f t="shared" si="92"/>
        <v/>
      </c>
      <c r="HJ49" s="93" t="str">
        <f t="shared" si="92"/>
        <v/>
      </c>
      <c r="HK49" s="93" t="str">
        <f t="shared" si="92"/>
        <v/>
      </c>
      <c r="HL49" s="93" t="str">
        <f t="shared" si="92"/>
        <v/>
      </c>
      <c r="HM49" s="93" t="str">
        <f t="shared" si="92"/>
        <v/>
      </c>
      <c r="HN49" s="93" t="str">
        <f t="shared" si="92"/>
        <v/>
      </c>
      <c r="HO49" s="93" t="str">
        <f t="shared" si="92"/>
        <v/>
      </c>
      <c r="HP49" s="93" t="str">
        <f t="shared" si="92"/>
        <v/>
      </c>
      <c r="HQ49" s="93" t="str">
        <f t="shared" si="92"/>
        <v/>
      </c>
      <c r="HR49" s="111" t="str">
        <f t="shared" si="92"/>
        <v/>
      </c>
    </row>
    <row r="50" spans="1:226" ht="11.1" customHeight="1" x14ac:dyDescent="0.25">
      <c r="A50" s="26" t="s">
        <v>33</v>
      </c>
      <c r="B50" s="27">
        <v>75</v>
      </c>
      <c r="C50" s="28" t="str">
        <f>IF(A50=0,"",VLOOKUP(A50,[2]CO!$A$3:$F$5327,2,0))</f>
        <v>Lote</v>
      </c>
      <c r="D50" s="29" t="s">
        <v>19</v>
      </c>
      <c r="E50" s="29"/>
      <c r="F50" s="101" t="e">
        <f t="shared" si="82"/>
        <v>#N/A</v>
      </c>
      <c r="G50" s="30" t="str">
        <f>IF(A50=0,"",VLOOKUP(A50,[2]CO!$A$3:$F$5327,3,0))</f>
        <v>LOTE</v>
      </c>
      <c r="H50" s="95">
        <v>7.0000000000000007E-2</v>
      </c>
      <c r="I50" s="31"/>
      <c r="J50" s="31"/>
      <c r="K50" s="31"/>
      <c r="L50" s="31">
        <v>1</v>
      </c>
      <c r="M50" s="32" t="e">
        <f t="shared" si="83"/>
        <v>#N/A</v>
      </c>
      <c r="N50" s="32">
        <f>IF(B50=0,"",IF(H50="M",HLOOKUP(B50,$Y$12:$DT$13,2),IF(A50=0,"",VLOOKUP(A50,[2]CO!$A$3:$F$5327,4,0))))</f>
        <v>100</v>
      </c>
      <c r="O50" s="32" t="e">
        <f t="shared" si="7"/>
        <v>#N/A</v>
      </c>
      <c r="P50" s="33">
        <v>75</v>
      </c>
      <c r="Q50" s="34" t="e">
        <f t="shared" si="84"/>
        <v>#N/A</v>
      </c>
      <c r="R50" s="35"/>
      <c r="T50" s="53">
        <f>IF(A50=0,"",VLOOKUP(A50,[2]CO!$A$3:$F$5318,5,0))</f>
        <v>0</v>
      </c>
      <c r="U50" s="54">
        <f t="shared" si="48"/>
        <v>0</v>
      </c>
      <c r="V50" s="24"/>
      <c r="W50" s="25"/>
      <c r="X50" s="25"/>
      <c r="Y50" s="64" t="str">
        <f t="shared" si="85"/>
        <v/>
      </c>
      <c r="Z50" s="55" t="str">
        <f t="shared" si="85"/>
        <v/>
      </c>
      <c r="AA50" s="55" t="str">
        <f t="shared" si="85"/>
        <v/>
      </c>
      <c r="AB50" s="55" t="str">
        <f t="shared" si="85"/>
        <v/>
      </c>
      <c r="AC50" s="55" t="str">
        <f t="shared" si="85"/>
        <v/>
      </c>
      <c r="AD50" s="55" t="str">
        <f t="shared" si="85"/>
        <v/>
      </c>
      <c r="AE50" s="55" t="str">
        <f t="shared" si="85"/>
        <v/>
      </c>
      <c r="AF50" s="55" t="str">
        <f t="shared" si="85"/>
        <v/>
      </c>
      <c r="AG50" s="55" t="str">
        <f t="shared" si="85"/>
        <v/>
      </c>
      <c r="AH50" s="55" t="str">
        <f t="shared" si="85"/>
        <v/>
      </c>
      <c r="AI50" s="55" t="str">
        <f t="shared" si="85"/>
        <v/>
      </c>
      <c r="AJ50" s="55" t="str">
        <f t="shared" si="85"/>
        <v/>
      </c>
      <c r="AK50" s="55" t="str">
        <f t="shared" si="85"/>
        <v/>
      </c>
      <c r="AL50" s="55" t="str">
        <f t="shared" si="85"/>
        <v/>
      </c>
      <c r="AM50" s="55" t="str">
        <f t="shared" si="85"/>
        <v/>
      </c>
      <c r="AN50" s="55" t="str">
        <f t="shared" si="85"/>
        <v/>
      </c>
      <c r="AO50" s="55" t="str">
        <f t="shared" si="86"/>
        <v/>
      </c>
      <c r="AP50" s="55" t="str">
        <f t="shared" si="86"/>
        <v/>
      </c>
      <c r="AQ50" s="55" t="str">
        <f t="shared" si="86"/>
        <v/>
      </c>
      <c r="AR50" s="55" t="str">
        <f t="shared" si="86"/>
        <v/>
      </c>
      <c r="AS50" s="55" t="str">
        <f t="shared" si="86"/>
        <v/>
      </c>
      <c r="AT50" s="55" t="str">
        <f t="shared" si="86"/>
        <v/>
      </c>
      <c r="AU50" s="55" t="str">
        <f t="shared" si="86"/>
        <v/>
      </c>
      <c r="AV50" s="55" t="str">
        <f t="shared" si="86"/>
        <v/>
      </c>
      <c r="AW50" s="55" t="str">
        <f t="shared" si="86"/>
        <v/>
      </c>
      <c r="AX50" s="55" t="str">
        <f t="shared" si="86"/>
        <v/>
      </c>
      <c r="AY50" s="55" t="str">
        <f t="shared" si="86"/>
        <v/>
      </c>
      <c r="AZ50" s="55" t="str">
        <f t="shared" si="86"/>
        <v/>
      </c>
      <c r="BA50" s="55" t="str">
        <f t="shared" si="86"/>
        <v/>
      </c>
      <c r="BB50" s="55" t="str">
        <f t="shared" si="86"/>
        <v/>
      </c>
      <c r="BC50" s="55" t="str">
        <f t="shared" si="86"/>
        <v/>
      </c>
      <c r="BD50" s="55" t="str">
        <f t="shared" si="86"/>
        <v/>
      </c>
      <c r="BE50" s="55" t="str">
        <f t="shared" si="87"/>
        <v/>
      </c>
      <c r="BF50" s="55" t="str">
        <f t="shared" si="87"/>
        <v/>
      </c>
      <c r="BG50" s="55" t="str">
        <f t="shared" si="87"/>
        <v/>
      </c>
      <c r="BH50" s="55" t="str">
        <f t="shared" si="87"/>
        <v/>
      </c>
      <c r="BI50" s="55" t="str">
        <f t="shared" si="87"/>
        <v/>
      </c>
      <c r="BJ50" s="55" t="str">
        <f t="shared" si="87"/>
        <v/>
      </c>
      <c r="BK50" s="55" t="str">
        <f t="shared" si="87"/>
        <v/>
      </c>
      <c r="BL50" s="55" t="str">
        <f t="shared" si="87"/>
        <v/>
      </c>
      <c r="BM50" s="55" t="str">
        <f t="shared" si="87"/>
        <v/>
      </c>
      <c r="BN50" s="55" t="str">
        <f t="shared" si="87"/>
        <v/>
      </c>
      <c r="BO50" s="55" t="str">
        <f t="shared" si="87"/>
        <v/>
      </c>
      <c r="BP50" s="55" t="str">
        <f t="shared" si="87"/>
        <v/>
      </c>
      <c r="BQ50" s="55" t="str">
        <f t="shared" si="87"/>
        <v/>
      </c>
      <c r="BR50" s="55" t="str">
        <f t="shared" si="87"/>
        <v/>
      </c>
      <c r="BS50" s="55" t="str">
        <f t="shared" si="87"/>
        <v/>
      </c>
      <c r="BT50" s="55" t="str">
        <f t="shared" si="87"/>
        <v/>
      </c>
      <c r="BU50" s="55" t="str">
        <f t="shared" si="88"/>
        <v/>
      </c>
      <c r="BV50" s="55" t="str">
        <f t="shared" si="88"/>
        <v/>
      </c>
      <c r="BW50" s="55" t="str">
        <f t="shared" si="88"/>
        <v/>
      </c>
      <c r="BX50" s="55" t="str">
        <f t="shared" si="88"/>
        <v/>
      </c>
      <c r="BY50" s="55" t="str">
        <f t="shared" si="88"/>
        <v/>
      </c>
      <c r="BZ50" s="55" t="str">
        <f t="shared" si="88"/>
        <v/>
      </c>
      <c r="CA50" s="55" t="str">
        <f t="shared" si="88"/>
        <v/>
      </c>
      <c r="CB50" s="55" t="str">
        <f t="shared" si="88"/>
        <v/>
      </c>
      <c r="CC50" s="55" t="str">
        <f t="shared" si="88"/>
        <v/>
      </c>
      <c r="CD50" s="55" t="str">
        <f t="shared" si="88"/>
        <v/>
      </c>
      <c r="CE50" s="55" t="str">
        <f t="shared" si="88"/>
        <v/>
      </c>
      <c r="CF50" s="55" t="str">
        <f t="shared" si="88"/>
        <v/>
      </c>
      <c r="CG50" s="55" t="str">
        <f t="shared" si="88"/>
        <v/>
      </c>
      <c r="CH50" s="55" t="str">
        <f t="shared" si="88"/>
        <v/>
      </c>
      <c r="CI50" s="55" t="str">
        <f t="shared" si="88"/>
        <v/>
      </c>
      <c r="CJ50" s="55" t="str">
        <f t="shared" si="88"/>
        <v/>
      </c>
      <c r="CK50" s="55" t="str">
        <f t="shared" si="88"/>
        <v/>
      </c>
      <c r="CL50" s="55" t="str">
        <f t="shared" si="88"/>
        <v/>
      </c>
      <c r="CM50" s="55" t="str">
        <f t="shared" si="88"/>
        <v/>
      </c>
      <c r="CN50" s="55" t="str">
        <f t="shared" si="88"/>
        <v/>
      </c>
      <c r="CO50" s="55" t="str">
        <f t="shared" si="88"/>
        <v/>
      </c>
      <c r="CP50" s="55" t="str">
        <f t="shared" si="88"/>
        <v/>
      </c>
      <c r="CQ50" s="55" t="str">
        <f t="shared" si="88"/>
        <v/>
      </c>
      <c r="CR50" s="55" t="str">
        <f t="shared" si="88"/>
        <v/>
      </c>
      <c r="CS50" s="55" t="str">
        <f t="shared" si="88"/>
        <v/>
      </c>
      <c r="CT50" s="55" t="str">
        <f t="shared" si="88"/>
        <v/>
      </c>
      <c r="CU50" s="55">
        <f t="shared" si="88"/>
        <v>0</v>
      </c>
      <c r="CV50" s="55" t="str">
        <f t="shared" si="88"/>
        <v/>
      </c>
      <c r="CW50" s="55" t="str">
        <f t="shared" si="88"/>
        <v/>
      </c>
      <c r="CX50" s="55" t="str">
        <f t="shared" si="88"/>
        <v/>
      </c>
      <c r="CY50" s="55" t="str">
        <f t="shared" si="88"/>
        <v/>
      </c>
      <c r="CZ50" s="55" t="str">
        <f t="shared" si="88"/>
        <v/>
      </c>
      <c r="DA50" s="55" t="str">
        <f t="shared" si="88"/>
        <v/>
      </c>
      <c r="DB50" s="55" t="str">
        <f t="shared" si="88"/>
        <v/>
      </c>
      <c r="DC50" s="55" t="str">
        <f t="shared" si="88"/>
        <v/>
      </c>
      <c r="DD50" s="55" t="str">
        <f t="shared" si="88"/>
        <v/>
      </c>
      <c r="DE50" s="55" t="str">
        <f t="shared" si="88"/>
        <v/>
      </c>
      <c r="DF50" s="55" t="str">
        <f t="shared" si="88"/>
        <v/>
      </c>
      <c r="DG50" s="55" t="str">
        <f t="shared" si="88"/>
        <v/>
      </c>
      <c r="DH50" s="55" t="str">
        <f t="shared" si="88"/>
        <v/>
      </c>
      <c r="DI50" s="55" t="str">
        <f t="shared" si="88"/>
        <v/>
      </c>
      <c r="DJ50" s="55" t="str">
        <f t="shared" si="88"/>
        <v/>
      </c>
      <c r="DK50" s="55" t="str">
        <f t="shared" si="88"/>
        <v/>
      </c>
      <c r="DL50" s="55" t="str">
        <f t="shared" si="88"/>
        <v/>
      </c>
      <c r="DM50" s="55" t="str">
        <f t="shared" si="88"/>
        <v/>
      </c>
      <c r="DN50" s="55" t="str">
        <f t="shared" si="88"/>
        <v/>
      </c>
      <c r="DO50" s="55" t="str">
        <f t="shared" si="88"/>
        <v/>
      </c>
      <c r="DP50" s="55" t="str">
        <f t="shared" si="88"/>
        <v/>
      </c>
      <c r="DQ50" s="55" t="str">
        <f t="shared" si="88"/>
        <v/>
      </c>
      <c r="DR50" s="55" t="str">
        <f t="shared" si="88"/>
        <v/>
      </c>
      <c r="DS50" s="55" t="str">
        <f t="shared" si="88"/>
        <v/>
      </c>
      <c r="DT50" s="106" t="str">
        <f t="shared" si="88"/>
        <v/>
      </c>
      <c r="DU50" s="54"/>
      <c r="DV50" s="25"/>
      <c r="DW50" s="61" t="str">
        <f t="shared" si="89"/>
        <v/>
      </c>
      <c r="DX50" s="50" t="str">
        <f t="shared" si="89"/>
        <v/>
      </c>
      <c r="DY50" s="50" t="str">
        <f t="shared" si="89"/>
        <v/>
      </c>
      <c r="DZ50" s="50" t="str">
        <f t="shared" si="89"/>
        <v/>
      </c>
      <c r="EA50" s="50" t="str">
        <f t="shared" si="89"/>
        <v/>
      </c>
      <c r="EB50" s="50" t="str">
        <f t="shared" si="89"/>
        <v/>
      </c>
      <c r="EC50" s="50" t="str">
        <f t="shared" si="89"/>
        <v/>
      </c>
      <c r="ED50" s="50" t="str">
        <f t="shared" si="89"/>
        <v/>
      </c>
      <c r="EE50" s="50" t="str">
        <f t="shared" si="89"/>
        <v/>
      </c>
      <c r="EF50" s="50" t="str">
        <f t="shared" si="89"/>
        <v/>
      </c>
      <c r="EG50" s="50" t="str">
        <f t="shared" si="89"/>
        <v/>
      </c>
      <c r="EH50" s="50" t="str">
        <f t="shared" si="89"/>
        <v/>
      </c>
      <c r="EI50" s="50" t="str">
        <f t="shared" si="89"/>
        <v/>
      </c>
      <c r="EJ50" s="50" t="str">
        <f t="shared" si="89"/>
        <v/>
      </c>
      <c r="EK50" s="50" t="str">
        <f t="shared" si="89"/>
        <v/>
      </c>
      <c r="EL50" s="50" t="str">
        <f t="shared" si="89"/>
        <v/>
      </c>
      <c r="EM50" s="50" t="str">
        <f t="shared" si="90"/>
        <v/>
      </c>
      <c r="EN50" s="50" t="str">
        <f t="shared" si="90"/>
        <v/>
      </c>
      <c r="EO50" s="50" t="str">
        <f t="shared" si="90"/>
        <v/>
      </c>
      <c r="EP50" s="50" t="str">
        <f t="shared" si="90"/>
        <v/>
      </c>
      <c r="EQ50" s="50" t="str">
        <f t="shared" si="90"/>
        <v/>
      </c>
      <c r="ER50" s="50" t="str">
        <f t="shared" si="90"/>
        <v/>
      </c>
      <c r="ES50" s="50" t="str">
        <f t="shared" si="90"/>
        <v/>
      </c>
      <c r="ET50" s="50" t="str">
        <f t="shared" si="90"/>
        <v/>
      </c>
      <c r="EU50" s="50" t="str">
        <f t="shared" si="90"/>
        <v/>
      </c>
      <c r="EV50" s="50" t="str">
        <f t="shared" si="90"/>
        <v/>
      </c>
      <c r="EW50" s="50" t="str">
        <f t="shared" si="90"/>
        <v/>
      </c>
      <c r="EX50" s="50" t="str">
        <f t="shared" si="90"/>
        <v/>
      </c>
      <c r="EY50" s="50" t="str">
        <f t="shared" si="90"/>
        <v/>
      </c>
      <c r="EZ50" s="50" t="str">
        <f t="shared" si="90"/>
        <v/>
      </c>
      <c r="FA50" s="50" t="str">
        <f t="shared" si="90"/>
        <v/>
      </c>
      <c r="FB50" s="50" t="str">
        <f t="shared" si="90"/>
        <v/>
      </c>
      <c r="FC50" s="50" t="str">
        <f t="shared" si="91"/>
        <v/>
      </c>
      <c r="FD50" s="50" t="str">
        <f t="shared" si="91"/>
        <v/>
      </c>
      <c r="FE50" s="50" t="str">
        <f t="shared" si="91"/>
        <v/>
      </c>
      <c r="FF50" s="50" t="str">
        <f t="shared" si="91"/>
        <v/>
      </c>
      <c r="FG50" s="50" t="str">
        <f t="shared" si="91"/>
        <v/>
      </c>
      <c r="FH50" s="50" t="str">
        <f t="shared" si="91"/>
        <v/>
      </c>
      <c r="FI50" s="50" t="str">
        <f t="shared" si="91"/>
        <v/>
      </c>
      <c r="FJ50" s="50" t="str">
        <f t="shared" si="91"/>
        <v/>
      </c>
      <c r="FK50" s="50" t="str">
        <f t="shared" si="91"/>
        <v/>
      </c>
      <c r="FL50" s="50" t="str">
        <f t="shared" si="91"/>
        <v/>
      </c>
      <c r="FM50" s="50" t="str">
        <f t="shared" si="91"/>
        <v/>
      </c>
      <c r="FN50" s="50" t="str">
        <f t="shared" si="91"/>
        <v/>
      </c>
      <c r="FO50" s="50" t="str">
        <f t="shared" si="91"/>
        <v/>
      </c>
      <c r="FP50" s="50" t="str">
        <f t="shared" si="91"/>
        <v/>
      </c>
      <c r="FQ50" s="50" t="str">
        <f t="shared" si="91"/>
        <v/>
      </c>
      <c r="FR50" s="50" t="str">
        <f t="shared" si="91"/>
        <v/>
      </c>
      <c r="FS50" s="50" t="str">
        <f t="shared" si="92"/>
        <v/>
      </c>
      <c r="FT50" s="50" t="str">
        <f t="shared" si="92"/>
        <v/>
      </c>
      <c r="FU50" s="50" t="str">
        <f t="shared" si="92"/>
        <v/>
      </c>
      <c r="FV50" s="50" t="str">
        <f t="shared" si="92"/>
        <v/>
      </c>
      <c r="FW50" s="50" t="str">
        <f t="shared" si="92"/>
        <v/>
      </c>
      <c r="FX50" s="50" t="str">
        <f t="shared" si="92"/>
        <v/>
      </c>
      <c r="FY50" s="50" t="str">
        <f t="shared" si="92"/>
        <v/>
      </c>
      <c r="FZ50" s="50" t="str">
        <f t="shared" si="92"/>
        <v/>
      </c>
      <c r="GA50" s="50" t="str">
        <f t="shared" si="92"/>
        <v/>
      </c>
      <c r="GB50" s="50" t="str">
        <f t="shared" si="92"/>
        <v/>
      </c>
      <c r="GC50" s="50" t="str">
        <f t="shared" si="92"/>
        <v/>
      </c>
      <c r="GD50" s="50" t="str">
        <f t="shared" si="92"/>
        <v/>
      </c>
      <c r="GE50" s="50" t="str">
        <f t="shared" si="92"/>
        <v/>
      </c>
      <c r="GF50" s="50" t="str">
        <f t="shared" si="92"/>
        <v/>
      </c>
      <c r="GG50" s="50" t="str">
        <f t="shared" si="92"/>
        <v/>
      </c>
      <c r="GH50" s="50" t="str">
        <f t="shared" si="92"/>
        <v/>
      </c>
      <c r="GI50" s="50" t="str">
        <f t="shared" si="92"/>
        <v/>
      </c>
      <c r="GJ50" s="50" t="str">
        <f t="shared" si="92"/>
        <v/>
      </c>
      <c r="GK50" s="50" t="str">
        <f t="shared" si="92"/>
        <v/>
      </c>
      <c r="GL50" s="50" t="str">
        <f t="shared" si="92"/>
        <v/>
      </c>
      <c r="GM50" s="50" t="str">
        <f t="shared" si="92"/>
        <v/>
      </c>
      <c r="GN50" s="50" t="str">
        <f t="shared" si="92"/>
        <v/>
      </c>
      <c r="GO50" s="50" t="str">
        <f t="shared" si="92"/>
        <v/>
      </c>
      <c r="GP50" s="50" t="str">
        <f t="shared" si="92"/>
        <v/>
      </c>
      <c r="GQ50" s="50" t="str">
        <f t="shared" si="92"/>
        <v/>
      </c>
      <c r="GR50" s="50" t="str">
        <f t="shared" si="92"/>
        <v/>
      </c>
      <c r="GS50" s="50" t="e">
        <f t="shared" si="92"/>
        <v>#N/A</v>
      </c>
      <c r="GT50" s="50" t="str">
        <f t="shared" si="92"/>
        <v/>
      </c>
      <c r="GU50" s="50" t="str">
        <f t="shared" si="92"/>
        <v/>
      </c>
      <c r="GV50" s="50" t="str">
        <f t="shared" si="92"/>
        <v/>
      </c>
      <c r="GW50" s="50" t="str">
        <f t="shared" si="92"/>
        <v/>
      </c>
      <c r="GX50" s="50" t="str">
        <f t="shared" si="92"/>
        <v/>
      </c>
      <c r="GY50" s="50" t="str">
        <f t="shared" si="92"/>
        <v/>
      </c>
      <c r="GZ50" s="50" t="str">
        <f t="shared" si="92"/>
        <v/>
      </c>
      <c r="HA50" s="50" t="str">
        <f t="shared" si="92"/>
        <v/>
      </c>
      <c r="HB50" s="50" t="str">
        <f t="shared" si="92"/>
        <v/>
      </c>
      <c r="HC50" s="50" t="str">
        <f t="shared" si="92"/>
        <v/>
      </c>
      <c r="HD50" s="50" t="str">
        <f t="shared" si="92"/>
        <v/>
      </c>
      <c r="HE50" s="50" t="str">
        <f t="shared" si="92"/>
        <v/>
      </c>
      <c r="HF50" s="50" t="str">
        <f t="shared" si="92"/>
        <v/>
      </c>
      <c r="HG50" s="50" t="str">
        <f t="shared" si="92"/>
        <v/>
      </c>
      <c r="HH50" s="50" t="str">
        <f t="shared" si="92"/>
        <v/>
      </c>
      <c r="HI50" s="50" t="str">
        <f t="shared" si="92"/>
        <v/>
      </c>
      <c r="HJ50" s="50" t="str">
        <f t="shared" si="92"/>
        <v/>
      </c>
      <c r="HK50" s="50" t="str">
        <f t="shared" si="92"/>
        <v/>
      </c>
      <c r="HL50" s="50" t="str">
        <f t="shared" si="92"/>
        <v/>
      </c>
      <c r="HM50" s="50" t="str">
        <f t="shared" si="92"/>
        <v/>
      </c>
      <c r="HN50" s="50" t="str">
        <f t="shared" si="92"/>
        <v/>
      </c>
      <c r="HO50" s="50" t="str">
        <f t="shared" si="92"/>
        <v/>
      </c>
      <c r="HP50" s="50" t="str">
        <f t="shared" si="92"/>
        <v/>
      </c>
      <c r="HQ50" s="50" t="str">
        <f t="shared" si="92"/>
        <v/>
      </c>
      <c r="HR50" s="112" t="str">
        <f t="shared" si="92"/>
        <v/>
      </c>
    </row>
    <row r="51" spans="1:226" ht="11.1" customHeight="1" x14ac:dyDescent="0.25">
      <c r="A51" s="26"/>
      <c r="B51" s="27"/>
      <c r="C51" s="28" t="str">
        <f>IF(A51=0,"",VLOOKUP(A51,[2]CO!$A$3:$F$5327,2,0))</f>
        <v/>
      </c>
      <c r="D51" s="29"/>
      <c r="E51" s="29"/>
      <c r="F51" s="101" t="str">
        <f t="shared" si="82"/>
        <v/>
      </c>
      <c r="G51" s="30" t="str">
        <f>IF(A51=0,"",VLOOKUP(A51,[2]CO!$A$3:$F$5327,3,0))</f>
        <v/>
      </c>
      <c r="H51" s="95"/>
      <c r="I51" s="31"/>
      <c r="J51" s="31"/>
      <c r="K51" s="31"/>
      <c r="L51" s="31"/>
      <c r="M51" s="32" t="str">
        <f t="shared" si="83"/>
        <v/>
      </c>
      <c r="N51" s="32" t="str">
        <f>IF(B51=0,"",IF(H51="M",HLOOKUP(B51,$Y$12:$DT$13,2),IF(A51=0,"",VLOOKUP(A51,[2]CO!$A$3:$F$5327,4,0))))</f>
        <v/>
      </c>
      <c r="O51" s="32" t="str">
        <f t="shared" si="7"/>
        <v/>
      </c>
      <c r="P51" s="33"/>
      <c r="Q51" s="34" t="str">
        <f t="shared" si="84"/>
        <v/>
      </c>
      <c r="R51" s="35"/>
      <c r="T51" s="53" t="str">
        <f>IF(A51=0,"",VLOOKUP(A51,[2]CO!$A$3:$F$5318,5,0))</f>
        <v/>
      </c>
      <c r="U51" s="54">
        <f t="shared" si="48"/>
        <v>0</v>
      </c>
      <c r="V51" s="24"/>
      <c r="W51" s="25"/>
      <c r="X51" s="25"/>
      <c r="Y51" s="64" t="str">
        <f t="shared" si="85"/>
        <v/>
      </c>
      <c r="Z51" s="55" t="str">
        <f t="shared" si="85"/>
        <v/>
      </c>
      <c r="AA51" s="55" t="str">
        <f t="shared" si="85"/>
        <v/>
      </c>
      <c r="AB51" s="55" t="str">
        <f t="shared" si="85"/>
        <v/>
      </c>
      <c r="AC51" s="55" t="str">
        <f t="shared" si="85"/>
        <v/>
      </c>
      <c r="AD51" s="55" t="str">
        <f t="shared" si="85"/>
        <v/>
      </c>
      <c r="AE51" s="55" t="str">
        <f t="shared" si="85"/>
        <v/>
      </c>
      <c r="AF51" s="55" t="str">
        <f t="shared" si="85"/>
        <v/>
      </c>
      <c r="AG51" s="55" t="str">
        <f t="shared" si="85"/>
        <v/>
      </c>
      <c r="AH51" s="55" t="str">
        <f t="shared" si="85"/>
        <v/>
      </c>
      <c r="AI51" s="55" t="str">
        <f t="shared" si="85"/>
        <v/>
      </c>
      <c r="AJ51" s="55" t="str">
        <f t="shared" si="85"/>
        <v/>
      </c>
      <c r="AK51" s="55" t="str">
        <f t="shared" si="85"/>
        <v/>
      </c>
      <c r="AL51" s="55" t="str">
        <f t="shared" si="85"/>
        <v/>
      </c>
      <c r="AM51" s="55" t="str">
        <f t="shared" si="85"/>
        <v/>
      </c>
      <c r="AN51" s="55" t="str">
        <f t="shared" si="85"/>
        <v/>
      </c>
      <c r="AO51" s="55" t="str">
        <f t="shared" si="86"/>
        <v/>
      </c>
      <c r="AP51" s="55" t="str">
        <f t="shared" si="86"/>
        <v/>
      </c>
      <c r="AQ51" s="55" t="str">
        <f t="shared" si="86"/>
        <v/>
      </c>
      <c r="AR51" s="55" t="str">
        <f t="shared" si="86"/>
        <v/>
      </c>
      <c r="AS51" s="55" t="str">
        <f t="shared" si="86"/>
        <v/>
      </c>
      <c r="AT51" s="55" t="str">
        <f t="shared" si="86"/>
        <v/>
      </c>
      <c r="AU51" s="55" t="str">
        <f t="shared" si="86"/>
        <v/>
      </c>
      <c r="AV51" s="55" t="str">
        <f t="shared" si="86"/>
        <v/>
      </c>
      <c r="AW51" s="55" t="str">
        <f t="shared" si="86"/>
        <v/>
      </c>
      <c r="AX51" s="55" t="str">
        <f t="shared" si="86"/>
        <v/>
      </c>
      <c r="AY51" s="55" t="str">
        <f t="shared" si="86"/>
        <v/>
      </c>
      <c r="AZ51" s="55" t="str">
        <f t="shared" si="86"/>
        <v/>
      </c>
      <c r="BA51" s="55" t="str">
        <f t="shared" si="86"/>
        <v/>
      </c>
      <c r="BB51" s="55" t="str">
        <f t="shared" si="86"/>
        <v/>
      </c>
      <c r="BC51" s="55" t="str">
        <f t="shared" si="86"/>
        <v/>
      </c>
      <c r="BD51" s="55" t="str">
        <f t="shared" si="86"/>
        <v/>
      </c>
      <c r="BE51" s="55" t="str">
        <f t="shared" si="87"/>
        <v/>
      </c>
      <c r="BF51" s="55" t="str">
        <f t="shared" si="87"/>
        <v/>
      </c>
      <c r="BG51" s="55" t="str">
        <f t="shared" si="87"/>
        <v/>
      </c>
      <c r="BH51" s="55" t="str">
        <f t="shared" si="87"/>
        <v/>
      </c>
      <c r="BI51" s="55" t="str">
        <f t="shared" si="87"/>
        <v/>
      </c>
      <c r="BJ51" s="55" t="str">
        <f t="shared" si="87"/>
        <v/>
      </c>
      <c r="BK51" s="55" t="str">
        <f t="shared" si="87"/>
        <v/>
      </c>
      <c r="BL51" s="55" t="str">
        <f t="shared" si="87"/>
        <v/>
      </c>
      <c r="BM51" s="55" t="str">
        <f t="shared" si="87"/>
        <v/>
      </c>
      <c r="BN51" s="55" t="str">
        <f t="shared" si="87"/>
        <v/>
      </c>
      <c r="BO51" s="55" t="str">
        <f t="shared" si="87"/>
        <v/>
      </c>
      <c r="BP51" s="55" t="str">
        <f t="shared" si="87"/>
        <v/>
      </c>
      <c r="BQ51" s="55" t="str">
        <f t="shared" si="87"/>
        <v/>
      </c>
      <c r="BR51" s="55" t="str">
        <f t="shared" si="87"/>
        <v/>
      </c>
      <c r="BS51" s="55" t="str">
        <f t="shared" si="87"/>
        <v/>
      </c>
      <c r="BT51" s="55" t="str">
        <f t="shared" si="87"/>
        <v/>
      </c>
      <c r="BU51" s="55" t="str">
        <f t="shared" si="88"/>
        <v/>
      </c>
      <c r="BV51" s="55" t="str">
        <f t="shared" si="88"/>
        <v/>
      </c>
      <c r="BW51" s="55" t="str">
        <f t="shared" si="88"/>
        <v/>
      </c>
      <c r="BX51" s="55" t="str">
        <f t="shared" si="88"/>
        <v/>
      </c>
      <c r="BY51" s="55" t="str">
        <f t="shared" si="88"/>
        <v/>
      </c>
      <c r="BZ51" s="55" t="str">
        <f t="shared" si="88"/>
        <v/>
      </c>
      <c r="CA51" s="55" t="str">
        <f t="shared" si="88"/>
        <v/>
      </c>
      <c r="CB51" s="55" t="str">
        <f t="shared" si="88"/>
        <v/>
      </c>
      <c r="CC51" s="55" t="str">
        <f t="shared" si="88"/>
        <v/>
      </c>
      <c r="CD51" s="55" t="str">
        <f t="shared" si="88"/>
        <v/>
      </c>
      <c r="CE51" s="55" t="str">
        <f t="shared" si="88"/>
        <v/>
      </c>
      <c r="CF51" s="55" t="str">
        <f t="shared" si="88"/>
        <v/>
      </c>
      <c r="CG51" s="55" t="str">
        <f t="shared" si="88"/>
        <v/>
      </c>
      <c r="CH51" s="55" t="str">
        <f t="shared" si="88"/>
        <v/>
      </c>
      <c r="CI51" s="55" t="str">
        <f t="shared" si="88"/>
        <v/>
      </c>
      <c r="CJ51" s="55" t="str">
        <f t="shared" si="88"/>
        <v/>
      </c>
      <c r="CK51" s="55" t="str">
        <f t="shared" si="88"/>
        <v/>
      </c>
      <c r="CL51" s="55" t="str">
        <f t="shared" si="88"/>
        <v/>
      </c>
      <c r="CM51" s="55" t="str">
        <f t="shared" si="88"/>
        <v/>
      </c>
      <c r="CN51" s="55" t="str">
        <f t="shared" si="88"/>
        <v/>
      </c>
      <c r="CO51" s="55" t="str">
        <f t="shared" si="88"/>
        <v/>
      </c>
      <c r="CP51" s="55" t="str">
        <f t="shared" si="88"/>
        <v/>
      </c>
      <c r="CQ51" s="55" t="str">
        <f t="shared" si="88"/>
        <v/>
      </c>
      <c r="CR51" s="55" t="str">
        <f t="shared" si="88"/>
        <v/>
      </c>
      <c r="CS51" s="55" t="str">
        <f t="shared" si="88"/>
        <v/>
      </c>
      <c r="CT51" s="55" t="str">
        <f t="shared" si="88"/>
        <v/>
      </c>
      <c r="CU51" s="55" t="str">
        <f t="shared" si="88"/>
        <v/>
      </c>
      <c r="CV51" s="55" t="str">
        <f t="shared" si="88"/>
        <v/>
      </c>
      <c r="CW51" s="55" t="str">
        <f t="shared" si="88"/>
        <v/>
      </c>
      <c r="CX51" s="55" t="str">
        <f t="shared" si="88"/>
        <v/>
      </c>
      <c r="CY51" s="55" t="str">
        <f t="shared" si="88"/>
        <v/>
      </c>
      <c r="CZ51" s="55" t="str">
        <f t="shared" si="88"/>
        <v/>
      </c>
      <c r="DA51" s="55" t="str">
        <f t="shared" si="88"/>
        <v/>
      </c>
      <c r="DB51" s="55" t="str">
        <f t="shared" si="88"/>
        <v/>
      </c>
      <c r="DC51" s="55" t="str">
        <f t="shared" si="88"/>
        <v/>
      </c>
      <c r="DD51" s="55" t="str">
        <f t="shared" si="88"/>
        <v/>
      </c>
      <c r="DE51" s="55" t="str">
        <f t="shared" si="88"/>
        <v/>
      </c>
      <c r="DF51" s="55" t="str">
        <f t="shared" si="88"/>
        <v/>
      </c>
      <c r="DG51" s="55" t="str">
        <f t="shared" si="88"/>
        <v/>
      </c>
      <c r="DH51" s="55" t="str">
        <f t="shared" si="88"/>
        <v/>
      </c>
      <c r="DI51" s="55" t="str">
        <f t="shared" si="88"/>
        <v/>
      </c>
      <c r="DJ51" s="55" t="str">
        <f t="shared" si="88"/>
        <v/>
      </c>
      <c r="DK51" s="55" t="str">
        <f t="shared" si="88"/>
        <v/>
      </c>
      <c r="DL51" s="55" t="str">
        <f t="shared" si="88"/>
        <v/>
      </c>
      <c r="DM51" s="55" t="str">
        <f t="shared" si="88"/>
        <v/>
      </c>
      <c r="DN51" s="55" t="str">
        <f t="shared" si="88"/>
        <v/>
      </c>
      <c r="DO51" s="55" t="str">
        <f t="shared" si="88"/>
        <v/>
      </c>
      <c r="DP51" s="55" t="str">
        <f t="shared" si="88"/>
        <v/>
      </c>
      <c r="DQ51" s="55" t="str">
        <f t="shared" si="88"/>
        <v/>
      </c>
      <c r="DR51" s="55" t="str">
        <f t="shared" si="88"/>
        <v/>
      </c>
      <c r="DS51" s="55" t="str">
        <f t="shared" si="88"/>
        <v/>
      </c>
      <c r="DT51" s="106" t="str">
        <f t="shared" si="88"/>
        <v/>
      </c>
      <c r="DU51" s="54"/>
      <c r="DV51" s="25"/>
      <c r="DW51" s="61" t="str">
        <f t="shared" si="89"/>
        <v/>
      </c>
      <c r="DX51" s="50" t="str">
        <f t="shared" si="89"/>
        <v/>
      </c>
      <c r="DY51" s="50" t="str">
        <f t="shared" si="89"/>
        <v/>
      </c>
      <c r="DZ51" s="50" t="str">
        <f t="shared" si="89"/>
        <v/>
      </c>
      <c r="EA51" s="50" t="str">
        <f t="shared" si="89"/>
        <v/>
      </c>
      <c r="EB51" s="50" t="str">
        <f t="shared" si="89"/>
        <v/>
      </c>
      <c r="EC51" s="50" t="str">
        <f t="shared" si="89"/>
        <v/>
      </c>
      <c r="ED51" s="50" t="str">
        <f t="shared" si="89"/>
        <v/>
      </c>
      <c r="EE51" s="50" t="str">
        <f t="shared" si="89"/>
        <v/>
      </c>
      <c r="EF51" s="50" t="str">
        <f t="shared" si="89"/>
        <v/>
      </c>
      <c r="EG51" s="50" t="str">
        <f t="shared" si="89"/>
        <v/>
      </c>
      <c r="EH51" s="50" t="str">
        <f t="shared" si="89"/>
        <v/>
      </c>
      <c r="EI51" s="50" t="str">
        <f t="shared" si="89"/>
        <v/>
      </c>
      <c r="EJ51" s="50" t="str">
        <f t="shared" si="89"/>
        <v/>
      </c>
      <c r="EK51" s="50" t="str">
        <f t="shared" si="89"/>
        <v/>
      </c>
      <c r="EL51" s="50" t="str">
        <f t="shared" si="89"/>
        <v/>
      </c>
      <c r="EM51" s="50" t="str">
        <f t="shared" si="90"/>
        <v/>
      </c>
      <c r="EN51" s="50" t="str">
        <f t="shared" si="90"/>
        <v/>
      </c>
      <c r="EO51" s="50" t="str">
        <f t="shared" si="90"/>
        <v/>
      </c>
      <c r="EP51" s="50" t="str">
        <f t="shared" si="90"/>
        <v/>
      </c>
      <c r="EQ51" s="50" t="str">
        <f t="shared" si="90"/>
        <v/>
      </c>
      <c r="ER51" s="50" t="str">
        <f t="shared" si="90"/>
        <v/>
      </c>
      <c r="ES51" s="50" t="str">
        <f t="shared" si="90"/>
        <v/>
      </c>
      <c r="ET51" s="50" t="str">
        <f t="shared" si="90"/>
        <v/>
      </c>
      <c r="EU51" s="50" t="str">
        <f t="shared" si="90"/>
        <v/>
      </c>
      <c r="EV51" s="50" t="str">
        <f t="shared" si="90"/>
        <v/>
      </c>
      <c r="EW51" s="50" t="str">
        <f t="shared" si="90"/>
        <v/>
      </c>
      <c r="EX51" s="50" t="str">
        <f t="shared" si="90"/>
        <v/>
      </c>
      <c r="EY51" s="50" t="str">
        <f t="shared" si="90"/>
        <v/>
      </c>
      <c r="EZ51" s="50" t="str">
        <f t="shared" si="90"/>
        <v/>
      </c>
      <c r="FA51" s="50" t="str">
        <f t="shared" si="90"/>
        <v/>
      </c>
      <c r="FB51" s="50" t="str">
        <f t="shared" si="90"/>
        <v/>
      </c>
      <c r="FC51" s="50" t="str">
        <f t="shared" si="91"/>
        <v/>
      </c>
      <c r="FD51" s="50" t="str">
        <f t="shared" si="91"/>
        <v/>
      </c>
      <c r="FE51" s="50" t="str">
        <f t="shared" si="91"/>
        <v/>
      </c>
      <c r="FF51" s="50" t="str">
        <f t="shared" si="91"/>
        <v/>
      </c>
      <c r="FG51" s="50" t="str">
        <f t="shared" si="91"/>
        <v/>
      </c>
      <c r="FH51" s="50" t="str">
        <f t="shared" si="91"/>
        <v/>
      </c>
      <c r="FI51" s="50" t="str">
        <f t="shared" si="91"/>
        <v/>
      </c>
      <c r="FJ51" s="50" t="str">
        <f t="shared" si="91"/>
        <v/>
      </c>
      <c r="FK51" s="50" t="str">
        <f t="shared" si="91"/>
        <v/>
      </c>
      <c r="FL51" s="50" t="str">
        <f t="shared" si="91"/>
        <v/>
      </c>
      <c r="FM51" s="50" t="str">
        <f t="shared" si="91"/>
        <v/>
      </c>
      <c r="FN51" s="50" t="str">
        <f t="shared" si="91"/>
        <v/>
      </c>
      <c r="FO51" s="50" t="str">
        <f t="shared" si="91"/>
        <v/>
      </c>
      <c r="FP51" s="50" t="str">
        <f t="shared" si="91"/>
        <v/>
      </c>
      <c r="FQ51" s="50" t="str">
        <f t="shared" si="91"/>
        <v/>
      </c>
      <c r="FR51" s="50" t="str">
        <f t="shared" si="91"/>
        <v/>
      </c>
      <c r="FS51" s="50" t="str">
        <f t="shared" si="92"/>
        <v/>
      </c>
      <c r="FT51" s="50" t="str">
        <f t="shared" si="92"/>
        <v/>
      </c>
      <c r="FU51" s="50" t="str">
        <f t="shared" si="92"/>
        <v/>
      </c>
      <c r="FV51" s="50" t="str">
        <f t="shared" si="92"/>
        <v/>
      </c>
      <c r="FW51" s="50" t="str">
        <f t="shared" si="92"/>
        <v/>
      </c>
      <c r="FX51" s="50" t="str">
        <f t="shared" si="92"/>
        <v/>
      </c>
      <c r="FY51" s="50" t="str">
        <f t="shared" si="92"/>
        <v/>
      </c>
      <c r="FZ51" s="50" t="str">
        <f t="shared" si="92"/>
        <v/>
      </c>
      <c r="GA51" s="50" t="str">
        <f t="shared" si="92"/>
        <v/>
      </c>
      <c r="GB51" s="50" t="str">
        <f t="shared" si="92"/>
        <v/>
      </c>
      <c r="GC51" s="50" t="str">
        <f t="shared" si="92"/>
        <v/>
      </c>
      <c r="GD51" s="50" t="str">
        <f t="shared" si="92"/>
        <v/>
      </c>
      <c r="GE51" s="50" t="str">
        <f t="shared" si="92"/>
        <v/>
      </c>
      <c r="GF51" s="50" t="str">
        <f t="shared" si="92"/>
        <v/>
      </c>
      <c r="GG51" s="50" t="str">
        <f t="shared" si="92"/>
        <v/>
      </c>
      <c r="GH51" s="50" t="str">
        <f t="shared" si="92"/>
        <v/>
      </c>
      <c r="GI51" s="50" t="str">
        <f t="shared" si="92"/>
        <v/>
      </c>
      <c r="GJ51" s="50" t="str">
        <f t="shared" si="92"/>
        <v/>
      </c>
      <c r="GK51" s="50" t="str">
        <f t="shared" si="92"/>
        <v/>
      </c>
      <c r="GL51" s="50" t="str">
        <f t="shared" si="92"/>
        <v/>
      </c>
      <c r="GM51" s="50" t="str">
        <f t="shared" si="92"/>
        <v/>
      </c>
      <c r="GN51" s="50" t="str">
        <f t="shared" si="92"/>
        <v/>
      </c>
      <c r="GO51" s="50" t="str">
        <f t="shared" si="92"/>
        <v/>
      </c>
      <c r="GP51" s="50" t="str">
        <f t="shared" si="92"/>
        <v/>
      </c>
      <c r="GQ51" s="50" t="str">
        <f t="shared" si="92"/>
        <v/>
      </c>
      <c r="GR51" s="50" t="str">
        <f t="shared" si="92"/>
        <v/>
      </c>
      <c r="GS51" s="50" t="str">
        <f t="shared" si="92"/>
        <v/>
      </c>
      <c r="GT51" s="50" t="str">
        <f t="shared" si="92"/>
        <v/>
      </c>
      <c r="GU51" s="50" t="str">
        <f t="shared" si="92"/>
        <v/>
      </c>
      <c r="GV51" s="50" t="str">
        <f t="shared" si="92"/>
        <v/>
      </c>
      <c r="GW51" s="50" t="str">
        <f t="shared" si="92"/>
        <v/>
      </c>
      <c r="GX51" s="50" t="str">
        <f t="shared" si="92"/>
        <v/>
      </c>
      <c r="GY51" s="50" t="str">
        <f t="shared" si="92"/>
        <v/>
      </c>
      <c r="GZ51" s="50" t="str">
        <f t="shared" si="92"/>
        <v/>
      </c>
      <c r="HA51" s="50" t="str">
        <f t="shared" si="92"/>
        <v/>
      </c>
      <c r="HB51" s="50" t="str">
        <f t="shared" si="92"/>
        <v/>
      </c>
      <c r="HC51" s="50" t="str">
        <f t="shared" si="92"/>
        <v/>
      </c>
      <c r="HD51" s="50" t="str">
        <f t="shared" si="92"/>
        <v/>
      </c>
      <c r="HE51" s="50" t="str">
        <f t="shared" si="92"/>
        <v/>
      </c>
      <c r="HF51" s="50" t="str">
        <f t="shared" si="92"/>
        <v/>
      </c>
      <c r="HG51" s="50" t="str">
        <f t="shared" si="92"/>
        <v/>
      </c>
      <c r="HH51" s="50" t="str">
        <f t="shared" si="92"/>
        <v/>
      </c>
      <c r="HI51" s="50" t="str">
        <f t="shared" si="92"/>
        <v/>
      </c>
      <c r="HJ51" s="50" t="str">
        <f t="shared" si="92"/>
        <v/>
      </c>
      <c r="HK51" s="50" t="str">
        <f t="shared" si="92"/>
        <v/>
      </c>
      <c r="HL51" s="50" t="str">
        <f t="shared" si="92"/>
        <v/>
      </c>
      <c r="HM51" s="50" t="str">
        <f t="shared" si="92"/>
        <v/>
      </c>
      <c r="HN51" s="50" t="str">
        <f t="shared" si="92"/>
        <v/>
      </c>
      <c r="HO51" s="50" t="str">
        <f t="shared" si="92"/>
        <v/>
      </c>
      <c r="HP51" s="50" t="str">
        <f t="shared" si="92"/>
        <v/>
      </c>
      <c r="HQ51" s="50" t="str">
        <f t="shared" si="92"/>
        <v/>
      </c>
      <c r="HR51" s="112" t="str">
        <f t="shared" si="92"/>
        <v/>
      </c>
    </row>
    <row r="52" spans="1:226" ht="11.1" customHeight="1" x14ac:dyDescent="0.25">
      <c r="A52" s="26"/>
      <c r="B52" s="27"/>
      <c r="C52" s="28" t="str">
        <f>IF(A52=0,"",VLOOKUP(A52,[2]CO!$A$3:$F$5327,2,0))</f>
        <v/>
      </c>
      <c r="D52" s="29"/>
      <c r="E52" s="29"/>
      <c r="F52" s="101" t="str">
        <f t="shared" si="82"/>
        <v/>
      </c>
      <c r="G52" s="30" t="str">
        <f>IF(A52=0,"",VLOOKUP(A52,[2]CO!$A$3:$F$5327,3,0))</f>
        <v/>
      </c>
      <c r="H52" s="95"/>
      <c r="I52" s="31"/>
      <c r="J52" s="31"/>
      <c r="K52" s="31"/>
      <c r="L52" s="31"/>
      <c r="M52" s="32" t="str">
        <f t="shared" si="83"/>
        <v/>
      </c>
      <c r="N52" s="32" t="str">
        <f>IF(B52=0,"",IF(H52="M",HLOOKUP(B52,$Y$12:$DT$13,2),IF(A52=0,"",VLOOKUP(A52,[2]CO!$A$3:$F$5327,4,0))))</f>
        <v/>
      </c>
      <c r="O52" s="32" t="str">
        <f t="shared" si="7"/>
        <v/>
      </c>
      <c r="P52" s="33"/>
      <c r="Q52" s="34" t="str">
        <f t="shared" si="84"/>
        <v/>
      </c>
      <c r="R52" s="35"/>
      <c r="T52" s="53" t="str">
        <f>IF(A52=0,"",VLOOKUP(A52,[2]CO!$A$3:$F$5318,5,0))</f>
        <v/>
      </c>
      <c r="U52" s="54">
        <f t="shared" si="48"/>
        <v>0</v>
      </c>
      <c r="V52" s="24"/>
      <c r="W52" s="25"/>
      <c r="X52" s="25"/>
      <c r="Y52" s="64" t="str">
        <f t="shared" si="85"/>
        <v/>
      </c>
      <c r="Z52" s="55" t="str">
        <f t="shared" si="85"/>
        <v/>
      </c>
      <c r="AA52" s="55" t="str">
        <f t="shared" si="85"/>
        <v/>
      </c>
      <c r="AB52" s="55" t="str">
        <f t="shared" si="85"/>
        <v/>
      </c>
      <c r="AC52" s="55" t="str">
        <f t="shared" si="85"/>
        <v/>
      </c>
      <c r="AD52" s="55" t="str">
        <f t="shared" si="85"/>
        <v/>
      </c>
      <c r="AE52" s="55" t="str">
        <f t="shared" si="85"/>
        <v/>
      </c>
      <c r="AF52" s="55" t="str">
        <f t="shared" si="85"/>
        <v/>
      </c>
      <c r="AG52" s="55" t="str">
        <f t="shared" si="85"/>
        <v/>
      </c>
      <c r="AH52" s="55" t="str">
        <f t="shared" si="85"/>
        <v/>
      </c>
      <c r="AI52" s="55" t="str">
        <f t="shared" si="85"/>
        <v/>
      </c>
      <c r="AJ52" s="55" t="str">
        <f t="shared" si="85"/>
        <v/>
      </c>
      <c r="AK52" s="55" t="str">
        <f t="shared" si="85"/>
        <v/>
      </c>
      <c r="AL52" s="55" t="str">
        <f t="shared" si="85"/>
        <v/>
      </c>
      <c r="AM52" s="55" t="str">
        <f t="shared" si="85"/>
        <v/>
      </c>
      <c r="AN52" s="55" t="str">
        <f t="shared" si="85"/>
        <v/>
      </c>
      <c r="AO52" s="55" t="str">
        <f t="shared" si="86"/>
        <v/>
      </c>
      <c r="AP52" s="55" t="str">
        <f t="shared" si="86"/>
        <v/>
      </c>
      <c r="AQ52" s="55" t="str">
        <f t="shared" si="86"/>
        <v/>
      </c>
      <c r="AR52" s="55" t="str">
        <f t="shared" si="86"/>
        <v/>
      </c>
      <c r="AS52" s="55" t="str">
        <f t="shared" si="86"/>
        <v/>
      </c>
      <c r="AT52" s="55" t="str">
        <f t="shared" si="86"/>
        <v/>
      </c>
      <c r="AU52" s="55" t="str">
        <f t="shared" si="86"/>
        <v/>
      </c>
      <c r="AV52" s="55" t="str">
        <f t="shared" si="86"/>
        <v/>
      </c>
      <c r="AW52" s="55" t="str">
        <f t="shared" si="86"/>
        <v/>
      </c>
      <c r="AX52" s="55" t="str">
        <f t="shared" si="86"/>
        <v/>
      </c>
      <c r="AY52" s="55" t="str">
        <f t="shared" si="86"/>
        <v/>
      </c>
      <c r="AZ52" s="55" t="str">
        <f t="shared" si="86"/>
        <v/>
      </c>
      <c r="BA52" s="55" t="str">
        <f t="shared" si="86"/>
        <v/>
      </c>
      <c r="BB52" s="55" t="str">
        <f t="shared" si="86"/>
        <v/>
      </c>
      <c r="BC52" s="55" t="str">
        <f t="shared" si="86"/>
        <v/>
      </c>
      <c r="BD52" s="55" t="str">
        <f t="shared" si="86"/>
        <v/>
      </c>
      <c r="BE52" s="55" t="str">
        <f t="shared" si="87"/>
        <v/>
      </c>
      <c r="BF52" s="55" t="str">
        <f t="shared" si="87"/>
        <v/>
      </c>
      <c r="BG52" s="55" t="str">
        <f t="shared" si="87"/>
        <v/>
      </c>
      <c r="BH52" s="55" t="str">
        <f t="shared" si="87"/>
        <v/>
      </c>
      <c r="BI52" s="55" t="str">
        <f t="shared" si="87"/>
        <v/>
      </c>
      <c r="BJ52" s="55" t="str">
        <f t="shared" si="87"/>
        <v/>
      </c>
      <c r="BK52" s="55" t="str">
        <f t="shared" si="87"/>
        <v/>
      </c>
      <c r="BL52" s="55" t="str">
        <f t="shared" si="87"/>
        <v/>
      </c>
      <c r="BM52" s="55" t="str">
        <f t="shared" si="87"/>
        <v/>
      </c>
      <c r="BN52" s="55" t="str">
        <f t="shared" si="87"/>
        <v/>
      </c>
      <c r="BO52" s="55" t="str">
        <f t="shared" si="87"/>
        <v/>
      </c>
      <c r="BP52" s="55" t="str">
        <f t="shared" si="87"/>
        <v/>
      </c>
      <c r="BQ52" s="55" t="str">
        <f t="shared" si="87"/>
        <v/>
      </c>
      <c r="BR52" s="55" t="str">
        <f t="shared" si="87"/>
        <v/>
      </c>
      <c r="BS52" s="55" t="str">
        <f t="shared" si="87"/>
        <v/>
      </c>
      <c r="BT52" s="55" t="str">
        <f t="shared" si="87"/>
        <v/>
      </c>
      <c r="BU52" s="55" t="str">
        <f t="shared" si="88"/>
        <v/>
      </c>
      <c r="BV52" s="55" t="str">
        <f t="shared" si="88"/>
        <v/>
      </c>
      <c r="BW52" s="55" t="str">
        <f t="shared" si="88"/>
        <v/>
      </c>
      <c r="BX52" s="55" t="str">
        <f t="shared" si="88"/>
        <v/>
      </c>
      <c r="BY52" s="55" t="str">
        <f t="shared" si="88"/>
        <v/>
      </c>
      <c r="BZ52" s="55" t="str">
        <f t="shared" si="88"/>
        <v/>
      </c>
      <c r="CA52" s="55" t="str">
        <f t="shared" si="88"/>
        <v/>
      </c>
      <c r="CB52" s="55" t="str">
        <f t="shared" si="88"/>
        <v/>
      </c>
      <c r="CC52" s="55" t="str">
        <f t="shared" si="88"/>
        <v/>
      </c>
      <c r="CD52" s="55" t="str">
        <f t="shared" si="88"/>
        <v/>
      </c>
      <c r="CE52" s="55" t="str">
        <f t="shared" si="88"/>
        <v/>
      </c>
      <c r="CF52" s="55" t="str">
        <f t="shared" si="88"/>
        <v/>
      </c>
      <c r="CG52" s="55" t="str">
        <f t="shared" si="88"/>
        <v/>
      </c>
      <c r="CH52" s="55" t="str">
        <f t="shared" si="88"/>
        <v/>
      </c>
      <c r="CI52" s="55" t="str">
        <f t="shared" si="88"/>
        <v/>
      </c>
      <c r="CJ52" s="55" t="str">
        <f t="shared" si="88"/>
        <v/>
      </c>
      <c r="CK52" s="55" t="str">
        <f t="shared" si="88"/>
        <v/>
      </c>
      <c r="CL52" s="55" t="str">
        <f t="shared" si="88"/>
        <v/>
      </c>
      <c r="CM52" s="55" t="str">
        <f t="shared" si="88"/>
        <v/>
      </c>
      <c r="CN52" s="55" t="str">
        <f t="shared" si="88"/>
        <v/>
      </c>
      <c r="CO52" s="55" t="str">
        <f t="shared" si="88"/>
        <v/>
      </c>
      <c r="CP52" s="55" t="str">
        <f t="shared" si="88"/>
        <v/>
      </c>
      <c r="CQ52" s="55" t="str">
        <f t="shared" si="88"/>
        <v/>
      </c>
      <c r="CR52" s="55" t="str">
        <f t="shared" si="88"/>
        <v/>
      </c>
      <c r="CS52" s="55" t="str">
        <f t="shared" si="88"/>
        <v/>
      </c>
      <c r="CT52" s="55" t="str">
        <f t="shared" si="88"/>
        <v/>
      </c>
      <c r="CU52" s="55" t="str">
        <f t="shared" si="88"/>
        <v/>
      </c>
      <c r="CV52" s="55" t="str">
        <f t="shared" si="88"/>
        <v/>
      </c>
      <c r="CW52" s="55" t="str">
        <f t="shared" si="88"/>
        <v/>
      </c>
      <c r="CX52" s="55" t="str">
        <f t="shared" si="88"/>
        <v/>
      </c>
      <c r="CY52" s="55" t="str">
        <f t="shared" si="88"/>
        <v/>
      </c>
      <c r="CZ52" s="55" t="str">
        <f t="shared" si="88"/>
        <v/>
      </c>
      <c r="DA52" s="55" t="str">
        <f t="shared" si="88"/>
        <v/>
      </c>
      <c r="DB52" s="55" t="str">
        <f t="shared" si="88"/>
        <v/>
      </c>
      <c r="DC52" s="55" t="str">
        <f t="shared" si="88"/>
        <v/>
      </c>
      <c r="DD52" s="55" t="str">
        <f t="shared" si="88"/>
        <v/>
      </c>
      <c r="DE52" s="55" t="str">
        <f t="shared" si="88"/>
        <v/>
      </c>
      <c r="DF52" s="55" t="str">
        <f t="shared" si="88"/>
        <v/>
      </c>
      <c r="DG52" s="55" t="str">
        <f t="shared" si="88"/>
        <v/>
      </c>
      <c r="DH52" s="55" t="str">
        <f t="shared" si="88"/>
        <v/>
      </c>
      <c r="DI52" s="55" t="str">
        <f t="shared" si="88"/>
        <v/>
      </c>
      <c r="DJ52" s="55" t="str">
        <f t="shared" si="88"/>
        <v/>
      </c>
      <c r="DK52" s="55" t="str">
        <f t="shared" si="88"/>
        <v/>
      </c>
      <c r="DL52" s="55" t="str">
        <f t="shared" si="88"/>
        <v/>
      </c>
      <c r="DM52" s="55" t="str">
        <f t="shared" si="88"/>
        <v/>
      </c>
      <c r="DN52" s="55" t="str">
        <f t="shared" si="88"/>
        <v/>
      </c>
      <c r="DO52" s="55" t="str">
        <f t="shared" si="88"/>
        <v/>
      </c>
      <c r="DP52" s="55" t="str">
        <f t="shared" si="88"/>
        <v/>
      </c>
      <c r="DQ52" s="55" t="str">
        <f t="shared" si="88"/>
        <v/>
      </c>
      <c r="DR52" s="55" t="str">
        <f t="shared" si="88"/>
        <v/>
      </c>
      <c r="DS52" s="55" t="str">
        <f t="shared" si="88"/>
        <v/>
      </c>
      <c r="DT52" s="106" t="str">
        <f t="shared" si="88"/>
        <v/>
      </c>
      <c r="DU52" s="54"/>
      <c r="DV52" s="25"/>
      <c r="DW52" s="61" t="str">
        <f t="shared" si="89"/>
        <v/>
      </c>
      <c r="DX52" s="50" t="str">
        <f t="shared" si="89"/>
        <v/>
      </c>
      <c r="DY52" s="50" t="str">
        <f t="shared" si="89"/>
        <v/>
      </c>
      <c r="DZ52" s="50" t="str">
        <f t="shared" si="89"/>
        <v/>
      </c>
      <c r="EA52" s="50" t="str">
        <f t="shared" si="89"/>
        <v/>
      </c>
      <c r="EB52" s="50" t="str">
        <f t="shared" si="89"/>
        <v/>
      </c>
      <c r="EC52" s="50" t="str">
        <f t="shared" si="89"/>
        <v/>
      </c>
      <c r="ED52" s="50" t="str">
        <f t="shared" si="89"/>
        <v/>
      </c>
      <c r="EE52" s="50" t="str">
        <f t="shared" si="89"/>
        <v/>
      </c>
      <c r="EF52" s="50" t="str">
        <f t="shared" si="89"/>
        <v/>
      </c>
      <c r="EG52" s="50" t="str">
        <f t="shared" si="89"/>
        <v/>
      </c>
      <c r="EH52" s="50" t="str">
        <f t="shared" si="89"/>
        <v/>
      </c>
      <c r="EI52" s="50" t="str">
        <f t="shared" si="89"/>
        <v/>
      </c>
      <c r="EJ52" s="50" t="str">
        <f t="shared" si="89"/>
        <v/>
      </c>
      <c r="EK52" s="50" t="str">
        <f t="shared" si="89"/>
        <v/>
      </c>
      <c r="EL52" s="50" t="str">
        <f t="shared" si="89"/>
        <v/>
      </c>
      <c r="EM52" s="50" t="str">
        <f t="shared" si="90"/>
        <v/>
      </c>
      <c r="EN52" s="50" t="str">
        <f t="shared" si="90"/>
        <v/>
      </c>
      <c r="EO52" s="50" t="str">
        <f t="shared" si="90"/>
        <v/>
      </c>
      <c r="EP52" s="50" t="str">
        <f t="shared" si="90"/>
        <v/>
      </c>
      <c r="EQ52" s="50" t="str">
        <f t="shared" si="90"/>
        <v/>
      </c>
      <c r="ER52" s="50" t="str">
        <f t="shared" si="90"/>
        <v/>
      </c>
      <c r="ES52" s="50" t="str">
        <f t="shared" si="90"/>
        <v/>
      </c>
      <c r="ET52" s="50" t="str">
        <f t="shared" si="90"/>
        <v/>
      </c>
      <c r="EU52" s="50" t="str">
        <f t="shared" si="90"/>
        <v/>
      </c>
      <c r="EV52" s="50" t="str">
        <f t="shared" si="90"/>
        <v/>
      </c>
      <c r="EW52" s="50" t="str">
        <f t="shared" si="90"/>
        <v/>
      </c>
      <c r="EX52" s="50" t="str">
        <f t="shared" si="90"/>
        <v/>
      </c>
      <c r="EY52" s="50" t="str">
        <f t="shared" si="90"/>
        <v/>
      </c>
      <c r="EZ52" s="50" t="str">
        <f t="shared" si="90"/>
        <v/>
      </c>
      <c r="FA52" s="50" t="str">
        <f t="shared" si="90"/>
        <v/>
      </c>
      <c r="FB52" s="50" t="str">
        <f t="shared" si="90"/>
        <v/>
      </c>
      <c r="FC52" s="50" t="str">
        <f t="shared" si="91"/>
        <v/>
      </c>
      <c r="FD52" s="50" t="str">
        <f t="shared" si="91"/>
        <v/>
      </c>
      <c r="FE52" s="50" t="str">
        <f t="shared" si="91"/>
        <v/>
      </c>
      <c r="FF52" s="50" t="str">
        <f t="shared" si="91"/>
        <v/>
      </c>
      <c r="FG52" s="50" t="str">
        <f t="shared" si="91"/>
        <v/>
      </c>
      <c r="FH52" s="50" t="str">
        <f t="shared" si="91"/>
        <v/>
      </c>
      <c r="FI52" s="50" t="str">
        <f t="shared" si="91"/>
        <v/>
      </c>
      <c r="FJ52" s="50" t="str">
        <f t="shared" si="91"/>
        <v/>
      </c>
      <c r="FK52" s="50" t="str">
        <f t="shared" si="91"/>
        <v/>
      </c>
      <c r="FL52" s="50" t="str">
        <f t="shared" si="91"/>
        <v/>
      </c>
      <c r="FM52" s="50" t="str">
        <f t="shared" si="91"/>
        <v/>
      </c>
      <c r="FN52" s="50" t="str">
        <f t="shared" si="91"/>
        <v/>
      </c>
      <c r="FO52" s="50" t="str">
        <f t="shared" si="91"/>
        <v/>
      </c>
      <c r="FP52" s="50" t="str">
        <f t="shared" si="91"/>
        <v/>
      </c>
      <c r="FQ52" s="50" t="str">
        <f t="shared" si="91"/>
        <v/>
      </c>
      <c r="FR52" s="50" t="str">
        <f t="shared" si="91"/>
        <v/>
      </c>
      <c r="FS52" s="50" t="str">
        <f t="shared" si="92"/>
        <v/>
      </c>
      <c r="FT52" s="50" t="str">
        <f t="shared" si="92"/>
        <v/>
      </c>
      <c r="FU52" s="50" t="str">
        <f t="shared" si="92"/>
        <v/>
      </c>
      <c r="FV52" s="50" t="str">
        <f t="shared" si="92"/>
        <v/>
      </c>
      <c r="FW52" s="50" t="str">
        <f t="shared" si="92"/>
        <v/>
      </c>
      <c r="FX52" s="50" t="str">
        <f t="shared" si="92"/>
        <v/>
      </c>
      <c r="FY52" s="50" t="str">
        <f t="shared" si="92"/>
        <v/>
      </c>
      <c r="FZ52" s="50" t="str">
        <f t="shared" si="92"/>
        <v/>
      </c>
      <c r="GA52" s="50" t="str">
        <f t="shared" si="92"/>
        <v/>
      </c>
      <c r="GB52" s="50" t="str">
        <f t="shared" si="92"/>
        <v/>
      </c>
      <c r="GC52" s="50" t="str">
        <f t="shared" si="92"/>
        <v/>
      </c>
      <c r="GD52" s="50" t="str">
        <f t="shared" si="92"/>
        <v/>
      </c>
      <c r="GE52" s="50" t="str">
        <f t="shared" si="92"/>
        <v/>
      </c>
      <c r="GF52" s="50" t="str">
        <f t="shared" si="92"/>
        <v/>
      </c>
      <c r="GG52" s="50" t="str">
        <f t="shared" si="92"/>
        <v/>
      </c>
      <c r="GH52" s="50" t="str">
        <f t="shared" si="92"/>
        <v/>
      </c>
      <c r="GI52" s="50" t="str">
        <f t="shared" si="92"/>
        <v/>
      </c>
      <c r="GJ52" s="50" t="str">
        <f t="shared" si="92"/>
        <v/>
      </c>
      <c r="GK52" s="50" t="str">
        <f t="shared" si="92"/>
        <v/>
      </c>
      <c r="GL52" s="50" t="str">
        <f t="shared" si="92"/>
        <v/>
      </c>
      <c r="GM52" s="50" t="str">
        <f t="shared" si="92"/>
        <v/>
      </c>
      <c r="GN52" s="50" t="str">
        <f t="shared" si="92"/>
        <v/>
      </c>
      <c r="GO52" s="50" t="str">
        <f t="shared" si="92"/>
        <v/>
      </c>
      <c r="GP52" s="50" t="str">
        <f t="shared" si="92"/>
        <v/>
      </c>
      <c r="GQ52" s="50" t="str">
        <f t="shared" si="92"/>
        <v/>
      </c>
      <c r="GR52" s="50" t="str">
        <f t="shared" si="92"/>
        <v/>
      </c>
      <c r="GS52" s="50" t="str">
        <f t="shared" si="92"/>
        <v/>
      </c>
      <c r="GT52" s="50" t="str">
        <f t="shared" si="92"/>
        <v/>
      </c>
      <c r="GU52" s="50" t="str">
        <f t="shared" si="92"/>
        <v/>
      </c>
      <c r="GV52" s="50" t="str">
        <f t="shared" si="92"/>
        <v/>
      </c>
      <c r="GW52" s="50" t="str">
        <f t="shared" si="92"/>
        <v/>
      </c>
      <c r="GX52" s="50" t="str">
        <f t="shared" si="92"/>
        <v/>
      </c>
      <c r="GY52" s="50" t="str">
        <f t="shared" si="92"/>
        <v/>
      </c>
      <c r="GZ52" s="50" t="str">
        <f t="shared" si="92"/>
        <v/>
      </c>
      <c r="HA52" s="50" t="str">
        <f t="shared" si="92"/>
        <v/>
      </c>
      <c r="HB52" s="50" t="str">
        <f t="shared" si="92"/>
        <v/>
      </c>
      <c r="HC52" s="50" t="str">
        <f t="shared" si="92"/>
        <v/>
      </c>
      <c r="HD52" s="50" t="str">
        <f t="shared" si="92"/>
        <v/>
      </c>
      <c r="HE52" s="50" t="str">
        <f t="shared" si="92"/>
        <v/>
      </c>
      <c r="HF52" s="50" t="str">
        <f t="shared" si="92"/>
        <v/>
      </c>
      <c r="HG52" s="50" t="str">
        <f t="shared" si="92"/>
        <v/>
      </c>
      <c r="HH52" s="50" t="str">
        <f t="shared" si="92"/>
        <v/>
      </c>
      <c r="HI52" s="50" t="str">
        <f t="shared" si="92"/>
        <v/>
      </c>
      <c r="HJ52" s="50" t="str">
        <f t="shared" si="92"/>
        <v/>
      </c>
      <c r="HK52" s="50" t="str">
        <f t="shared" si="92"/>
        <v/>
      </c>
      <c r="HL52" s="50" t="str">
        <f t="shared" si="92"/>
        <v/>
      </c>
      <c r="HM52" s="50" t="str">
        <f t="shared" si="92"/>
        <v/>
      </c>
      <c r="HN52" s="50" t="str">
        <f t="shared" si="92"/>
        <v/>
      </c>
      <c r="HO52" s="50" t="str">
        <f t="shared" si="92"/>
        <v/>
      </c>
      <c r="HP52" s="50" t="str">
        <f t="shared" si="92"/>
        <v/>
      </c>
      <c r="HQ52" s="50" t="str">
        <f t="shared" si="92"/>
        <v/>
      </c>
      <c r="HR52" s="112" t="str">
        <f t="shared" si="92"/>
        <v/>
      </c>
    </row>
    <row r="53" spans="1:226" ht="11.1" customHeight="1" x14ac:dyDescent="0.25">
      <c r="A53" s="26"/>
      <c r="B53" s="27"/>
      <c r="C53" s="28" t="str">
        <f>IF(A53=0,"",VLOOKUP(A53,[2]CO!$A$3:$F$5327,2,0))</f>
        <v/>
      </c>
      <c r="D53" s="29"/>
      <c r="E53" s="29"/>
      <c r="F53" s="101" t="str">
        <f t="shared" si="82"/>
        <v/>
      </c>
      <c r="G53" s="30" t="str">
        <f>IF(A53=0,"",VLOOKUP(A53,[2]CO!$A$3:$F$5327,3,0))</f>
        <v/>
      </c>
      <c r="H53" s="95"/>
      <c r="I53" s="31"/>
      <c r="J53" s="31"/>
      <c r="K53" s="31"/>
      <c r="L53" s="31"/>
      <c r="M53" s="32" t="str">
        <f t="shared" si="83"/>
        <v/>
      </c>
      <c r="N53" s="32" t="str">
        <f>IF(B53=0,"",IF(H53="M",HLOOKUP(B53,$Y$12:$DT$13,2),IF(A53=0,"",VLOOKUP(A53,[2]CO!$A$3:$F$5327,4,0))))</f>
        <v/>
      </c>
      <c r="O53" s="32" t="str">
        <f t="shared" si="7"/>
        <v/>
      </c>
      <c r="P53" s="33"/>
      <c r="Q53" s="34" t="str">
        <f t="shared" si="84"/>
        <v/>
      </c>
      <c r="R53" s="35"/>
      <c r="T53" s="53" t="str">
        <f>IF(A53=0,"",VLOOKUP(A53,[2]CO!$A$3:$F$5318,5,0))</f>
        <v/>
      </c>
      <c r="U53" s="54">
        <f t="shared" si="48"/>
        <v>0</v>
      </c>
      <c r="V53" s="24"/>
      <c r="W53" s="25"/>
      <c r="X53" s="25"/>
      <c r="Y53" s="64" t="str">
        <f t="shared" si="85"/>
        <v/>
      </c>
      <c r="Z53" s="55" t="str">
        <f t="shared" si="85"/>
        <v/>
      </c>
      <c r="AA53" s="55" t="str">
        <f t="shared" si="85"/>
        <v/>
      </c>
      <c r="AB53" s="55" t="str">
        <f t="shared" si="85"/>
        <v/>
      </c>
      <c r="AC53" s="55" t="str">
        <f t="shared" si="85"/>
        <v/>
      </c>
      <c r="AD53" s="55" t="str">
        <f t="shared" si="85"/>
        <v/>
      </c>
      <c r="AE53" s="55" t="str">
        <f t="shared" si="85"/>
        <v/>
      </c>
      <c r="AF53" s="55" t="str">
        <f t="shared" si="85"/>
        <v/>
      </c>
      <c r="AG53" s="55" t="str">
        <f t="shared" si="85"/>
        <v/>
      </c>
      <c r="AH53" s="55" t="str">
        <f t="shared" si="85"/>
        <v/>
      </c>
      <c r="AI53" s="55" t="str">
        <f t="shared" si="85"/>
        <v/>
      </c>
      <c r="AJ53" s="55" t="str">
        <f t="shared" si="85"/>
        <v/>
      </c>
      <c r="AK53" s="55" t="str">
        <f t="shared" si="85"/>
        <v/>
      </c>
      <c r="AL53" s="55" t="str">
        <f t="shared" si="85"/>
        <v/>
      </c>
      <c r="AM53" s="55" t="str">
        <f t="shared" si="85"/>
        <v/>
      </c>
      <c r="AN53" s="55" t="str">
        <f t="shared" si="85"/>
        <v/>
      </c>
      <c r="AO53" s="55" t="str">
        <f t="shared" si="86"/>
        <v/>
      </c>
      <c r="AP53" s="55" t="str">
        <f t="shared" si="86"/>
        <v/>
      </c>
      <c r="AQ53" s="55" t="str">
        <f t="shared" si="86"/>
        <v/>
      </c>
      <c r="AR53" s="55" t="str">
        <f t="shared" si="86"/>
        <v/>
      </c>
      <c r="AS53" s="55" t="str">
        <f t="shared" si="86"/>
        <v/>
      </c>
      <c r="AT53" s="55" t="str">
        <f t="shared" si="86"/>
        <v/>
      </c>
      <c r="AU53" s="55" t="str">
        <f t="shared" si="86"/>
        <v/>
      </c>
      <c r="AV53" s="55" t="str">
        <f t="shared" si="86"/>
        <v/>
      </c>
      <c r="AW53" s="55" t="str">
        <f t="shared" si="86"/>
        <v/>
      </c>
      <c r="AX53" s="55" t="str">
        <f t="shared" si="86"/>
        <v/>
      </c>
      <c r="AY53" s="55" t="str">
        <f t="shared" si="86"/>
        <v/>
      </c>
      <c r="AZ53" s="55" t="str">
        <f t="shared" si="86"/>
        <v/>
      </c>
      <c r="BA53" s="55" t="str">
        <f t="shared" si="86"/>
        <v/>
      </c>
      <c r="BB53" s="55" t="str">
        <f t="shared" si="86"/>
        <v/>
      </c>
      <c r="BC53" s="55" t="str">
        <f t="shared" si="86"/>
        <v/>
      </c>
      <c r="BD53" s="55" t="str">
        <f t="shared" si="86"/>
        <v/>
      </c>
      <c r="BE53" s="55" t="str">
        <f t="shared" si="87"/>
        <v/>
      </c>
      <c r="BF53" s="55" t="str">
        <f t="shared" si="87"/>
        <v/>
      </c>
      <c r="BG53" s="55" t="str">
        <f t="shared" si="87"/>
        <v/>
      </c>
      <c r="BH53" s="55" t="str">
        <f t="shared" si="87"/>
        <v/>
      </c>
      <c r="BI53" s="55" t="str">
        <f t="shared" si="87"/>
        <v/>
      </c>
      <c r="BJ53" s="55" t="str">
        <f t="shared" si="87"/>
        <v/>
      </c>
      <c r="BK53" s="55" t="str">
        <f t="shared" si="87"/>
        <v/>
      </c>
      <c r="BL53" s="55" t="str">
        <f t="shared" si="87"/>
        <v/>
      </c>
      <c r="BM53" s="55" t="str">
        <f t="shared" si="87"/>
        <v/>
      </c>
      <c r="BN53" s="55" t="str">
        <f t="shared" si="87"/>
        <v/>
      </c>
      <c r="BO53" s="55" t="str">
        <f t="shared" si="87"/>
        <v/>
      </c>
      <c r="BP53" s="55" t="str">
        <f t="shared" si="87"/>
        <v/>
      </c>
      <c r="BQ53" s="55" t="str">
        <f t="shared" si="87"/>
        <v/>
      </c>
      <c r="BR53" s="55" t="str">
        <f t="shared" si="87"/>
        <v/>
      </c>
      <c r="BS53" s="55" t="str">
        <f t="shared" si="87"/>
        <v/>
      </c>
      <c r="BT53" s="55" t="str">
        <f t="shared" si="87"/>
        <v/>
      </c>
      <c r="BU53" s="55" t="str">
        <f t="shared" si="88"/>
        <v/>
      </c>
      <c r="BV53" s="55" t="str">
        <f t="shared" si="88"/>
        <v/>
      </c>
      <c r="BW53" s="55" t="str">
        <f t="shared" si="88"/>
        <v/>
      </c>
      <c r="BX53" s="55" t="str">
        <f t="shared" si="88"/>
        <v/>
      </c>
      <c r="BY53" s="55" t="str">
        <f t="shared" si="88"/>
        <v/>
      </c>
      <c r="BZ53" s="55" t="str">
        <f t="shared" si="88"/>
        <v/>
      </c>
      <c r="CA53" s="55" t="str">
        <f t="shared" si="88"/>
        <v/>
      </c>
      <c r="CB53" s="55" t="str">
        <f t="shared" si="88"/>
        <v/>
      </c>
      <c r="CC53" s="55" t="str">
        <f t="shared" si="88"/>
        <v/>
      </c>
      <c r="CD53" s="55" t="str">
        <f t="shared" si="88"/>
        <v/>
      </c>
      <c r="CE53" s="55" t="str">
        <f t="shared" si="88"/>
        <v/>
      </c>
      <c r="CF53" s="55" t="str">
        <f t="shared" si="88"/>
        <v/>
      </c>
      <c r="CG53" s="55" t="str">
        <f t="shared" si="88"/>
        <v/>
      </c>
      <c r="CH53" s="55" t="str">
        <f t="shared" si="88"/>
        <v/>
      </c>
      <c r="CI53" s="55" t="str">
        <f t="shared" si="88"/>
        <v/>
      </c>
      <c r="CJ53" s="55" t="str">
        <f t="shared" si="88"/>
        <v/>
      </c>
      <c r="CK53" s="55" t="str">
        <f t="shared" si="88"/>
        <v/>
      </c>
      <c r="CL53" s="55" t="str">
        <f t="shared" si="88"/>
        <v/>
      </c>
      <c r="CM53" s="55" t="str">
        <f t="shared" si="88"/>
        <v/>
      </c>
      <c r="CN53" s="55" t="str">
        <f t="shared" si="88"/>
        <v/>
      </c>
      <c r="CO53" s="55" t="str">
        <f t="shared" si="88"/>
        <v/>
      </c>
      <c r="CP53" s="55" t="str">
        <f t="shared" si="88"/>
        <v/>
      </c>
      <c r="CQ53" s="55" t="str">
        <f t="shared" si="88"/>
        <v/>
      </c>
      <c r="CR53" s="55" t="str">
        <f t="shared" si="88"/>
        <v/>
      </c>
      <c r="CS53" s="55" t="str">
        <f t="shared" si="88"/>
        <v/>
      </c>
      <c r="CT53" s="55" t="str">
        <f t="shared" si="88"/>
        <v/>
      </c>
      <c r="CU53" s="55" t="str">
        <f t="shared" si="88"/>
        <v/>
      </c>
      <c r="CV53" s="55" t="str">
        <f t="shared" si="88"/>
        <v/>
      </c>
      <c r="CW53" s="55" t="str">
        <f t="shared" si="88"/>
        <v/>
      </c>
      <c r="CX53" s="55" t="str">
        <f t="shared" si="88"/>
        <v/>
      </c>
      <c r="CY53" s="55" t="str">
        <f t="shared" si="88"/>
        <v/>
      </c>
      <c r="CZ53" s="55" t="str">
        <f t="shared" si="88"/>
        <v/>
      </c>
      <c r="DA53" s="55" t="str">
        <f t="shared" si="88"/>
        <v/>
      </c>
      <c r="DB53" s="55" t="str">
        <f t="shared" si="88"/>
        <v/>
      </c>
      <c r="DC53" s="55" t="str">
        <f t="shared" si="88"/>
        <v/>
      </c>
      <c r="DD53" s="55" t="str">
        <f t="shared" si="88"/>
        <v/>
      </c>
      <c r="DE53" s="55" t="str">
        <f t="shared" si="88"/>
        <v/>
      </c>
      <c r="DF53" s="55" t="str">
        <f t="shared" si="88"/>
        <v/>
      </c>
      <c r="DG53" s="55" t="str">
        <f t="shared" si="88"/>
        <v/>
      </c>
      <c r="DH53" s="55" t="str">
        <f t="shared" si="88"/>
        <v/>
      </c>
      <c r="DI53" s="55" t="str">
        <f t="shared" si="88"/>
        <v/>
      </c>
      <c r="DJ53" s="55" t="str">
        <f t="shared" si="88"/>
        <v/>
      </c>
      <c r="DK53" s="55" t="str">
        <f t="shared" si="88"/>
        <v/>
      </c>
      <c r="DL53" s="55" t="str">
        <f t="shared" si="88"/>
        <v/>
      </c>
      <c r="DM53" s="55" t="str">
        <f t="shared" si="88"/>
        <v/>
      </c>
      <c r="DN53" s="55" t="str">
        <f t="shared" si="88"/>
        <v/>
      </c>
      <c r="DO53" s="55" t="str">
        <f t="shared" si="88"/>
        <v/>
      </c>
      <c r="DP53" s="55" t="str">
        <f t="shared" ref="DP53:DT55" si="93">IF($B53=DP$12,$U53,"")</f>
        <v/>
      </c>
      <c r="DQ53" s="55" t="str">
        <f t="shared" si="93"/>
        <v/>
      </c>
      <c r="DR53" s="55" t="str">
        <f t="shared" si="93"/>
        <v/>
      </c>
      <c r="DS53" s="55" t="str">
        <f t="shared" si="93"/>
        <v/>
      </c>
      <c r="DT53" s="106" t="str">
        <f t="shared" si="93"/>
        <v/>
      </c>
      <c r="DU53" s="54"/>
      <c r="DV53" s="25"/>
      <c r="DW53" s="61" t="str">
        <f t="shared" si="89"/>
        <v/>
      </c>
      <c r="DX53" s="50" t="str">
        <f t="shared" si="89"/>
        <v/>
      </c>
      <c r="DY53" s="50" t="str">
        <f t="shared" si="89"/>
        <v/>
      </c>
      <c r="DZ53" s="50" t="str">
        <f t="shared" si="89"/>
        <v/>
      </c>
      <c r="EA53" s="50" t="str">
        <f t="shared" si="89"/>
        <v/>
      </c>
      <c r="EB53" s="50" t="str">
        <f t="shared" si="89"/>
        <v/>
      </c>
      <c r="EC53" s="50" t="str">
        <f t="shared" si="89"/>
        <v/>
      </c>
      <c r="ED53" s="50" t="str">
        <f t="shared" si="89"/>
        <v/>
      </c>
      <c r="EE53" s="50" t="str">
        <f t="shared" si="89"/>
        <v/>
      </c>
      <c r="EF53" s="50" t="str">
        <f t="shared" si="89"/>
        <v/>
      </c>
      <c r="EG53" s="50" t="str">
        <f t="shared" si="89"/>
        <v/>
      </c>
      <c r="EH53" s="50" t="str">
        <f t="shared" si="89"/>
        <v/>
      </c>
      <c r="EI53" s="50" t="str">
        <f t="shared" si="89"/>
        <v/>
      </c>
      <c r="EJ53" s="50" t="str">
        <f t="shared" si="89"/>
        <v/>
      </c>
      <c r="EK53" s="50" t="str">
        <f t="shared" si="89"/>
        <v/>
      </c>
      <c r="EL53" s="50" t="str">
        <f t="shared" si="89"/>
        <v/>
      </c>
      <c r="EM53" s="50" t="str">
        <f t="shared" si="90"/>
        <v/>
      </c>
      <c r="EN53" s="50" t="str">
        <f t="shared" si="90"/>
        <v/>
      </c>
      <c r="EO53" s="50" t="str">
        <f t="shared" si="90"/>
        <v/>
      </c>
      <c r="EP53" s="50" t="str">
        <f t="shared" si="90"/>
        <v/>
      </c>
      <c r="EQ53" s="50" t="str">
        <f t="shared" si="90"/>
        <v/>
      </c>
      <c r="ER53" s="50" t="str">
        <f t="shared" si="90"/>
        <v/>
      </c>
      <c r="ES53" s="50" t="str">
        <f t="shared" si="90"/>
        <v/>
      </c>
      <c r="ET53" s="50" t="str">
        <f t="shared" si="90"/>
        <v/>
      </c>
      <c r="EU53" s="50" t="str">
        <f t="shared" si="90"/>
        <v/>
      </c>
      <c r="EV53" s="50" t="str">
        <f t="shared" si="90"/>
        <v/>
      </c>
      <c r="EW53" s="50" t="str">
        <f t="shared" si="90"/>
        <v/>
      </c>
      <c r="EX53" s="50" t="str">
        <f t="shared" si="90"/>
        <v/>
      </c>
      <c r="EY53" s="50" t="str">
        <f t="shared" si="90"/>
        <v/>
      </c>
      <c r="EZ53" s="50" t="str">
        <f t="shared" si="90"/>
        <v/>
      </c>
      <c r="FA53" s="50" t="str">
        <f t="shared" si="90"/>
        <v/>
      </c>
      <c r="FB53" s="50" t="str">
        <f t="shared" si="90"/>
        <v/>
      </c>
      <c r="FC53" s="50" t="str">
        <f t="shared" si="91"/>
        <v/>
      </c>
      <c r="FD53" s="50" t="str">
        <f t="shared" si="91"/>
        <v/>
      </c>
      <c r="FE53" s="50" t="str">
        <f t="shared" si="91"/>
        <v/>
      </c>
      <c r="FF53" s="50" t="str">
        <f t="shared" si="91"/>
        <v/>
      </c>
      <c r="FG53" s="50" t="str">
        <f t="shared" si="91"/>
        <v/>
      </c>
      <c r="FH53" s="50" t="str">
        <f t="shared" si="91"/>
        <v/>
      </c>
      <c r="FI53" s="50" t="str">
        <f t="shared" si="91"/>
        <v/>
      </c>
      <c r="FJ53" s="50" t="str">
        <f t="shared" si="91"/>
        <v/>
      </c>
      <c r="FK53" s="50" t="str">
        <f t="shared" si="91"/>
        <v/>
      </c>
      <c r="FL53" s="50" t="str">
        <f t="shared" si="91"/>
        <v/>
      </c>
      <c r="FM53" s="50" t="str">
        <f t="shared" si="91"/>
        <v/>
      </c>
      <c r="FN53" s="50" t="str">
        <f t="shared" si="91"/>
        <v/>
      </c>
      <c r="FO53" s="50" t="str">
        <f t="shared" si="91"/>
        <v/>
      </c>
      <c r="FP53" s="50" t="str">
        <f t="shared" si="91"/>
        <v/>
      </c>
      <c r="FQ53" s="50" t="str">
        <f t="shared" si="91"/>
        <v/>
      </c>
      <c r="FR53" s="50" t="str">
        <f t="shared" si="91"/>
        <v/>
      </c>
      <c r="FS53" s="50" t="str">
        <f t="shared" si="92"/>
        <v/>
      </c>
      <c r="FT53" s="50" t="str">
        <f t="shared" si="92"/>
        <v/>
      </c>
      <c r="FU53" s="50" t="str">
        <f t="shared" si="92"/>
        <v/>
      </c>
      <c r="FV53" s="50" t="str">
        <f t="shared" si="92"/>
        <v/>
      </c>
      <c r="FW53" s="50" t="str">
        <f t="shared" si="92"/>
        <v/>
      </c>
      <c r="FX53" s="50" t="str">
        <f t="shared" si="92"/>
        <v/>
      </c>
      <c r="FY53" s="50" t="str">
        <f t="shared" si="92"/>
        <v/>
      </c>
      <c r="FZ53" s="50" t="str">
        <f t="shared" si="92"/>
        <v/>
      </c>
      <c r="GA53" s="50" t="str">
        <f t="shared" si="92"/>
        <v/>
      </c>
      <c r="GB53" s="50" t="str">
        <f t="shared" si="92"/>
        <v/>
      </c>
      <c r="GC53" s="50" t="str">
        <f t="shared" si="92"/>
        <v/>
      </c>
      <c r="GD53" s="50" t="str">
        <f t="shared" si="92"/>
        <v/>
      </c>
      <c r="GE53" s="50" t="str">
        <f t="shared" si="92"/>
        <v/>
      </c>
      <c r="GF53" s="50" t="str">
        <f t="shared" si="92"/>
        <v/>
      </c>
      <c r="GG53" s="50" t="str">
        <f t="shared" si="92"/>
        <v/>
      </c>
      <c r="GH53" s="50" t="str">
        <f t="shared" si="92"/>
        <v/>
      </c>
      <c r="GI53" s="50" t="str">
        <f t="shared" si="92"/>
        <v/>
      </c>
      <c r="GJ53" s="50" t="str">
        <f t="shared" si="92"/>
        <v/>
      </c>
      <c r="GK53" s="50" t="str">
        <f t="shared" si="92"/>
        <v/>
      </c>
      <c r="GL53" s="50" t="str">
        <f t="shared" si="92"/>
        <v/>
      </c>
      <c r="GM53" s="50" t="str">
        <f t="shared" si="92"/>
        <v/>
      </c>
      <c r="GN53" s="50" t="str">
        <f t="shared" si="92"/>
        <v/>
      </c>
      <c r="GO53" s="50" t="str">
        <f t="shared" si="92"/>
        <v/>
      </c>
      <c r="GP53" s="50" t="str">
        <f t="shared" si="92"/>
        <v/>
      </c>
      <c r="GQ53" s="50" t="str">
        <f t="shared" si="92"/>
        <v/>
      </c>
      <c r="GR53" s="50" t="str">
        <f t="shared" si="92"/>
        <v/>
      </c>
      <c r="GS53" s="50" t="str">
        <f t="shared" si="92"/>
        <v/>
      </c>
      <c r="GT53" s="50" t="str">
        <f t="shared" si="92"/>
        <v/>
      </c>
      <c r="GU53" s="50" t="str">
        <f t="shared" si="92"/>
        <v/>
      </c>
      <c r="GV53" s="50" t="str">
        <f t="shared" si="92"/>
        <v/>
      </c>
      <c r="GW53" s="50" t="str">
        <f t="shared" si="92"/>
        <v/>
      </c>
      <c r="GX53" s="50" t="str">
        <f t="shared" si="92"/>
        <v/>
      </c>
      <c r="GY53" s="50" t="str">
        <f t="shared" si="92"/>
        <v/>
      </c>
      <c r="GZ53" s="50" t="str">
        <f t="shared" si="92"/>
        <v/>
      </c>
      <c r="HA53" s="50" t="str">
        <f t="shared" si="92"/>
        <v/>
      </c>
      <c r="HB53" s="50" t="str">
        <f t="shared" si="92"/>
        <v/>
      </c>
      <c r="HC53" s="50" t="str">
        <f t="shared" si="92"/>
        <v/>
      </c>
      <c r="HD53" s="50" t="str">
        <f t="shared" si="92"/>
        <v/>
      </c>
      <c r="HE53" s="50" t="str">
        <f t="shared" si="92"/>
        <v/>
      </c>
      <c r="HF53" s="50" t="str">
        <f t="shared" si="92"/>
        <v/>
      </c>
      <c r="HG53" s="50" t="str">
        <f t="shared" si="92"/>
        <v/>
      </c>
      <c r="HH53" s="50" t="str">
        <f t="shared" si="92"/>
        <v/>
      </c>
      <c r="HI53" s="50" t="str">
        <f t="shared" si="92"/>
        <v/>
      </c>
      <c r="HJ53" s="50" t="str">
        <f t="shared" si="92"/>
        <v/>
      </c>
      <c r="HK53" s="50" t="str">
        <f t="shared" si="92"/>
        <v/>
      </c>
      <c r="HL53" s="50" t="str">
        <f t="shared" si="92"/>
        <v/>
      </c>
      <c r="HM53" s="50" t="str">
        <f t="shared" si="92"/>
        <v/>
      </c>
      <c r="HN53" s="50" t="str">
        <f t="shared" ref="HN53:HR55" si="94">IF($B53=HN$12,$O53,"")</f>
        <v/>
      </c>
      <c r="HO53" s="50" t="str">
        <f t="shared" si="94"/>
        <v/>
      </c>
      <c r="HP53" s="50" t="str">
        <f t="shared" si="94"/>
        <v/>
      </c>
      <c r="HQ53" s="50" t="str">
        <f t="shared" si="94"/>
        <v/>
      </c>
      <c r="HR53" s="112" t="str">
        <f t="shared" si="94"/>
        <v/>
      </c>
    </row>
    <row r="54" spans="1:226" ht="11.1" customHeight="1" x14ac:dyDescent="0.25">
      <c r="A54" s="26"/>
      <c r="B54" s="27"/>
      <c r="C54" s="28" t="str">
        <f>IF(A54=0,"",VLOOKUP(A54,[2]CO!$A$3:$F$5327,2,0))</f>
        <v/>
      </c>
      <c r="D54" s="29"/>
      <c r="E54" s="29"/>
      <c r="F54" s="101" t="str">
        <f t="shared" si="82"/>
        <v/>
      </c>
      <c r="G54" s="30" t="str">
        <f>IF(A54=0,"",VLOOKUP(A54,[2]CO!$A$3:$F$5327,3,0))</f>
        <v/>
      </c>
      <c r="H54" s="95"/>
      <c r="I54" s="31"/>
      <c r="J54" s="31"/>
      <c r="K54" s="31"/>
      <c r="L54" s="31"/>
      <c r="M54" s="32" t="str">
        <f t="shared" si="83"/>
        <v/>
      </c>
      <c r="N54" s="32" t="str">
        <f>IF(B54=0,"",IF(H54="M",HLOOKUP(B54,$Y$12:$DT$13,2),IF(A54=0,"",VLOOKUP(A54,[2]CO!$A$3:$F$5327,4,0))))</f>
        <v/>
      </c>
      <c r="O54" s="32" t="str">
        <f t="shared" si="7"/>
        <v/>
      </c>
      <c r="P54" s="33"/>
      <c r="Q54" s="34" t="str">
        <f t="shared" si="84"/>
        <v/>
      </c>
      <c r="R54" s="35"/>
      <c r="T54" s="53" t="str">
        <f>IF(A54=0,"",VLOOKUP(A54,[2]CO!$A$3:$F$5318,5,0))</f>
        <v/>
      </c>
      <c r="U54" s="54">
        <f t="shared" si="48"/>
        <v>0</v>
      </c>
      <c r="V54" s="24"/>
      <c r="W54" s="25"/>
      <c r="X54" s="25"/>
      <c r="Y54" s="64" t="str">
        <f t="shared" si="85"/>
        <v/>
      </c>
      <c r="Z54" s="55" t="str">
        <f t="shared" si="85"/>
        <v/>
      </c>
      <c r="AA54" s="55" t="str">
        <f t="shared" si="85"/>
        <v/>
      </c>
      <c r="AB54" s="55" t="str">
        <f t="shared" si="85"/>
        <v/>
      </c>
      <c r="AC54" s="55" t="str">
        <f t="shared" si="85"/>
        <v/>
      </c>
      <c r="AD54" s="55" t="str">
        <f t="shared" si="85"/>
        <v/>
      </c>
      <c r="AE54" s="55" t="str">
        <f t="shared" si="85"/>
        <v/>
      </c>
      <c r="AF54" s="55" t="str">
        <f t="shared" si="85"/>
        <v/>
      </c>
      <c r="AG54" s="55" t="str">
        <f t="shared" si="85"/>
        <v/>
      </c>
      <c r="AH54" s="55" t="str">
        <f t="shared" si="85"/>
        <v/>
      </c>
      <c r="AI54" s="55" t="str">
        <f t="shared" si="85"/>
        <v/>
      </c>
      <c r="AJ54" s="55" t="str">
        <f t="shared" si="85"/>
        <v/>
      </c>
      <c r="AK54" s="55" t="str">
        <f t="shared" si="85"/>
        <v/>
      </c>
      <c r="AL54" s="55" t="str">
        <f t="shared" si="85"/>
        <v/>
      </c>
      <c r="AM54" s="55" t="str">
        <f t="shared" si="85"/>
        <v/>
      </c>
      <c r="AN54" s="55" t="str">
        <f t="shared" si="85"/>
        <v/>
      </c>
      <c r="AO54" s="55" t="str">
        <f t="shared" si="86"/>
        <v/>
      </c>
      <c r="AP54" s="55" t="str">
        <f t="shared" si="86"/>
        <v/>
      </c>
      <c r="AQ54" s="55" t="str">
        <f t="shared" si="86"/>
        <v/>
      </c>
      <c r="AR54" s="55" t="str">
        <f t="shared" si="86"/>
        <v/>
      </c>
      <c r="AS54" s="55" t="str">
        <f t="shared" si="86"/>
        <v/>
      </c>
      <c r="AT54" s="55" t="str">
        <f t="shared" si="86"/>
        <v/>
      </c>
      <c r="AU54" s="55" t="str">
        <f t="shared" si="86"/>
        <v/>
      </c>
      <c r="AV54" s="55" t="str">
        <f t="shared" si="86"/>
        <v/>
      </c>
      <c r="AW54" s="55" t="str">
        <f t="shared" si="86"/>
        <v/>
      </c>
      <c r="AX54" s="55" t="str">
        <f t="shared" si="86"/>
        <v/>
      </c>
      <c r="AY54" s="55" t="str">
        <f t="shared" si="86"/>
        <v/>
      </c>
      <c r="AZ54" s="55" t="str">
        <f t="shared" si="86"/>
        <v/>
      </c>
      <c r="BA54" s="55" t="str">
        <f t="shared" si="86"/>
        <v/>
      </c>
      <c r="BB54" s="55" t="str">
        <f t="shared" si="86"/>
        <v/>
      </c>
      <c r="BC54" s="55" t="str">
        <f t="shared" si="86"/>
        <v/>
      </c>
      <c r="BD54" s="55" t="str">
        <f t="shared" si="86"/>
        <v/>
      </c>
      <c r="BE54" s="55" t="str">
        <f t="shared" si="87"/>
        <v/>
      </c>
      <c r="BF54" s="55" t="str">
        <f t="shared" si="87"/>
        <v/>
      </c>
      <c r="BG54" s="55" t="str">
        <f t="shared" si="87"/>
        <v/>
      </c>
      <c r="BH54" s="55" t="str">
        <f t="shared" si="87"/>
        <v/>
      </c>
      <c r="BI54" s="55" t="str">
        <f t="shared" si="87"/>
        <v/>
      </c>
      <c r="BJ54" s="55" t="str">
        <f t="shared" si="87"/>
        <v/>
      </c>
      <c r="BK54" s="55" t="str">
        <f t="shared" si="87"/>
        <v/>
      </c>
      <c r="BL54" s="55" t="str">
        <f t="shared" si="87"/>
        <v/>
      </c>
      <c r="BM54" s="55" t="str">
        <f t="shared" si="87"/>
        <v/>
      </c>
      <c r="BN54" s="55" t="str">
        <f t="shared" si="87"/>
        <v/>
      </c>
      <c r="BO54" s="55" t="str">
        <f t="shared" si="87"/>
        <v/>
      </c>
      <c r="BP54" s="55" t="str">
        <f t="shared" si="87"/>
        <v/>
      </c>
      <c r="BQ54" s="55" t="str">
        <f t="shared" si="87"/>
        <v/>
      </c>
      <c r="BR54" s="55" t="str">
        <f t="shared" si="87"/>
        <v/>
      </c>
      <c r="BS54" s="55" t="str">
        <f t="shared" si="87"/>
        <v/>
      </c>
      <c r="BT54" s="55" t="str">
        <f t="shared" si="87"/>
        <v/>
      </c>
      <c r="BU54" s="55" t="str">
        <f t="shared" ref="BU54:DP55" si="95">IF($B54=BU$12,$U54,"")</f>
        <v/>
      </c>
      <c r="BV54" s="55" t="str">
        <f t="shared" si="95"/>
        <v/>
      </c>
      <c r="BW54" s="55" t="str">
        <f t="shared" si="95"/>
        <v/>
      </c>
      <c r="BX54" s="55" t="str">
        <f t="shared" si="95"/>
        <v/>
      </c>
      <c r="BY54" s="55" t="str">
        <f t="shared" si="95"/>
        <v/>
      </c>
      <c r="BZ54" s="55" t="str">
        <f t="shared" si="95"/>
        <v/>
      </c>
      <c r="CA54" s="55" t="str">
        <f t="shared" si="95"/>
        <v/>
      </c>
      <c r="CB54" s="55" t="str">
        <f t="shared" si="95"/>
        <v/>
      </c>
      <c r="CC54" s="55" t="str">
        <f t="shared" si="95"/>
        <v/>
      </c>
      <c r="CD54" s="55" t="str">
        <f t="shared" si="95"/>
        <v/>
      </c>
      <c r="CE54" s="55" t="str">
        <f t="shared" si="95"/>
        <v/>
      </c>
      <c r="CF54" s="55" t="str">
        <f t="shared" si="95"/>
        <v/>
      </c>
      <c r="CG54" s="55" t="str">
        <f t="shared" si="95"/>
        <v/>
      </c>
      <c r="CH54" s="55" t="str">
        <f t="shared" si="95"/>
        <v/>
      </c>
      <c r="CI54" s="55" t="str">
        <f t="shared" si="95"/>
        <v/>
      </c>
      <c r="CJ54" s="55" t="str">
        <f t="shared" si="95"/>
        <v/>
      </c>
      <c r="CK54" s="55" t="str">
        <f t="shared" si="95"/>
        <v/>
      </c>
      <c r="CL54" s="55" t="str">
        <f t="shared" si="95"/>
        <v/>
      </c>
      <c r="CM54" s="55" t="str">
        <f t="shared" si="95"/>
        <v/>
      </c>
      <c r="CN54" s="55" t="str">
        <f t="shared" si="95"/>
        <v/>
      </c>
      <c r="CO54" s="55" t="str">
        <f t="shared" si="95"/>
        <v/>
      </c>
      <c r="CP54" s="55" t="str">
        <f t="shared" si="95"/>
        <v/>
      </c>
      <c r="CQ54" s="55" t="str">
        <f t="shared" si="95"/>
        <v/>
      </c>
      <c r="CR54" s="55" t="str">
        <f t="shared" si="95"/>
        <v/>
      </c>
      <c r="CS54" s="55" t="str">
        <f t="shared" si="95"/>
        <v/>
      </c>
      <c r="CT54" s="55" t="str">
        <f t="shared" si="95"/>
        <v/>
      </c>
      <c r="CU54" s="55" t="str">
        <f t="shared" si="95"/>
        <v/>
      </c>
      <c r="CV54" s="55" t="str">
        <f t="shared" si="95"/>
        <v/>
      </c>
      <c r="CW54" s="55" t="str">
        <f t="shared" si="95"/>
        <v/>
      </c>
      <c r="CX54" s="55" t="str">
        <f t="shared" si="95"/>
        <v/>
      </c>
      <c r="CY54" s="55" t="str">
        <f t="shared" si="95"/>
        <v/>
      </c>
      <c r="CZ54" s="55" t="str">
        <f t="shared" si="95"/>
        <v/>
      </c>
      <c r="DA54" s="55" t="str">
        <f t="shared" si="95"/>
        <v/>
      </c>
      <c r="DB54" s="55" t="str">
        <f t="shared" si="95"/>
        <v/>
      </c>
      <c r="DC54" s="55" t="str">
        <f t="shared" si="95"/>
        <v/>
      </c>
      <c r="DD54" s="55" t="str">
        <f t="shared" si="95"/>
        <v/>
      </c>
      <c r="DE54" s="55" t="str">
        <f t="shared" si="95"/>
        <v/>
      </c>
      <c r="DF54" s="55" t="str">
        <f t="shared" si="95"/>
        <v/>
      </c>
      <c r="DG54" s="55" t="str">
        <f t="shared" si="95"/>
        <v/>
      </c>
      <c r="DH54" s="55" t="str">
        <f t="shared" si="95"/>
        <v/>
      </c>
      <c r="DI54" s="55" t="str">
        <f t="shared" si="95"/>
        <v/>
      </c>
      <c r="DJ54" s="55" t="str">
        <f t="shared" si="95"/>
        <v/>
      </c>
      <c r="DK54" s="55" t="str">
        <f t="shared" si="95"/>
        <v/>
      </c>
      <c r="DL54" s="55" t="str">
        <f t="shared" si="95"/>
        <v/>
      </c>
      <c r="DM54" s="55" t="str">
        <f t="shared" si="95"/>
        <v/>
      </c>
      <c r="DN54" s="55" t="str">
        <f t="shared" si="95"/>
        <v/>
      </c>
      <c r="DO54" s="55" t="str">
        <f t="shared" si="95"/>
        <v/>
      </c>
      <c r="DP54" s="55" t="str">
        <f t="shared" si="93"/>
        <v/>
      </c>
      <c r="DQ54" s="55" t="str">
        <f t="shared" si="93"/>
        <v/>
      </c>
      <c r="DR54" s="55" t="str">
        <f t="shared" si="93"/>
        <v/>
      </c>
      <c r="DS54" s="55" t="str">
        <f t="shared" si="93"/>
        <v/>
      </c>
      <c r="DT54" s="106" t="str">
        <f t="shared" si="93"/>
        <v/>
      </c>
      <c r="DU54" s="54"/>
      <c r="DV54" s="25"/>
      <c r="DW54" s="61" t="str">
        <f t="shared" si="89"/>
        <v/>
      </c>
      <c r="DX54" s="50" t="str">
        <f t="shared" si="89"/>
        <v/>
      </c>
      <c r="DY54" s="50" t="str">
        <f t="shared" si="89"/>
        <v/>
      </c>
      <c r="DZ54" s="50" t="str">
        <f t="shared" si="89"/>
        <v/>
      </c>
      <c r="EA54" s="50" t="str">
        <f t="shared" si="89"/>
        <v/>
      </c>
      <c r="EB54" s="50" t="str">
        <f t="shared" si="89"/>
        <v/>
      </c>
      <c r="EC54" s="50" t="str">
        <f t="shared" si="89"/>
        <v/>
      </c>
      <c r="ED54" s="50" t="str">
        <f t="shared" si="89"/>
        <v/>
      </c>
      <c r="EE54" s="50" t="str">
        <f t="shared" si="89"/>
        <v/>
      </c>
      <c r="EF54" s="50" t="str">
        <f t="shared" si="89"/>
        <v/>
      </c>
      <c r="EG54" s="50" t="str">
        <f t="shared" si="89"/>
        <v/>
      </c>
      <c r="EH54" s="50" t="str">
        <f t="shared" si="89"/>
        <v/>
      </c>
      <c r="EI54" s="50" t="str">
        <f t="shared" si="89"/>
        <v/>
      </c>
      <c r="EJ54" s="50" t="str">
        <f t="shared" si="89"/>
        <v/>
      </c>
      <c r="EK54" s="50" t="str">
        <f t="shared" si="89"/>
        <v/>
      </c>
      <c r="EL54" s="50" t="str">
        <f t="shared" si="89"/>
        <v/>
      </c>
      <c r="EM54" s="50" t="str">
        <f t="shared" si="90"/>
        <v/>
      </c>
      <c r="EN54" s="50" t="str">
        <f t="shared" si="90"/>
        <v/>
      </c>
      <c r="EO54" s="50" t="str">
        <f t="shared" si="90"/>
        <v/>
      </c>
      <c r="EP54" s="50" t="str">
        <f t="shared" si="90"/>
        <v/>
      </c>
      <c r="EQ54" s="50" t="str">
        <f t="shared" si="90"/>
        <v/>
      </c>
      <c r="ER54" s="50" t="str">
        <f t="shared" si="90"/>
        <v/>
      </c>
      <c r="ES54" s="50" t="str">
        <f t="shared" si="90"/>
        <v/>
      </c>
      <c r="ET54" s="50" t="str">
        <f t="shared" si="90"/>
        <v/>
      </c>
      <c r="EU54" s="50" t="str">
        <f t="shared" si="90"/>
        <v/>
      </c>
      <c r="EV54" s="50" t="str">
        <f t="shared" si="90"/>
        <v/>
      </c>
      <c r="EW54" s="50" t="str">
        <f t="shared" si="90"/>
        <v/>
      </c>
      <c r="EX54" s="50" t="str">
        <f t="shared" si="90"/>
        <v/>
      </c>
      <c r="EY54" s="50" t="str">
        <f t="shared" si="90"/>
        <v/>
      </c>
      <c r="EZ54" s="50" t="str">
        <f t="shared" si="90"/>
        <v/>
      </c>
      <c r="FA54" s="50" t="str">
        <f t="shared" si="90"/>
        <v/>
      </c>
      <c r="FB54" s="50" t="str">
        <f t="shared" si="90"/>
        <v/>
      </c>
      <c r="FC54" s="50" t="str">
        <f t="shared" si="91"/>
        <v/>
      </c>
      <c r="FD54" s="50" t="str">
        <f t="shared" si="91"/>
        <v/>
      </c>
      <c r="FE54" s="50" t="str">
        <f t="shared" si="91"/>
        <v/>
      </c>
      <c r="FF54" s="50" t="str">
        <f t="shared" si="91"/>
        <v/>
      </c>
      <c r="FG54" s="50" t="str">
        <f t="shared" si="91"/>
        <v/>
      </c>
      <c r="FH54" s="50" t="str">
        <f t="shared" si="91"/>
        <v/>
      </c>
      <c r="FI54" s="50" t="str">
        <f t="shared" si="91"/>
        <v/>
      </c>
      <c r="FJ54" s="50" t="str">
        <f t="shared" si="91"/>
        <v/>
      </c>
      <c r="FK54" s="50" t="str">
        <f t="shared" si="91"/>
        <v/>
      </c>
      <c r="FL54" s="50" t="str">
        <f t="shared" si="91"/>
        <v/>
      </c>
      <c r="FM54" s="50" t="str">
        <f t="shared" si="91"/>
        <v/>
      </c>
      <c r="FN54" s="50" t="str">
        <f t="shared" si="91"/>
        <v/>
      </c>
      <c r="FO54" s="50" t="str">
        <f t="shared" si="91"/>
        <v/>
      </c>
      <c r="FP54" s="50" t="str">
        <f t="shared" si="91"/>
        <v/>
      </c>
      <c r="FQ54" s="50" t="str">
        <f t="shared" si="91"/>
        <v/>
      </c>
      <c r="FR54" s="50" t="str">
        <f t="shared" si="91"/>
        <v/>
      </c>
      <c r="FS54" s="50" t="str">
        <f t="shared" ref="FS54:HN55" si="96">IF($B54=FS$12,$O54,"")</f>
        <v/>
      </c>
      <c r="FT54" s="50" t="str">
        <f t="shared" si="96"/>
        <v/>
      </c>
      <c r="FU54" s="50" t="str">
        <f t="shared" si="96"/>
        <v/>
      </c>
      <c r="FV54" s="50" t="str">
        <f t="shared" si="96"/>
        <v/>
      </c>
      <c r="FW54" s="50" t="str">
        <f t="shared" si="96"/>
        <v/>
      </c>
      <c r="FX54" s="50" t="str">
        <f t="shared" si="96"/>
        <v/>
      </c>
      <c r="FY54" s="50" t="str">
        <f t="shared" si="96"/>
        <v/>
      </c>
      <c r="FZ54" s="50" t="str">
        <f t="shared" si="96"/>
        <v/>
      </c>
      <c r="GA54" s="50" t="str">
        <f t="shared" si="96"/>
        <v/>
      </c>
      <c r="GB54" s="50" t="str">
        <f t="shared" si="96"/>
        <v/>
      </c>
      <c r="GC54" s="50" t="str">
        <f t="shared" si="96"/>
        <v/>
      </c>
      <c r="GD54" s="50" t="str">
        <f t="shared" si="96"/>
        <v/>
      </c>
      <c r="GE54" s="50" t="str">
        <f t="shared" si="96"/>
        <v/>
      </c>
      <c r="GF54" s="50" t="str">
        <f t="shared" si="96"/>
        <v/>
      </c>
      <c r="GG54" s="50" t="str">
        <f t="shared" si="96"/>
        <v/>
      </c>
      <c r="GH54" s="50" t="str">
        <f t="shared" si="96"/>
        <v/>
      </c>
      <c r="GI54" s="50" t="str">
        <f t="shared" si="96"/>
        <v/>
      </c>
      <c r="GJ54" s="50" t="str">
        <f t="shared" si="96"/>
        <v/>
      </c>
      <c r="GK54" s="50" t="str">
        <f t="shared" si="96"/>
        <v/>
      </c>
      <c r="GL54" s="50" t="str">
        <f t="shared" si="96"/>
        <v/>
      </c>
      <c r="GM54" s="50" t="str">
        <f t="shared" si="96"/>
        <v/>
      </c>
      <c r="GN54" s="50" t="str">
        <f t="shared" si="96"/>
        <v/>
      </c>
      <c r="GO54" s="50" t="str">
        <f t="shared" si="96"/>
        <v/>
      </c>
      <c r="GP54" s="50" t="str">
        <f t="shared" si="96"/>
        <v/>
      </c>
      <c r="GQ54" s="50" t="str">
        <f t="shared" si="96"/>
        <v/>
      </c>
      <c r="GR54" s="50" t="str">
        <f t="shared" si="96"/>
        <v/>
      </c>
      <c r="GS54" s="50" t="str">
        <f t="shared" si="96"/>
        <v/>
      </c>
      <c r="GT54" s="50" t="str">
        <f t="shared" si="96"/>
        <v/>
      </c>
      <c r="GU54" s="50" t="str">
        <f t="shared" si="96"/>
        <v/>
      </c>
      <c r="GV54" s="50" t="str">
        <f t="shared" si="96"/>
        <v/>
      </c>
      <c r="GW54" s="50" t="str">
        <f t="shared" si="96"/>
        <v/>
      </c>
      <c r="GX54" s="50" t="str">
        <f t="shared" si="96"/>
        <v/>
      </c>
      <c r="GY54" s="50" t="str">
        <f t="shared" si="96"/>
        <v/>
      </c>
      <c r="GZ54" s="50" t="str">
        <f t="shared" si="96"/>
        <v/>
      </c>
      <c r="HA54" s="50" t="str">
        <f t="shared" si="96"/>
        <v/>
      </c>
      <c r="HB54" s="50" t="str">
        <f t="shared" si="96"/>
        <v/>
      </c>
      <c r="HC54" s="50" t="str">
        <f t="shared" si="96"/>
        <v/>
      </c>
      <c r="HD54" s="50" t="str">
        <f t="shared" si="96"/>
        <v/>
      </c>
      <c r="HE54" s="50" t="str">
        <f t="shared" si="96"/>
        <v/>
      </c>
      <c r="HF54" s="50" t="str">
        <f t="shared" si="96"/>
        <v/>
      </c>
      <c r="HG54" s="50" t="str">
        <f t="shared" si="96"/>
        <v/>
      </c>
      <c r="HH54" s="50" t="str">
        <f t="shared" si="96"/>
        <v/>
      </c>
      <c r="HI54" s="50" t="str">
        <f t="shared" si="96"/>
        <v/>
      </c>
      <c r="HJ54" s="50" t="str">
        <f t="shared" si="96"/>
        <v/>
      </c>
      <c r="HK54" s="50" t="str">
        <f t="shared" si="96"/>
        <v/>
      </c>
      <c r="HL54" s="50" t="str">
        <f t="shared" si="96"/>
        <v/>
      </c>
      <c r="HM54" s="50" t="str">
        <f t="shared" si="96"/>
        <v/>
      </c>
      <c r="HN54" s="50" t="str">
        <f t="shared" si="94"/>
        <v/>
      </c>
      <c r="HO54" s="50" t="str">
        <f t="shared" si="94"/>
        <v/>
      </c>
      <c r="HP54" s="50" t="str">
        <f t="shared" si="94"/>
        <v/>
      </c>
      <c r="HQ54" s="50" t="str">
        <f t="shared" si="94"/>
        <v/>
      </c>
      <c r="HR54" s="112" t="str">
        <f t="shared" si="94"/>
        <v/>
      </c>
    </row>
    <row r="55" spans="1:226" ht="11.1" customHeight="1" thickBot="1" x14ac:dyDescent="0.3">
      <c r="A55" s="36"/>
      <c r="B55" s="37"/>
      <c r="C55" s="38" t="str">
        <f>IF(A55=0,"",VLOOKUP(A55,[2]CO!$A$3:$F$5327,2,0))</f>
        <v/>
      </c>
      <c r="D55" s="39"/>
      <c r="E55" s="39"/>
      <c r="F55" s="103" t="str">
        <f t="shared" si="82"/>
        <v/>
      </c>
      <c r="G55" s="40" t="str">
        <f>IF(A55=0,"",VLOOKUP(A55,[2]CO!$A$3:$F$5327,3,0))</f>
        <v/>
      </c>
      <c r="H55" s="97"/>
      <c r="I55" s="41"/>
      <c r="J55" s="41"/>
      <c r="K55" s="41"/>
      <c r="L55" s="41"/>
      <c r="M55" s="42" t="str">
        <f>IF(L55=0,"",PRODUCT(I55:L55))</f>
        <v/>
      </c>
      <c r="N55" s="42" t="str">
        <f>IF(B55=0,"",IF(H55="M",HLOOKUP(B55,$Y$12:$DT$13,2),IF(A55=0,"",VLOOKUP(A55,[2]CO!$A$3:$F$5327,4,0))))</f>
        <v/>
      </c>
      <c r="O55" s="42" t="str">
        <f t="shared" si="7"/>
        <v/>
      </c>
      <c r="P55" s="37"/>
      <c r="Q55" s="43" t="str">
        <f t="shared" si="84"/>
        <v/>
      </c>
      <c r="R55" s="44"/>
      <c r="T55" s="53" t="str">
        <f>IF(A55=0,"",VLOOKUP(A55,[2]CO!$A$3:$F$5318,5,0))</f>
        <v/>
      </c>
      <c r="U55" s="54">
        <f t="shared" si="48"/>
        <v>0</v>
      </c>
      <c r="V55" s="24"/>
      <c r="W55" s="24"/>
      <c r="X55" s="24"/>
      <c r="Y55" s="76" t="str">
        <f t="shared" si="85"/>
        <v/>
      </c>
      <c r="Z55" s="77" t="str">
        <f t="shared" si="85"/>
        <v/>
      </c>
      <c r="AA55" s="77" t="str">
        <f t="shared" si="85"/>
        <v/>
      </c>
      <c r="AB55" s="77" t="str">
        <f t="shared" si="85"/>
        <v/>
      </c>
      <c r="AC55" s="77" t="str">
        <f t="shared" si="85"/>
        <v/>
      </c>
      <c r="AD55" s="77" t="str">
        <f t="shared" si="85"/>
        <v/>
      </c>
      <c r="AE55" s="77" t="str">
        <f t="shared" si="85"/>
        <v/>
      </c>
      <c r="AF55" s="77" t="str">
        <f t="shared" si="85"/>
        <v/>
      </c>
      <c r="AG55" s="77" t="str">
        <f t="shared" si="85"/>
        <v/>
      </c>
      <c r="AH55" s="77" t="str">
        <f t="shared" si="85"/>
        <v/>
      </c>
      <c r="AI55" s="77" t="str">
        <f t="shared" si="85"/>
        <v/>
      </c>
      <c r="AJ55" s="77" t="str">
        <f t="shared" si="85"/>
        <v/>
      </c>
      <c r="AK55" s="77" t="str">
        <f t="shared" si="85"/>
        <v/>
      </c>
      <c r="AL55" s="77" t="str">
        <f t="shared" si="85"/>
        <v/>
      </c>
      <c r="AM55" s="77" t="str">
        <f t="shared" si="85"/>
        <v/>
      </c>
      <c r="AN55" s="77" t="str">
        <f t="shared" si="85"/>
        <v/>
      </c>
      <c r="AO55" s="77" t="str">
        <f t="shared" si="86"/>
        <v/>
      </c>
      <c r="AP55" s="77" t="str">
        <f t="shared" si="86"/>
        <v/>
      </c>
      <c r="AQ55" s="77" t="str">
        <f t="shared" si="86"/>
        <v/>
      </c>
      <c r="AR55" s="77" t="str">
        <f t="shared" si="86"/>
        <v/>
      </c>
      <c r="AS55" s="77" t="str">
        <f t="shared" si="86"/>
        <v/>
      </c>
      <c r="AT55" s="77" t="str">
        <f t="shared" si="86"/>
        <v/>
      </c>
      <c r="AU55" s="77" t="str">
        <f t="shared" si="86"/>
        <v/>
      </c>
      <c r="AV55" s="77" t="str">
        <f t="shared" si="86"/>
        <v/>
      </c>
      <c r="AW55" s="77" t="str">
        <f t="shared" si="86"/>
        <v/>
      </c>
      <c r="AX55" s="77" t="str">
        <f t="shared" si="86"/>
        <v/>
      </c>
      <c r="AY55" s="77" t="str">
        <f t="shared" si="86"/>
        <v/>
      </c>
      <c r="AZ55" s="77" t="str">
        <f t="shared" si="86"/>
        <v/>
      </c>
      <c r="BA55" s="77" t="str">
        <f t="shared" si="86"/>
        <v/>
      </c>
      <c r="BB55" s="77" t="str">
        <f t="shared" si="86"/>
        <v/>
      </c>
      <c r="BC55" s="77" t="str">
        <f t="shared" si="86"/>
        <v/>
      </c>
      <c r="BD55" s="77" t="str">
        <f t="shared" si="86"/>
        <v/>
      </c>
      <c r="BE55" s="77" t="str">
        <f t="shared" si="87"/>
        <v/>
      </c>
      <c r="BF55" s="77" t="str">
        <f t="shared" si="87"/>
        <v/>
      </c>
      <c r="BG55" s="77" t="str">
        <f t="shared" si="87"/>
        <v/>
      </c>
      <c r="BH55" s="77" t="str">
        <f t="shared" si="87"/>
        <v/>
      </c>
      <c r="BI55" s="77" t="str">
        <f t="shared" si="87"/>
        <v/>
      </c>
      <c r="BJ55" s="77" t="str">
        <f t="shared" si="87"/>
        <v/>
      </c>
      <c r="BK55" s="77" t="str">
        <f t="shared" si="87"/>
        <v/>
      </c>
      <c r="BL55" s="77" t="str">
        <f t="shared" si="87"/>
        <v/>
      </c>
      <c r="BM55" s="77" t="str">
        <f t="shared" si="87"/>
        <v/>
      </c>
      <c r="BN55" s="77" t="str">
        <f t="shared" si="87"/>
        <v/>
      </c>
      <c r="BO55" s="77" t="str">
        <f t="shared" si="87"/>
        <v/>
      </c>
      <c r="BP55" s="77" t="str">
        <f t="shared" si="87"/>
        <v/>
      </c>
      <c r="BQ55" s="77" t="str">
        <f t="shared" si="87"/>
        <v/>
      </c>
      <c r="BR55" s="77" t="str">
        <f t="shared" si="87"/>
        <v/>
      </c>
      <c r="BS55" s="77" t="str">
        <f t="shared" si="87"/>
        <v/>
      </c>
      <c r="BT55" s="77" t="str">
        <f t="shared" si="87"/>
        <v/>
      </c>
      <c r="BU55" s="77" t="str">
        <f t="shared" si="95"/>
        <v/>
      </c>
      <c r="BV55" s="77" t="str">
        <f t="shared" si="95"/>
        <v/>
      </c>
      <c r="BW55" s="77" t="str">
        <f t="shared" si="95"/>
        <v/>
      </c>
      <c r="BX55" s="77" t="str">
        <f t="shared" si="95"/>
        <v/>
      </c>
      <c r="BY55" s="77" t="str">
        <f t="shared" si="95"/>
        <v/>
      </c>
      <c r="BZ55" s="77" t="str">
        <f t="shared" si="95"/>
        <v/>
      </c>
      <c r="CA55" s="77" t="str">
        <f t="shared" si="95"/>
        <v/>
      </c>
      <c r="CB55" s="77" t="str">
        <f t="shared" si="95"/>
        <v/>
      </c>
      <c r="CC55" s="77" t="str">
        <f t="shared" si="95"/>
        <v/>
      </c>
      <c r="CD55" s="77" t="str">
        <f t="shared" si="95"/>
        <v/>
      </c>
      <c r="CE55" s="77" t="str">
        <f t="shared" si="95"/>
        <v/>
      </c>
      <c r="CF55" s="77" t="str">
        <f t="shared" si="95"/>
        <v/>
      </c>
      <c r="CG55" s="77" t="str">
        <f t="shared" si="95"/>
        <v/>
      </c>
      <c r="CH55" s="77" t="str">
        <f t="shared" si="95"/>
        <v/>
      </c>
      <c r="CI55" s="77" t="str">
        <f t="shared" si="95"/>
        <v/>
      </c>
      <c r="CJ55" s="77" t="str">
        <f t="shared" si="95"/>
        <v/>
      </c>
      <c r="CK55" s="77" t="str">
        <f t="shared" si="95"/>
        <v/>
      </c>
      <c r="CL55" s="77" t="str">
        <f t="shared" si="95"/>
        <v/>
      </c>
      <c r="CM55" s="77" t="str">
        <f t="shared" si="95"/>
        <v/>
      </c>
      <c r="CN55" s="77" t="str">
        <f t="shared" si="95"/>
        <v/>
      </c>
      <c r="CO55" s="77" t="str">
        <f t="shared" si="95"/>
        <v/>
      </c>
      <c r="CP55" s="77" t="str">
        <f t="shared" si="95"/>
        <v/>
      </c>
      <c r="CQ55" s="77" t="str">
        <f t="shared" si="95"/>
        <v/>
      </c>
      <c r="CR55" s="77" t="str">
        <f t="shared" si="95"/>
        <v/>
      </c>
      <c r="CS55" s="77" t="str">
        <f t="shared" si="95"/>
        <v/>
      </c>
      <c r="CT55" s="77" t="str">
        <f t="shared" si="95"/>
        <v/>
      </c>
      <c r="CU55" s="77" t="str">
        <f t="shared" si="95"/>
        <v/>
      </c>
      <c r="CV55" s="77" t="str">
        <f t="shared" si="95"/>
        <v/>
      </c>
      <c r="CW55" s="77" t="str">
        <f t="shared" si="95"/>
        <v/>
      </c>
      <c r="CX55" s="77" t="str">
        <f t="shared" si="95"/>
        <v/>
      </c>
      <c r="CY55" s="77" t="str">
        <f t="shared" si="95"/>
        <v/>
      </c>
      <c r="CZ55" s="77" t="str">
        <f t="shared" si="95"/>
        <v/>
      </c>
      <c r="DA55" s="77" t="str">
        <f t="shared" si="95"/>
        <v/>
      </c>
      <c r="DB55" s="77" t="str">
        <f t="shared" si="95"/>
        <v/>
      </c>
      <c r="DC55" s="77" t="str">
        <f t="shared" si="95"/>
        <v/>
      </c>
      <c r="DD55" s="77" t="str">
        <f t="shared" si="95"/>
        <v/>
      </c>
      <c r="DE55" s="77" t="str">
        <f t="shared" si="95"/>
        <v/>
      </c>
      <c r="DF55" s="77" t="str">
        <f t="shared" si="95"/>
        <v/>
      </c>
      <c r="DG55" s="77" t="str">
        <f t="shared" si="95"/>
        <v/>
      </c>
      <c r="DH55" s="77" t="str">
        <f t="shared" si="95"/>
        <v/>
      </c>
      <c r="DI55" s="77" t="str">
        <f t="shared" si="95"/>
        <v/>
      </c>
      <c r="DJ55" s="77" t="str">
        <f t="shared" si="95"/>
        <v/>
      </c>
      <c r="DK55" s="77" t="str">
        <f t="shared" si="95"/>
        <v/>
      </c>
      <c r="DL55" s="77" t="str">
        <f t="shared" si="95"/>
        <v/>
      </c>
      <c r="DM55" s="77" t="str">
        <f t="shared" si="95"/>
        <v/>
      </c>
      <c r="DN55" s="77" t="str">
        <f t="shared" si="95"/>
        <v/>
      </c>
      <c r="DO55" s="77" t="str">
        <f t="shared" si="95"/>
        <v/>
      </c>
      <c r="DP55" s="77" t="str">
        <f t="shared" si="95"/>
        <v/>
      </c>
      <c r="DQ55" s="77" t="str">
        <f t="shared" si="93"/>
        <v/>
      </c>
      <c r="DR55" s="77" t="str">
        <f t="shared" si="93"/>
        <v/>
      </c>
      <c r="DS55" s="77" t="str">
        <f t="shared" si="93"/>
        <v/>
      </c>
      <c r="DT55" s="107" t="str">
        <f t="shared" si="93"/>
        <v/>
      </c>
      <c r="DU55" s="54"/>
      <c r="DV55" s="21"/>
      <c r="DW55" s="78" t="str">
        <f t="shared" si="89"/>
        <v/>
      </c>
      <c r="DX55" s="79" t="str">
        <f t="shared" si="89"/>
        <v/>
      </c>
      <c r="DY55" s="79" t="str">
        <f t="shared" si="89"/>
        <v/>
      </c>
      <c r="DZ55" s="79" t="str">
        <f t="shared" si="89"/>
        <v/>
      </c>
      <c r="EA55" s="79" t="str">
        <f t="shared" si="89"/>
        <v/>
      </c>
      <c r="EB55" s="79" t="str">
        <f t="shared" si="89"/>
        <v/>
      </c>
      <c r="EC55" s="79" t="str">
        <f t="shared" si="89"/>
        <v/>
      </c>
      <c r="ED55" s="79" t="str">
        <f t="shared" si="89"/>
        <v/>
      </c>
      <c r="EE55" s="79" t="str">
        <f t="shared" si="89"/>
        <v/>
      </c>
      <c r="EF55" s="79" t="str">
        <f t="shared" si="89"/>
        <v/>
      </c>
      <c r="EG55" s="79" t="str">
        <f t="shared" si="89"/>
        <v/>
      </c>
      <c r="EH55" s="79" t="str">
        <f t="shared" si="89"/>
        <v/>
      </c>
      <c r="EI55" s="79" t="str">
        <f t="shared" si="89"/>
        <v/>
      </c>
      <c r="EJ55" s="79" t="str">
        <f t="shared" si="89"/>
        <v/>
      </c>
      <c r="EK55" s="79" t="str">
        <f t="shared" si="89"/>
        <v/>
      </c>
      <c r="EL55" s="79" t="str">
        <f t="shared" si="89"/>
        <v/>
      </c>
      <c r="EM55" s="79" t="str">
        <f t="shared" si="90"/>
        <v/>
      </c>
      <c r="EN55" s="79" t="str">
        <f t="shared" si="90"/>
        <v/>
      </c>
      <c r="EO55" s="79" t="str">
        <f t="shared" si="90"/>
        <v/>
      </c>
      <c r="EP55" s="79" t="str">
        <f t="shared" si="90"/>
        <v/>
      </c>
      <c r="EQ55" s="79" t="str">
        <f t="shared" si="90"/>
        <v/>
      </c>
      <c r="ER55" s="79" t="str">
        <f t="shared" si="90"/>
        <v/>
      </c>
      <c r="ES55" s="79" t="str">
        <f t="shared" si="90"/>
        <v/>
      </c>
      <c r="ET55" s="79" t="str">
        <f t="shared" si="90"/>
        <v/>
      </c>
      <c r="EU55" s="79" t="str">
        <f t="shared" si="90"/>
        <v/>
      </c>
      <c r="EV55" s="79" t="str">
        <f t="shared" si="90"/>
        <v/>
      </c>
      <c r="EW55" s="79" t="str">
        <f t="shared" si="90"/>
        <v/>
      </c>
      <c r="EX55" s="79" t="str">
        <f t="shared" si="90"/>
        <v/>
      </c>
      <c r="EY55" s="79" t="str">
        <f t="shared" si="90"/>
        <v/>
      </c>
      <c r="EZ55" s="79" t="str">
        <f t="shared" si="90"/>
        <v/>
      </c>
      <c r="FA55" s="79" t="str">
        <f t="shared" si="90"/>
        <v/>
      </c>
      <c r="FB55" s="79" t="str">
        <f t="shared" si="90"/>
        <v/>
      </c>
      <c r="FC55" s="79" t="str">
        <f t="shared" si="91"/>
        <v/>
      </c>
      <c r="FD55" s="79" t="str">
        <f t="shared" si="91"/>
        <v/>
      </c>
      <c r="FE55" s="79" t="str">
        <f t="shared" si="91"/>
        <v/>
      </c>
      <c r="FF55" s="79" t="str">
        <f t="shared" si="91"/>
        <v/>
      </c>
      <c r="FG55" s="79" t="str">
        <f t="shared" si="91"/>
        <v/>
      </c>
      <c r="FH55" s="79" t="str">
        <f t="shared" si="91"/>
        <v/>
      </c>
      <c r="FI55" s="79" t="str">
        <f t="shared" si="91"/>
        <v/>
      </c>
      <c r="FJ55" s="79" t="str">
        <f t="shared" si="91"/>
        <v/>
      </c>
      <c r="FK55" s="79" t="str">
        <f t="shared" si="91"/>
        <v/>
      </c>
      <c r="FL55" s="79" t="str">
        <f t="shared" si="91"/>
        <v/>
      </c>
      <c r="FM55" s="79" t="str">
        <f t="shared" si="91"/>
        <v/>
      </c>
      <c r="FN55" s="79" t="str">
        <f t="shared" si="91"/>
        <v/>
      </c>
      <c r="FO55" s="79" t="str">
        <f t="shared" si="91"/>
        <v/>
      </c>
      <c r="FP55" s="79" t="str">
        <f t="shared" si="91"/>
        <v/>
      </c>
      <c r="FQ55" s="79" t="str">
        <f t="shared" si="91"/>
        <v/>
      </c>
      <c r="FR55" s="79" t="str">
        <f t="shared" si="91"/>
        <v/>
      </c>
      <c r="FS55" s="79" t="str">
        <f t="shared" si="96"/>
        <v/>
      </c>
      <c r="FT55" s="79" t="str">
        <f t="shared" si="96"/>
        <v/>
      </c>
      <c r="FU55" s="79" t="str">
        <f t="shared" si="96"/>
        <v/>
      </c>
      <c r="FV55" s="79" t="str">
        <f t="shared" si="96"/>
        <v/>
      </c>
      <c r="FW55" s="79" t="str">
        <f t="shared" si="96"/>
        <v/>
      </c>
      <c r="FX55" s="79" t="str">
        <f t="shared" si="96"/>
        <v/>
      </c>
      <c r="FY55" s="79" t="str">
        <f t="shared" si="96"/>
        <v/>
      </c>
      <c r="FZ55" s="79" t="str">
        <f t="shared" si="96"/>
        <v/>
      </c>
      <c r="GA55" s="79" t="str">
        <f t="shared" si="96"/>
        <v/>
      </c>
      <c r="GB55" s="79" t="str">
        <f t="shared" si="96"/>
        <v/>
      </c>
      <c r="GC55" s="79" t="str">
        <f t="shared" si="96"/>
        <v/>
      </c>
      <c r="GD55" s="79" t="str">
        <f t="shared" si="96"/>
        <v/>
      </c>
      <c r="GE55" s="79" t="str">
        <f t="shared" si="96"/>
        <v/>
      </c>
      <c r="GF55" s="79" t="str">
        <f t="shared" si="96"/>
        <v/>
      </c>
      <c r="GG55" s="79" t="str">
        <f t="shared" si="96"/>
        <v/>
      </c>
      <c r="GH55" s="79" t="str">
        <f t="shared" si="96"/>
        <v/>
      </c>
      <c r="GI55" s="79" t="str">
        <f t="shared" si="96"/>
        <v/>
      </c>
      <c r="GJ55" s="79" t="str">
        <f t="shared" si="96"/>
        <v/>
      </c>
      <c r="GK55" s="79" t="str">
        <f t="shared" si="96"/>
        <v/>
      </c>
      <c r="GL55" s="79" t="str">
        <f t="shared" si="96"/>
        <v/>
      </c>
      <c r="GM55" s="79" t="str">
        <f t="shared" si="96"/>
        <v/>
      </c>
      <c r="GN55" s="79" t="str">
        <f t="shared" si="96"/>
        <v/>
      </c>
      <c r="GO55" s="79" t="str">
        <f t="shared" si="96"/>
        <v/>
      </c>
      <c r="GP55" s="79" t="str">
        <f t="shared" si="96"/>
        <v/>
      </c>
      <c r="GQ55" s="79" t="str">
        <f t="shared" si="96"/>
        <v/>
      </c>
      <c r="GR55" s="79" t="str">
        <f t="shared" si="96"/>
        <v/>
      </c>
      <c r="GS55" s="79" t="str">
        <f t="shared" si="96"/>
        <v/>
      </c>
      <c r="GT55" s="79" t="str">
        <f t="shared" si="96"/>
        <v/>
      </c>
      <c r="GU55" s="79" t="str">
        <f t="shared" si="96"/>
        <v/>
      </c>
      <c r="GV55" s="79" t="str">
        <f t="shared" si="96"/>
        <v/>
      </c>
      <c r="GW55" s="79" t="str">
        <f t="shared" si="96"/>
        <v/>
      </c>
      <c r="GX55" s="79" t="str">
        <f t="shared" si="96"/>
        <v/>
      </c>
      <c r="GY55" s="79" t="str">
        <f t="shared" si="96"/>
        <v/>
      </c>
      <c r="GZ55" s="79" t="str">
        <f t="shared" si="96"/>
        <v/>
      </c>
      <c r="HA55" s="79" t="str">
        <f t="shared" si="96"/>
        <v/>
      </c>
      <c r="HB55" s="79" t="str">
        <f t="shared" si="96"/>
        <v/>
      </c>
      <c r="HC55" s="79" t="str">
        <f t="shared" si="96"/>
        <v/>
      </c>
      <c r="HD55" s="79" t="str">
        <f t="shared" si="96"/>
        <v/>
      </c>
      <c r="HE55" s="79" t="str">
        <f t="shared" si="96"/>
        <v/>
      </c>
      <c r="HF55" s="79" t="str">
        <f t="shared" si="96"/>
        <v/>
      </c>
      <c r="HG55" s="79" t="str">
        <f t="shared" si="96"/>
        <v/>
      </c>
      <c r="HH55" s="79" t="str">
        <f t="shared" si="96"/>
        <v/>
      </c>
      <c r="HI55" s="79" t="str">
        <f t="shared" si="96"/>
        <v/>
      </c>
      <c r="HJ55" s="79" t="str">
        <f t="shared" si="96"/>
        <v/>
      </c>
      <c r="HK55" s="79" t="str">
        <f t="shared" si="96"/>
        <v/>
      </c>
      <c r="HL55" s="79" t="str">
        <f t="shared" si="96"/>
        <v/>
      </c>
      <c r="HM55" s="79" t="str">
        <f t="shared" si="96"/>
        <v/>
      </c>
      <c r="HN55" s="79" t="str">
        <f t="shared" si="96"/>
        <v/>
      </c>
      <c r="HO55" s="79" t="str">
        <f t="shared" si="94"/>
        <v/>
      </c>
      <c r="HP55" s="79" t="str">
        <f t="shared" si="94"/>
        <v/>
      </c>
      <c r="HQ55" s="79" t="str">
        <f t="shared" si="94"/>
        <v/>
      </c>
      <c r="HR55" s="113" t="str">
        <f t="shared" si="94"/>
        <v/>
      </c>
    </row>
    <row r="56" spans="1:226" ht="10.199999999999999" customHeight="1" x14ac:dyDescent="0.25">
      <c r="A56" s="45"/>
      <c r="B56" s="23"/>
      <c r="C56" s="23" t="str">
        <f>IF(A56=0,"",VLOOKUP(A56,#REF!,2,0))</f>
        <v/>
      </c>
      <c r="D56" s="23"/>
      <c r="E56" s="23"/>
      <c r="F56" s="23"/>
      <c r="G56" s="23"/>
      <c r="H56" s="23"/>
      <c r="I56" s="46"/>
      <c r="J56" s="46"/>
      <c r="K56" s="46"/>
      <c r="L56" s="46"/>
      <c r="M56" s="47"/>
      <c r="N56" s="47"/>
      <c r="O56" s="47"/>
      <c r="P56" s="23"/>
      <c r="Q56" s="23"/>
      <c r="R56" s="23"/>
      <c r="T56" s="21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4"/>
      <c r="AF56" s="24"/>
      <c r="AG56" s="24"/>
      <c r="AH56" s="24"/>
      <c r="AI56" s="24"/>
      <c r="AJ56" s="24"/>
      <c r="AK56" s="24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/>
      <c r="AX56" s="21"/>
      <c r="AY56" s="21"/>
      <c r="AZ56" s="21"/>
      <c r="BA56" s="21"/>
      <c r="BB56" s="21"/>
      <c r="BC56" s="21"/>
      <c r="BD56" s="21"/>
      <c r="BE56" s="21"/>
      <c r="BF56" s="21"/>
      <c r="BG56" s="21"/>
      <c r="BH56" s="21"/>
      <c r="BI56" s="21"/>
      <c r="BJ56" s="21"/>
      <c r="BK56" s="21"/>
      <c r="BL56" s="21"/>
      <c r="BM56" s="21"/>
      <c r="BN56" s="21"/>
      <c r="BO56" s="21"/>
      <c r="BP56" s="21"/>
      <c r="BQ56" s="21"/>
      <c r="BR56" s="21"/>
      <c r="BS56" s="21"/>
      <c r="BT56" s="21"/>
      <c r="BU56" s="21"/>
      <c r="BV56" s="21"/>
      <c r="BW56" s="21"/>
      <c r="BX56" s="21"/>
      <c r="BY56" s="21"/>
      <c r="BZ56" s="21"/>
      <c r="CA56" s="21"/>
      <c r="CB56" s="21"/>
      <c r="CC56" s="21"/>
      <c r="CD56" s="21"/>
      <c r="CE56" s="21"/>
      <c r="CF56" s="21"/>
      <c r="CG56" s="21"/>
      <c r="CH56" s="21"/>
      <c r="CI56" s="21"/>
      <c r="CJ56" s="21"/>
      <c r="CK56" s="21"/>
      <c r="CL56" s="21"/>
      <c r="CM56" s="21"/>
      <c r="CN56" s="21"/>
      <c r="CO56" s="21"/>
      <c r="CP56" s="21"/>
      <c r="CQ56" s="21"/>
      <c r="CR56" s="21"/>
      <c r="CS56" s="21"/>
      <c r="CT56" s="21"/>
      <c r="CU56" s="21"/>
      <c r="CV56" s="21"/>
      <c r="CW56" s="21"/>
      <c r="CX56" s="21"/>
      <c r="CY56" s="21"/>
      <c r="CZ56" s="21"/>
      <c r="DA56" s="21"/>
      <c r="DB56" s="21"/>
      <c r="DC56" s="21"/>
      <c r="DD56" s="21"/>
      <c r="DE56" s="21"/>
      <c r="DF56" s="21"/>
      <c r="DG56" s="21"/>
      <c r="DH56" s="21"/>
      <c r="DI56" s="21"/>
      <c r="DJ56" s="21"/>
      <c r="DK56" s="21"/>
      <c r="DL56" s="21"/>
      <c r="DM56" s="21"/>
      <c r="DN56" s="21"/>
      <c r="DO56" s="21"/>
      <c r="DP56" s="21"/>
      <c r="DQ56" s="21"/>
      <c r="DR56" s="21"/>
      <c r="DS56" s="21"/>
      <c r="DT56" s="21"/>
      <c r="DU56" s="21"/>
      <c r="DV56" s="21"/>
      <c r="DW56" s="21"/>
      <c r="DX56" s="21"/>
      <c r="DY56" s="21"/>
      <c r="DZ56" s="21"/>
      <c r="EA56" s="21"/>
      <c r="EB56" s="21"/>
      <c r="EC56" s="21"/>
      <c r="ED56" s="21"/>
      <c r="EE56" s="21"/>
      <c r="EF56" s="21"/>
      <c r="EG56" s="21"/>
      <c r="EH56" s="21"/>
      <c r="EI56" s="21"/>
      <c r="EJ56" s="21"/>
      <c r="EK56" s="21"/>
      <c r="EL56" s="21"/>
      <c r="EM56" s="21"/>
      <c r="EN56" s="21"/>
      <c r="EO56" s="21"/>
      <c r="EP56" s="21"/>
      <c r="EQ56" s="21"/>
      <c r="ER56" s="21"/>
      <c r="ES56" s="21"/>
      <c r="ET56" s="22"/>
      <c r="EU56" s="22"/>
      <c r="EV56" s="22"/>
    </row>
    <row r="57" spans="1:226" x14ac:dyDescent="0.25">
      <c r="A57" s="45"/>
      <c r="B57" s="23"/>
      <c r="C57" s="23"/>
      <c r="D57" s="23"/>
      <c r="E57" s="23"/>
      <c r="F57" s="23"/>
      <c r="G57" s="23"/>
      <c r="H57" s="23"/>
      <c r="I57" s="46"/>
      <c r="J57" s="46"/>
      <c r="K57" s="46"/>
      <c r="L57" s="46"/>
      <c r="M57" s="47"/>
      <c r="N57" s="47"/>
      <c r="O57" s="48" t="s">
        <v>17</v>
      </c>
      <c r="P57" s="49"/>
      <c r="Q57" s="104" t="e">
        <f>SUM(Q49:Q55)</f>
        <v>#N/A</v>
      </c>
      <c r="R57" s="104">
        <f>SUM(R49:R55)</f>
        <v>0</v>
      </c>
      <c r="T57" s="21"/>
      <c r="U57" s="24"/>
      <c r="V57" s="24"/>
      <c r="W57" s="24"/>
      <c r="X57" s="24"/>
      <c r="EV57" s="22"/>
    </row>
    <row r="58" spans="1:226" x14ac:dyDescent="0.25">
      <c r="A58" s="45"/>
      <c r="B58" s="23"/>
      <c r="C58" s="23"/>
      <c r="D58" s="23"/>
      <c r="E58" s="23"/>
      <c r="F58" s="23"/>
      <c r="G58" s="23"/>
      <c r="H58" s="23"/>
      <c r="I58" s="46"/>
      <c r="J58" s="46"/>
      <c r="K58" s="46"/>
      <c r="L58" s="46"/>
      <c r="M58" s="47"/>
      <c r="N58" s="47"/>
      <c r="O58" s="47"/>
      <c r="P58" s="23"/>
      <c r="Q58" s="23"/>
      <c r="R58" s="23"/>
      <c r="T58" s="21"/>
      <c r="U58" s="24"/>
      <c r="V58" s="24"/>
      <c r="W58" s="24"/>
      <c r="X58" s="24"/>
      <c r="Y58" s="24"/>
      <c r="Z58" s="24"/>
      <c r="AA58" s="24"/>
      <c r="AB58" s="24"/>
      <c r="AC58" s="24"/>
      <c r="AD58" s="24"/>
      <c r="AE58" s="24"/>
      <c r="AF58" s="24"/>
      <c r="AG58" s="24"/>
      <c r="AH58" s="24"/>
      <c r="AI58" s="24"/>
      <c r="AJ58" s="24"/>
      <c r="AK58" s="24"/>
      <c r="AL58" s="21"/>
      <c r="AM58" s="21"/>
      <c r="AN58" s="21"/>
      <c r="AO58" s="21"/>
      <c r="AP58" s="21"/>
      <c r="AQ58" s="21"/>
      <c r="AR58" s="21"/>
      <c r="AS58" s="21"/>
      <c r="AT58" s="21"/>
      <c r="AU58" s="21"/>
      <c r="AV58" s="21"/>
      <c r="AW58" s="21"/>
      <c r="AX58" s="21"/>
      <c r="AY58" s="21"/>
      <c r="AZ58" s="21"/>
      <c r="BA58" s="21"/>
      <c r="BB58" s="21"/>
      <c r="BC58" s="21"/>
      <c r="BD58" s="21"/>
      <c r="BE58" s="21"/>
      <c r="BF58" s="21"/>
      <c r="BG58" s="21"/>
      <c r="BH58" s="21"/>
      <c r="BI58" s="21"/>
      <c r="BJ58" s="21"/>
      <c r="BK58" s="21"/>
      <c r="BL58" s="21"/>
      <c r="BM58" s="21"/>
      <c r="BN58" s="21"/>
      <c r="BO58" s="21"/>
      <c r="BP58" s="21"/>
      <c r="BQ58" s="21"/>
      <c r="BR58" s="21"/>
      <c r="BS58" s="21"/>
      <c r="BT58" s="21"/>
      <c r="BU58" s="21"/>
      <c r="BV58" s="21"/>
      <c r="BW58" s="21"/>
      <c r="BX58" s="21"/>
      <c r="BY58" s="21"/>
      <c r="BZ58" s="21"/>
      <c r="CA58" s="21"/>
      <c r="CB58" s="21"/>
      <c r="CC58" s="21"/>
      <c r="CD58" s="21"/>
      <c r="CE58" s="21"/>
      <c r="CF58" s="21"/>
      <c r="CG58" s="21"/>
      <c r="CH58" s="21"/>
      <c r="CI58" s="21"/>
      <c r="CJ58" s="21"/>
      <c r="CK58" s="21"/>
      <c r="CL58" s="21"/>
      <c r="CM58" s="21"/>
      <c r="CN58" s="21"/>
      <c r="CO58" s="21"/>
      <c r="CP58" s="21"/>
      <c r="CQ58" s="21"/>
      <c r="CR58" s="21"/>
      <c r="CS58" s="21"/>
      <c r="CT58" s="21"/>
      <c r="CU58" s="21"/>
      <c r="CV58" s="21"/>
      <c r="CW58" s="21"/>
      <c r="CX58" s="21"/>
      <c r="CY58" s="21"/>
      <c r="CZ58" s="21"/>
      <c r="DA58" s="21"/>
      <c r="DB58" s="21"/>
      <c r="DC58" s="21"/>
      <c r="DD58" s="21"/>
      <c r="DE58" s="21"/>
      <c r="DF58" s="21"/>
      <c r="DG58" s="21"/>
      <c r="DH58" s="21"/>
      <c r="DI58" s="21"/>
      <c r="DJ58" s="21"/>
      <c r="DK58" s="21"/>
      <c r="DL58" s="21"/>
      <c r="DM58" s="21"/>
      <c r="DN58" s="21"/>
      <c r="DO58" s="21"/>
      <c r="DP58" s="21"/>
      <c r="DQ58" s="21"/>
      <c r="DR58" s="21"/>
      <c r="DS58" s="21"/>
      <c r="DT58" s="21"/>
      <c r="DU58" s="21"/>
      <c r="DV58" s="21"/>
      <c r="DW58" s="21"/>
      <c r="DX58" s="21"/>
      <c r="DY58" s="21"/>
      <c r="DZ58" s="21"/>
      <c r="EA58" s="21"/>
      <c r="EB58" s="21"/>
      <c r="EC58" s="21"/>
      <c r="ED58" s="21"/>
      <c r="EE58" s="21"/>
      <c r="EF58" s="21"/>
      <c r="EG58" s="21"/>
      <c r="EH58" s="21"/>
      <c r="EI58" s="21"/>
      <c r="EJ58" s="21"/>
      <c r="EK58" s="21"/>
      <c r="EL58" s="21"/>
      <c r="EM58" s="21"/>
      <c r="EN58" s="21"/>
      <c r="EO58" s="21"/>
      <c r="EP58" s="21"/>
      <c r="EQ58" s="21"/>
      <c r="ER58" s="21"/>
      <c r="ES58" s="21"/>
      <c r="ET58" s="22"/>
      <c r="EU58" s="22"/>
      <c r="EV58" s="22"/>
    </row>
    <row r="59" spans="1:226" x14ac:dyDescent="0.25">
      <c r="A59" s="45"/>
      <c r="B59" s="23"/>
      <c r="C59" s="23"/>
      <c r="D59" s="23"/>
      <c r="E59" s="23"/>
      <c r="F59" s="23"/>
      <c r="G59" s="23"/>
      <c r="H59" s="23"/>
      <c r="I59" s="46"/>
      <c r="J59" s="46"/>
      <c r="K59" s="46"/>
      <c r="L59" s="46"/>
      <c r="M59" s="47"/>
      <c r="N59" s="47"/>
      <c r="O59" s="48" t="s">
        <v>18</v>
      </c>
      <c r="P59" s="23"/>
      <c r="Q59" s="104" t="e">
        <f>Q32+Q45+Q57</f>
        <v>#N/A</v>
      </c>
      <c r="R59" s="104"/>
      <c r="T59" s="21"/>
      <c r="U59" s="24"/>
      <c r="V59" s="24"/>
      <c r="W59" s="24"/>
      <c r="X59" s="24"/>
      <c r="Y59" s="24"/>
      <c r="Z59" s="24"/>
      <c r="AA59" s="24"/>
      <c r="AB59" s="24"/>
      <c r="AC59" s="24"/>
      <c r="AD59" s="24"/>
      <c r="AE59" s="24"/>
      <c r="AF59" s="24"/>
      <c r="AG59" s="24"/>
      <c r="AH59" s="24"/>
      <c r="AI59" s="24"/>
      <c r="AJ59" s="24"/>
      <c r="AK59" s="24"/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/>
      <c r="AX59" s="21"/>
      <c r="AY59" s="21"/>
      <c r="AZ59" s="21"/>
      <c r="BA59" s="21"/>
      <c r="BB59" s="21"/>
      <c r="BC59" s="21"/>
      <c r="BD59" s="21"/>
      <c r="BE59" s="21"/>
      <c r="BF59" s="21"/>
      <c r="BG59" s="21"/>
      <c r="BH59" s="21"/>
      <c r="BI59" s="21"/>
      <c r="BJ59" s="21"/>
      <c r="BK59" s="21"/>
      <c r="BL59" s="21"/>
      <c r="BM59" s="21"/>
      <c r="BN59" s="21"/>
      <c r="BO59" s="21"/>
      <c r="BP59" s="21"/>
      <c r="BQ59" s="21"/>
      <c r="BR59" s="21"/>
      <c r="BS59" s="21"/>
      <c r="BT59" s="21"/>
      <c r="BU59" s="21"/>
      <c r="BV59" s="21"/>
      <c r="BW59" s="21"/>
      <c r="BX59" s="21"/>
      <c r="BY59" s="21"/>
      <c r="BZ59" s="21"/>
      <c r="CA59" s="21"/>
      <c r="CB59" s="21"/>
      <c r="CC59" s="21"/>
      <c r="CD59" s="21"/>
      <c r="CE59" s="21"/>
      <c r="CF59" s="21"/>
      <c r="CG59" s="21"/>
      <c r="CH59" s="21"/>
      <c r="CI59" s="21"/>
      <c r="CJ59" s="21"/>
      <c r="CK59" s="21"/>
      <c r="CL59" s="21"/>
      <c r="CM59" s="21"/>
      <c r="CN59" s="21"/>
      <c r="CO59" s="21"/>
      <c r="CP59" s="21"/>
      <c r="CQ59" s="21"/>
      <c r="CR59" s="21"/>
      <c r="CS59" s="21"/>
      <c r="CT59" s="21"/>
      <c r="CU59" s="21"/>
      <c r="CV59" s="21"/>
      <c r="CW59" s="21"/>
      <c r="CX59" s="21"/>
      <c r="CY59" s="21"/>
      <c r="CZ59" s="21"/>
      <c r="DA59" s="21"/>
      <c r="DB59" s="21"/>
      <c r="DC59" s="21"/>
      <c r="DD59" s="21"/>
      <c r="DE59" s="21"/>
      <c r="DF59" s="21"/>
      <c r="DG59" s="21"/>
      <c r="DH59" s="21"/>
      <c r="DI59" s="21"/>
      <c r="DJ59" s="21"/>
      <c r="DK59" s="21"/>
      <c r="DL59" s="21"/>
      <c r="DM59" s="21"/>
      <c r="DN59" s="21"/>
      <c r="DO59" s="21"/>
      <c r="DP59" s="21"/>
      <c r="DQ59" s="21"/>
      <c r="DR59" s="21"/>
      <c r="DS59" s="21"/>
      <c r="DT59" s="21"/>
      <c r="DU59" s="21"/>
      <c r="DV59" s="21"/>
      <c r="DW59" s="21"/>
      <c r="DX59" s="21"/>
      <c r="DY59" s="21"/>
      <c r="DZ59" s="21"/>
      <c r="EA59" s="21"/>
      <c r="EB59" s="21"/>
      <c r="EC59" s="21"/>
      <c r="ED59" s="21"/>
      <c r="EE59" s="21"/>
      <c r="EF59" s="21"/>
      <c r="EG59" s="21"/>
      <c r="EH59" s="21"/>
      <c r="EI59" s="21"/>
      <c r="EJ59" s="21"/>
      <c r="EK59" s="21"/>
      <c r="EL59" s="21"/>
      <c r="EM59" s="21"/>
      <c r="EN59" s="21"/>
      <c r="EO59" s="21"/>
      <c r="EP59" s="21"/>
      <c r="EQ59" s="21"/>
      <c r="ER59" s="21"/>
      <c r="ES59" s="21"/>
      <c r="ET59" s="22"/>
      <c r="EU59" s="22"/>
      <c r="EV59" s="22"/>
    </row>
    <row r="60" spans="1:226" ht="10.199999999999999" customHeight="1" x14ac:dyDescent="0.25"/>
    <row r="61" spans="1:226" ht="10.199999999999999" customHeight="1" x14ac:dyDescent="0.25"/>
    <row r="62" spans="1:226" ht="10.199999999999999" customHeight="1" x14ac:dyDescent="0.25"/>
    <row r="1047592" spans="9:9" x14ac:dyDescent="0.25">
      <c r="I1047592" s="31"/>
    </row>
  </sheetData>
  <dataConsolidate link="1"/>
  <mergeCells count="11">
    <mergeCell ref="D8:O8"/>
    <mergeCell ref="E1:Q1"/>
    <mergeCell ref="A2:C2"/>
    <mergeCell ref="E2:Q2"/>
    <mergeCell ref="E3:Q3"/>
    <mergeCell ref="A6:C8"/>
    <mergeCell ref="D6:E6"/>
    <mergeCell ref="F6:O6"/>
    <mergeCell ref="P6:Q6"/>
    <mergeCell ref="D7:O7"/>
    <mergeCell ref="P7:Q7"/>
  </mergeCells>
  <dataValidations disablePrompts="1" count="1">
    <dataValidation type="whole" allowBlank="1" showInputMessage="1" showErrorMessage="1" promptTitle="Valor Numerico" prompt="Unicamente introducir numeros enteros entre 1 y 50" sqref="J10" xr:uid="{BEE5AD75-88D1-42C8-908F-05B4368C55F3}">
      <formula1>1</formula1>
      <formula2>50</formula2>
    </dataValidation>
  </dataValidations>
  <printOptions horizontalCentered="1"/>
  <pageMargins left="3.937007874015748E-2" right="3.937007874015748E-2" top="0.15748031496062992" bottom="1.1811023622047245" header="0.31496062992125984" footer="0.59055118110236227"/>
  <pageSetup scale="13" fitToHeight="0" orientation="portrait" blackAndWhite="1" errors="NA" r:id="rId1"/>
  <headerFooter alignWithMargins="0">
    <oddFooter>&amp;L&amp;8_______________________________________
AUTORIZO: ARQ. JORGE CHAVEZ ALVAREZ&amp;CNumero de Hoja:
&amp;P / &amp;N&amp;R&amp;8_________________________________
LEVANTO: ARQ. ROBERTO E. VIDAL O.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2785" r:id="rId4" name="Button 1">
              <controlPr defaultSize="0" print="0" autoFill="0" autoPict="0" macro="[0]!New_Week">
                <anchor moveWithCells="1" sizeWithCells="1">
                  <from>
                    <xdr:col>16</xdr:col>
                    <xdr:colOff>906780</xdr:colOff>
                    <xdr:row>5</xdr:row>
                    <xdr:rowOff>38100</xdr:rowOff>
                  </from>
                  <to>
                    <xdr:col>17</xdr:col>
                    <xdr:colOff>220980</xdr:colOff>
                    <xdr:row>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6" r:id="rId5" name="Button 2">
              <controlPr defaultSize="0" print="0" autoFill="0" autoPict="0" macro="[0]!Abrir_Archivo">
                <anchor moveWithCells="1">
                  <from>
                    <xdr:col>7</xdr:col>
                    <xdr:colOff>0</xdr:colOff>
                    <xdr:row>9</xdr:row>
                    <xdr:rowOff>22860</xdr:rowOff>
                  </from>
                  <to>
                    <xdr:col>8</xdr:col>
                    <xdr:colOff>373380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7" r:id="rId6" name="Button 3">
              <controlPr defaultSize="0" print="0" autoFill="0" autoPict="0" macro="[0]!Act_Progr">
                <anchor moveWithCells="1">
                  <from>
                    <xdr:col>16</xdr:col>
                    <xdr:colOff>906780</xdr:colOff>
                    <xdr:row>9</xdr:row>
                    <xdr:rowOff>22860</xdr:rowOff>
                  </from>
                  <to>
                    <xdr:col>17</xdr:col>
                    <xdr:colOff>716280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8" r:id="rId7" name="Button 4">
              <controlPr defaultSize="0" print="0" autoFill="0" autoPict="0" macro="[0]!Ini_Change_Link">
                <anchor moveWithCells="1" sizeWithCells="1">
                  <from>
                    <xdr:col>16</xdr:col>
                    <xdr:colOff>906780</xdr:colOff>
                    <xdr:row>5</xdr:row>
                    <xdr:rowOff>228600</xdr:rowOff>
                  </from>
                  <to>
                    <xdr:col>17</xdr:col>
                    <xdr:colOff>708660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9" r:id="rId8" name="Button 5">
              <controlPr defaultSize="0" print="0" autoFill="0" autoPict="0" macro="[0]!DesAct_Progr">
                <anchor moveWithCells="1">
                  <from>
                    <xdr:col>15</xdr:col>
                    <xdr:colOff>0</xdr:colOff>
                    <xdr:row>9</xdr:row>
                    <xdr:rowOff>22860</xdr:rowOff>
                  </from>
                  <to>
                    <xdr:col>16</xdr:col>
                    <xdr:colOff>876300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0" r:id="rId9" name="Button 6">
              <controlPr defaultSize="0" print="0" autoFill="0" autoPict="0" macro="[0]!Agr_N_Rengl">
                <anchor moveWithCells="1">
                  <from>
                    <xdr:col>10</xdr:col>
                    <xdr:colOff>0</xdr:colOff>
                    <xdr:row>9</xdr:row>
                    <xdr:rowOff>38100</xdr:rowOff>
                  </from>
                  <to>
                    <xdr:col>12</xdr:col>
                    <xdr:colOff>449580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1" r:id="rId10" name="Button 7">
              <controlPr defaultSize="0" print="0" autoFill="0" autoPict="0" macro="[0]!In_Mo_Panel">
                <anchor moveWithCells="1">
                  <from>
                    <xdr:col>12</xdr:col>
                    <xdr:colOff>480060</xdr:colOff>
                    <xdr:row>9</xdr:row>
                    <xdr:rowOff>30480</xdr:rowOff>
                  </from>
                  <to>
                    <xdr:col>14</xdr:col>
                    <xdr:colOff>952500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2" r:id="rId11" name="Button 8">
              <controlPr defaultSize="0" print="0" autoFill="0" autoPict="0" macro="[0]!Mandos_Intermedios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16</xdr:col>
                    <xdr:colOff>449580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3" r:id="rId12" name="Button 9">
              <controlPr defaultSize="0" print="0" autoFill="0" autoPict="0" macro="[0]!Captura_Personal">
                <anchor moveWithCells="1" sizeWithCells="1">
                  <from>
                    <xdr:col>6</xdr:col>
                    <xdr:colOff>0</xdr:colOff>
                    <xdr:row>9</xdr:row>
                    <xdr:rowOff>0</xdr:rowOff>
                  </from>
                  <to>
                    <xdr:col>6</xdr:col>
                    <xdr:colOff>449580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4" r:id="rId13" name="Button 10">
              <controlPr defaultSize="0" print="0" autoFill="0" autoPict="0" macro="[0]!Captura_Bodeguero">
                <anchor moveWithCells="1" sizeWithCells="1">
                  <from>
                    <xdr:col>9</xdr:col>
                    <xdr:colOff>0</xdr:colOff>
                    <xdr:row>9</xdr:row>
                    <xdr:rowOff>0</xdr:rowOff>
                  </from>
                  <to>
                    <xdr:col>10</xdr:col>
                    <xdr:colOff>22860</xdr:colOff>
                    <xdr:row>9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7</vt:i4>
      </vt:variant>
    </vt:vector>
  </HeadingPairs>
  <TitlesOfParts>
    <vt:vector size="8" baseType="lpstr">
      <vt:lpstr>026</vt:lpstr>
      <vt:lpstr>'026'!Print_Area</vt:lpstr>
      <vt:lpstr>'026'!Print_Titles</vt:lpstr>
      <vt:lpstr>'026'!Print_Titles_1</vt:lpstr>
      <vt:lpstr>'026'!Print_Titles_2</vt:lpstr>
      <vt:lpstr>'026'!Print_Titles_3</vt:lpstr>
      <vt:lpstr>'026'!Print_Titles1</vt:lpstr>
      <vt:lpstr>'026'!Títulos_a_imprimir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Vidal</dc:creator>
  <cp:lastModifiedBy>Carlos Vidal</cp:lastModifiedBy>
  <cp:lastPrinted>2026-06-13T00:26:13Z</cp:lastPrinted>
  <dcterms:created xsi:type="dcterms:W3CDTF">2015-06-05T14:18:37Z</dcterms:created>
  <dcterms:modified xsi:type="dcterms:W3CDTF">2026-06-29T21:10:43Z</dcterms:modified>
</cp:coreProperties>
</file>