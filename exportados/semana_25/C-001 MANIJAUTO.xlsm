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50A5B68D-D27D-4606-A075-059B23528537}" xr6:coauthVersionLast="47" xr6:coauthVersionMax="47" xr10:uidLastSave="{00000000-0000-0000-0000-000000000000}"/>
  <bookViews>
    <workbookView xWindow="1536" yWindow="1536" windowWidth="17280" windowHeight="8880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'026'!$A$1:$R$46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28" i="491" l="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W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Y28" i="491"/>
  <c r="T28" i="491"/>
  <c r="U28" i="491" s="1"/>
  <c r="R28" i="491"/>
  <c r="Q28" i="491"/>
  <c r="O28" i="491"/>
  <c r="N28" i="491"/>
  <c r="M28" i="491"/>
  <c r="G28" i="491"/>
  <c r="C28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D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F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R27" i="491"/>
  <c r="Q27" i="491"/>
  <c r="O27" i="49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W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Y26" i="491"/>
  <c r="T26" i="491"/>
  <c r="U26" i="491" s="1"/>
  <c r="R26" i="491"/>
  <c r="Q26" i="491"/>
  <c r="O26" i="491"/>
  <c r="N26" i="491"/>
  <c r="M26" i="491"/>
  <c r="G26" i="491"/>
  <c r="C26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W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Y17" i="491"/>
  <c r="T17" i="491"/>
  <c r="U17" i="491" s="1"/>
  <c r="R17" i="491"/>
  <c r="Q17" i="491"/>
  <c r="O17" i="49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W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Y16" i="491"/>
  <c r="T16" i="491"/>
  <c r="U16" i="491" s="1"/>
  <c r="R16" i="491"/>
  <c r="Q16" i="491"/>
  <c r="O16" i="49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R15" i="491"/>
  <c r="Q15" i="491"/>
  <c r="O15" i="491"/>
  <c r="DW15" i="491" s="1"/>
  <c r="N15" i="491"/>
  <c r="M15" i="491"/>
  <c r="G15" i="491"/>
  <c r="C15" i="491"/>
  <c r="R44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E42" i="491"/>
  <c r="GD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W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G42" i="491"/>
  <c r="CF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Y42" i="491"/>
  <c r="T42" i="491"/>
  <c r="U42" i="491" s="1"/>
  <c r="Q42" i="491"/>
  <c r="O42" i="491"/>
  <c r="N42" i="491"/>
  <c r="M42" i="491"/>
  <c r="G42" i="491"/>
  <c r="F42" i="491"/>
  <c r="C42" i="491"/>
  <c r="HR41" i="491"/>
  <c r="HQ41" i="491"/>
  <c r="HP41" i="491"/>
  <c r="HO41" i="491"/>
  <c r="HN41" i="491"/>
  <c r="HM41" i="491"/>
  <c r="HL41" i="491"/>
  <c r="HK41" i="491"/>
  <c r="HJ41" i="491"/>
  <c r="HI41" i="491"/>
  <c r="HH41" i="491"/>
  <c r="HG41" i="491"/>
  <c r="HF41" i="491"/>
  <c r="HE41" i="491"/>
  <c r="HD41" i="491"/>
  <c r="HC41" i="491"/>
  <c r="HB41" i="491"/>
  <c r="HA41" i="491"/>
  <c r="GZ41" i="491"/>
  <c r="GY41" i="491"/>
  <c r="GX41" i="491"/>
  <c r="GW41" i="491"/>
  <c r="GV41" i="491"/>
  <c r="GU41" i="491"/>
  <c r="GT41" i="491"/>
  <c r="GS41" i="491"/>
  <c r="GR41" i="491"/>
  <c r="GQ41" i="491"/>
  <c r="GP41" i="491"/>
  <c r="GO41" i="491"/>
  <c r="GN41" i="491"/>
  <c r="GM41" i="491"/>
  <c r="GL41" i="491"/>
  <c r="GK41" i="491"/>
  <c r="GJ41" i="491"/>
  <c r="GI41" i="491"/>
  <c r="GH41" i="491"/>
  <c r="GG41" i="491"/>
  <c r="GF41" i="491"/>
  <c r="GE41" i="491"/>
  <c r="GD41" i="491"/>
  <c r="GC41" i="491"/>
  <c r="GB41" i="491"/>
  <c r="GA41" i="491"/>
  <c r="FZ41" i="491"/>
  <c r="FY41" i="491"/>
  <c r="FX41" i="491"/>
  <c r="FW41" i="491"/>
  <c r="FV41" i="491"/>
  <c r="FU41" i="491"/>
  <c r="FT41" i="491"/>
  <c r="FS41" i="491"/>
  <c r="FR41" i="491"/>
  <c r="FQ41" i="491"/>
  <c r="FP41" i="491"/>
  <c r="FO41" i="491"/>
  <c r="FN41" i="491"/>
  <c r="FM41" i="491"/>
  <c r="FL41" i="491"/>
  <c r="FK41" i="491"/>
  <c r="FJ41" i="491"/>
  <c r="FI41" i="491"/>
  <c r="FH41" i="491"/>
  <c r="FG41" i="491"/>
  <c r="FF41" i="491"/>
  <c r="FE41" i="491"/>
  <c r="FD41" i="491"/>
  <c r="FC41" i="491"/>
  <c r="FB41" i="491"/>
  <c r="FA41" i="491"/>
  <c r="EZ41" i="491"/>
  <c r="EY41" i="491"/>
  <c r="EX41" i="491"/>
  <c r="EW41" i="491"/>
  <c r="EV41" i="491"/>
  <c r="EU41" i="491"/>
  <c r="ET41" i="491"/>
  <c r="ES41" i="491"/>
  <c r="ER41" i="491"/>
  <c r="EQ41" i="491"/>
  <c r="EP41" i="491"/>
  <c r="EO41" i="491"/>
  <c r="EN41" i="491"/>
  <c r="EM41" i="491"/>
  <c r="EL41" i="491"/>
  <c r="EK41" i="491"/>
  <c r="EJ41" i="491"/>
  <c r="EI41" i="491"/>
  <c r="EH41" i="491"/>
  <c r="EG41" i="491"/>
  <c r="EF41" i="491"/>
  <c r="EE41" i="491"/>
  <c r="ED41" i="491"/>
  <c r="EC41" i="491"/>
  <c r="EB41" i="491"/>
  <c r="EA41" i="491"/>
  <c r="DZ41" i="491"/>
  <c r="DY41" i="491"/>
  <c r="DX41" i="491"/>
  <c r="DW41" i="491"/>
  <c r="DT41" i="491"/>
  <c r="DS41" i="491"/>
  <c r="DR41" i="491"/>
  <c r="DQ41" i="491"/>
  <c r="DP41" i="491"/>
  <c r="DO41" i="491"/>
  <c r="DN41" i="491"/>
  <c r="DM41" i="491"/>
  <c r="DL41" i="491"/>
  <c r="DK41" i="491"/>
  <c r="DJ41" i="491"/>
  <c r="DI41" i="491"/>
  <c r="DH41" i="491"/>
  <c r="DG41" i="491"/>
  <c r="DF41" i="491"/>
  <c r="DE41" i="491"/>
  <c r="DD41" i="491"/>
  <c r="DC41" i="491"/>
  <c r="DB41" i="491"/>
  <c r="DA41" i="491"/>
  <c r="CZ41" i="491"/>
  <c r="CY41" i="491"/>
  <c r="CX41" i="491"/>
  <c r="CW41" i="491"/>
  <c r="CV41" i="491"/>
  <c r="CU41" i="491"/>
  <c r="CT41" i="491"/>
  <c r="CS41" i="491"/>
  <c r="CR41" i="491"/>
  <c r="CQ41" i="491"/>
  <c r="CP41" i="491"/>
  <c r="CO41" i="491"/>
  <c r="CN41" i="491"/>
  <c r="CM41" i="491"/>
  <c r="CL41" i="491"/>
  <c r="CK41" i="491"/>
  <c r="CJ41" i="491"/>
  <c r="CI41" i="491"/>
  <c r="CH41" i="491"/>
  <c r="CG41" i="491"/>
  <c r="CF41" i="491"/>
  <c r="CE41" i="491"/>
  <c r="CD41" i="491"/>
  <c r="CC41" i="491"/>
  <c r="CB41" i="491"/>
  <c r="CA41" i="491"/>
  <c r="BZ41" i="491"/>
  <c r="BY41" i="491"/>
  <c r="BX41" i="491"/>
  <c r="BW41" i="491"/>
  <c r="BV41" i="491"/>
  <c r="BU41" i="491"/>
  <c r="BT41" i="491"/>
  <c r="BS41" i="491"/>
  <c r="BR41" i="491"/>
  <c r="BQ41" i="491"/>
  <c r="BP41" i="491"/>
  <c r="BO41" i="491"/>
  <c r="BN41" i="491"/>
  <c r="BM41" i="491"/>
  <c r="BL41" i="491"/>
  <c r="BK41" i="491"/>
  <c r="BJ41" i="491"/>
  <c r="BI41" i="491"/>
  <c r="BH41" i="491"/>
  <c r="BG41" i="491"/>
  <c r="BF41" i="491"/>
  <c r="BE41" i="491"/>
  <c r="BD41" i="491"/>
  <c r="BC41" i="491"/>
  <c r="BB41" i="491"/>
  <c r="BA41" i="491"/>
  <c r="AZ41" i="491"/>
  <c r="AY41" i="491"/>
  <c r="AX41" i="491"/>
  <c r="AW41" i="491"/>
  <c r="AV41" i="491"/>
  <c r="AU41" i="491"/>
  <c r="AT41" i="491"/>
  <c r="AS41" i="491"/>
  <c r="AR41" i="491"/>
  <c r="AQ41" i="491"/>
  <c r="AP41" i="491"/>
  <c r="AO41" i="491"/>
  <c r="AN41" i="491"/>
  <c r="AM41" i="491"/>
  <c r="AL41" i="491"/>
  <c r="AK41" i="491"/>
  <c r="AJ41" i="491"/>
  <c r="AI41" i="491"/>
  <c r="AH41" i="491"/>
  <c r="AG41" i="491"/>
  <c r="AF41" i="491"/>
  <c r="AE41" i="491"/>
  <c r="AD41" i="491"/>
  <c r="AC41" i="491"/>
  <c r="AB41" i="491"/>
  <c r="AA41" i="491"/>
  <c r="Z41" i="491"/>
  <c r="Y41" i="491"/>
  <c r="T41" i="491"/>
  <c r="U41" i="491" s="1"/>
  <c r="Q41" i="491"/>
  <c r="O41" i="491"/>
  <c r="N41" i="491"/>
  <c r="M41" i="491"/>
  <c r="G41" i="491"/>
  <c r="F41" i="491"/>
  <c r="C41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Q40" i="491"/>
  <c r="O40" i="491"/>
  <c r="N40" i="491"/>
  <c r="M40" i="491"/>
  <c r="G40" i="491"/>
  <c r="F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W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Y39" i="491"/>
  <c r="T39" i="491"/>
  <c r="U39" i="491" s="1"/>
  <c r="Q39" i="491"/>
  <c r="O39" i="491"/>
  <c r="N39" i="491"/>
  <c r="M39" i="491"/>
  <c r="G39" i="491"/>
  <c r="F39" i="491"/>
  <c r="C39" i="491"/>
  <c r="HR38" i="49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W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Y38" i="491"/>
  <c r="T38" i="491"/>
  <c r="U38" i="491" s="1"/>
  <c r="Q38" i="491"/>
  <c r="O38" i="491"/>
  <c r="N38" i="491"/>
  <c r="M38" i="491"/>
  <c r="G38" i="491"/>
  <c r="F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Y37" i="491"/>
  <c r="T37" i="491"/>
  <c r="U37" i="491" s="1"/>
  <c r="CU37" i="491" s="1"/>
  <c r="N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W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Y36" i="491"/>
  <c r="T36" i="491"/>
  <c r="U36" i="491" s="1"/>
  <c r="Q36" i="491"/>
  <c r="O36" i="491"/>
  <c r="N36" i="491"/>
  <c r="M36" i="491"/>
  <c r="G36" i="491"/>
  <c r="F36" i="491"/>
  <c r="C36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W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Y30" i="491"/>
  <c r="T30" i="491"/>
  <c r="U30" i="491" s="1"/>
  <c r="R30" i="491"/>
  <c r="Q30" i="491"/>
  <c r="O30" i="49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W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Y29" i="491"/>
  <c r="T29" i="491"/>
  <c r="U29" i="491" s="1"/>
  <c r="R29" i="491"/>
  <c r="Q29" i="491"/>
  <c r="O29" i="491"/>
  <c r="N29" i="491"/>
  <c r="M29" i="491"/>
  <c r="G29" i="491"/>
  <c r="C29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E25" i="491"/>
  <c r="GD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Y25" i="491"/>
  <c r="DX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G25" i="491"/>
  <c r="CF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AA25" i="491"/>
  <c r="Z25" i="491"/>
  <c r="Y25" i="491"/>
  <c r="T25" i="491"/>
  <c r="U25" i="491" s="1"/>
  <c r="R25" i="491"/>
  <c r="Q25" i="491"/>
  <c r="O25" i="491"/>
  <c r="N25" i="491"/>
  <c r="M25" i="491"/>
  <c r="G25" i="491"/>
  <c r="C25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W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Y19" i="491"/>
  <c r="T19" i="491"/>
  <c r="U19" i="491" s="1"/>
  <c r="R19" i="491"/>
  <c r="Q19" i="491"/>
  <c r="O19" i="491"/>
  <c r="N19" i="491"/>
  <c r="M19" i="49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Y18" i="491"/>
  <c r="T18" i="491"/>
  <c r="U18" i="491" s="1"/>
  <c r="R18" i="491"/>
  <c r="Q18" i="491"/>
  <c r="O18" i="491"/>
  <c r="N18" i="491"/>
  <c r="M18" i="491"/>
  <c r="G18" i="491"/>
  <c r="C18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CL13" i="491" l="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GE13" i="491"/>
  <c r="DX13" i="491" l="1"/>
  <c r="Y13" i="491"/>
  <c r="DW13" i="491" s="1"/>
  <c r="Z13" i="491"/>
  <c r="Q21" i="491" l="1"/>
  <c r="GD13" i="491" s="1"/>
  <c r="M37" i="491"/>
  <c r="O37" i="491" s="1"/>
  <c r="GS37" i="491" s="1"/>
  <c r="GS13" i="491" s="1"/>
  <c r="Q37" i="491" s="1"/>
  <c r="Q44" i="491" s="1"/>
  <c r="F37" i="491"/>
  <c r="R21" i="491" l="1"/>
  <c r="R32" i="491"/>
  <c r="Q32" i="491"/>
  <c r="Q46" i="491" s="1"/>
</calcChain>
</file>

<file path=xl/sharedStrings.xml><?xml version="1.0" encoding="utf-8"?>
<sst xmlns="http://schemas.openxmlformats.org/spreadsheetml/2006/main" count="35" uniqueCount="30">
  <si>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</si>
  <si>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</si>
  <si>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</si>
  <si>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</si>
  <si>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</si>
  <si>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</si>
  <si>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</si>
  <si>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</si>
  <si>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</si>
  <si>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</si>
  <si>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</si>
  <si>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</si>
  <si>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</si>
  <si>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</si>
  <si>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</si>
  <si>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</si>
  <si>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</si>
  <si>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</si>
  <si>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</si>
  <si>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</si>
  <si>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</si>
  <si>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</si>
  <si>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</si>
  <si>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</si>
  <si>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</si>
  <si>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</si>
  <si>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C-001</t>
  </si>
  <si>
    <t>CALZADA OLÍMPICA</t>
  </si>
  <si>
    <t>22/06/26</t>
  </si>
  <si>
    <t>28/06/26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</si>
</sst>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19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1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6" fillId="0" borderId="0" xfId="0" applyFont="1"/>
    <xf numFmtId="0" fontId="18" fillId="2" borderId="25" xfId="0" applyFont="1" applyFill="1" applyBorder="1" applyAlignment="1" applyProtection="1">
      <alignment vertical="center"/>
      <protection locked="0"/>
    </xf>
    <xf numFmtId="0" fontId="18" fillId="2" borderId="26" xfId="0" applyFont="1" applyFill="1" applyBorder="1" applyAlignment="1" applyProtection="1">
      <alignment vertical="center"/>
      <protection locked="0"/>
    </xf>
    <xf numFmtId="0" fontId="17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6" fillId="3" borderId="4" xfId="0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79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40" bestFit="1" customWidth="1"/>
    <col min="2" max="2" width="3.5546875" style="140" bestFit="1" customWidth="1"/>
    <col min="3" max="3" width="0.44140625" customWidth="1"/>
    <col min="4" max="4" width="2.44140625" style="140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35" width="1.5546875" bestFit="1" customWidth="1"/>
    <col min="136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44" t="s">
        <v>0</v>
      </c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6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47"/>
      <c r="B2" s="148"/>
      <c r="C2" s="149"/>
      <c r="D2" s="4"/>
      <c r="E2" s="150" t="s">
        <v>21</v>
      </c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2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0" t="s">
        <v>22</v>
      </c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2"/>
      <c r="R3" s="115" t="str">
        <f>LEFT(D6,2)</f>
        <v>C-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>-001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3" t="s">
        <v>2</v>
      </c>
      <c r="B6" s="154"/>
      <c r="C6" s="155"/>
      <c r="D6" s="162" t="s">
        <v>26</v>
      </c>
      <c r="E6" s="162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4" t="s">
        <v>25</v>
      </c>
      <c r="Q6" s="165"/>
      <c r="R6" s="126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56"/>
      <c r="B7" s="157"/>
      <c r="C7" s="158"/>
      <c r="D7" s="166" t="str">
        <f>VLOOKUP($D$6,[1]OB!$A$2:$I$5052,4,FALSE)</f>
        <v>MANIJAUTO</v>
      </c>
      <c r="E7" s="167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9" t="s">
        <v>24</v>
      </c>
      <c r="Q7" s="170"/>
      <c r="R7" s="127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59"/>
      <c r="B8" s="160"/>
      <c r="C8" s="161"/>
      <c r="D8" s="143" t="s">
        <v>27</v>
      </c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28"/>
      <c r="Q8" s="129"/>
      <c r="R8" s="130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1" t="s">
        <v>3</v>
      </c>
      <c r="B10" s="132">
        <v>25</v>
      </c>
      <c r="C10" s="132"/>
      <c r="D10" s="132"/>
      <c r="E10" s="133" t="s">
        <v>28</v>
      </c>
      <c r="F10" s="134" t="s">
        <v>29</v>
      </c>
      <c r="G10" s="135"/>
      <c r="H10" s="136"/>
      <c r="I10" s="136"/>
      <c r="J10" s="137"/>
      <c r="K10" s="136"/>
      <c r="L10" s="136"/>
      <c r="M10" s="136"/>
      <c r="N10" s="136"/>
      <c r="O10" s="136"/>
      <c r="P10" s="136"/>
      <c r="Q10" s="138"/>
      <c r="R10" s="139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>SUM(Y14:Y42)</f>
        <v>0</v>
      </c>
      <c r="Z13" s="57">
        <f>SUM(Z14:Z42)</f>
        <v>0</v>
      </c>
      <c r="AA13" s="57">
        <f>SUM(AA14:AA42)</f>
        <v>0</v>
      </c>
      <c r="AB13" s="57">
        <f>SUM(AB14:AB42)</f>
        <v>0</v>
      </c>
      <c r="AC13" s="57">
        <f>SUM(AC14:AC42)</f>
        <v>0</v>
      </c>
      <c r="AD13" s="57">
        <f>SUM(AD14:AD42)</f>
        <v>0</v>
      </c>
      <c r="AE13" s="57">
        <f>SUM(AE14:AE42)</f>
        <v>0</v>
      </c>
      <c r="AF13" s="57">
        <f>SUM(AF14:AF42)</f>
        <v>0</v>
      </c>
      <c r="AG13" s="57">
        <f>SUM(AG14:AG42)</f>
        <v>0</v>
      </c>
      <c r="AH13" s="57">
        <f>SUM(AH14:AH42)</f>
        <v>0</v>
      </c>
      <c r="AI13" s="57">
        <f>SUM(AI14:AI42)</f>
        <v>0</v>
      </c>
      <c r="AJ13" s="57">
        <f>SUM(AJ14:AJ42)</f>
        <v>0</v>
      </c>
      <c r="AK13" s="57">
        <f>SUM(AK14:AK42)</f>
        <v>0</v>
      </c>
      <c r="AL13" s="57">
        <f>SUM(AL14:AL42)</f>
        <v>0</v>
      </c>
      <c r="AM13" s="57">
        <f>SUM(AM14:AM42)</f>
        <v>0</v>
      </c>
      <c r="AN13" s="57">
        <f>SUM(AN14:AN42)</f>
        <v>0</v>
      </c>
      <c r="AO13" s="57">
        <f>SUM(AO14:AO42)</f>
        <v>0</v>
      </c>
      <c r="AP13" s="57">
        <f>SUM(AP14:AP42)</f>
        <v>0</v>
      </c>
      <c r="AQ13" s="57">
        <f>SUM(AQ14:AQ42)</f>
        <v>0</v>
      </c>
      <c r="AR13" s="57">
        <f>SUM(AR14:AR42)</f>
        <v>0</v>
      </c>
      <c r="AS13" s="57">
        <f>SUM(AS14:AS42)</f>
        <v>0</v>
      </c>
      <c r="AT13" s="57">
        <f>SUM(AT14:AT42)</f>
        <v>0</v>
      </c>
      <c r="AU13" s="57">
        <f>SUM(AU14:AU42)</f>
        <v>0</v>
      </c>
      <c r="AV13" s="57">
        <f>SUM(AV14:AV42)</f>
        <v>0</v>
      </c>
      <c r="AW13" s="57">
        <f>SUM(AW14:AW42)</f>
        <v>0</v>
      </c>
      <c r="AX13" s="57">
        <f>SUM(AX14:AX42)</f>
        <v>0</v>
      </c>
      <c r="AY13" s="57">
        <f>SUM(AY14:AY42)</f>
        <v>0</v>
      </c>
      <c r="AZ13" s="57">
        <f>SUM(AZ14:AZ42)</f>
        <v>0</v>
      </c>
      <c r="BA13" s="57">
        <f>SUM(BA14:BA42)</f>
        <v>0</v>
      </c>
      <c r="BB13" s="57">
        <f>SUM(BB14:BB42)</f>
        <v>0</v>
      </c>
      <c r="BC13" s="57">
        <f>SUM(BC14:BC42)</f>
        <v>0</v>
      </c>
      <c r="BD13" s="57">
        <f>SUM(BD14:BD42)</f>
        <v>0</v>
      </c>
      <c r="BE13" s="57">
        <f>SUM(BE14:BE42)</f>
        <v>0</v>
      </c>
      <c r="BF13" s="57">
        <f>SUM(BF14:BF42)</f>
        <v>0</v>
      </c>
      <c r="BG13" s="57">
        <f>SUM(BG14:BG42)</f>
        <v>0</v>
      </c>
      <c r="BH13" s="57">
        <f>SUM(BH14:BH42)</f>
        <v>0</v>
      </c>
      <c r="BI13" s="57">
        <f>SUM(BI14:BI42)</f>
        <v>0</v>
      </c>
      <c r="BJ13" s="57">
        <f>SUM(BJ14:BJ42)</f>
        <v>0</v>
      </c>
      <c r="BK13" s="57">
        <f>SUM(BK14:BK42)</f>
        <v>0</v>
      </c>
      <c r="BL13" s="57">
        <f>SUM(BL14:BL42)</f>
        <v>0</v>
      </c>
      <c r="BM13" s="57">
        <f>SUM(BM14:BM42)</f>
        <v>0</v>
      </c>
      <c r="BN13" s="57">
        <f>SUM(BN14:BN42)</f>
        <v>0</v>
      </c>
      <c r="BO13" s="57">
        <f>SUM(BO14:BO42)</f>
        <v>0</v>
      </c>
      <c r="BP13" s="57">
        <f>SUM(BP14:BP42)</f>
        <v>0</v>
      </c>
      <c r="BQ13" s="57">
        <f>SUM(BQ14:BQ42)</f>
        <v>0</v>
      </c>
      <c r="BR13" s="57">
        <f>SUM(BR14:BR42)</f>
        <v>0</v>
      </c>
      <c r="BS13" s="57">
        <f>SUM(BS14:BS42)</f>
        <v>0</v>
      </c>
      <c r="BT13" s="57">
        <f>SUM(BT14:BT42)</f>
        <v>0</v>
      </c>
      <c r="BU13" s="57">
        <f>SUM(BU14:BU42)</f>
        <v>0</v>
      </c>
      <c r="BV13" s="57">
        <f>SUM(BV14:BV42)</f>
        <v>0</v>
      </c>
      <c r="BW13" s="57">
        <f>SUM(BW14:BW42)</f>
        <v>0</v>
      </c>
      <c r="BX13" s="57">
        <f>SUM(BX14:BX42)</f>
        <v>0</v>
      </c>
      <c r="BY13" s="57">
        <f>SUM(BY14:BY42)</f>
        <v>0</v>
      </c>
      <c r="BZ13" s="57">
        <f>SUM(BZ14:BZ42)</f>
        <v>0</v>
      </c>
      <c r="CA13" s="57">
        <f>SUM(CA14:CA42)</f>
        <v>0</v>
      </c>
      <c r="CB13" s="57">
        <f>SUM(CB14:CB42)</f>
        <v>0</v>
      </c>
      <c r="CC13" s="57">
        <f>SUM(CC14:CC42)</f>
        <v>0</v>
      </c>
      <c r="CD13" s="57">
        <f>SUM(CD14:CD42)</f>
        <v>0</v>
      </c>
      <c r="CE13" s="57">
        <f>SUM(CE14:CE42)</f>
        <v>0</v>
      </c>
      <c r="CF13" s="57">
        <f>SUM(CF14:CF42)</f>
        <v>0</v>
      </c>
      <c r="CG13" s="57">
        <f>SUM(CG14:CG42)</f>
        <v>0</v>
      </c>
      <c r="CH13" s="57">
        <f>SUM(CH14:CH42)</f>
        <v>0</v>
      </c>
      <c r="CI13" s="57">
        <f>SUM(CI14:CI42)</f>
        <v>0</v>
      </c>
      <c r="CJ13" s="57">
        <f>SUM(CJ14:CJ42)</f>
        <v>0</v>
      </c>
      <c r="CK13" s="57">
        <f>SUM(CK14:CK42)</f>
        <v>0</v>
      </c>
      <c r="CL13" s="57">
        <f>SUM(CL14:CL42)</f>
        <v>0</v>
      </c>
      <c r="CM13" s="57">
        <f>SUM(CM14:CM42)</f>
        <v>0</v>
      </c>
      <c r="CN13" s="57">
        <f>SUM(CN14:CN42)</f>
        <v>0</v>
      </c>
      <c r="CO13" s="57">
        <f>SUM(CO14:CO42)</f>
        <v>0</v>
      </c>
      <c r="CP13" s="57">
        <f>SUM(CP14:CP42)</f>
        <v>0</v>
      </c>
      <c r="CQ13" s="57">
        <f>SUM(CQ14:CQ42)</f>
        <v>0</v>
      </c>
      <c r="CR13" s="57">
        <f>SUM(CR14:CR42)</f>
        <v>0</v>
      </c>
      <c r="CS13" s="57">
        <f>SUM(CS14:CS42)</f>
        <v>0</v>
      </c>
      <c r="CT13" s="57">
        <f>SUM(CT14:CT42)</f>
        <v>0</v>
      </c>
      <c r="CU13" s="57">
        <f>SUM(CU14:CU42)</f>
        <v>0</v>
      </c>
      <c r="CV13" s="57">
        <f>SUM(CV14:CV42)</f>
        <v>0</v>
      </c>
      <c r="CW13" s="57">
        <f>SUM(CW14:CW42)</f>
        <v>0</v>
      </c>
      <c r="CX13" s="57">
        <f>SUM(CX14:CX42)</f>
        <v>0</v>
      </c>
      <c r="CY13" s="57">
        <f>SUM(CY14:CY42)</f>
        <v>0</v>
      </c>
      <c r="CZ13" s="57">
        <f>SUM(CZ14:CZ42)</f>
        <v>0</v>
      </c>
      <c r="DA13" s="57">
        <f>SUM(DA14:DA42)</f>
        <v>0</v>
      </c>
      <c r="DB13" s="57">
        <f>SUM(DB14:DB42)</f>
        <v>0</v>
      </c>
      <c r="DC13" s="57">
        <f>SUM(DC14:DC42)</f>
        <v>0</v>
      </c>
      <c r="DD13" s="57">
        <f>SUM(DD14:DD42)</f>
        <v>0</v>
      </c>
      <c r="DE13" s="57">
        <f>SUM(DE14:DE42)</f>
        <v>0</v>
      </c>
      <c r="DF13" s="57">
        <f>SUM(DF14:DF42)</f>
        <v>0</v>
      </c>
      <c r="DG13" s="57">
        <f>SUM(DG14:DG42)</f>
        <v>0</v>
      </c>
      <c r="DH13" s="57">
        <f>SUM(DH14:DH42)</f>
        <v>0</v>
      </c>
      <c r="DI13" s="57">
        <f>SUM(DI14:DI42)</f>
        <v>0</v>
      </c>
      <c r="DJ13" s="57">
        <f>SUM(DJ14:DJ42)</f>
        <v>0</v>
      </c>
      <c r="DK13" s="57">
        <f>SUM(DK14:DK42)</f>
        <v>0</v>
      </c>
      <c r="DL13" s="57">
        <f>SUM(DL14:DL42)</f>
        <v>0</v>
      </c>
      <c r="DM13" s="57">
        <f>SUM(DM14:DM42)</f>
        <v>0</v>
      </c>
      <c r="DN13" s="57">
        <f>SUM(DN14:DN42)</f>
        <v>0</v>
      </c>
      <c r="DO13" s="57">
        <f>SUM(DO14:DO42)</f>
        <v>0</v>
      </c>
      <c r="DP13" s="57">
        <f>SUM(DP14:DP42)</f>
        <v>0</v>
      </c>
      <c r="DQ13" s="57">
        <f>SUM(DQ14:DQ42)</f>
        <v>0</v>
      </c>
      <c r="DR13" s="57">
        <f>SUM(DR14:DR42)</f>
        <v>0</v>
      </c>
      <c r="DS13" s="57">
        <f>SUM(DS14:DS42)</f>
        <v>0</v>
      </c>
      <c r="DT13" s="109">
        <f>SUM(DT14:DT42)</f>
        <v>0</v>
      </c>
      <c r="DU13" s="54"/>
      <c r="DV13" s="58" t="s">
        <v>16</v>
      </c>
      <c r="DW13" s="56">
        <f>SUM(DW14:DW42)</f>
        <v>0</v>
      </c>
      <c r="DX13" s="57">
        <f>SUM(DX14:DX42)</f>
        <v>0</v>
      </c>
      <c r="DY13" s="57">
        <f>SUM(DY14:DY42)</f>
        <v>0</v>
      </c>
      <c r="DZ13" s="57">
        <f>SUM(DZ14:DZ42)</f>
        <v>0</v>
      </c>
      <c r="EA13" s="57">
        <f>SUM(EA14:EA42)</f>
        <v>0</v>
      </c>
      <c r="EB13" s="57">
        <f>SUM(EB14:EB42)</f>
        <v>0</v>
      </c>
      <c r="EC13" s="57">
        <f>SUM(EC14:EC42)</f>
        <v>0</v>
      </c>
      <c r="ED13" s="57">
        <f>SUM(ED14:ED42)</f>
        <v>0</v>
      </c>
      <c r="EE13" s="57">
        <f>SUM(EE14:EE42)</f>
        <v>0</v>
      </c>
      <c r="EF13" s="57">
        <f>SUM(EF14:EF42)</f>
        <v>0</v>
      </c>
      <c r="EG13" s="57">
        <f>SUM(EG14:EG42)</f>
        <v>0</v>
      </c>
      <c r="EH13" s="57">
        <f>SUM(EH14:EH42)</f>
        <v>0</v>
      </c>
      <c r="EI13" s="57">
        <f>SUM(EI14:EI42)</f>
        <v>0</v>
      </c>
      <c r="EJ13" s="57">
        <f>SUM(EJ14:EJ42)</f>
        <v>0</v>
      </c>
      <c r="EK13" s="57">
        <f>SUM(EK14:EK42)</f>
        <v>0</v>
      </c>
      <c r="EL13" s="57">
        <f>SUM(EL14:EL42)</f>
        <v>0</v>
      </c>
      <c r="EM13" s="57">
        <f>SUM(EM14:EM42)</f>
        <v>0</v>
      </c>
      <c r="EN13" s="57">
        <f>SUM(EN14:EN42)</f>
        <v>0</v>
      </c>
      <c r="EO13" s="57">
        <f>SUM(EO14:EO42)</f>
        <v>0</v>
      </c>
      <c r="EP13" s="57">
        <f>SUM(EP14:EP42)</f>
        <v>0</v>
      </c>
      <c r="EQ13" s="57">
        <f>SUM(EQ14:EQ42)</f>
        <v>0</v>
      </c>
      <c r="ER13" s="57">
        <f>SUM(ER14:ER42)</f>
        <v>0</v>
      </c>
      <c r="ES13" s="57">
        <f>SUM(ES14:ES42)</f>
        <v>0</v>
      </c>
      <c r="ET13" s="57">
        <f>SUM(ET14:ET42)</f>
        <v>0</v>
      </c>
      <c r="EU13" s="57">
        <f>SUM(EU14:EU42)</f>
        <v>0</v>
      </c>
      <c r="EV13" s="57">
        <f>SUM(EV14:EV42)</f>
        <v>0</v>
      </c>
      <c r="EW13" s="57">
        <f>SUM(EW14:EW42)</f>
        <v>0</v>
      </c>
      <c r="EX13" s="57">
        <f>SUM(EX14:EX42)</f>
        <v>0</v>
      </c>
      <c r="EY13" s="57">
        <f>SUM(EY14:EY42)</f>
        <v>0</v>
      </c>
      <c r="EZ13" s="57">
        <f>SUM(EZ14:EZ42)</f>
        <v>0</v>
      </c>
      <c r="FA13" s="57">
        <f>SUM(FA14:FA42)</f>
        <v>0</v>
      </c>
      <c r="FB13" s="57">
        <f>SUM(FB14:FB42)</f>
        <v>0</v>
      </c>
      <c r="FC13" s="57">
        <f>SUM(FC14:FC42)</f>
        <v>0</v>
      </c>
      <c r="FD13" s="57">
        <f>SUM(FD14:FD42)</f>
        <v>0</v>
      </c>
      <c r="FE13" s="57">
        <f>SUM(FE14:FE42)</f>
        <v>0</v>
      </c>
      <c r="FF13" s="57">
        <f>SUM(FF14:FF42)</f>
        <v>0</v>
      </c>
      <c r="FG13" s="57">
        <f>SUM(FG14:FG42)</f>
        <v>0</v>
      </c>
      <c r="FH13" s="57">
        <f>SUM(FH14:FH42)</f>
        <v>0</v>
      </c>
      <c r="FI13" s="57">
        <f>SUM(FI14:FI42)</f>
        <v>0</v>
      </c>
      <c r="FJ13" s="57">
        <f>SUM(FJ14:FJ42)</f>
        <v>0</v>
      </c>
      <c r="FK13" s="57">
        <f>SUM(FK14:FK42)</f>
        <v>0</v>
      </c>
      <c r="FL13" s="57">
        <f>SUM(FL14:FL42)</f>
        <v>0</v>
      </c>
      <c r="FM13" s="57">
        <f>SUM(FM14:FM42)</f>
        <v>0</v>
      </c>
      <c r="FN13" s="57">
        <f>SUM(FN14:FN42)</f>
        <v>0</v>
      </c>
      <c r="FO13" s="57">
        <f>SUM(FO14:FO42)</f>
        <v>0</v>
      </c>
      <c r="FP13" s="57">
        <f>SUM(FP14:FP42)</f>
        <v>0</v>
      </c>
      <c r="FQ13" s="57">
        <f>SUM(FQ14:FQ42)</f>
        <v>0</v>
      </c>
      <c r="FR13" s="57">
        <f>SUM(FR14:FR42)</f>
        <v>0</v>
      </c>
      <c r="FS13" s="57">
        <f>SUM(FS14:FS42)</f>
        <v>0</v>
      </c>
      <c r="FT13" s="57">
        <f>SUM(FT14:FT42)</f>
        <v>0</v>
      </c>
      <c r="FU13" s="57">
        <f>SUM(FU14:FU42)</f>
        <v>0</v>
      </c>
      <c r="FV13" s="57">
        <f>SUM(FV14:FV42)</f>
        <v>0</v>
      </c>
      <c r="FW13" s="57">
        <f>SUM(FW14:FW42)</f>
        <v>0</v>
      </c>
      <c r="FX13" s="57">
        <f>SUM(FX14:FX42)</f>
        <v>0</v>
      </c>
      <c r="FY13" s="57">
        <f>SUM(FY14:FY42)</f>
        <v>0</v>
      </c>
      <c r="FZ13" s="57">
        <f>SUM(FZ14:FZ42)</f>
        <v>0</v>
      </c>
      <c r="GA13" s="57">
        <f>SUM(GA14:GA42)</f>
        <v>0</v>
      </c>
      <c r="GB13" s="57">
        <f>SUM(GB14:GB42)</f>
        <v>0</v>
      </c>
      <c r="GC13" s="57">
        <f>SUM(GC14:GC42)</f>
        <v>0</v>
      </c>
      <c r="GD13" s="57">
        <f>SUM(GD14:GD42)</f>
        <v>0</v>
      </c>
      <c r="GE13" s="57">
        <f>SUM(GE14:GE42)</f>
        <v>0</v>
      </c>
      <c r="GF13" s="57">
        <f>SUM(GF14:GF42)</f>
        <v>0</v>
      </c>
      <c r="GG13" s="57">
        <f>SUM(GG14:GG42)</f>
        <v>0</v>
      </c>
      <c r="GH13" s="57">
        <f>SUM(GH14:GH42)</f>
        <v>0</v>
      </c>
      <c r="GI13" s="57">
        <f>SUM(GI14:GI42)</f>
        <v>0</v>
      </c>
      <c r="GJ13" s="57">
        <f>SUM(GJ14:GJ42)</f>
        <v>0</v>
      </c>
      <c r="GK13" s="57">
        <f>SUM(GK14:GK42)</f>
        <v>0</v>
      </c>
      <c r="GL13" s="57">
        <f>SUM(GL14:GL42)</f>
        <v>0</v>
      </c>
      <c r="GM13" s="57">
        <f>SUM(GM14:GM42)</f>
        <v>0</v>
      </c>
      <c r="GN13" s="57">
        <f>SUM(GN14:GN42)</f>
        <v>0</v>
      </c>
      <c r="GO13" s="57">
        <f>SUM(GO14:GO42)</f>
        <v>0</v>
      </c>
      <c r="GP13" s="57">
        <f>SUM(GP14:GP42)</f>
        <v>0</v>
      </c>
      <c r="GQ13" s="57">
        <f>SUM(GQ14:GQ42)</f>
        <v>0</v>
      </c>
      <c r="GR13" s="57">
        <f>SUM(GR14:GR42)</f>
        <v>0</v>
      </c>
      <c r="GS13" s="57">
        <f>SUM(GS14:GS42)</f>
        <v>0</v>
      </c>
      <c r="GT13" s="57">
        <f>SUM(GT14:GT42)</f>
        <v>0</v>
      </c>
      <c r="GU13" s="57">
        <f>SUM(GU14:GU42)</f>
        <v>0</v>
      </c>
      <c r="GV13" s="57">
        <f>SUM(GV14:GV42)</f>
        <v>0</v>
      </c>
      <c r="GW13" s="57">
        <f>SUM(GW14:GW42)</f>
        <v>0</v>
      </c>
      <c r="GX13" s="57">
        <f>SUM(GX14:GX42)</f>
        <v>0</v>
      </c>
      <c r="GY13" s="57">
        <f>SUM(GY14:GY42)</f>
        <v>0</v>
      </c>
      <c r="GZ13" s="57">
        <f>SUM(GZ14:GZ42)</f>
        <v>0</v>
      </c>
      <c r="HA13" s="57">
        <f>SUM(HA14:HA42)</f>
        <v>0</v>
      </c>
      <c r="HB13" s="57">
        <f>SUM(HB14:HB42)</f>
        <v>0</v>
      </c>
      <c r="HC13" s="57">
        <f>SUM(HC14:HC42)</f>
        <v>0</v>
      </c>
      <c r="HD13" s="57">
        <f>SUM(HD14:HD42)</f>
        <v>0</v>
      </c>
      <c r="HE13" s="57">
        <f>SUM(HE14:HE42)</f>
        <v>0</v>
      </c>
      <c r="HF13" s="57">
        <f>SUM(HF14:HF42)</f>
        <v>0</v>
      </c>
      <c r="HG13" s="57">
        <f>SUM(HG14:HG42)</f>
        <v>0</v>
      </c>
      <c r="HH13" s="57">
        <f>SUM(HH14:HH42)</f>
        <v>0</v>
      </c>
      <c r="HI13" s="57">
        <f>SUM(HI14:HI42)</f>
        <v>0</v>
      </c>
      <c r="HJ13" s="57">
        <f>SUM(HJ14:HJ42)</f>
        <v>0</v>
      </c>
      <c r="HK13" s="57">
        <f>SUM(HK14:HK42)</f>
        <v>0</v>
      </c>
      <c r="HL13" s="57">
        <f>SUM(HL14:HL42)</f>
        <v>0</v>
      </c>
      <c r="HM13" s="57">
        <f>SUM(HM14:HM42)</f>
        <v>0</v>
      </c>
      <c r="HN13" s="57">
        <f>SUM(HN14:HN42)</f>
        <v>0</v>
      </c>
      <c r="HO13" s="57">
        <f>SUM(HO14:HO42)</f>
        <v>0</v>
      </c>
      <c r="HP13" s="57">
        <f>SUM(HP14:HP42)</f>
        <v>0</v>
      </c>
      <c r="HQ13" s="57">
        <f>SUM(HQ14:HQ42)</f>
        <v>0</v>
      </c>
      <c r="HR13" s="109">
        <f>SUM(HR14:HR42)</f>
        <v>0</v>
      </c>
    </row>
    <row r="14" spans="1:226" ht="11.1" customHeight="1" thickTop="1" x14ac:dyDescent="0.25">
      <c r="A14" s="80"/>
      <c r="B14" s="87"/>
      <c r="C14" s="120" t="str">
        <f>IF(A14=0,"",VLOOKUP(A14,[2]CO!$A$3:$F$5327,2,0))</f>
        <v/>
      </c>
      <c r="D14" s="121"/>
      <c r="E14" s="121"/>
      <c r="F14" s="121"/>
      <c r="G14" s="122" t="str">
        <f>IF(A14=0,"",VLOOKUP(A14,[2]CO!$A$3:$F$5327,3,0))</f>
        <v/>
      </c>
      <c r="H14" s="121"/>
      <c r="I14" s="123"/>
      <c r="J14" s="123"/>
      <c r="K14" s="123"/>
      <c r="L14" s="123"/>
      <c r="M14" s="124" t="str">
        <f t="shared" ref="M14:M19" si="0">IF(L14=0,"",PRODUCT(I14:L14))</f>
        <v/>
      </c>
      <c r="N14" s="124" t="str">
        <f>IF(B14=0,"",IF(H14="M",HLOOKUP(B14,$Y$12:$DT$13,2),IF(A14=0,"",VLOOKUP(A14,[2]CO!$A$3:$F$5327,4,0))))</f>
        <v/>
      </c>
      <c r="O14" s="124" t="str">
        <f>IF(L14=0,"",PRODUCT(M14:N14))</f>
        <v/>
      </c>
      <c r="P14" s="87"/>
      <c r="Q14" s="88" t="str">
        <f t="shared" ref="Q14:Q19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RESIDENTE"),VLOOKUP(B14,P$14:Q$42,2),"")*S14)</f>
        <v/>
      </c>
      <c r="T14" s="53" t="str">
        <f>IF(A14=0,"",VLOOKUP(A14,[2]CO!$A$3:$F$5318,5,0))</f>
        <v/>
      </c>
      <c r="U14" s="54">
        <f t="shared" ref="U14:U19" si="2">IF(T14=1,O14*0.1,)</f>
        <v>0</v>
      </c>
      <c r="V14" s="24"/>
      <c r="Y14" s="62" t="str">
        <f t="shared" ref="Y14:CJ14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14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0" t="str">
        <f t="shared" si="4"/>
        <v/>
      </c>
      <c r="DU14" s="54"/>
      <c r="DW14" s="59" t="str">
        <f t="shared" ref="DW14:GH14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14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4" t="str">
        <f t="shared" si="6"/>
        <v/>
      </c>
    </row>
    <row r="15" spans="1:226" ht="11.1" customHeight="1" x14ac:dyDescent="0.25">
      <c r="A15" s="26"/>
      <c r="B15" s="27"/>
      <c r="C15" s="28" t="str">
        <f>IF(A15=0,"",VLOOKUP(A15,[2]CO!$A$3:$F$5327,2,0))</f>
        <v/>
      </c>
      <c r="D15" s="29"/>
      <c r="E15" s="29"/>
      <c r="F15" s="29"/>
      <c r="G15" s="30" t="str">
        <f>IF(A15=0,"",VLOOKUP(A15,[2]CO!$A$3:$F$5327,3,0))</f>
        <v/>
      </c>
      <c r="H15" s="29"/>
      <c r="I15" s="31"/>
      <c r="J15" s="31"/>
      <c r="K15" s="31"/>
      <c r="L15" s="31"/>
      <c r="M15" s="32" t="str">
        <f t="shared" ref="M15:M17" si="7">IF(L15=0,"",PRODUCT(I15:L15))</f>
        <v/>
      </c>
      <c r="N15" s="32" t="str">
        <f>IF(B15=0,"",IF(H15="M",HLOOKUP(B15,$Y$12:$DT$13,2),IF(A15=0,"",VLOOKUP(A15,[2]CO!$A$3:$F$5327,4,0))))</f>
        <v/>
      </c>
      <c r="O15" s="32" t="str">
        <f t="shared" ref="O15:O17" si="8">IF(L15=0,"",PRODUCT(M15:N15))</f>
        <v/>
      </c>
      <c r="P15" s="33"/>
      <c r="Q15" s="34" t="str">
        <f t="shared" ref="Q15:Q17" si="9">IF(P15=0,"",(HLOOKUP(P15,$DW$12:$HR$13,2)))</f>
        <v/>
      </c>
      <c r="R15" s="35" t="str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RESIDENTE"),VLOOKUP(B15,P$14:Q$42,2),"")*S15)</f>
        <v/>
      </c>
      <c r="T15" s="53" t="str">
        <f>IF(A15=0,"",VLOOKUP(A15,[2]CO!$A$3:$F$5318,5,0))</f>
        <v/>
      </c>
      <c r="U15" s="54">
        <f t="shared" ref="U15:U17" si="10">IF(T15=1,O15*0.1,)</f>
        <v>0</v>
      </c>
      <c r="V15" s="24"/>
      <c r="W15" s="25"/>
      <c r="X15" s="25"/>
      <c r="Y15" s="64" t="str">
        <f t="shared" ref="Y15:AA15" si="11">IF($B15=Y$12,$U15,"")</f>
        <v/>
      </c>
      <c r="Z15" s="55" t="str">
        <f t="shared" si="11"/>
        <v/>
      </c>
      <c r="AA15" s="55" t="str">
        <f t="shared" si="11"/>
        <v/>
      </c>
      <c r="AB15" s="55" t="str">
        <f t="shared" ref="AB15:CI15" si="12">IF($B15=AB$12,$U15,"")</f>
        <v/>
      </c>
      <c r="AC15" s="55" t="str">
        <f t="shared" si="12"/>
        <v/>
      </c>
      <c r="AD15" s="55" t="str">
        <f t="shared" si="12"/>
        <v/>
      </c>
      <c r="AE15" s="55" t="str">
        <f t="shared" si="12"/>
        <v/>
      </c>
      <c r="AF15" s="55" t="str">
        <f t="shared" si="12"/>
        <v/>
      </c>
      <c r="AG15" s="55" t="str">
        <f t="shared" si="12"/>
        <v/>
      </c>
      <c r="AH15" s="55" t="str">
        <f t="shared" si="12"/>
        <v/>
      </c>
      <c r="AI15" s="55" t="str">
        <f t="shared" si="12"/>
        <v/>
      </c>
      <c r="AJ15" s="55" t="str">
        <f t="shared" si="12"/>
        <v/>
      </c>
      <c r="AK15" s="55" t="str">
        <f t="shared" si="12"/>
        <v/>
      </c>
      <c r="AL15" s="55" t="str">
        <f t="shared" si="12"/>
        <v/>
      </c>
      <c r="AM15" s="55" t="str">
        <f t="shared" si="12"/>
        <v/>
      </c>
      <c r="AN15" s="55" t="str">
        <f t="shared" si="12"/>
        <v/>
      </c>
      <c r="AO15" s="55" t="str">
        <f t="shared" si="12"/>
        <v/>
      </c>
      <c r="AP15" s="55" t="str">
        <f t="shared" si="12"/>
        <v/>
      </c>
      <c r="AQ15" s="55" t="str">
        <f t="shared" si="12"/>
        <v/>
      </c>
      <c r="AR15" s="55" t="str">
        <f t="shared" si="12"/>
        <v/>
      </c>
      <c r="AS15" s="55" t="str">
        <f t="shared" si="12"/>
        <v/>
      </c>
      <c r="AT15" s="55" t="str">
        <f t="shared" si="12"/>
        <v/>
      </c>
      <c r="AU15" s="55" t="str">
        <f t="shared" si="12"/>
        <v/>
      </c>
      <c r="AV15" s="55" t="str">
        <f t="shared" si="12"/>
        <v/>
      </c>
      <c r="AW15" s="55" t="str">
        <f t="shared" si="12"/>
        <v/>
      </c>
      <c r="AX15" s="55" t="str">
        <f t="shared" si="12"/>
        <v/>
      </c>
      <c r="AY15" s="55" t="str">
        <f t="shared" si="12"/>
        <v/>
      </c>
      <c r="AZ15" s="55" t="str">
        <f t="shared" si="12"/>
        <v/>
      </c>
      <c r="BA15" s="55" t="str">
        <f t="shared" si="12"/>
        <v/>
      </c>
      <c r="BB15" s="55" t="str">
        <f t="shared" si="12"/>
        <v/>
      </c>
      <c r="BC15" s="55" t="str">
        <f t="shared" si="12"/>
        <v/>
      </c>
      <c r="BD15" s="55" t="str">
        <f t="shared" si="12"/>
        <v/>
      </c>
      <c r="BE15" s="55" t="str">
        <f t="shared" si="12"/>
        <v/>
      </c>
      <c r="BF15" s="55" t="str">
        <f t="shared" si="12"/>
        <v/>
      </c>
      <c r="BG15" s="55" t="str">
        <f t="shared" si="12"/>
        <v/>
      </c>
      <c r="BH15" s="55" t="str">
        <f t="shared" si="12"/>
        <v/>
      </c>
      <c r="BI15" s="55" t="str">
        <f t="shared" si="12"/>
        <v/>
      </c>
      <c r="BJ15" s="55" t="str">
        <f t="shared" si="12"/>
        <v/>
      </c>
      <c r="BK15" s="55" t="str">
        <f t="shared" si="12"/>
        <v/>
      </c>
      <c r="BL15" s="55" t="str">
        <f t="shared" si="12"/>
        <v/>
      </c>
      <c r="BM15" s="55" t="str">
        <f t="shared" si="12"/>
        <v/>
      </c>
      <c r="BN15" s="55" t="str">
        <f t="shared" si="12"/>
        <v/>
      </c>
      <c r="BO15" s="55" t="str">
        <f t="shared" si="12"/>
        <v/>
      </c>
      <c r="BP15" s="55" t="str">
        <f t="shared" si="12"/>
        <v/>
      </c>
      <c r="BQ15" s="55" t="str">
        <f t="shared" si="12"/>
        <v/>
      </c>
      <c r="BR15" s="55" t="str">
        <f t="shared" si="12"/>
        <v/>
      </c>
      <c r="BS15" s="55" t="str">
        <f t="shared" si="12"/>
        <v/>
      </c>
      <c r="BT15" s="55" t="str">
        <f t="shared" si="12"/>
        <v/>
      </c>
      <c r="BU15" s="55" t="str">
        <f t="shared" si="12"/>
        <v/>
      </c>
      <c r="BV15" s="55" t="str">
        <f t="shared" si="12"/>
        <v/>
      </c>
      <c r="BW15" s="55" t="str">
        <f t="shared" si="12"/>
        <v/>
      </c>
      <c r="BX15" s="55" t="str">
        <f t="shared" si="12"/>
        <v/>
      </c>
      <c r="BY15" s="55" t="str">
        <f t="shared" si="12"/>
        <v/>
      </c>
      <c r="BZ15" s="55" t="str">
        <f t="shared" si="12"/>
        <v/>
      </c>
      <c r="CA15" s="55" t="str">
        <f t="shared" si="12"/>
        <v/>
      </c>
      <c r="CB15" s="55" t="str">
        <f t="shared" si="12"/>
        <v/>
      </c>
      <c r="CC15" s="55" t="str">
        <f t="shared" si="12"/>
        <v/>
      </c>
      <c r="CD15" s="55" t="str">
        <f t="shared" si="12"/>
        <v/>
      </c>
      <c r="CE15" s="55" t="str">
        <f t="shared" si="12"/>
        <v/>
      </c>
      <c r="CF15" s="55" t="str">
        <f t="shared" si="12"/>
        <v/>
      </c>
      <c r="CG15" s="55" t="str">
        <f t="shared" si="12"/>
        <v/>
      </c>
      <c r="CH15" s="55" t="str">
        <f t="shared" si="12"/>
        <v/>
      </c>
      <c r="CI15" s="55" t="str">
        <f t="shared" si="12"/>
        <v/>
      </c>
      <c r="CJ15" s="55" t="str">
        <f t="shared" ref="CJ15:CY17" si="13">IF($B15=CJ$12,$U15,"")</f>
        <v/>
      </c>
      <c r="CK15" s="55" t="str">
        <f t="shared" si="13"/>
        <v/>
      </c>
      <c r="CL15" s="55" t="str">
        <f t="shared" si="13"/>
        <v/>
      </c>
      <c r="CM15" s="55" t="str">
        <f t="shared" si="13"/>
        <v/>
      </c>
      <c r="CN15" s="55" t="str">
        <f t="shared" ref="CN15:CY16" si="14">IF($B15=CN$12,$U15,"")</f>
        <v/>
      </c>
      <c r="CO15" s="55" t="str">
        <f t="shared" si="14"/>
        <v/>
      </c>
      <c r="CP15" s="55" t="str">
        <f t="shared" si="14"/>
        <v/>
      </c>
      <c r="CQ15" s="55" t="str">
        <f t="shared" si="14"/>
        <v/>
      </c>
      <c r="CR15" s="55" t="str">
        <f t="shared" si="14"/>
        <v/>
      </c>
      <c r="CS15" s="55" t="str">
        <f t="shared" si="14"/>
        <v/>
      </c>
      <c r="CT15" s="55" t="str">
        <f t="shared" si="14"/>
        <v/>
      </c>
      <c r="CU15" s="55" t="str">
        <f t="shared" si="14"/>
        <v/>
      </c>
      <c r="CV15" s="55" t="str">
        <f t="shared" si="14"/>
        <v/>
      </c>
      <c r="CW15" s="55" t="str">
        <f t="shared" si="14"/>
        <v/>
      </c>
      <c r="CX15" s="55" t="str">
        <f t="shared" si="14"/>
        <v/>
      </c>
      <c r="CY15" s="55" t="str">
        <f t="shared" si="14"/>
        <v/>
      </c>
      <c r="CZ15" s="55" t="str">
        <f t="shared" ref="CZ15:DN17" si="15">IF($B15=CZ$12,$U15,"")</f>
        <v/>
      </c>
      <c r="DA15" s="55" t="str">
        <f t="shared" si="15"/>
        <v/>
      </c>
      <c r="DB15" s="55" t="str">
        <f t="shared" si="15"/>
        <v/>
      </c>
      <c r="DC15" s="55" t="str">
        <f t="shared" si="15"/>
        <v/>
      </c>
      <c r="DD15" s="55" t="str">
        <f t="shared" si="15"/>
        <v/>
      </c>
      <c r="DE15" s="55" t="str">
        <f t="shared" si="15"/>
        <v/>
      </c>
      <c r="DF15" s="55" t="str">
        <f t="shared" si="15"/>
        <v/>
      </c>
      <c r="DG15" s="55" t="str">
        <f t="shared" si="15"/>
        <v/>
      </c>
      <c r="DH15" s="55" t="str">
        <f t="shared" si="15"/>
        <v/>
      </c>
      <c r="DI15" s="55" t="str">
        <f t="shared" si="15"/>
        <v/>
      </c>
      <c r="DJ15" s="55" t="str">
        <f t="shared" si="15"/>
        <v/>
      </c>
      <c r="DK15" s="55" t="str">
        <f t="shared" si="15"/>
        <v/>
      </c>
      <c r="DL15" s="55" t="str">
        <f t="shared" si="15"/>
        <v/>
      </c>
      <c r="DM15" s="55" t="str">
        <f t="shared" si="15"/>
        <v/>
      </c>
      <c r="DN15" s="55" t="str">
        <f t="shared" si="15"/>
        <v/>
      </c>
      <c r="DO15" s="55" t="str">
        <f t="shared" ref="DO15:DT17" si="16">IF($B15=DO$12,$U15,"")</f>
        <v/>
      </c>
      <c r="DP15" s="55" t="str">
        <f t="shared" si="16"/>
        <v/>
      </c>
      <c r="DQ15" s="55" t="str">
        <f t="shared" si="16"/>
        <v/>
      </c>
      <c r="DR15" s="55" t="str">
        <f t="shared" si="16"/>
        <v/>
      </c>
      <c r="DS15" s="55" t="str">
        <f t="shared" si="16"/>
        <v/>
      </c>
      <c r="DT15" s="106" t="str">
        <f t="shared" si="16"/>
        <v/>
      </c>
      <c r="DU15" s="54"/>
      <c r="DV15" s="25"/>
      <c r="DW15" s="61" t="str">
        <f t="shared" ref="DW15:DY15" si="17">IF($B15=DW$12,$O15,"")</f>
        <v/>
      </c>
      <c r="DX15" s="50" t="str">
        <f t="shared" si="17"/>
        <v/>
      </c>
      <c r="DY15" s="50" t="str">
        <f t="shared" si="17"/>
        <v/>
      </c>
      <c r="DZ15" s="50" t="str">
        <f t="shared" ref="DZ15:GG15" si="18">IF($B15=DZ$12,$O15,"")</f>
        <v/>
      </c>
      <c r="EA15" s="50" t="str">
        <f t="shared" si="18"/>
        <v/>
      </c>
      <c r="EB15" s="50" t="str">
        <f t="shared" si="18"/>
        <v/>
      </c>
      <c r="EC15" s="50" t="str">
        <f t="shared" si="18"/>
        <v/>
      </c>
      <c r="ED15" s="50" t="str">
        <f t="shared" si="18"/>
        <v/>
      </c>
      <c r="EE15" s="50" t="str">
        <f t="shared" si="18"/>
        <v/>
      </c>
      <c r="EF15" s="50" t="str">
        <f t="shared" si="18"/>
        <v/>
      </c>
      <c r="EG15" s="50" t="str">
        <f t="shared" si="18"/>
        <v/>
      </c>
      <c r="EH15" s="50" t="str">
        <f t="shared" si="18"/>
        <v/>
      </c>
      <c r="EI15" s="50" t="str">
        <f t="shared" si="18"/>
        <v/>
      </c>
      <c r="EJ15" s="50" t="str">
        <f t="shared" si="18"/>
        <v/>
      </c>
      <c r="EK15" s="50" t="str">
        <f t="shared" si="18"/>
        <v/>
      </c>
      <c r="EL15" s="50" t="str">
        <f t="shared" si="18"/>
        <v/>
      </c>
      <c r="EM15" s="50" t="str">
        <f t="shared" si="18"/>
        <v/>
      </c>
      <c r="EN15" s="50" t="str">
        <f t="shared" si="18"/>
        <v/>
      </c>
      <c r="EO15" s="50" t="str">
        <f t="shared" si="18"/>
        <v/>
      </c>
      <c r="EP15" s="50" t="str">
        <f t="shared" si="18"/>
        <v/>
      </c>
      <c r="EQ15" s="50" t="str">
        <f t="shared" si="18"/>
        <v/>
      </c>
      <c r="ER15" s="50" t="str">
        <f t="shared" si="18"/>
        <v/>
      </c>
      <c r="ES15" s="50" t="str">
        <f t="shared" si="18"/>
        <v/>
      </c>
      <c r="ET15" s="50" t="str">
        <f t="shared" si="18"/>
        <v/>
      </c>
      <c r="EU15" s="50" t="str">
        <f t="shared" si="18"/>
        <v/>
      </c>
      <c r="EV15" s="50" t="str">
        <f t="shared" si="18"/>
        <v/>
      </c>
      <c r="EW15" s="50" t="str">
        <f t="shared" si="18"/>
        <v/>
      </c>
      <c r="EX15" s="50" t="str">
        <f t="shared" si="18"/>
        <v/>
      </c>
      <c r="EY15" s="50" t="str">
        <f t="shared" si="18"/>
        <v/>
      </c>
      <c r="EZ15" s="50" t="str">
        <f t="shared" si="18"/>
        <v/>
      </c>
      <c r="FA15" s="50" t="str">
        <f t="shared" si="18"/>
        <v/>
      </c>
      <c r="FB15" s="50" t="str">
        <f t="shared" si="18"/>
        <v/>
      </c>
      <c r="FC15" s="50" t="str">
        <f t="shared" si="18"/>
        <v/>
      </c>
      <c r="FD15" s="50" t="str">
        <f t="shared" si="18"/>
        <v/>
      </c>
      <c r="FE15" s="50" t="str">
        <f t="shared" si="18"/>
        <v/>
      </c>
      <c r="FF15" s="50" t="str">
        <f t="shared" si="18"/>
        <v/>
      </c>
      <c r="FG15" s="50" t="str">
        <f t="shared" si="18"/>
        <v/>
      </c>
      <c r="FH15" s="50" t="str">
        <f t="shared" si="18"/>
        <v/>
      </c>
      <c r="FI15" s="50" t="str">
        <f t="shared" si="18"/>
        <v/>
      </c>
      <c r="FJ15" s="50" t="str">
        <f t="shared" si="18"/>
        <v/>
      </c>
      <c r="FK15" s="50" t="str">
        <f t="shared" si="18"/>
        <v/>
      </c>
      <c r="FL15" s="50" t="str">
        <f t="shared" si="18"/>
        <v/>
      </c>
      <c r="FM15" s="50" t="str">
        <f t="shared" si="18"/>
        <v/>
      </c>
      <c r="FN15" s="50" t="str">
        <f t="shared" si="18"/>
        <v/>
      </c>
      <c r="FO15" s="50" t="str">
        <f t="shared" si="18"/>
        <v/>
      </c>
      <c r="FP15" s="50" t="str">
        <f t="shared" si="18"/>
        <v/>
      </c>
      <c r="FQ15" s="50" t="str">
        <f t="shared" si="18"/>
        <v/>
      </c>
      <c r="FR15" s="50" t="str">
        <f t="shared" si="18"/>
        <v/>
      </c>
      <c r="FS15" s="50" t="str">
        <f t="shared" si="18"/>
        <v/>
      </c>
      <c r="FT15" s="50" t="str">
        <f t="shared" si="18"/>
        <v/>
      </c>
      <c r="FU15" s="50" t="str">
        <f t="shared" si="18"/>
        <v/>
      </c>
      <c r="FV15" s="50" t="str">
        <f t="shared" si="18"/>
        <v/>
      </c>
      <c r="FW15" s="50" t="str">
        <f t="shared" si="18"/>
        <v/>
      </c>
      <c r="FX15" s="50" t="str">
        <f t="shared" si="18"/>
        <v/>
      </c>
      <c r="FY15" s="50" t="str">
        <f t="shared" si="18"/>
        <v/>
      </c>
      <c r="FZ15" s="50" t="str">
        <f t="shared" si="18"/>
        <v/>
      </c>
      <c r="GA15" s="50" t="str">
        <f t="shared" si="18"/>
        <v/>
      </c>
      <c r="GB15" s="50" t="str">
        <f t="shared" si="18"/>
        <v/>
      </c>
      <c r="GC15" s="50" t="str">
        <f t="shared" si="18"/>
        <v/>
      </c>
      <c r="GD15" s="50" t="str">
        <f t="shared" si="18"/>
        <v/>
      </c>
      <c r="GE15" s="50" t="str">
        <f t="shared" si="18"/>
        <v/>
      </c>
      <c r="GF15" s="50" t="str">
        <f t="shared" si="18"/>
        <v/>
      </c>
      <c r="GG15" s="50" t="str">
        <f t="shared" si="18"/>
        <v/>
      </c>
      <c r="GH15" s="50" t="str">
        <f t="shared" ref="GH15:GW17" si="19">IF($B15=GH$12,$O15,"")</f>
        <v/>
      </c>
      <c r="GI15" s="50" t="str">
        <f t="shared" si="19"/>
        <v/>
      </c>
      <c r="GJ15" s="50" t="str">
        <f t="shared" si="19"/>
        <v/>
      </c>
      <c r="GK15" s="50" t="str">
        <f t="shared" si="19"/>
        <v/>
      </c>
      <c r="GL15" s="50" t="str">
        <f t="shared" ref="GL15:GW16" si="20">IF($B15=GL$12,$O15,"")</f>
        <v/>
      </c>
      <c r="GM15" s="50" t="str">
        <f t="shared" si="20"/>
        <v/>
      </c>
      <c r="GN15" s="50" t="str">
        <f t="shared" si="20"/>
        <v/>
      </c>
      <c r="GO15" s="50" t="str">
        <f t="shared" si="20"/>
        <v/>
      </c>
      <c r="GP15" s="50" t="str">
        <f t="shared" si="20"/>
        <v/>
      </c>
      <c r="GQ15" s="50" t="str">
        <f t="shared" si="20"/>
        <v/>
      </c>
      <c r="GR15" s="50" t="str">
        <f t="shared" si="20"/>
        <v/>
      </c>
      <c r="GS15" s="50" t="str">
        <f t="shared" si="20"/>
        <v/>
      </c>
      <c r="GT15" s="50" t="str">
        <f t="shared" si="20"/>
        <v/>
      </c>
      <c r="GU15" s="50" t="str">
        <f t="shared" si="20"/>
        <v/>
      </c>
      <c r="GV15" s="50" t="str">
        <f t="shared" si="20"/>
        <v/>
      </c>
      <c r="GW15" s="50" t="str">
        <f t="shared" si="20"/>
        <v/>
      </c>
      <c r="GX15" s="50" t="str">
        <f t="shared" ref="GX15:HL17" si="21">IF($B15=GX$12,$O15,"")</f>
        <v/>
      </c>
      <c r="GY15" s="50" t="str">
        <f t="shared" si="21"/>
        <v/>
      </c>
      <c r="GZ15" s="50" t="str">
        <f t="shared" si="21"/>
        <v/>
      </c>
      <c r="HA15" s="50" t="str">
        <f t="shared" si="21"/>
        <v/>
      </c>
      <c r="HB15" s="50" t="str">
        <f t="shared" si="21"/>
        <v/>
      </c>
      <c r="HC15" s="50" t="str">
        <f t="shared" si="21"/>
        <v/>
      </c>
      <c r="HD15" s="50" t="str">
        <f t="shared" si="21"/>
        <v/>
      </c>
      <c r="HE15" s="50" t="str">
        <f t="shared" si="21"/>
        <v/>
      </c>
      <c r="HF15" s="50" t="str">
        <f t="shared" si="21"/>
        <v/>
      </c>
      <c r="HG15" s="50" t="str">
        <f t="shared" si="21"/>
        <v/>
      </c>
      <c r="HH15" s="50" t="str">
        <f t="shared" si="21"/>
        <v/>
      </c>
      <c r="HI15" s="50" t="str">
        <f t="shared" si="21"/>
        <v/>
      </c>
      <c r="HJ15" s="50" t="str">
        <f t="shared" si="21"/>
        <v/>
      </c>
      <c r="HK15" s="50" t="str">
        <f t="shared" si="21"/>
        <v/>
      </c>
      <c r="HL15" s="50" t="str">
        <f t="shared" si="21"/>
        <v/>
      </c>
      <c r="HM15" s="50" t="str">
        <f t="shared" ref="HM15:HR17" si="22">IF($B15=HM$12,$O15,"")</f>
        <v/>
      </c>
      <c r="HN15" s="50" t="str">
        <f t="shared" si="22"/>
        <v/>
      </c>
      <c r="HO15" s="50" t="str">
        <f t="shared" si="22"/>
        <v/>
      </c>
      <c r="HP15" s="50" t="str">
        <f t="shared" si="22"/>
        <v/>
      </c>
      <c r="HQ15" s="50" t="str">
        <f t="shared" si="22"/>
        <v/>
      </c>
      <c r="HR15" s="112" t="str">
        <f t="shared" si="22"/>
        <v/>
      </c>
    </row>
    <row r="16" spans="1:226" ht="11.1" customHeight="1" x14ac:dyDescent="0.25">
      <c r="A16" s="26"/>
      <c r="B16" s="27"/>
      <c r="C16" s="28" t="str">
        <f>IF(A16=0,"",VLOOKUP(A16,[2]CO!$A$3:$F$5327,2,0))</f>
        <v/>
      </c>
      <c r="D16" s="29"/>
      <c r="E16" s="29"/>
      <c r="F16" s="29"/>
      <c r="G16" s="30" t="str">
        <f>IF(A16=0,"",VLOOKUP(A16,[2]CO!$A$3:$F$5327,3,0))</f>
        <v/>
      </c>
      <c r="H16" s="29"/>
      <c r="I16" s="31"/>
      <c r="J16" s="31"/>
      <c r="K16" s="31"/>
      <c r="L16" s="31"/>
      <c r="M16" s="32" t="str">
        <f t="shared" si="7"/>
        <v/>
      </c>
      <c r="N16" s="32" t="str">
        <f>IF(B16=0,"",IF(H16="M",HLOOKUP(B16,$Y$12:$DT$13,2),IF(A16=0,"",VLOOKUP(A16,[2]CO!$A$3:$F$5327,4,0))))</f>
        <v/>
      </c>
      <c r="O16" s="32" t="str">
        <f t="shared" si="8"/>
        <v/>
      </c>
      <c r="P16" s="33"/>
      <c r="Q16" s="34" t="str">
        <f t="shared" si="9"/>
        <v/>
      </c>
      <c r="R16" s="35" t="str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RESIDENTE"),VLOOKUP(B16,P$14:Q$42,2),"")*S16)</f>
        <v/>
      </c>
      <c r="T16" s="53" t="str">
        <f>IF(A16=0,"",VLOOKUP(A16,[2]CO!$A$3:$F$5318,5,0))</f>
        <v/>
      </c>
      <c r="U16" s="54">
        <f t="shared" si="10"/>
        <v>0</v>
      </c>
      <c r="V16" s="24"/>
      <c r="W16" s="25"/>
      <c r="X16" s="25"/>
      <c r="Y16" s="64" t="str">
        <f t="shared" ref="Y16:CI17" si="23">IF($B16=Y$12,$U16,"")</f>
        <v/>
      </c>
      <c r="Z16" s="55" t="str">
        <f t="shared" si="23"/>
        <v/>
      </c>
      <c r="AA16" s="55" t="str">
        <f t="shared" si="23"/>
        <v/>
      </c>
      <c r="AB16" s="55" t="str">
        <f t="shared" si="23"/>
        <v/>
      </c>
      <c r="AC16" s="55" t="str">
        <f t="shared" si="23"/>
        <v/>
      </c>
      <c r="AD16" s="55" t="str">
        <f t="shared" si="23"/>
        <v/>
      </c>
      <c r="AE16" s="55" t="str">
        <f t="shared" si="23"/>
        <v/>
      </c>
      <c r="AF16" s="55" t="str">
        <f t="shared" si="23"/>
        <v/>
      </c>
      <c r="AG16" s="55" t="str">
        <f t="shared" si="23"/>
        <v/>
      </c>
      <c r="AH16" s="55" t="str">
        <f t="shared" si="23"/>
        <v/>
      </c>
      <c r="AI16" s="55" t="str">
        <f t="shared" si="23"/>
        <v/>
      </c>
      <c r="AJ16" s="55" t="str">
        <f t="shared" si="23"/>
        <v/>
      </c>
      <c r="AK16" s="55" t="str">
        <f t="shared" si="23"/>
        <v/>
      </c>
      <c r="AL16" s="55" t="str">
        <f t="shared" si="23"/>
        <v/>
      </c>
      <c r="AM16" s="55" t="str">
        <f t="shared" si="23"/>
        <v/>
      </c>
      <c r="AN16" s="55" t="str">
        <f t="shared" si="23"/>
        <v/>
      </c>
      <c r="AO16" s="55" t="str">
        <f t="shared" si="23"/>
        <v/>
      </c>
      <c r="AP16" s="55" t="str">
        <f t="shared" si="23"/>
        <v/>
      </c>
      <c r="AQ16" s="55" t="str">
        <f t="shared" si="23"/>
        <v/>
      </c>
      <c r="AR16" s="55" t="str">
        <f t="shared" si="23"/>
        <v/>
      </c>
      <c r="AS16" s="55" t="str">
        <f t="shared" si="23"/>
        <v/>
      </c>
      <c r="AT16" s="55" t="str">
        <f t="shared" si="23"/>
        <v/>
      </c>
      <c r="AU16" s="55" t="str">
        <f t="shared" si="23"/>
        <v/>
      </c>
      <c r="AV16" s="55" t="str">
        <f t="shared" si="23"/>
        <v/>
      </c>
      <c r="AW16" s="55" t="str">
        <f t="shared" si="23"/>
        <v/>
      </c>
      <c r="AX16" s="55" t="str">
        <f t="shared" si="23"/>
        <v/>
      </c>
      <c r="AY16" s="55" t="str">
        <f t="shared" si="23"/>
        <v/>
      </c>
      <c r="AZ16" s="55" t="str">
        <f t="shared" si="23"/>
        <v/>
      </c>
      <c r="BA16" s="55" t="str">
        <f t="shared" si="23"/>
        <v/>
      </c>
      <c r="BB16" s="55" t="str">
        <f t="shared" si="23"/>
        <v/>
      </c>
      <c r="BC16" s="55" t="str">
        <f t="shared" si="23"/>
        <v/>
      </c>
      <c r="BD16" s="55" t="str">
        <f t="shared" si="23"/>
        <v/>
      </c>
      <c r="BE16" s="55" t="str">
        <f t="shared" si="23"/>
        <v/>
      </c>
      <c r="BF16" s="55" t="str">
        <f t="shared" si="23"/>
        <v/>
      </c>
      <c r="BG16" s="55" t="str">
        <f t="shared" si="23"/>
        <v/>
      </c>
      <c r="BH16" s="55" t="str">
        <f t="shared" si="23"/>
        <v/>
      </c>
      <c r="BI16" s="55" t="str">
        <f t="shared" si="23"/>
        <v/>
      </c>
      <c r="BJ16" s="55" t="str">
        <f t="shared" si="23"/>
        <v/>
      </c>
      <c r="BK16" s="55" t="str">
        <f t="shared" si="23"/>
        <v/>
      </c>
      <c r="BL16" s="55" t="str">
        <f t="shared" si="23"/>
        <v/>
      </c>
      <c r="BM16" s="55" t="str">
        <f t="shared" si="23"/>
        <v/>
      </c>
      <c r="BN16" s="55" t="str">
        <f t="shared" si="23"/>
        <v/>
      </c>
      <c r="BO16" s="55" t="str">
        <f t="shared" si="23"/>
        <v/>
      </c>
      <c r="BP16" s="55" t="str">
        <f t="shared" si="23"/>
        <v/>
      </c>
      <c r="BQ16" s="55" t="str">
        <f t="shared" si="23"/>
        <v/>
      </c>
      <c r="BR16" s="55" t="str">
        <f t="shared" si="23"/>
        <v/>
      </c>
      <c r="BS16" s="55" t="str">
        <f t="shared" si="23"/>
        <v/>
      </c>
      <c r="BT16" s="55" t="str">
        <f t="shared" si="23"/>
        <v/>
      </c>
      <c r="BU16" s="55" t="str">
        <f t="shared" si="23"/>
        <v/>
      </c>
      <c r="BV16" s="55" t="str">
        <f t="shared" si="23"/>
        <v/>
      </c>
      <c r="BW16" s="55" t="str">
        <f t="shared" si="23"/>
        <v/>
      </c>
      <c r="BX16" s="55" t="str">
        <f t="shared" si="23"/>
        <v/>
      </c>
      <c r="BY16" s="55" t="str">
        <f t="shared" si="23"/>
        <v/>
      </c>
      <c r="BZ16" s="55" t="str">
        <f t="shared" si="23"/>
        <v/>
      </c>
      <c r="CA16" s="55" t="str">
        <f t="shared" si="23"/>
        <v/>
      </c>
      <c r="CB16" s="55" t="str">
        <f t="shared" si="23"/>
        <v/>
      </c>
      <c r="CC16" s="55" t="str">
        <f t="shared" si="23"/>
        <v/>
      </c>
      <c r="CD16" s="55" t="str">
        <f t="shared" si="23"/>
        <v/>
      </c>
      <c r="CE16" s="55" t="str">
        <f t="shared" si="23"/>
        <v/>
      </c>
      <c r="CF16" s="55" t="str">
        <f t="shared" si="23"/>
        <v/>
      </c>
      <c r="CG16" s="55" t="str">
        <f t="shared" si="23"/>
        <v/>
      </c>
      <c r="CH16" s="55" t="str">
        <f t="shared" si="23"/>
        <v/>
      </c>
      <c r="CI16" s="55" t="str">
        <f t="shared" si="23"/>
        <v/>
      </c>
      <c r="CJ16" s="55" t="str">
        <f t="shared" si="13"/>
        <v/>
      </c>
      <c r="CK16" s="55" t="str">
        <f t="shared" si="13"/>
        <v/>
      </c>
      <c r="CL16" s="55" t="str">
        <f t="shared" si="13"/>
        <v/>
      </c>
      <c r="CM16" s="55" t="str">
        <f t="shared" si="13"/>
        <v/>
      </c>
      <c r="CN16" s="55" t="str">
        <f t="shared" si="14"/>
        <v/>
      </c>
      <c r="CO16" s="55" t="str">
        <f t="shared" si="14"/>
        <v/>
      </c>
      <c r="CP16" s="55" t="str">
        <f t="shared" si="14"/>
        <v/>
      </c>
      <c r="CQ16" s="55" t="str">
        <f t="shared" si="14"/>
        <v/>
      </c>
      <c r="CR16" s="55" t="str">
        <f t="shared" si="14"/>
        <v/>
      </c>
      <c r="CS16" s="55" t="str">
        <f t="shared" si="14"/>
        <v/>
      </c>
      <c r="CT16" s="55" t="str">
        <f t="shared" si="14"/>
        <v/>
      </c>
      <c r="CU16" s="55" t="str">
        <f t="shared" si="14"/>
        <v/>
      </c>
      <c r="CV16" s="55" t="str">
        <f t="shared" si="14"/>
        <v/>
      </c>
      <c r="CW16" s="55" t="str">
        <f t="shared" si="14"/>
        <v/>
      </c>
      <c r="CX16" s="55" t="str">
        <f t="shared" si="14"/>
        <v/>
      </c>
      <c r="CY16" s="55" t="str">
        <f t="shared" si="14"/>
        <v/>
      </c>
      <c r="CZ16" s="55" t="str">
        <f t="shared" si="15"/>
        <v/>
      </c>
      <c r="DA16" s="55" t="str">
        <f t="shared" si="15"/>
        <v/>
      </c>
      <c r="DB16" s="55" t="str">
        <f t="shared" si="15"/>
        <v/>
      </c>
      <c r="DC16" s="55" t="str">
        <f t="shared" si="15"/>
        <v/>
      </c>
      <c r="DD16" s="55" t="str">
        <f t="shared" si="15"/>
        <v/>
      </c>
      <c r="DE16" s="55" t="str">
        <f t="shared" si="15"/>
        <v/>
      </c>
      <c r="DF16" s="55" t="str">
        <f t="shared" si="15"/>
        <v/>
      </c>
      <c r="DG16" s="55" t="str">
        <f t="shared" si="15"/>
        <v/>
      </c>
      <c r="DH16" s="55" t="str">
        <f t="shared" si="15"/>
        <v/>
      </c>
      <c r="DI16" s="55" t="str">
        <f t="shared" si="15"/>
        <v/>
      </c>
      <c r="DJ16" s="55" t="str">
        <f t="shared" si="15"/>
        <v/>
      </c>
      <c r="DK16" s="55" t="str">
        <f t="shared" si="15"/>
        <v/>
      </c>
      <c r="DL16" s="55" t="str">
        <f t="shared" si="15"/>
        <v/>
      </c>
      <c r="DM16" s="55" t="str">
        <f t="shared" si="15"/>
        <v/>
      </c>
      <c r="DN16" s="55" t="str">
        <f t="shared" si="15"/>
        <v/>
      </c>
      <c r="DO16" s="55" t="str">
        <f t="shared" si="16"/>
        <v/>
      </c>
      <c r="DP16" s="55" t="str">
        <f t="shared" si="16"/>
        <v/>
      </c>
      <c r="DQ16" s="55" t="str">
        <f t="shared" si="16"/>
        <v/>
      </c>
      <c r="DR16" s="55" t="str">
        <f t="shared" si="16"/>
        <v/>
      </c>
      <c r="DS16" s="55" t="str">
        <f t="shared" si="16"/>
        <v/>
      </c>
      <c r="DT16" s="106" t="str">
        <f t="shared" si="16"/>
        <v/>
      </c>
      <c r="DU16" s="54"/>
      <c r="DV16" s="25"/>
      <c r="DW16" s="61" t="str">
        <f t="shared" ref="DW16:GG17" si="24">IF($B16=DW$12,$O16,"")</f>
        <v/>
      </c>
      <c r="DX16" s="50" t="str">
        <f t="shared" si="24"/>
        <v/>
      </c>
      <c r="DY16" s="50" t="str">
        <f t="shared" si="24"/>
        <v/>
      </c>
      <c r="DZ16" s="50" t="str">
        <f t="shared" si="24"/>
        <v/>
      </c>
      <c r="EA16" s="50" t="str">
        <f t="shared" si="24"/>
        <v/>
      </c>
      <c r="EB16" s="50" t="str">
        <f t="shared" si="24"/>
        <v/>
      </c>
      <c r="EC16" s="50" t="str">
        <f t="shared" si="24"/>
        <v/>
      </c>
      <c r="ED16" s="50" t="str">
        <f t="shared" si="24"/>
        <v/>
      </c>
      <c r="EE16" s="50" t="str">
        <f t="shared" si="24"/>
        <v/>
      </c>
      <c r="EF16" s="50" t="str">
        <f t="shared" si="24"/>
        <v/>
      </c>
      <c r="EG16" s="50" t="str">
        <f t="shared" si="24"/>
        <v/>
      </c>
      <c r="EH16" s="50" t="str">
        <f t="shared" si="24"/>
        <v/>
      </c>
      <c r="EI16" s="50" t="str">
        <f t="shared" si="24"/>
        <v/>
      </c>
      <c r="EJ16" s="50" t="str">
        <f t="shared" si="24"/>
        <v/>
      </c>
      <c r="EK16" s="50" t="str">
        <f t="shared" si="24"/>
        <v/>
      </c>
      <c r="EL16" s="50" t="str">
        <f t="shared" si="24"/>
        <v/>
      </c>
      <c r="EM16" s="50" t="str">
        <f t="shared" si="24"/>
        <v/>
      </c>
      <c r="EN16" s="50" t="str">
        <f t="shared" si="24"/>
        <v/>
      </c>
      <c r="EO16" s="50" t="str">
        <f t="shared" si="24"/>
        <v/>
      </c>
      <c r="EP16" s="50" t="str">
        <f t="shared" si="24"/>
        <v/>
      </c>
      <c r="EQ16" s="50" t="str">
        <f t="shared" si="24"/>
        <v/>
      </c>
      <c r="ER16" s="50" t="str">
        <f t="shared" si="24"/>
        <v/>
      </c>
      <c r="ES16" s="50" t="str">
        <f t="shared" si="24"/>
        <v/>
      </c>
      <c r="ET16" s="50" t="str">
        <f t="shared" si="24"/>
        <v/>
      </c>
      <c r="EU16" s="50" t="str">
        <f t="shared" si="24"/>
        <v/>
      </c>
      <c r="EV16" s="50" t="str">
        <f t="shared" si="24"/>
        <v/>
      </c>
      <c r="EW16" s="50" t="str">
        <f t="shared" si="24"/>
        <v/>
      </c>
      <c r="EX16" s="50" t="str">
        <f t="shared" si="24"/>
        <v/>
      </c>
      <c r="EY16" s="50" t="str">
        <f t="shared" si="24"/>
        <v/>
      </c>
      <c r="EZ16" s="50" t="str">
        <f t="shared" si="24"/>
        <v/>
      </c>
      <c r="FA16" s="50" t="str">
        <f t="shared" si="24"/>
        <v/>
      </c>
      <c r="FB16" s="50" t="str">
        <f t="shared" si="24"/>
        <v/>
      </c>
      <c r="FC16" s="50" t="str">
        <f t="shared" si="24"/>
        <v/>
      </c>
      <c r="FD16" s="50" t="str">
        <f t="shared" si="24"/>
        <v/>
      </c>
      <c r="FE16" s="50" t="str">
        <f t="shared" si="24"/>
        <v/>
      </c>
      <c r="FF16" s="50" t="str">
        <f t="shared" si="24"/>
        <v/>
      </c>
      <c r="FG16" s="50" t="str">
        <f t="shared" si="24"/>
        <v/>
      </c>
      <c r="FH16" s="50" t="str">
        <f t="shared" si="24"/>
        <v/>
      </c>
      <c r="FI16" s="50" t="str">
        <f t="shared" si="24"/>
        <v/>
      </c>
      <c r="FJ16" s="50" t="str">
        <f t="shared" si="24"/>
        <v/>
      </c>
      <c r="FK16" s="50" t="str">
        <f t="shared" si="24"/>
        <v/>
      </c>
      <c r="FL16" s="50" t="str">
        <f t="shared" si="24"/>
        <v/>
      </c>
      <c r="FM16" s="50" t="str">
        <f t="shared" si="24"/>
        <v/>
      </c>
      <c r="FN16" s="50" t="str">
        <f t="shared" si="24"/>
        <v/>
      </c>
      <c r="FO16" s="50" t="str">
        <f t="shared" si="24"/>
        <v/>
      </c>
      <c r="FP16" s="50" t="str">
        <f t="shared" si="24"/>
        <v/>
      </c>
      <c r="FQ16" s="50" t="str">
        <f t="shared" si="24"/>
        <v/>
      </c>
      <c r="FR16" s="50" t="str">
        <f t="shared" si="24"/>
        <v/>
      </c>
      <c r="FS16" s="50" t="str">
        <f t="shared" si="24"/>
        <v/>
      </c>
      <c r="FT16" s="50" t="str">
        <f t="shared" si="24"/>
        <v/>
      </c>
      <c r="FU16" s="50" t="str">
        <f t="shared" si="24"/>
        <v/>
      </c>
      <c r="FV16" s="50" t="str">
        <f t="shared" si="24"/>
        <v/>
      </c>
      <c r="FW16" s="50" t="str">
        <f t="shared" si="24"/>
        <v/>
      </c>
      <c r="FX16" s="50" t="str">
        <f t="shared" si="24"/>
        <v/>
      </c>
      <c r="FY16" s="50" t="str">
        <f t="shared" si="24"/>
        <v/>
      </c>
      <c r="FZ16" s="50" t="str">
        <f t="shared" si="24"/>
        <v/>
      </c>
      <c r="GA16" s="50" t="str">
        <f t="shared" si="24"/>
        <v/>
      </c>
      <c r="GB16" s="50" t="str">
        <f t="shared" si="24"/>
        <v/>
      </c>
      <c r="GC16" s="50" t="str">
        <f t="shared" si="24"/>
        <v/>
      </c>
      <c r="GD16" s="50" t="str">
        <f t="shared" si="24"/>
        <v/>
      </c>
      <c r="GE16" s="50" t="str">
        <f t="shared" si="24"/>
        <v/>
      </c>
      <c r="GF16" s="50" t="str">
        <f t="shared" si="24"/>
        <v/>
      </c>
      <c r="GG16" s="50" t="str">
        <f t="shared" si="24"/>
        <v/>
      </c>
      <c r="GH16" s="50" t="str">
        <f t="shared" si="19"/>
        <v/>
      </c>
      <c r="GI16" s="50" t="str">
        <f t="shared" si="19"/>
        <v/>
      </c>
      <c r="GJ16" s="50" t="str">
        <f t="shared" si="19"/>
        <v/>
      </c>
      <c r="GK16" s="50" t="str">
        <f t="shared" si="19"/>
        <v/>
      </c>
      <c r="GL16" s="50" t="str">
        <f t="shared" si="20"/>
        <v/>
      </c>
      <c r="GM16" s="50" t="str">
        <f t="shared" si="20"/>
        <v/>
      </c>
      <c r="GN16" s="50" t="str">
        <f t="shared" si="20"/>
        <v/>
      </c>
      <c r="GO16" s="50" t="str">
        <f t="shared" si="20"/>
        <v/>
      </c>
      <c r="GP16" s="50" t="str">
        <f t="shared" si="20"/>
        <v/>
      </c>
      <c r="GQ16" s="50" t="str">
        <f t="shared" si="20"/>
        <v/>
      </c>
      <c r="GR16" s="50" t="str">
        <f t="shared" si="20"/>
        <v/>
      </c>
      <c r="GS16" s="50" t="str">
        <f t="shared" si="20"/>
        <v/>
      </c>
      <c r="GT16" s="50" t="str">
        <f t="shared" si="20"/>
        <v/>
      </c>
      <c r="GU16" s="50" t="str">
        <f t="shared" si="20"/>
        <v/>
      </c>
      <c r="GV16" s="50" t="str">
        <f t="shared" si="20"/>
        <v/>
      </c>
      <c r="GW16" s="50" t="str">
        <f t="shared" si="20"/>
        <v/>
      </c>
      <c r="GX16" s="50" t="str">
        <f t="shared" si="21"/>
        <v/>
      </c>
      <c r="GY16" s="50" t="str">
        <f t="shared" si="21"/>
        <v/>
      </c>
      <c r="GZ16" s="50" t="str">
        <f t="shared" si="21"/>
        <v/>
      </c>
      <c r="HA16" s="50" t="str">
        <f t="shared" si="21"/>
        <v/>
      </c>
      <c r="HB16" s="50" t="str">
        <f t="shared" si="21"/>
        <v/>
      </c>
      <c r="HC16" s="50" t="str">
        <f t="shared" si="21"/>
        <v/>
      </c>
      <c r="HD16" s="50" t="str">
        <f t="shared" si="21"/>
        <v/>
      </c>
      <c r="HE16" s="50" t="str">
        <f t="shared" si="21"/>
        <v/>
      </c>
      <c r="HF16" s="50" t="str">
        <f t="shared" si="21"/>
        <v/>
      </c>
      <c r="HG16" s="50" t="str">
        <f t="shared" si="21"/>
        <v/>
      </c>
      <c r="HH16" s="50" t="str">
        <f t="shared" si="21"/>
        <v/>
      </c>
      <c r="HI16" s="50" t="str">
        <f t="shared" si="21"/>
        <v/>
      </c>
      <c r="HJ16" s="50" t="str">
        <f t="shared" si="21"/>
        <v/>
      </c>
      <c r="HK16" s="50" t="str">
        <f t="shared" si="21"/>
        <v/>
      </c>
      <c r="HL16" s="50" t="str">
        <f t="shared" si="21"/>
        <v/>
      </c>
      <c r="HM16" s="50" t="str">
        <f t="shared" si="22"/>
        <v/>
      </c>
      <c r="HN16" s="50" t="str">
        <f t="shared" si="22"/>
        <v/>
      </c>
      <c r="HO16" s="50" t="str">
        <f t="shared" si="22"/>
        <v/>
      </c>
      <c r="HP16" s="50" t="str">
        <f t="shared" si="22"/>
        <v/>
      </c>
      <c r="HQ16" s="50" t="str">
        <f t="shared" si="22"/>
        <v/>
      </c>
      <c r="HR16" s="112" t="str">
        <f t="shared" si="22"/>
        <v/>
      </c>
    </row>
    <row r="17" spans="1:226" ht="11.1" customHeight="1" x14ac:dyDescent="0.25">
      <c r="A17" s="26"/>
      <c r="B17" s="27"/>
      <c r="C17" s="28" t="str">
        <f>IF(A17=0,"",VLOOKUP(A17,[2]CO!$A$3:$F$5327,2,0))</f>
        <v/>
      </c>
      <c r="D17" s="29"/>
      <c r="E17" s="29"/>
      <c r="F17" s="29"/>
      <c r="G17" s="30" t="str">
        <f>IF(A17=0,"",VLOOKUP(A17,[2]CO!$A$3:$F$5327,3,0))</f>
        <v/>
      </c>
      <c r="H17" s="29"/>
      <c r="I17" s="31"/>
      <c r="J17" s="31"/>
      <c r="K17" s="31"/>
      <c r="L17" s="31"/>
      <c r="M17" s="32" t="str">
        <f t="shared" si="7"/>
        <v/>
      </c>
      <c r="N17" s="32" t="str">
        <f>IF(B17=0,"",IF(H17="M",HLOOKUP(B17,$Y$12:$DT$13,2),IF(A17=0,"",VLOOKUP(A17,[2]CO!$A$3:$F$5327,4,0))))</f>
        <v/>
      </c>
      <c r="O17" s="32" t="str">
        <f t="shared" si="8"/>
        <v/>
      </c>
      <c r="P17" s="33"/>
      <c r="Q17" s="34" t="str">
        <f t="shared" si="9"/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RESIDENTE"),VLOOKUP(B17,P$14:Q$42,2),"")*S17)</f>
        <v/>
      </c>
      <c r="T17" s="53" t="str">
        <f>IF(A17=0,"",VLOOKUP(A17,[2]CO!$A$3:$F$5318,5,0))</f>
        <v/>
      </c>
      <c r="U17" s="54">
        <f t="shared" si="10"/>
        <v>0</v>
      </c>
      <c r="V17" s="24"/>
      <c r="W17" s="25"/>
      <c r="X17" s="25"/>
      <c r="Y17" s="64" t="str">
        <f t="shared" si="23"/>
        <v/>
      </c>
      <c r="Z17" s="55" t="str">
        <f t="shared" si="23"/>
        <v/>
      </c>
      <c r="AA17" s="55" t="str">
        <f t="shared" si="23"/>
        <v/>
      </c>
      <c r="AB17" s="55" t="str">
        <f t="shared" si="23"/>
        <v/>
      </c>
      <c r="AC17" s="55" t="str">
        <f t="shared" si="23"/>
        <v/>
      </c>
      <c r="AD17" s="55" t="str">
        <f t="shared" si="23"/>
        <v/>
      </c>
      <c r="AE17" s="55" t="str">
        <f t="shared" si="23"/>
        <v/>
      </c>
      <c r="AF17" s="55" t="str">
        <f t="shared" si="23"/>
        <v/>
      </c>
      <c r="AG17" s="55" t="str">
        <f t="shared" si="23"/>
        <v/>
      </c>
      <c r="AH17" s="55" t="str">
        <f t="shared" si="23"/>
        <v/>
      </c>
      <c r="AI17" s="55" t="str">
        <f t="shared" si="23"/>
        <v/>
      </c>
      <c r="AJ17" s="55" t="str">
        <f t="shared" si="23"/>
        <v/>
      </c>
      <c r="AK17" s="55" t="str">
        <f t="shared" si="23"/>
        <v/>
      </c>
      <c r="AL17" s="55" t="str">
        <f t="shared" si="23"/>
        <v/>
      </c>
      <c r="AM17" s="55" t="str">
        <f t="shared" si="23"/>
        <v/>
      </c>
      <c r="AN17" s="55" t="str">
        <f t="shared" si="23"/>
        <v/>
      </c>
      <c r="AO17" s="55" t="str">
        <f t="shared" si="23"/>
        <v/>
      </c>
      <c r="AP17" s="55" t="str">
        <f t="shared" si="23"/>
        <v/>
      </c>
      <c r="AQ17" s="55" t="str">
        <f t="shared" si="23"/>
        <v/>
      </c>
      <c r="AR17" s="55" t="str">
        <f t="shared" si="23"/>
        <v/>
      </c>
      <c r="AS17" s="55" t="str">
        <f t="shared" si="23"/>
        <v/>
      </c>
      <c r="AT17" s="55" t="str">
        <f t="shared" si="23"/>
        <v/>
      </c>
      <c r="AU17" s="55" t="str">
        <f t="shared" si="23"/>
        <v/>
      </c>
      <c r="AV17" s="55" t="str">
        <f t="shared" si="23"/>
        <v/>
      </c>
      <c r="AW17" s="55" t="str">
        <f t="shared" si="23"/>
        <v/>
      </c>
      <c r="AX17" s="55" t="str">
        <f t="shared" si="23"/>
        <v/>
      </c>
      <c r="AY17" s="55" t="str">
        <f t="shared" si="23"/>
        <v/>
      </c>
      <c r="AZ17" s="55" t="str">
        <f t="shared" si="23"/>
        <v/>
      </c>
      <c r="BA17" s="55" t="str">
        <f t="shared" si="23"/>
        <v/>
      </c>
      <c r="BB17" s="55" t="str">
        <f t="shared" si="23"/>
        <v/>
      </c>
      <c r="BC17" s="55" t="str">
        <f t="shared" si="23"/>
        <v/>
      </c>
      <c r="BD17" s="55" t="str">
        <f t="shared" si="23"/>
        <v/>
      </c>
      <c r="BE17" s="55" t="str">
        <f t="shared" si="23"/>
        <v/>
      </c>
      <c r="BF17" s="55" t="str">
        <f t="shared" si="23"/>
        <v/>
      </c>
      <c r="BG17" s="55" t="str">
        <f t="shared" si="23"/>
        <v/>
      </c>
      <c r="BH17" s="55" t="str">
        <f t="shared" si="23"/>
        <v/>
      </c>
      <c r="BI17" s="55" t="str">
        <f t="shared" si="23"/>
        <v/>
      </c>
      <c r="BJ17" s="55" t="str">
        <f t="shared" si="23"/>
        <v/>
      </c>
      <c r="BK17" s="55" t="str">
        <f t="shared" si="23"/>
        <v/>
      </c>
      <c r="BL17" s="55" t="str">
        <f t="shared" si="23"/>
        <v/>
      </c>
      <c r="BM17" s="55" t="str">
        <f t="shared" si="23"/>
        <v/>
      </c>
      <c r="BN17" s="55" t="str">
        <f t="shared" si="23"/>
        <v/>
      </c>
      <c r="BO17" s="55" t="str">
        <f t="shared" si="23"/>
        <v/>
      </c>
      <c r="BP17" s="55" t="str">
        <f t="shared" si="23"/>
        <v/>
      </c>
      <c r="BQ17" s="55" t="str">
        <f t="shared" si="23"/>
        <v/>
      </c>
      <c r="BR17" s="55" t="str">
        <f t="shared" si="23"/>
        <v/>
      </c>
      <c r="BS17" s="55" t="str">
        <f t="shared" si="23"/>
        <v/>
      </c>
      <c r="BT17" s="55" t="str">
        <f t="shared" si="23"/>
        <v/>
      </c>
      <c r="BU17" s="55" t="str">
        <f t="shared" si="23"/>
        <v/>
      </c>
      <c r="BV17" s="55" t="str">
        <f t="shared" si="23"/>
        <v/>
      </c>
      <c r="BW17" s="55" t="str">
        <f t="shared" si="23"/>
        <v/>
      </c>
      <c r="BX17" s="55" t="str">
        <f t="shared" si="23"/>
        <v/>
      </c>
      <c r="BY17" s="55" t="str">
        <f t="shared" si="23"/>
        <v/>
      </c>
      <c r="BZ17" s="55" t="str">
        <f t="shared" si="23"/>
        <v/>
      </c>
      <c r="CA17" s="55" t="str">
        <f t="shared" si="23"/>
        <v/>
      </c>
      <c r="CB17" s="55" t="str">
        <f t="shared" si="23"/>
        <v/>
      </c>
      <c r="CC17" s="55" t="str">
        <f t="shared" si="23"/>
        <v/>
      </c>
      <c r="CD17" s="55" t="str">
        <f t="shared" si="23"/>
        <v/>
      </c>
      <c r="CE17" s="55" t="str">
        <f t="shared" si="23"/>
        <v/>
      </c>
      <c r="CF17" s="55" t="str">
        <f t="shared" si="23"/>
        <v/>
      </c>
      <c r="CG17" s="55" t="str">
        <f t="shared" si="23"/>
        <v/>
      </c>
      <c r="CH17" s="55" t="str">
        <f t="shared" si="23"/>
        <v/>
      </c>
      <c r="CI17" s="55" t="str">
        <f t="shared" si="23"/>
        <v/>
      </c>
      <c r="CJ17" s="55" t="str">
        <f t="shared" si="13"/>
        <v/>
      </c>
      <c r="CK17" s="55" t="str">
        <f t="shared" si="13"/>
        <v/>
      </c>
      <c r="CL17" s="55" t="str">
        <f t="shared" si="13"/>
        <v/>
      </c>
      <c r="CM17" s="55" t="str">
        <f t="shared" si="13"/>
        <v/>
      </c>
      <c r="CN17" s="55" t="str">
        <f t="shared" si="13"/>
        <v/>
      </c>
      <c r="CO17" s="55" t="str">
        <f t="shared" si="13"/>
        <v/>
      </c>
      <c r="CP17" s="55" t="str">
        <f t="shared" si="13"/>
        <v/>
      </c>
      <c r="CQ17" s="55" t="str">
        <f t="shared" si="13"/>
        <v/>
      </c>
      <c r="CR17" s="55" t="str">
        <f t="shared" si="13"/>
        <v/>
      </c>
      <c r="CS17" s="55" t="str">
        <f t="shared" si="13"/>
        <v/>
      </c>
      <c r="CT17" s="55" t="str">
        <f t="shared" si="13"/>
        <v/>
      </c>
      <c r="CU17" s="55" t="str">
        <f t="shared" si="13"/>
        <v/>
      </c>
      <c r="CV17" s="55" t="str">
        <f t="shared" si="13"/>
        <v/>
      </c>
      <c r="CW17" s="55" t="str">
        <f t="shared" si="13"/>
        <v/>
      </c>
      <c r="CX17" s="55" t="str">
        <f t="shared" si="13"/>
        <v/>
      </c>
      <c r="CY17" s="55" t="str">
        <f t="shared" si="13"/>
        <v/>
      </c>
      <c r="CZ17" s="55" t="str">
        <f t="shared" si="15"/>
        <v/>
      </c>
      <c r="DA17" s="55" t="str">
        <f t="shared" si="15"/>
        <v/>
      </c>
      <c r="DB17" s="55" t="str">
        <f t="shared" si="15"/>
        <v/>
      </c>
      <c r="DC17" s="55" t="str">
        <f t="shared" si="15"/>
        <v/>
      </c>
      <c r="DD17" s="55" t="str">
        <f t="shared" si="15"/>
        <v/>
      </c>
      <c r="DE17" s="55" t="str">
        <f t="shared" si="15"/>
        <v/>
      </c>
      <c r="DF17" s="55" t="str">
        <f t="shared" si="15"/>
        <v/>
      </c>
      <c r="DG17" s="55" t="str">
        <f t="shared" si="15"/>
        <v/>
      </c>
      <c r="DH17" s="55" t="str">
        <f t="shared" si="15"/>
        <v/>
      </c>
      <c r="DI17" s="55" t="str">
        <f t="shared" si="15"/>
        <v/>
      </c>
      <c r="DJ17" s="55" t="str">
        <f t="shared" si="15"/>
        <v/>
      </c>
      <c r="DK17" s="55" t="str">
        <f t="shared" si="15"/>
        <v/>
      </c>
      <c r="DL17" s="55" t="str">
        <f t="shared" si="15"/>
        <v/>
      </c>
      <c r="DM17" s="55" t="str">
        <f t="shared" si="15"/>
        <v/>
      </c>
      <c r="DN17" s="55" t="str">
        <f t="shared" si="15"/>
        <v/>
      </c>
      <c r="DO17" s="55" t="str">
        <f t="shared" si="16"/>
        <v/>
      </c>
      <c r="DP17" s="55" t="str">
        <f t="shared" si="16"/>
        <v/>
      </c>
      <c r="DQ17" s="55" t="str">
        <f t="shared" si="16"/>
        <v/>
      </c>
      <c r="DR17" s="55" t="str">
        <f t="shared" si="16"/>
        <v/>
      </c>
      <c r="DS17" s="55" t="str">
        <f t="shared" si="16"/>
        <v/>
      </c>
      <c r="DT17" s="106" t="str">
        <f t="shared" si="16"/>
        <v/>
      </c>
      <c r="DU17" s="54"/>
      <c r="DV17" s="25"/>
      <c r="DW17" s="61" t="str">
        <f t="shared" si="24"/>
        <v/>
      </c>
      <c r="DX17" s="50" t="str">
        <f t="shared" si="24"/>
        <v/>
      </c>
      <c r="DY17" s="50" t="str">
        <f t="shared" si="24"/>
        <v/>
      </c>
      <c r="DZ17" s="50" t="str">
        <f t="shared" si="24"/>
        <v/>
      </c>
      <c r="EA17" s="50" t="str">
        <f t="shared" si="24"/>
        <v/>
      </c>
      <c r="EB17" s="50" t="str">
        <f t="shared" si="24"/>
        <v/>
      </c>
      <c r="EC17" s="50" t="str">
        <f t="shared" si="24"/>
        <v/>
      </c>
      <c r="ED17" s="50" t="str">
        <f t="shared" si="24"/>
        <v/>
      </c>
      <c r="EE17" s="50" t="str">
        <f t="shared" si="24"/>
        <v/>
      </c>
      <c r="EF17" s="50" t="str">
        <f t="shared" si="24"/>
        <v/>
      </c>
      <c r="EG17" s="50" t="str">
        <f t="shared" si="24"/>
        <v/>
      </c>
      <c r="EH17" s="50" t="str">
        <f t="shared" si="24"/>
        <v/>
      </c>
      <c r="EI17" s="50" t="str">
        <f t="shared" si="24"/>
        <v/>
      </c>
      <c r="EJ17" s="50" t="str">
        <f t="shared" si="24"/>
        <v/>
      </c>
      <c r="EK17" s="50" t="str">
        <f t="shared" si="24"/>
        <v/>
      </c>
      <c r="EL17" s="50" t="str">
        <f t="shared" si="24"/>
        <v/>
      </c>
      <c r="EM17" s="50" t="str">
        <f t="shared" si="24"/>
        <v/>
      </c>
      <c r="EN17" s="50" t="str">
        <f t="shared" si="24"/>
        <v/>
      </c>
      <c r="EO17" s="50" t="str">
        <f t="shared" si="24"/>
        <v/>
      </c>
      <c r="EP17" s="50" t="str">
        <f t="shared" si="24"/>
        <v/>
      </c>
      <c r="EQ17" s="50" t="str">
        <f t="shared" si="24"/>
        <v/>
      </c>
      <c r="ER17" s="50" t="str">
        <f t="shared" si="24"/>
        <v/>
      </c>
      <c r="ES17" s="50" t="str">
        <f t="shared" si="24"/>
        <v/>
      </c>
      <c r="ET17" s="50" t="str">
        <f t="shared" si="24"/>
        <v/>
      </c>
      <c r="EU17" s="50" t="str">
        <f t="shared" si="24"/>
        <v/>
      </c>
      <c r="EV17" s="50" t="str">
        <f t="shared" si="24"/>
        <v/>
      </c>
      <c r="EW17" s="50" t="str">
        <f t="shared" si="24"/>
        <v/>
      </c>
      <c r="EX17" s="50" t="str">
        <f t="shared" si="24"/>
        <v/>
      </c>
      <c r="EY17" s="50" t="str">
        <f t="shared" si="24"/>
        <v/>
      </c>
      <c r="EZ17" s="50" t="str">
        <f t="shared" si="24"/>
        <v/>
      </c>
      <c r="FA17" s="50" t="str">
        <f t="shared" si="24"/>
        <v/>
      </c>
      <c r="FB17" s="50" t="str">
        <f t="shared" si="24"/>
        <v/>
      </c>
      <c r="FC17" s="50" t="str">
        <f t="shared" si="24"/>
        <v/>
      </c>
      <c r="FD17" s="50" t="str">
        <f t="shared" si="24"/>
        <v/>
      </c>
      <c r="FE17" s="50" t="str">
        <f t="shared" si="24"/>
        <v/>
      </c>
      <c r="FF17" s="50" t="str">
        <f t="shared" si="24"/>
        <v/>
      </c>
      <c r="FG17" s="50" t="str">
        <f t="shared" si="24"/>
        <v/>
      </c>
      <c r="FH17" s="50" t="str">
        <f t="shared" si="24"/>
        <v/>
      </c>
      <c r="FI17" s="50" t="str">
        <f t="shared" si="24"/>
        <v/>
      </c>
      <c r="FJ17" s="50" t="str">
        <f t="shared" si="24"/>
        <v/>
      </c>
      <c r="FK17" s="50" t="str">
        <f t="shared" si="24"/>
        <v/>
      </c>
      <c r="FL17" s="50" t="str">
        <f t="shared" si="24"/>
        <v/>
      </c>
      <c r="FM17" s="50" t="str">
        <f t="shared" si="24"/>
        <v/>
      </c>
      <c r="FN17" s="50" t="str">
        <f t="shared" si="24"/>
        <v/>
      </c>
      <c r="FO17" s="50" t="str">
        <f t="shared" si="24"/>
        <v/>
      </c>
      <c r="FP17" s="50" t="str">
        <f t="shared" si="24"/>
        <v/>
      </c>
      <c r="FQ17" s="50" t="str">
        <f t="shared" si="24"/>
        <v/>
      </c>
      <c r="FR17" s="50" t="str">
        <f t="shared" si="24"/>
        <v/>
      </c>
      <c r="FS17" s="50" t="str">
        <f t="shared" si="24"/>
        <v/>
      </c>
      <c r="FT17" s="50" t="str">
        <f t="shared" si="24"/>
        <v/>
      </c>
      <c r="FU17" s="50" t="str">
        <f t="shared" si="24"/>
        <v/>
      </c>
      <c r="FV17" s="50" t="str">
        <f t="shared" si="24"/>
        <v/>
      </c>
      <c r="FW17" s="50" t="str">
        <f t="shared" si="24"/>
        <v/>
      </c>
      <c r="FX17" s="50" t="str">
        <f t="shared" si="24"/>
        <v/>
      </c>
      <c r="FY17" s="50" t="str">
        <f t="shared" si="24"/>
        <v/>
      </c>
      <c r="FZ17" s="50" t="str">
        <f t="shared" si="24"/>
        <v/>
      </c>
      <c r="GA17" s="50" t="str">
        <f t="shared" si="24"/>
        <v/>
      </c>
      <c r="GB17" s="50" t="str">
        <f t="shared" si="24"/>
        <v/>
      </c>
      <c r="GC17" s="50" t="str">
        <f t="shared" si="24"/>
        <v/>
      </c>
      <c r="GD17" s="50" t="str">
        <f t="shared" si="24"/>
        <v/>
      </c>
      <c r="GE17" s="50" t="str">
        <f t="shared" si="24"/>
        <v/>
      </c>
      <c r="GF17" s="50" t="str">
        <f t="shared" si="24"/>
        <v/>
      </c>
      <c r="GG17" s="50" t="str">
        <f t="shared" si="24"/>
        <v/>
      </c>
      <c r="GH17" s="50" t="str">
        <f t="shared" si="19"/>
        <v/>
      </c>
      <c r="GI17" s="50" t="str">
        <f t="shared" si="19"/>
        <v/>
      </c>
      <c r="GJ17" s="50" t="str">
        <f t="shared" si="19"/>
        <v/>
      </c>
      <c r="GK17" s="50" t="str">
        <f t="shared" si="19"/>
        <v/>
      </c>
      <c r="GL17" s="50" t="str">
        <f t="shared" si="19"/>
        <v/>
      </c>
      <c r="GM17" s="50" t="str">
        <f t="shared" si="19"/>
        <v/>
      </c>
      <c r="GN17" s="50" t="str">
        <f t="shared" si="19"/>
        <v/>
      </c>
      <c r="GO17" s="50" t="str">
        <f t="shared" si="19"/>
        <v/>
      </c>
      <c r="GP17" s="50" t="str">
        <f t="shared" si="19"/>
        <v/>
      </c>
      <c r="GQ17" s="50" t="str">
        <f t="shared" si="19"/>
        <v/>
      </c>
      <c r="GR17" s="50" t="str">
        <f t="shared" si="19"/>
        <v/>
      </c>
      <c r="GS17" s="50" t="str">
        <f t="shared" si="19"/>
        <v/>
      </c>
      <c r="GT17" s="50" t="str">
        <f t="shared" si="19"/>
        <v/>
      </c>
      <c r="GU17" s="50" t="str">
        <f t="shared" si="19"/>
        <v/>
      </c>
      <c r="GV17" s="50" t="str">
        <f t="shared" si="19"/>
        <v/>
      </c>
      <c r="GW17" s="50" t="str">
        <f t="shared" si="19"/>
        <v/>
      </c>
      <c r="GX17" s="50" t="str">
        <f t="shared" si="21"/>
        <v/>
      </c>
      <c r="GY17" s="50" t="str">
        <f t="shared" si="21"/>
        <v/>
      </c>
      <c r="GZ17" s="50" t="str">
        <f t="shared" si="21"/>
        <v/>
      </c>
      <c r="HA17" s="50" t="str">
        <f t="shared" si="21"/>
        <v/>
      </c>
      <c r="HB17" s="50" t="str">
        <f t="shared" si="21"/>
        <v/>
      </c>
      <c r="HC17" s="50" t="str">
        <f t="shared" si="21"/>
        <v/>
      </c>
      <c r="HD17" s="50" t="str">
        <f t="shared" si="21"/>
        <v/>
      </c>
      <c r="HE17" s="50" t="str">
        <f t="shared" si="21"/>
        <v/>
      </c>
      <c r="HF17" s="50" t="str">
        <f t="shared" si="21"/>
        <v/>
      </c>
      <c r="HG17" s="50" t="str">
        <f t="shared" si="21"/>
        <v/>
      </c>
      <c r="HH17" s="50" t="str">
        <f t="shared" si="21"/>
        <v/>
      </c>
      <c r="HI17" s="50" t="str">
        <f t="shared" si="21"/>
        <v/>
      </c>
      <c r="HJ17" s="50" t="str">
        <f t="shared" si="21"/>
        <v/>
      </c>
      <c r="HK17" s="50" t="str">
        <f t="shared" si="21"/>
        <v/>
      </c>
      <c r="HL17" s="50" t="str">
        <f t="shared" si="21"/>
        <v/>
      </c>
      <c r="HM17" s="50" t="str">
        <f t="shared" si="22"/>
        <v/>
      </c>
      <c r="HN17" s="50" t="str">
        <f t="shared" si="22"/>
        <v/>
      </c>
      <c r="HO17" s="50" t="str">
        <f t="shared" si="22"/>
        <v/>
      </c>
      <c r="HP17" s="50" t="str">
        <f t="shared" si="22"/>
        <v/>
      </c>
      <c r="HQ17" s="50" t="str">
        <f t="shared" si="22"/>
        <v/>
      </c>
      <c r="HR17" s="112" t="str">
        <f t="shared" si="22"/>
        <v/>
      </c>
    </row>
    <row r="18" spans="1:226" ht="11.1" customHeight="1" x14ac:dyDescent="0.25">
      <c r="A18" s="26"/>
      <c r="B18" s="27"/>
      <c r="C18" s="28" t="str">
        <f>IF(A18=0,"",VLOOKUP(A18,[2]CO!$A$3:$F$5327,2,0))</f>
        <v/>
      </c>
      <c r="D18" s="29"/>
      <c r="E18" s="29"/>
      <c r="F18" s="29"/>
      <c r="G18" s="30" t="str">
        <f>IF(A18=0,"",VLOOKUP(A18,[2]CO!$A$3:$F$5327,3,0))</f>
        <v/>
      </c>
      <c r="H18" s="29"/>
      <c r="I18" s="31"/>
      <c r="J18" s="31"/>
      <c r="K18" s="31"/>
      <c r="L18" s="31"/>
      <c r="M18" s="32" t="str">
        <f t="shared" si="0"/>
        <v/>
      </c>
      <c r="N18" s="32" t="str">
        <f>IF(B18=0,"",IF(H18="M",HLOOKUP(B18,$Y$12:$DT$13,2),IF(A18=0,"",VLOOKUP(A18,[2]CO!$A$3:$F$5327,4,0))))</f>
        <v/>
      </c>
      <c r="O18" s="32" t="str">
        <f t="shared" ref="O18:O42" si="25">IF(L18=0,"",PRODUCT(M18:N18))</f>
        <v/>
      </c>
      <c r="P18" s="33"/>
      <c r="Q18" s="34" t="str">
        <f t="shared" si="1"/>
        <v/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RESIDENTE"),VLOOKUP(B18,P$14:Q$42,2),"")*S18)</f>
        <v/>
      </c>
      <c r="T18" s="53" t="str">
        <f>IF(A18=0,"",VLOOKUP(A18,[2]CO!$A$3:$F$5318,5,0))</f>
        <v/>
      </c>
      <c r="U18" s="54">
        <f t="shared" si="2"/>
        <v>0</v>
      </c>
      <c r="V18" s="24"/>
      <c r="W18" s="25"/>
      <c r="X18" s="25"/>
      <c r="Y18" s="64" t="str">
        <f t="shared" ref="Y18:CI19" si="26">IF($B18=Y$12,$U18,"")</f>
        <v/>
      </c>
      <c r="Z18" s="55" t="str">
        <f t="shared" si="26"/>
        <v/>
      </c>
      <c r="AA18" s="55" t="str">
        <f t="shared" si="26"/>
        <v/>
      </c>
      <c r="AB18" s="55" t="str">
        <f t="shared" si="26"/>
        <v/>
      </c>
      <c r="AC18" s="55" t="str">
        <f t="shared" si="26"/>
        <v/>
      </c>
      <c r="AD18" s="55" t="str">
        <f t="shared" si="26"/>
        <v/>
      </c>
      <c r="AE18" s="55" t="str">
        <f t="shared" si="26"/>
        <v/>
      </c>
      <c r="AF18" s="55" t="str">
        <f t="shared" si="26"/>
        <v/>
      </c>
      <c r="AG18" s="55" t="str">
        <f t="shared" si="26"/>
        <v/>
      </c>
      <c r="AH18" s="55" t="str">
        <f t="shared" si="26"/>
        <v/>
      </c>
      <c r="AI18" s="55" t="str">
        <f t="shared" si="26"/>
        <v/>
      </c>
      <c r="AJ18" s="55" t="str">
        <f t="shared" si="26"/>
        <v/>
      </c>
      <c r="AK18" s="55" t="str">
        <f t="shared" si="26"/>
        <v/>
      </c>
      <c r="AL18" s="55" t="str">
        <f t="shared" si="26"/>
        <v/>
      </c>
      <c r="AM18" s="55" t="str">
        <f t="shared" si="26"/>
        <v/>
      </c>
      <c r="AN18" s="55" t="str">
        <f t="shared" si="26"/>
        <v/>
      </c>
      <c r="AO18" s="55" t="str">
        <f t="shared" si="26"/>
        <v/>
      </c>
      <c r="AP18" s="55" t="str">
        <f t="shared" si="26"/>
        <v/>
      </c>
      <c r="AQ18" s="55" t="str">
        <f t="shared" si="26"/>
        <v/>
      </c>
      <c r="AR18" s="55" t="str">
        <f t="shared" si="26"/>
        <v/>
      </c>
      <c r="AS18" s="55" t="str">
        <f t="shared" si="26"/>
        <v/>
      </c>
      <c r="AT18" s="55" t="str">
        <f t="shared" si="26"/>
        <v/>
      </c>
      <c r="AU18" s="55" t="str">
        <f t="shared" si="26"/>
        <v/>
      </c>
      <c r="AV18" s="55" t="str">
        <f t="shared" si="26"/>
        <v/>
      </c>
      <c r="AW18" s="55" t="str">
        <f t="shared" si="26"/>
        <v/>
      </c>
      <c r="AX18" s="55" t="str">
        <f t="shared" si="26"/>
        <v/>
      </c>
      <c r="AY18" s="55" t="str">
        <f t="shared" si="26"/>
        <v/>
      </c>
      <c r="AZ18" s="55" t="str">
        <f t="shared" si="26"/>
        <v/>
      </c>
      <c r="BA18" s="55" t="str">
        <f t="shared" si="26"/>
        <v/>
      </c>
      <c r="BB18" s="55" t="str">
        <f t="shared" si="26"/>
        <v/>
      </c>
      <c r="BC18" s="55" t="str">
        <f t="shared" si="26"/>
        <v/>
      </c>
      <c r="BD18" s="55" t="str">
        <f t="shared" si="26"/>
        <v/>
      </c>
      <c r="BE18" s="55" t="str">
        <f t="shared" si="26"/>
        <v/>
      </c>
      <c r="BF18" s="55" t="str">
        <f t="shared" si="26"/>
        <v/>
      </c>
      <c r="BG18" s="55" t="str">
        <f t="shared" si="26"/>
        <v/>
      </c>
      <c r="BH18" s="55" t="str">
        <f t="shared" si="26"/>
        <v/>
      </c>
      <c r="BI18" s="55" t="str">
        <f t="shared" si="26"/>
        <v/>
      </c>
      <c r="BJ18" s="55" t="str">
        <f t="shared" si="26"/>
        <v/>
      </c>
      <c r="BK18" s="55" t="str">
        <f t="shared" si="26"/>
        <v/>
      </c>
      <c r="BL18" s="55" t="str">
        <f t="shared" si="26"/>
        <v/>
      </c>
      <c r="BM18" s="55" t="str">
        <f t="shared" si="26"/>
        <v/>
      </c>
      <c r="BN18" s="55" t="str">
        <f t="shared" si="26"/>
        <v/>
      </c>
      <c r="BO18" s="55" t="str">
        <f t="shared" si="26"/>
        <v/>
      </c>
      <c r="BP18" s="55" t="str">
        <f t="shared" si="26"/>
        <v/>
      </c>
      <c r="BQ18" s="55" t="str">
        <f t="shared" si="26"/>
        <v/>
      </c>
      <c r="BR18" s="55" t="str">
        <f t="shared" si="26"/>
        <v/>
      </c>
      <c r="BS18" s="55" t="str">
        <f t="shared" si="26"/>
        <v/>
      </c>
      <c r="BT18" s="55" t="str">
        <f t="shared" si="26"/>
        <v/>
      </c>
      <c r="BU18" s="55" t="str">
        <f t="shared" si="26"/>
        <v/>
      </c>
      <c r="BV18" s="55" t="str">
        <f t="shared" si="26"/>
        <v/>
      </c>
      <c r="BW18" s="55" t="str">
        <f t="shared" si="26"/>
        <v/>
      </c>
      <c r="BX18" s="55" t="str">
        <f t="shared" si="26"/>
        <v/>
      </c>
      <c r="BY18" s="55" t="str">
        <f t="shared" si="26"/>
        <v/>
      </c>
      <c r="BZ18" s="55" t="str">
        <f t="shared" si="26"/>
        <v/>
      </c>
      <c r="CA18" s="55" t="str">
        <f t="shared" si="26"/>
        <v/>
      </c>
      <c r="CB18" s="55" t="str">
        <f t="shared" si="26"/>
        <v/>
      </c>
      <c r="CC18" s="55" t="str">
        <f t="shared" si="26"/>
        <v/>
      </c>
      <c r="CD18" s="55" t="str">
        <f t="shared" si="26"/>
        <v/>
      </c>
      <c r="CE18" s="55" t="str">
        <f t="shared" si="26"/>
        <v/>
      </c>
      <c r="CF18" s="55" t="str">
        <f t="shared" si="26"/>
        <v/>
      </c>
      <c r="CG18" s="55" t="str">
        <f t="shared" si="26"/>
        <v/>
      </c>
      <c r="CH18" s="55" t="str">
        <f t="shared" si="26"/>
        <v/>
      </c>
      <c r="CI18" s="55" t="str">
        <f t="shared" si="26"/>
        <v/>
      </c>
      <c r="CJ18" s="55" t="str">
        <f t="shared" ref="CJ18:CY19" si="27">IF($B18=CJ$12,$U18,"")</f>
        <v/>
      </c>
      <c r="CK18" s="55" t="str">
        <f t="shared" si="27"/>
        <v/>
      </c>
      <c r="CL18" s="55" t="str">
        <f t="shared" si="27"/>
        <v/>
      </c>
      <c r="CM18" s="55" t="str">
        <f t="shared" si="27"/>
        <v/>
      </c>
      <c r="CN18" s="55" t="str">
        <f t="shared" si="27"/>
        <v/>
      </c>
      <c r="CO18" s="55" t="str">
        <f t="shared" si="27"/>
        <v/>
      </c>
      <c r="CP18" s="55" t="str">
        <f t="shared" si="27"/>
        <v/>
      </c>
      <c r="CQ18" s="55" t="str">
        <f t="shared" si="27"/>
        <v/>
      </c>
      <c r="CR18" s="55" t="str">
        <f t="shared" si="27"/>
        <v/>
      </c>
      <c r="CS18" s="55" t="str">
        <f t="shared" si="27"/>
        <v/>
      </c>
      <c r="CT18" s="55" t="str">
        <f t="shared" si="27"/>
        <v/>
      </c>
      <c r="CU18" s="55" t="str">
        <f t="shared" si="27"/>
        <v/>
      </c>
      <c r="CV18" s="55" t="str">
        <f t="shared" si="27"/>
        <v/>
      </c>
      <c r="CW18" s="55" t="str">
        <f t="shared" si="27"/>
        <v/>
      </c>
      <c r="CX18" s="55" t="str">
        <f t="shared" si="27"/>
        <v/>
      </c>
      <c r="CY18" s="55" t="str">
        <f t="shared" si="27"/>
        <v/>
      </c>
      <c r="CZ18" s="55" t="str">
        <f t="shared" ref="CZ18:DO19" si="28">IF($B18=CZ$12,$U18,"")</f>
        <v/>
      </c>
      <c r="DA18" s="55" t="str">
        <f t="shared" si="28"/>
        <v/>
      </c>
      <c r="DB18" s="55" t="str">
        <f t="shared" si="28"/>
        <v/>
      </c>
      <c r="DC18" s="55" t="str">
        <f t="shared" si="28"/>
        <v/>
      </c>
      <c r="DD18" s="55" t="str">
        <f t="shared" si="28"/>
        <v/>
      </c>
      <c r="DE18" s="55" t="str">
        <f t="shared" si="28"/>
        <v/>
      </c>
      <c r="DF18" s="55" t="str">
        <f t="shared" si="28"/>
        <v/>
      </c>
      <c r="DG18" s="55" t="str">
        <f t="shared" si="28"/>
        <v/>
      </c>
      <c r="DH18" s="55" t="str">
        <f t="shared" si="28"/>
        <v/>
      </c>
      <c r="DI18" s="55" t="str">
        <f t="shared" si="28"/>
        <v/>
      </c>
      <c r="DJ18" s="55" t="str">
        <f t="shared" si="28"/>
        <v/>
      </c>
      <c r="DK18" s="55" t="str">
        <f t="shared" si="28"/>
        <v/>
      </c>
      <c r="DL18" s="55" t="str">
        <f t="shared" si="28"/>
        <v/>
      </c>
      <c r="DM18" s="55" t="str">
        <f t="shared" si="28"/>
        <v/>
      </c>
      <c r="DN18" s="55" t="str">
        <f t="shared" si="28"/>
        <v/>
      </c>
      <c r="DO18" s="55" t="str">
        <f t="shared" ref="DO18:DT19" si="29">IF($B18=DO$12,$U18,"")</f>
        <v/>
      </c>
      <c r="DP18" s="55" t="str">
        <f t="shared" si="29"/>
        <v/>
      </c>
      <c r="DQ18" s="55" t="str">
        <f t="shared" si="29"/>
        <v/>
      </c>
      <c r="DR18" s="55" t="str">
        <f t="shared" si="29"/>
        <v/>
      </c>
      <c r="DS18" s="55" t="str">
        <f t="shared" si="29"/>
        <v/>
      </c>
      <c r="DT18" s="106" t="str">
        <f t="shared" si="29"/>
        <v/>
      </c>
      <c r="DU18" s="54"/>
      <c r="DV18" s="25"/>
      <c r="DW18" s="61" t="str">
        <f t="shared" ref="DW18:GG19" si="30">IF($B18=DW$12,$O18,"")</f>
        <v/>
      </c>
      <c r="DX18" s="50" t="str">
        <f t="shared" si="30"/>
        <v/>
      </c>
      <c r="DY18" s="50" t="str">
        <f t="shared" si="30"/>
        <v/>
      </c>
      <c r="DZ18" s="50" t="str">
        <f t="shared" si="30"/>
        <v/>
      </c>
      <c r="EA18" s="50" t="str">
        <f t="shared" si="30"/>
        <v/>
      </c>
      <c r="EB18" s="50" t="str">
        <f t="shared" si="30"/>
        <v/>
      </c>
      <c r="EC18" s="50" t="str">
        <f t="shared" si="30"/>
        <v/>
      </c>
      <c r="ED18" s="50" t="str">
        <f t="shared" si="30"/>
        <v/>
      </c>
      <c r="EE18" s="50" t="str">
        <f t="shared" si="30"/>
        <v/>
      </c>
      <c r="EF18" s="50" t="str">
        <f t="shared" si="30"/>
        <v/>
      </c>
      <c r="EG18" s="50" t="str">
        <f t="shared" si="30"/>
        <v/>
      </c>
      <c r="EH18" s="50" t="str">
        <f t="shared" si="30"/>
        <v/>
      </c>
      <c r="EI18" s="50" t="str">
        <f t="shared" si="30"/>
        <v/>
      </c>
      <c r="EJ18" s="50" t="str">
        <f t="shared" si="30"/>
        <v/>
      </c>
      <c r="EK18" s="50" t="str">
        <f t="shared" si="30"/>
        <v/>
      </c>
      <c r="EL18" s="50" t="str">
        <f t="shared" si="30"/>
        <v/>
      </c>
      <c r="EM18" s="50" t="str">
        <f t="shared" si="30"/>
        <v/>
      </c>
      <c r="EN18" s="50" t="str">
        <f t="shared" si="30"/>
        <v/>
      </c>
      <c r="EO18" s="50" t="str">
        <f t="shared" si="30"/>
        <v/>
      </c>
      <c r="EP18" s="50" t="str">
        <f t="shared" si="30"/>
        <v/>
      </c>
      <c r="EQ18" s="50" t="str">
        <f t="shared" si="30"/>
        <v/>
      </c>
      <c r="ER18" s="50" t="str">
        <f t="shared" si="30"/>
        <v/>
      </c>
      <c r="ES18" s="50" t="str">
        <f t="shared" si="30"/>
        <v/>
      </c>
      <c r="ET18" s="50" t="str">
        <f t="shared" si="30"/>
        <v/>
      </c>
      <c r="EU18" s="50" t="str">
        <f t="shared" si="30"/>
        <v/>
      </c>
      <c r="EV18" s="50" t="str">
        <f t="shared" si="30"/>
        <v/>
      </c>
      <c r="EW18" s="50" t="str">
        <f t="shared" si="30"/>
        <v/>
      </c>
      <c r="EX18" s="50" t="str">
        <f t="shared" si="30"/>
        <v/>
      </c>
      <c r="EY18" s="50" t="str">
        <f t="shared" si="30"/>
        <v/>
      </c>
      <c r="EZ18" s="50" t="str">
        <f t="shared" si="30"/>
        <v/>
      </c>
      <c r="FA18" s="50" t="str">
        <f t="shared" si="30"/>
        <v/>
      </c>
      <c r="FB18" s="50" t="str">
        <f t="shared" si="30"/>
        <v/>
      </c>
      <c r="FC18" s="50" t="str">
        <f t="shared" si="30"/>
        <v/>
      </c>
      <c r="FD18" s="50" t="str">
        <f t="shared" si="30"/>
        <v/>
      </c>
      <c r="FE18" s="50" t="str">
        <f t="shared" si="30"/>
        <v/>
      </c>
      <c r="FF18" s="50" t="str">
        <f t="shared" si="30"/>
        <v/>
      </c>
      <c r="FG18" s="50" t="str">
        <f t="shared" si="30"/>
        <v/>
      </c>
      <c r="FH18" s="50" t="str">
        <f t="shared" si="30"/>
        <v/>
      </c>
      <c r="FI18" s="50" t="str">
        <f t="shared" si="30"/>
        <v/>
      </c>
      <c r="FJ18" s="50" t="str">
        <f t="shared" si="30"/>
        <v/>
      </c>
      <c r="FK18" s="50" t="str">
        <f t="shared" si="30"/>
        <v/>
      </c>
      <c r="FL18" s="50" t="str">
        <f t="shared" si="30"/>
        <v/>
      </c>
      <c r="FM18" s="50" t="str">
        <f t="shared" si="30"/>
        <v/>
      </c>
      <c r="FN18" s="50" t="str">
        <f t="shared" si="30"/>
        <v/>
      </c>
      <c r="FO18" s="50" t="str">
        <f t="shared" si="30"/>
        <v/>
      </c>
      <c r="FP18" s="50" t="str">
        <f t="shared" si="30"/>
        <v/>
      </c>
      <c r="FQ18" s="50" t="str">
        <f t="shared" si="30"/>
        <v/>
      </c>
      <c r="FR18" s="50" t="str">
        <f t="shared" si="30"/>
        <v/>
      </c>
      <c r="FS18" s="50" t="str">
        <f t="shared" si="30"/>
        <v/>
      </c>
      <c r="FT18" s="50" t="str">
        <f t="shared" si="30"/>
        <v/>
      </c>
      <c r="FU18" s="50" t="str">
        <f t="shared" si="30"/>
        <v/>
      </c>
      <c r="FV18" s="50" t="str">
        <f t="shared" si="30"/>
        <v/>
      </c>
      <c r="FW18" s="50" t="str">
        <f t="shared" si="30"/>
        <v/>
      </c>
      <c r="FX18" s="50" t="str">
        <f t="shared" si="30"/>
        <v/>
      </c>
      <c r="FY18" s="50" t="str">
        <f t="shared" si="30"/>
        <v/>
      </c>
      <c r="FZ18" s="50" t="str">
        <f t="shared" si="30"/>
        <v/>
      </c>
      <c r="GA18" s="50" t="str">
        <f t="shared" si="30"/>
        <v/>
      </c>
      <c r="GB18" s="50" t="str">
        <f t="shared" si="30"/>
        <v/>
      </c>
      <c r="GC18" s="50" t="str">
        <f t="shared" si="30"/>
        <v/>
      </c>
      <c r="GD18" s="50" t="str">
        <f t="shared" si="30"/>
        <v/>
      </c>
      <c r="GE18" s="50" t="str">
        <f t="shared" si="30"/>
        <v/>
      </c>
      <c r="GF18" s="50" t="str">
        <f t="shared" si="30"/>
        <v/>
      </c>
      <c r="GG18" s="50" t="str">
        <f t="shared" si="30"/>
        <v/>
      </c>
      <c r="GH18" s="50" t="str">
        <f t="shared" ref="GH18:GW19" si="31">IF($B18=GH$12,$O18,"")</f>
        <v/>
      </c>
      <c r="GI18" s="50" t="str">
        <f t="shared" si="31"/>
        <v/>
      </c>
      <c r="GJ18" s="50" t="str">
        <f t="shared" si="31"/>
        <v/>
      </c>
      <c r="GK18" s="50" t="str">
        <f t="shared" si="31"/>
        <v/>
      </c>
      <c r="GL18" s="50" t="str">
        <f t="shared" si="31"/>
        <v/>
      </c>
      <c r="GM18" s="50" t="str">
        <f t="shared" si="31"/>
        <v/>
      </c>
      <c r="GN18" s="50" t="str">
        <f t="shared" si="31"/>
        <v/>
      </c>
      <c r="GO18" s="50" t="str">
        <f t="shared" si="31"/>
        <v/>
      </c>
      <c r="GP18" s="50" t="str">
        <f t="shared" si="31"/>
        <v/>
      </c>
      <c r="GQ18" s="50" t="str">
        <f t="shared" si="31"/>
        <v/>
      </c>
      <c r="GR18" s="50" t="str">
        <f t="shared" si="31"/>
        <v/>
      </c>
      <c r="GS18" s="50" t="str">
        <f t="shared" si="31"/>
        <v/>
      </c>
      <c r="GT18" s="50" t="str">
        <f t="shared" si="31"/>
        <v/>
      </c>
      <c r="GU18" s="50" t="str">
        <f t="shared" si="31"/>
        <v/>
      </c>
      <c r="GV18" s="50" t="str">
        <f t="shared" si="31"/>
        <v/>
      </c>
      <c r="GW18" s="50" t="str">
        <f t="shared" si="31"/>
        <v/>
      </c>
      <c r="GX18" s="50" t="str">
        <f t="shared" ref="GX18:HM19" si="32">IF($B18=GX$12,$O18,"")</f>
        <v/>
      </c>
      <c r="GY18" s="50" t="str">
        <f t="shared" si="32"/>
        <v/>
      </c>
      <c r="GZ18" s="50" t="str">
        <f t="shared" si="32"/>
        <v/>
      </c>
      <c r="HA18" s="50" t="str">
        <f t="shared" si="32"/>
        <v/>
      </c>
      <c r="HB18" s="50" t="str">
        <f t="shared" si="32"/>
        <v/>
      </c>
      <c r="HC18" s="50" t="str">
        <f t="shared" si="32"/>
        <v/>
      </c>
      <c r="HD18" s="50" t="str">
        <f t="shared" si="32"/>
        <v/>
      </c>
      <c r="HE18" s="50" t="str">
        <f t="shared" si="32"/>
        <v/>
      </c>
      <c r="HF18" s="50" t="str">
        <f t="shared" si="32"/>
        <v/>
      </c>
      <c r="HG18" s="50" t="str">
        <f t="shared" si="32"/>
        <v/>
      </c>
      <c r="HH18" s="50" t="str">
        <f t="shared" si="32"/>
        <v/>
      </c>
      <c r="HI18" s="50" t="str">
        <f t="shared" si="32"/>
        <v/>
      </c>
      <c r="HJ18" s="50" t="str">
        <f t="shared" si="32"/>
        <v/>
      </c>
      <c r="HK18" s="50" t="str">
        <f t="shared" si="32"/>
        <v/>
      </c>
      <c r="HL18" s="50" t="str">
        <f t="shared" si="32"/>
        <v/>
      </c>
      <c r="HM18" s="50" t="str">
        <f t="shared" ref="HM18:HR19" si="33">IF($B18=HM$12,$O18,"")</f>
        <v/>
      </c>
      <c r="HN18" s="50" t="str">
        <f t="shared" si="33"/>
        <v/>
      </c>
      <c r="HO18" s="50" t="str">
        <f t="shared" si="33"/>
        <v/>
      </c>
      <c r="HP18" s="50" t="str">
        <f t="shared" si="33"/>
        <v/>
      </c>
      <c r="HQ18" s="50" t="str">
        <f t="shared" si="33"/>
        <v/>
      </c>
      <c r="HR18" s="112" t="str">
        <f t="shared" si="33"/>
        <v/>
      </c>
    </row>
    <row r="19" spans="1:226" ht="11.1" customHeight="1" thickBot="1" x14ac:dyDescent="0.3">
      <c r="A19" s="66"/>
      <c r="B19" s="67"/>
      <c r="C19" s="68" t="str">
        <f>IF(A19=0,"",VLOOKUP(A19,[2]CO!$A$3:$F$5311,2,0))</f>
        <v/>
      </c>
      <c r="D19" s="69"/>
      <c r="E19" s="69"/>
      <c r="F19" s="69"/>
      <c r="G19" s="70" t="str">
        <f>IF(A19=0,"",VLOOKUP(A19,[2]CO!$A$3:$F$5327,3,0))</f>
        <v/>
      </c>
      <c r="H19" s="69"/>
      <c r="I19" s="71"/>
      <c r="J19" s="71"/>
      <c r="K19" s="71"/>
      <c r="L19" s="71"/>
      <c r="M19" s="72" t="str">
        <f t="shared" si="0"/>
        <v/>
      </c>
      <c r="N19" s="72" t="str">
        <f>IF(B19=0,"",IF(H19="M",HLOOKUP(B19,$Y$12:$DT$13,2),IF(A19=0,"",VLOOKUP(A19,[2]CO!$A$3:$F$5327,4,0))))</f>
        <v/>
      </c>
      <c r="O19" s="72" t="str">
        <f t="shared" si="25"/>
        <v/>
      </c>
      <c r="P19" s="73"/>
      <c r="Q19" s="74" t="str">
        <f t="shared" si="1"/>
        <v/>
      </c>
      <c r="R19" s="75" t="str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RESIDENTE"),VLOOKUP(B19,P$14:Q$42,2),"")*S19)</f>
        <v/>
      </c>
      <c r="T19" s="53" t="str">
        <f>IF(A19=0,"",VLOOKUP(A19,[2]CO!$A$3:$F$5318,5,0))</f>
        <v/>
      </c>
      <c r="U19" s="54">
        <f t="shared" si="2"/>
        <v>0</v>
      </c>
      <c r="V19" s="24"/>
      <c r="W19" s="25"/>
      <c r="X19" s="25"/>
      <c r="Y19" s="76" t="str">
        <f t="shared" si="26"/>
        <v/>
      </c>
      <c r="Z19" s="77" t="str">
        <f t="shared" si="26"/>
        <v/>
      </c>
      <c r="AA19" s="77" t="str">
        <f t="shared" si="26"/>
        <v/>
      </c>
      <c r="AB19" s="77" t="str">
        <f t="shared" ref="AB19:CI19" si="34">IF($B19=AB$12,$U19,"")</f>
        <v/>
      </c>
      <c r="AC19" s="77" t="str">
        <f t="shared" si="34"/>
        <v/>
      </c>
      <c r="AD19" s="77" t="str">
        <f t="shared" si="34"/>
        <v/>
      </c>
      <c r="AE19" s="77" t="str">
        <f t="shared" si="34"/>
        <v/>
      </c>
      <c r="AF19" s="77" t="str">
        <f t="shared" si="34"/>
        <v/>
      </c>
      <c r="AG19" s="77" t="str">
        <f t="shared" si="34"/>
        <v/>
      </c>
      <c r="AH19" s="77" t="str">
        <f t="shared" si="34"/>
        <v/>
      </c>
      <c r="AI19" s="77" t="str">
        <f t="shared" si="34"/>
        <v/>
      </c>
      <c r="AJ19" s="77" t="str">
        <f t="shared" si="34"/>
        <v/>
      </c>
      <c r="AK19" s="77" t="str">
        <f t="shared" si="34"/>
        <v/>
      </c>
      <c r="AL19" s="77" t="str">
        <f t="shared" si="34"/>
        <v/>
      </c>
      <c r="AM19" s="77" t="str">
        <f t="shared" si="34"/>
        <v/>
      </c>
      <c r="AN19" s="77" t="str">
        <f t="shared" si="34"/>
        <v/>
      </c>
      <c r="AO19" s="77" t="str">
        <f t="shared" si="34"/>
        <v/>
      </c>
      <c r="AP19" s="77" t="str">
        <f t="shared" si="34"/>
        <v/>
      </c>
      <c r="AQ19" s="77" t="str">
        <f t="shared" si="34"/>
        <v/>
      </c>
      <c r="AR19" s="77" t="str">
        <f t="shared" si="34"/>
        <v/>
      </c>
      <c r="AS19" s="77" t="str">
        <f t="shared" si="34"/>
        <v/>
      </c>
      <c r="AT19" s="77" t="str">
        <f t="shared" si="34"/>
        <v/>
      </c>
      <c r="AU19" s="77" t="str">
        <f t="shared" si="34"/>
        <v/>
      </c>
      <c r="AV19" s="77" t="str">
        <f t="shared" si="34"/>
        <v/>
      </c>
      <c r="AW19" s="77" t="str">
        <f t="shared" si="34"/>
        <v/>
      </c>
      <c r="AX19" s="77" t="str">
        <f t="shared" si="34"/>
        <v/>
      </c>
      <c r="AY19" s="77" t="str">
        <f t="shared" si="34"/>
        <v/>
      </c>
      <c r="AZ19" s="77" t="str">
        <f t="shared" si="34"/>
        <v/>
      </c>
      <c r="BA19" s="77" t="str">
        <f t="shared" si="34"/>
        <v/>
      </c>
      <c r="BB19" s="77" t="str">
        <f t="shared" si="34"/>
        <v/>
      </c>
      <c r="BC19" s="77" t="str">
        <f t="shared" si="34"/>
        <v/>
      </c>
      <c r="BD19" s="77" t="str">
        <f t="shared" si="34"/>
        <v/>
      </c>
      <c r="BE19" s="77" t="str">
        <f t="shared" si="34"/>
        <v/>
      </c>
      <c r="BF19" s="77" t="str">
        <f t="shared" si="34"/>
        <v/>
      </c>
      <c r="BG19" s="77" t="str">
        <f t="shared" si="34"/>
        <v/>
      </c>
      <c r="BH19" s="77" t="str">
        <f t="shared" si="34"/>
        <v/>
      </c>
      <c r="BI19" s="77" t="str">
        <f t="shared" si="34"/>
        <v/>
      </c>
      <c r="BJ19" s="77" t="str">
        <f t="shared" si="34"/>
        <v/>
      </c>
      <c r="BK19" s="77" t="str">
        <f t="shared" si="34"/>
        <v/>
      </c>
      <c r="BL19" s="77" t="str">
        <f t="shared" si="34"/>
        <v/>
      </c>
      <c r="BM19" s="77" t="str">
        <f t="shared" si="34"/>
        <v/>
      </c>
      <c r="BN19" s="77" t="str">
        <f t="shared" si="34"/>
        <v/>
      </c>
      <c r="BO19" s="77" t="str">
        <f t="shared" si="34"/>
        <v/>
      </c>
      <c r="BP19" s="77" t="str">
        <f t="shared" si="34"/>
        <v/>
      </c>
      <c r="BQ19" s="77" t="str">
        <f t="shared" si="34"/>
        <v/>
      </c>
      <c r="BR19" s="77" t="str">
        <f t="shared" si="34"/>
        <v/>
      </c>
      <c r="BS19" s="77" t="str">
        <f t="shared" si="34"/>
        <v/>
      </c>
      <c r="BT19" s="77" t="str">
        <f t="shared" si="34"/>
        <v/>
      </c>
      <c r="BU19" s="77" t="str">
        <f t="shared" si="34"/>
        <v/>
      </c>
      <c r="BV19" s="77" t="str">
        <f t="shared" si="34"/>
        <v/>
      </c>
      <c r="BW19" s="77" t="str">
        <f t="shared" si="34"/>
        <v/>
      </c>
      <c r="BX19" s="77" t="str">
        <f t="shared" si="34"/>
        <v/>
      </c>
      <c r="BY19" s="77" t="str">
        <f t="shared" si="34"/>
        <v/>
      </c>
      <c r="BZ19" s="77" t="str">
        <f t="shared" si="34"/>
        <v/>
      </c>
      <c r="CA19" s="77" t="str">
        <f t="shared" si="34"/>
        <v/>
      </c>
      <c r="CB19" s="77" t="str">
        <f t="shared" si="34"/>
        <v/>
      </c>
      <c r="CC19" s="77" t="str">
        <f t="shared" si="34"/>
        <v/>
      </c>
      <c r="CD19" s="77" t="str">
        <f t="shared" si="34"/>
        <v/>
      </c>
      <c r="CE19" s="77" t="str">
        <f t="shared" si="34"/>
        <v/>
      </c>
      <c r="CF19" s="77" t="str">
        <f t="shared" si="34"/>
        <v/>
      </c>
      <c r="CG19" s="77" t="str">
        <f t="shared" si="34"/>
        <v/>
      </c>
      <c r="CH19" s="77" t="str">
        <f t="shared" si="34"/>
        <v/>
      </c>
      <c r="CI19" s="77" t="str">
        <f t="shared" si="34"/>
        <v/>
      </c>
      <c r="CJ19" s="77" t="str">
        <f t="shared" si="27"/>
        <v/>
      </c>
      <c r="CK19" s="77" t="str">
        <f t="shared" si="27"/>
        <v/>
      </c>
      <c r="CL19" s="77" t="str">
        <f t="shared" si="27"/>
        <v/>
      </c>
      <c r="CM19" s="77" t="str">
        <f t="shared" si="27"/>
        <v/>
      </c>
      <c r="CN19" s="77" t="str">
        <f t="shared" si="27"/>
        <v/>
      </c>
      <c r="CO19" s="77" t="str">
        <f t="shared" si="27"/>
        <v/>
      </c>
      <c r="CP19" s="77" t="str">
        <f t="shared" si="27"/>
        <v/>
      </c>
      <c r="CQ19" s="77" t="str">
        <f t="shared" si="27"/>
        <v/>
      </c>
      <c r="CR19" s="77" t="str">
        <f t="shared" si="27"/>
        <v/>
      </c>
      <c r="CS19" s="77" t="str">
        <f t="shared" si="27"/>
        <v/>
      </c>
      <c r="CT19" s="77" t="str">
        <f t="shared" si="27"/>
        <v/>
      </c>
      <c r="CU19" s="77" t="str">
        <f t="shared" si="27"/>
        <v/>
      </c>
      <c r="CV19" s="77" t="str">
        <f t="shared" si="27"/>
        <v/>
      </c>
      <c r="CW19" s="77" t="str">
        <f t="shared" si="27"/>
        <v/>
      </c>
      <c r="CX19" s="77" t="str">
        <f t="shared" si="27"/>
        <v/>
      </c>
      <c r="CY19" s="77" t="str">
        <f t="shared" si="27"/>
        <v/>
      </c>
      <c r="CZ19" s="77" t="str">
        <f t="shared" si="28"/>
        <v/>
      </c>
      <c r="DA19" s="77" t="str">
        <f t="shared" si="28"/>
        <v/>
      </c>
      <c r="DB19" s="77" t="str">
        <f t="shared" si="28"/>
        <v/>
      </c>
      <c r="DC19" s="77" t="str">
        <f t="shared" si="28"/>
        <v/>
      </c>
      <c r="DD19" s="77" t="str">
        <f t="shared" si="28"/>
        <v/>
      </c>
      <c r="DE19" s="77" t="str">
        <f t="shared" si="28"/>
        <v/>
      </c>
      <c r="DF19" s="77" t="str">
        <f t="shared" si="28"/>
        <v/>
      </c>
      <c r="DG19" s="77" t="str">
        <f t="shared" si="28"/>
        <v/>
      </c>
      <c r="DH19" s="77" t="str">
        <f t="shared" si="28"/>
        <v/>
      </c>
      <c r="DI19" s="77" t="str">
        <f t="shared" si="28"/>
        <v/>
      </c>
      <c r="DJ19" s="77" t="str">
        <f t="shared" si="28"/>
        <v/>
      </c>
      <c r="DK19" s="77" t="str">
        <f t="shared" si="28"/>
        <v/>
      </c>
      <c r="DL19" s="77" t="str">
        <f t="shared" si="28"/>
        <v/>
      </c>
      <c r="DM19" s="77" t="str">
        <f t="shared" si="28"/>
        <v/>
      </c>
      <c r="DN19" s="77" t="str">
        <f t="shared" si="28"/>
        <v/>
      </c>
      <c r="DO19" s="77" t="str">
        <f t="shared" si="28"/>
        <v/>
      </c>
      <c r="DP19" s="77" t="str">
        <f t="shared" si="29"/>
        <v/>
      </c>
      <c r="DQ19" s="77" t="str">
        <f t="shared" si="29"/>
        <v/>
      </c>
      <c r="DR19" s="77" t="str">
        <f t="shared" si="29"/>
        <v/>
      </c>
      <c r="DS19" s="77" t="str">
        <f t="shared" si="29"/>
        <v/>
      </c>
      <c r="DT19" s="107" t="str">
        <f t="shared" si="29"/>
        <v/>
      </c>
      <c r="DU19" s="54"/>
      <c r="DV19" s="25"/>
      <c r="DW19" s="78" t="str">
        <f t="shared" si="30"/>
        <v/>
      </c>
      <c r="DX19" s="79" t="str">
        <f t="shared" si="30"/>
        <v/>
      </c>
      <c r="DY19" s="79" t="str">
        <f t="shared" si="30"/>
        <v/>
      </c>
      <c r="DZ19" s="79" t="str">
        <f t="shared" ref="DZ19:GG19" si="35">IF($B19=DZ$12,$O19,"")</f>
        <v/>
      </c>
      <c r="EA19" s="79" t="str">
        <f t="shared" si="35"/>
        <v/>
      </c>
      <c r="EB19" s="79" t="str">
        <f t="shared" si="35"/>
        <v/>
      </c>
      <c r="EC19" s="79" t="str">
        <f t="shared" si="35"/>
        <v/>
      </c>
      <c r="ED19" s="79" t="str">
        <f t="shared" si="35"/>
        <v/>
      </c>
      <c r="EE19" s="79" t="str">
        <f t="shared" si="35"/>
        <v/>
      </c>
      <c r="EF19" s="79" t="str">
        <f t="shared" si="35"/>
        <v/>
      </c>
      <c r="EG19" s="79" t="str">
        <f t="shared" si="35"/>
        <v/>
      </c>
      <c r="EH19" s="79" t="str">
        <f t="shared" si="35"/>
        <v/>
      </c>
      <c r="EI19" s="79" t="str">
        <f t="shared" si="35"/>
        <v/>
      </c>
      <c r="EJ19" s="79" t="str">
        <f t="shared" si="35"/>
        <v/>
      </c>
      <c r="EK19" s="79" t="str">
        <f t="shared" si="35"/>
        <v/>
      </c>
      <c r="EL19" s="79" t="str">
        <f t="shared" si="35"/>
        <v/>
      </c>
      <c r="EM19" s="79" t="str">
        <f t="shared" si="35"/>
        <v/>
      </c>
      <c r="EN19" s="79" t="str">
        <f t="shared" si="35"/>
        <v/>
      </c>
      <c r="EO19" s="79" t="str">
        <f t="shared" si="35"/>
        <v/>
      </c>
      <c r="EP19" s="79" t="str">
        <f t="shared" si="35"/>
        <v/>
      </c>
      <c r="EQ19" s="79" t="str">
        <f t="shared" si="35"/>
        <v/>
      </c>
      <c r="ER19" s="79" t="str">
        <f t="shared" si="35"/>
        <v/>
      </c>
      <c r="ES19" s="79" t="str">
        <f t="shared" si="35"/>
        <v/>
      </c>
      <c r="ET19" s="79" t="str">
        <f t="shared" si="35"/>
        <v/>
      </c>
      <c r="EU19" s="79" t="str">
        <f t="shared" si="35"/>
        <v/>
      </c>
      <c r="EV19" s="79" t="str">
        <f t="shared" si="35"/>
        <v/>
      </c>
      <c r="EW19" s="79" t="str">
        <f t="shared" si="35"/>
        <v/>
      </c>
      <c r="EX19" s="79" t="str">
        <f t="shared" si="35"/>
        <v/>
      </c>
      <c r="EY19" s="79" t="str">
        <f t="shared" si="35"/>
        <v/>
      </c>
      <c r="EZ19" s="79" t="str">
        <f t="shared" si="35"/>
        <v/>
      </c>
      <c r="FA19" s="79" t="str">
        <f t="shared" si="35"/>
        <v/>
      </c>
      <c r="FB19" s="79" t="str">
        <f t="shared" si="35"/>
        <v/>
      </c>
      <c r="FC19" s="79" t="str">
        <f t="shared" si="35"/>
        <v/>
      </c>
      <c r="FD19" s="79" t="str">
        <f t="shared" si="35"/>
        <v/>
      </c>
      <c r="FE19" s="79" t="str">
        <f t="shared" si="35"/>
        <v/>
      </c>
      <c r="FF19" s="79" t="str">
        <f t="shared" si="35"/>
        <v/>
      </c>
      <c r="FG19" s="79" t="str">
        <f t="shared" si="35"/>
        <v/>
      </c>
      <c r="FH19" s="79" t="str">
        <f t="shared" si="35"/>
        <v/>
      </c>
      <c r="FI19" s="79" t="str">
        <f t="shared" si="35"/>
        <v/>
      </c>
      <c r="FJ19" s="79" t="str">
        <f t="shared" si="35"/>
        <v/>
      </c>
      <c r="FK19" s="79" t="str">
        <f t="shared" si="35"/>
        <v/>
      </c>
      <c r="FL19" s="79" t="str">
        <f t="shared" si="35"/>
        <v/>
      </c>
      <c r="FM19" s="79" t="str">
        <f t="shared" si="35"/>
        <v/>
      </c>
      <c r="FN19" s="79" t="str">
        <f t="shared" si="35"/>
        <v/>
      </c>
      <c r="FO19" s="79" t="str">
        <f t="shared" si="35"/>
        <v/>
      </c>
      <c r="FP19" s="79" t="str">
        <f t="shared" si="35"/>
        <v/>
      </c>
      <c r="FQ19" s="79" t="str">
        <f t="shared" si="35"/>
        <v/>
      </c>
      <c r="FR19" s="79" t="str">
        <f t="shared" si="35"/>
        <v/>
      </c>
      <c r="FS19" s="79" t="str">
        <f t="shared" si="35"/>
        <v/>
      </c>
      <c r="FT19" s="79" t="str">
        <f t="shared" si="35"/>
        <v/>
      </c>
      <c r="FU19" s="79" t="str">
        <f t="shared" si="35"/>
        <v/>
      </c>
      <c r="FV19" s="79" t="str">
        <f t="shared" si="35"/>
        <v/>
      </c>
      <c r="FW19" s="79" t="str">
        <f t="shared" si="35"/>
        <v/>
      </c>
      <c r="FX19" s="79" t="str">
        <f t="shared" si="35"/>
        <v/>
      </c>
      <c r="FY19" s="79" t="str">
        <f t="shared" si="35"/>
        <v/>
      </c>
      <c r="FZ19" s="79" t="str">
        <f t="shared" si="35"/>
        <v/>
      </c>
      <c r="GA19" s="79" t="str">
        <f t="shared" si="35"/>
        <v/>
      </c>
      <c r="GB19" s="79" t="str">
        <f t="shared" si="35"/>
        <v/>
      </c>
      <c r="GC19" s="79" t="str">
        <f t="shared" si="35"/>
        <v/>
      </c>
      <c r="GD19" s="79" t="str">
        <f t="shared" si="35"/>
        <v/>
      </c>
      <c r="GE19" s="79" t="str">
        <f t="shared" si="35"/>
        <v/>
      </c>
      <c r="GF19" s="79" t="str">
        <f t="shared" si="35"/>
        <v/>
      </c>
      <c r="GG19" s="79" t="str">
        <f t="shared" si="35"/>
        <v/>
      </c>
      <c r="GH19" s="79" t="str">
        <f t="shared" si="31"/>
        <v/>
      </c>
      <c r="GI19" s="79" t="str">
        <f t="shared" si="31"/>
        <v/>
      </c>
      <c r="GJ19" s="79" t="str">
        <f t="shared" si="31"/>
        <v/>
      </c>
      <c r="GK19" s="79" t="str">
        <f t="shared" si="31"/>
        <v/>
      </c>
      <c r="GL19" s="79" t="str">
        <f t="shared" si="31"/>
        <v/>
      </c>
      <c r="GM19" s="79" t="str">
        <f t="shared" si="31"/>
        <v/>
      </c>
      <c r="GN19" s="79" t="str">
        <f t="shared" si="31"/>
        <v/>
      </c>
      <c r="GO19" s="79" t="str">
        <f t="shared" si="31"/>
        <v/>
      </c>
      <c r="GP19" s="79" t="str">
        <f t="shared" si="31"/>
        <v/>
      </c>
      <c r="GQ19" s="79" t="str">
        <f t="shared" si="31"/>
        <v/>
      </c>
      <c r="GR19" s="79" t="str">
        <f t="shared" si="31"/>
        <v/>
      </c>
      <c r="GS19" s="79" t="str">
        <f t="shared" si="31"/>
        <v/>
      </c>
      <c r="GT19" s="79" t="str">
        <f t="shared" si="31"/>
        <v/>
      </c>
      <c r="GU19" s="79" t="str">
        <f t="shared" si="31"/>
        <v/>
      </c>
      <c r="GV19" s="79" t="str">
        <f t="shared" si="31"/>
        <v/>
      </c>
      <c r="GW19" s="79" t="str">
        <f t="shared" si="31"/>
        <v/>
      </c>
      <c r="GX19" s="79" t="str">
        <f t="shared" si="32"/>
        <v/>
      </c>
      <c r="GY19" s="79" t="str">
        <f t="shared" si="32"/>
        <v/>
      </c>
      <c r="GZ19" s="79" t="str">
        <f t="shared" si="32"/>
        <v/>
      </c>
      <c r="HA19" s="79" t="str">
        <f t="shared" si="32"/>
        <v/>
      </c>
      <c r="HB19" s="79" t="str">
        <f t="shared" si="32"/>
        <v/>
      </c>
      <c r="HC19" s="79" t="str">
        <f t="shared" si="32"/>
        <v/>
      </c>
      <c r="HD19" s="79" t="str">
        <f t="shared" si="32"/>
        <v/>
      </c>
      <c r="HE19" s="79" t="str">
        <f t="shared" si="32"/>
        <v/>
      </c>
      <c r="HF19" s="79" t="str">
        <f t="shared" si="32"/>
        <v/>
      </c>
      <c r="HG19" s="79" t="str">
        <f t="shared" si="32"/>
        <v/>
      </c>
      <c r="HH19" s="79" t="str">
        <f t="shared" si="32"/>
        <v/>
      </c>
      <c r="HI19" s="79" t="str">
        <f t="shared" si="32"/>
        <v/>
      </c>
      <c r="HJ19" s="79" t="str">
        <f t="shared" si="32"/>
        <v/>
      </c>
      <c r="HK19" s="79" t="str">
        <f t="shared" si="32"/>
        <v/>
      </c>
      <c r="HL19" s="79" t="str">
        <f t="shared" si="32"/>
        <v/>
      </c>
      <c r="HM19" s="79" t="str">
        <f t="shared" si="32"/>
        <v/>
      </c>
      <c r="HN19" s="79" t="str">
        <f t="shared" si="33"/>
        <v/>
      </c>
      <c r="HO19" s="79" t="str">
        <f t="shared" si="33"/>
        <v/>
      </c>
      <c r="HP19" s="79" t="str">
        <f t="shared" si="33"/>
        <v/>
      </c>
      <c r="HQ19" s="79" t="str">
        <f t="shared" si="33"/>
        <v/>
      </c>
      <c r="HR19" s="113" t="str">
        <f t="shared" si="33"/>
        <v/>
      </c>
    </row>
    <row r="20" spans="1:226" ht="11.1" customHeight="1" thickTop="1" x14ac:dyDescent="0.25"/>
    <row r="21" spans="1:226" x14ac:dyDescent="0.25">
      <c r="O21" s="48" t="s">
        <v>17</v>
      </c>
      <c r="P21" s="49"/>
      <c r="Q21" s="104">
        <f>SUM(Q14:Q19)</f>
        <v>0</v>
      </c>
      <c r="R21" s="104">
        <f>SUM(R14:R19)</f>
        <v>0</v>
      </c>
    </row>
    <row r="22" spans="1:226" ht="11.1" customHeight="1" thickBot="1" x14ac:dyDescent="0.3"/>
    <row r="23" spans="1:226" ht="16.2" thickBot="1" x14ac:dyDescent="0.3">
      <c r="A23" s="141"/>
      <c r="B23" s="142"/>
      <c r="C23" s="99"/>
      <c r="D23" s="142"/>
      <c r="E23" s="99"/>
      <c r="F23" s="99"/>
      <c r="G23" s="99" t="s">
        <v>20</v>
      </c>
      <c r="H23" s="99"/>
      <c r="I23" s="99"/>
      <c r="J23" s="125"/>
      <c r="K23" s="99"/>
      <c r="L23" s="99"/>
      <c r="M23" s="99"/>
      <c r="N23" s="99"/>
      <c r="O23" s="99"/>
      <c r="P23" s="99"/>
      <c r="Q23" s="99"/>
      <c r="R23" s="100"/>
    </row>
    <row r="24" spans="1:226" ht="11.1" customHeight="1" thickBot="1" x14ac:dyDescent="0.3"/>
    <row r="25" spans="1:226" ht="11.1" customHeight="1" thickTop="1" x14ac:dyDescent="0.25">
      <c r="A25" s="80"/>
      <c r="B25" s="81"/>
      <c r="C25" s="82" t="str">
        <f>IF(A25=0,"",VLOOKUP(A25,[2]CO!$A$3:$F$5327,2,0))</f>
        <v/>
      </c>
      <c r="D25" s="83"/>
      <c r="E25" s="83"/>
      <c r="F25" s="83"/>
      <c r="G25" s="84" t="str">
        <f>IF(A25=0,"",VLOOKUP(A25,[2]CO!$A$3:$F$5327,3,0))</f>
        <v/>
      </c>
      <c r="H25" s="94"/>
      <c r="I25" s="85"/>
      <c r="J25" s="85"/>
      <c r="K25" s="85"/>
      <c r="L25" s="85"/>
      <c r="M25" s="86" t="str">
        <f t="shared" ref="M25:M30" si="36">IF(H25&gt;0,H25*Q$21/N25,IF(AND(L25&gt;0,I25&gt;0),L25*I25,IF(L25&gt;0,L25,"")))</f>
        <v/>
      </c>
      <c r="N25" s="86" t="str">
        <f>IF(B25=0,"",IF(H25="M",HLOOKUP(B25,$Y$12:$DT$13,2),IF(A25=0,"",VLOOKUP(A25,[2]CO!$A$3:$F$5327,4,0))))</f>
        <v/>
      </c>
      <c r="O25" s="86" t="str">
        <f t="shared" si="25"/>
        <v/>
      </c>
      <c r="P25" s="87"/>
      <c r="Q25" s="88" t="str">
        <f t="shared" ref="Q25:Q30" si="37">IF(P25=0,"",(HLOOKUP(P25,$DW$12:$HR$13,2)))</f>
        <v/>
      </c>
      <c r="R25" s="89" t="str">
        <f>IF(S25=0,"",IF(OR(G25="PEON",G25="OF",G25="JARD",G25="CARP",G25="MAESTRO",G25="SOLD",G25="BGRO",G25="CHOFER",G25="AYTE",G25="S.INTTE.",G25="ASEO",G25="P.PISOS",G25="VELADOR",G25="RESID",G25="PINTOR",G25="ELECT",G25="AZULE",G25="AUX CONT.",G25="SECRETARIA",G25="AUXILIAR ADMTVO.",G25="ARQUITECTO",G25="DIBUJANTE",G25="AUX. DE RESIDENTE",G25="TOPOGRAFIA"),VLOOKUP(B25,P$14:Q$49,2),"")*S25)</f>
        <v/>
      </c>
      <c r="T25" s="53" t="str">
        <f>IF(A25=0,"",VLOOKUP(A25,[2]CO!$A$3:$F$5318,5,0))</f>
        <v/>
      </c>
      <c r="U25" s="54">
        <f t="shared" ref="U25:U42" si="38">IF(T25=1,O25*0.1,)</f>
        <v>0</v>
      </c>
      <c r="V25" s="24"/>
      <c r="W25" s="25"/>
      <c r="X25" s="25"/>
      <c r="Y25" s="90" t="str">
        <f t="shared" ref="Y25:AN30" si="39">IF($B25=Y$12,$U25,"")</f>
        <v/>
      </c>
      <c r="Z25" s="91" t="str">
        <f t="shared" si="39"/>
        <v/>
      </c>
      <c r="AA25" s="91" t="str">
        <f t="shared" si="39"/>
        <v/>
      </c>
      <c r="AB25" s="91" t="str">
        <f t="shared" si="39"/>
        <v/>
      </c>
      <c r="AC25" s="91" t="str">
        <f t="shared" si="39"/>
        <v/>
      </c>
      <c r="AD25" s="91" t="str">
        <f t="shared" si="39"/>
        <v/>
      </c>
      <c r="AE25" s="91" t="str">
        <f t="shared" si="39"/>
        <v/>
      </c>
      <c r="AF25" s="91" t="str">
        <f t="shared" si="39"/>
        <v/>
      </c>
      <c r="AG25" s="91" t="str">
        <f t="shared" si="39"/>
        <v/>
      </c>
      <c r="AH25" s="91" t="str">
        <f t="shared" si="39"/>
        <v/>
      </c>
      <c r="AI25" s="91" t="str">
        <f t="shared" si="39"/>
        <v/>
      </c>
      <c r="AJ25" s="91" t="str">
        <f t="shared" si="39"/>
        <v/>
      </c>
      <c r="AK25" s="91" t="str">
        <f t="shared" si="39"/>
        <v/>
      </c>
      <c r="AL25" s="91" t="str">
        <f t="shared" si="39"/>
        <v/>
      </c>
      <c r="AM25" s="91" t="str">
        <f t="shared" si="39"/>
        <v/>
      </c>
      <c r="AN25" s="91" t="str">
        <f t="shared" si="39"/>
        <v/>
      </c>
      <c r="AO25" s="91" t="str">
        <f t="shared" ref="AO25:CZ25" si="40">IF($B25=AO$12,$U25,"")</f>
        <v/>
      </c>
      <c r="AP25" s="91" t="str">
        <f t="shared" si="40"/>
        <v/>
      </c>
      <c r="AQ25" s="91" t="str">
        <f t="shared" si="40"/>
        <v/>
      </c>
      <c r="AR25" s="91" t="str">
        <f t="shared" si="40"/>
        <v/>
      </c>
      <c r="AS25" s="91" t="str">
        <f t="shared" si="40"/>
        <v/>
      </c>
      <c r="AT25" s="91" t="str">
        <f t="shared" si="40"/>
        <v/>
      </c>
      <c r="AU25" s="91" t="str">
        <f t="shared" si="40"/>
        <v/>
      </c>
      <c r="AV25" s="91" t="str">
        <f t="shared" si="40"/>
        <v/>
      </c>
      <c r="AW25" s="91" t="str">
        <f t="shared" si="40"/>
        <v/>
      </c>
      <c r="AX25" s="91" t="str">
        <f t="shared" si="40"/>
        <v/>
      </c>
      <c r="AY25" s="91" t="str">
        <f t="shared" si="40"/>
        <v/>
      </c>
      <c r="AZ25" s="91" t="str">
        <f t="shared" si="40"/>
        <v/>
      </c>
      <c r="BA25" s="91" t="str">
        <f t="shared" si="40"/>
        <v/>
      </c>
      <c r="BB25" s="91" t="str">
        <f t="shared" si="40"/>
        <v/>
      </c>
      <c r="BC25" s="91" t="str">
        <f t="shared" si="40"/>
        <v/>
      </c>
      <c r="BD25" s="91" t="str">
        <f t="shared" si="40"/>
        <v/>
      </c>
      <c r="BE25" s="91" t="str">
        <f t="shared" si="40"/>
        <v/>
      </c>
      <c r="BF25" s="91" t="str">
        <f t="shared" si="40"/>
        <v/>
      </c>
      <c r="BG25" s="91" t="str">
        <f t="shared" si="40"/>
        <v/>
      </c>
      <c r="BH25" s="91" t="str">
        <f t="shared" si="40"/>
        <v/>
      </c>
      <c r="BI25" s="91" t="str">
        <f t="shared" si="40"/>
        <v/>
      </c>
      <c r="BJ25" s="91" t="str">
        <f t="shared" si="40"/>
        <v/>
      </c>
      <c r="BK25" s="91" t="str">
        <f t="shared" si="40"/>
        <v/>
      </c>
      <c r="BL25" s="91" t="str">
        <f t="shared" si="40"/>
        <v/>
      </c>
      <c r="BM25" s="91" t="str">
        <f t="shared" si="40"/>
        <v/>
      </c>
      <c r="BN25" s="91" t="str">
        <f t="shared" si="40"/>
        <v/>
      </c>
      <c r="BO25" s="91" t="str">
        <f t="shared" si="40"/>
        <v/>
      </c>
      <c r="BP25" s="91" t="str">
        <f t="shared" si="40"/>
        <v/>
      </c>
      <c r="BQ25" s="91" t="str">
        <f t="shared" si="40"/>
        <v/>
      </c>
      <c r="BR25" s="91" t="str">
        <f t="shared" si="40"/>
        <v/>
      </c>
      <c r="BS25" s="91" t="str">
        <f t="shared" si="40"/>
        <v/>
      </c>
      <c r="BT25" s="91" t="str">
        <f t="shared" si="40"/>
        <v/>
      </c>
      <c r="BU25" s="91" t="str">
        <f t="shared" si="40"/>
        <v/>
      </c>
      <c r="BV25" s="91" t="str">
        <f t="shared" si="40"/>
        <v/>
      </c>
      <c r="BW25" s="91" t="str">
        <f t="shared" si="40"/>
        <v/>
      </c>
      <c r="BX25" s="91" t="str">
        <f t="shared" si="40"/>
        <v/>
      </c>
      <c r="BY25" s="91" t="str">
        <f t="shared" si="40"/>
        <v/>
      </c>
      <c r="BZ25" s="91" t="str">
        <f t="shared" si="40"/>
        <v/>
      </c>
      <c r="CA25" s="91" t="str">
        <f t="shared" si="40"/>
        <v/>
      </c>
      <c r="CB25" s="91" t="str">
        <f t="shared" si="40"/>
        <v/>
      </c>
      <c r="CC25" s="91" t="str">
        <f t="shared" si="40"/>
        <v/>
      </c>
      <c r="CD25" s="91" t="str">
        <f t="shared" si="40"/>
        <v/>
      </c>
      <c r="CE25" s="91" t="str">
        <f t="shared" si="40"/>
        <v/>
      </c>
      <c r="CF25" s="91" t="str">
        <f t="shared" si="40"/>
        <v/>
      </c>
      <c r="CG25" s="91" t="str">
        <f t="shared" si="40"/>
        <v/>
      </c>
      <c r="CH25" s="91" t="str">
        <f t="shared" si="40"/>
        <v/>
      </c>
      <c r="CI25" s="91" t="str">
        <f t="shared" si="40"/>
        <v/>
      </c>
      <c r="CJ25" s="91" t="str">
        <f t="shared" si="40"/>
        <v/>
      </c>
      <c r="CK25" s="91" t="str">
        <f t="shared" si="40"/>
        <v/>
      </c>
      <c r="CL25" s="91" t="str">
        <f t="shared" si="40"/>
        <v/>
      </c>
      <c r="CM25" s="91" t="str">
        <f t="shared" si="40"/>
        <v/>
      </c>
      <c r="CN25" s="91" t="str">
        <f t="shared" si="40"/>
        <v/>
      </c>
      <c r="CO25" s="91" t="str">
        <f t="shared" si="40"/>
        <v/>
      </c>
      <c r="CP25" s="91" t="str">
        <f t="shared" si="40"/>
        <v/>
      </c>
      <c r="CQ25" s="91" t="str">
        <f t="shared" si="40"/>
        <v/>
      </c>
      <c r="CR25" s="91" t="str">
        <f t="shared" si="40"/>
        <v/>
      </c>
      <c r="CS25" s="91" t="str">
        <f t="shared" si="40"/>
        <v/>
      </c>
      <c r="CT25" s="91" t="str">
        <f t="shared" si="40"/>
        <v/>
      </c>
      <c r="CU25" s="91" t="str">
        <f t="shared" si="40"/>
        <v/>
      </c>
      <c r="CV25" s="91" t="str">
        <f t="shared" si="40"/>
        <v/>
      </c>
      <c r="CW25" s="91" t="str">
        <f t="shared" si="40"/>
        <v/>
      </c>
      <c r="CX25" s="91" t="str">
        <f t="shared" si="40"/>
        <v/>
      </c>
      <c r="CY25" s="91" t="str">
        <f t="shared" si="40"/>
        <v/>
      </c>
      <c r="CZ25" s="91" t="str">
        <f t="shared" si="40"/>
        <v/>
      </c>
      <c r="DA25" s="91" t="str">
        <f t="shared" ref="DA25:DP30" si="41">IF($B25=DA$12,$U25,"")</f>
        <v/>
      </c>
      <c r="DB25" s="91" t="str">
        <f t="shared" si="41"/>
        <v/>
      </c>
      <c r="DC25" s="91" t="str">
        <f t="shared" si="41"/>
        <v/>
      </c>
      <c r="DD25" s="91" t="str">
        <f t="shared" si="41"/>
        <v/>
      </c>
      <c r="DE25" s="91" t="str">
        <f t="shared" si="41"/>
        <v/>
      </c>
      <c r="DF25" s="91" t="str">
        <f t="shared" si="41"/>
        <v/>
      </c>
      <c r="DG25" s="91" t="str">
        <f t="shared" si="41"/>
        <v/>
      </c>
      <c r="DH25" s="91" t="str">
        <f t="shared" si="41"/>
        <v/>
      </c>
      <c r="DI25" s="91" t="str">
        <f t="shared" si="41"/>
        <v/>
      </c>
      <c r="DJ25" s="91" t="str">
        <f t="shared" si="41"/>
        <v/>
      </c>
      <c r="DK25" s="91" t="str">
        <f t="shared" si="41"/>
        <v/>
      </c>
      <c r="DL25" s="91" t="str">
        <f t="shared" si="41"/>
        <v/>
      </c>
      <c r="DM25" s="91" t="str">
        <f t="shared" si="41"/>
        <v/>
      </c>
      <c r="DN25" s="91" t="str">
        <f t="shared" si="41"/>
        <v/>
      </c>
      <c r="DO25" s="91" t="str">
        <f t="shared" si="41"/>
        <v/>
      </c>
      <c r="DP25" s="91" t="str">
        <f t="shared" si="41"/>
        <v/>
      </c>
      <c r="DQ25" s="91" t="str">
        <f t="shared" ref="DQ25:DT30" si="42">IF($B25=DQ$12,$U25,"")</f>
        <v/>
      </c>
      <c r="DR25" s="91" t="str">
        <f t="shared" si="42"/>
        <v/>
      </c>
      <c r="DS25" s="91" t="str">
        <f t="shared" si="42"/>
        <v/>
      </c>
      <c r="DT25" s="105" t="str">
        <f t="shared" si="42"/>
        <v/>
      </c>
      <c r="DU25" s="54"/>
      <c r="DV25" s="25"/>
      <c r="DW25" s="92" t="str">
        <f t="shared" ref="DW25:EL30" si="43">IF($B25=DW$12,$O25,"")</f>
        <v/>
      </c>
      <c r="DX25" s="93" t="str">
        <f t="shared" si="43"/>
        <v/>
      </c>
      <c r="DY25" s="93" t="str">
        <f t="shared" si="43"/>
        <v/>
      </c>
      <c r="DZ25" s="93" t="str">
        <f t="shared" si="43"/>
        <v/>
      </c>
      <c r="EA25" s="93" t="str">
        <f t="shared" si="43"/>
        <v/>
      </c>
      <c r="EB25" s="93" t="str">
        <f t="shared" si="43"/>
        <v/>
      </c>
      <c r="EC25" s="93" t="str">
        <f t="shared" si="43"/>
        <v/>
      </c>
      <c r="ED25" s="93" t="str">
        <f t="shared" si="43"/>
        <v/>
      </c>
      <c r="EE25" s="93" t="str">
        <f t="shared" si="43"/>
        <v/>
      </c>
      <c r="EF25" s="93" t="str">
        <f t="shared" si="43"/>
        <v/>
      </c>
      <c r="EG25" s="93" t="str">
        <f t="shared" si="43"/>
        <v/>
      </c>
      <c r="EH25" s="93" t="str">
        <f t="shared" si="43"/>
        <v/>
      </c>
      <c r="EI25" s="93" t="str">
        <f t="shared" si="43"/>
        <v/>
      </c>
      <c r="EJ25" s="93" t="str">
        <f t="shared" si="43"/>
        <v/>
      </c>
      <c r="EK25" s="93" t="str">
        <f t="shared" si="43"/>
        <v/>
      </c>
      <c r="EL25" s="93" t="str">
        <f t="shared" si="43"/>
        <v/>
      </c>
      <c r="EM25" s="93" t="str">
        <f t="shared" ref="EM25:GX25" si="44">IF($B25=EM$12,$O25,"")</f>
        <v/>
      </c>
      <c r="EN25" s="93" t="str">
        <f t="shared" si="44"/>
        <v/>
      </c>
      <c r="EO25" s="93" t="str">
        <f t="shared" si="44"/>
        <v/>
      </c>
      <c r="EP25" s="93" t="str">
        <f t="shared" si="44"/>
        <v/>
      </c>
      <c r="EQ25" s="93" t="str">
        <f t="shared" si="44"/>
        <v/>
      </c>
      <c r="ER25" s="93" t="str">
        <f t="shared" si="44"/>
        <v/>
      </c>
      <c r="ES25" s="93" t="str">
        <f t="shared" si="44"/>
        <v/>
      </c>
      <c r="ET25" s="93" t="str">
        <f t="shared" si="44"/>
        <v/>
      </c>
      <c r="EU25" s="93" t="str">
        <f t="shared" si="44"/>
        <v/>
      </c>
      <c r="EV25" s="93" t="str">
        <f t="shared" si="44"/>
        <v/>
      </c>
      <c r="EW25" s="93" t="str">
        <f t="shared" si="44"/>
        <v/>
      </c>
      <c r="EX25" s="93" t="str">
        <f t="shared" si="44"/>
        <v/>
      </c>
      <c r="EY25" s="93" t="str">
        <f t="shared" si="44"/>
        <v/>
      </c>
      <c r="EZ25" s="93" t="str">
        <f t="shared" si="44"/>
        <v/>
      </c>
      <c r="FA25" s="93" t="str">
        <f t="shared" si="44"/>
        <v/>
      </c>
      <c r="FB25" s="93" t="str">
        <f t="shared" si="44"/>
        <v/>
      </c>
      <c r="FC25" s="93" t="str">
        <f t="shared" si="44"/>
        <v/>
      </c>
      <c r="FD25" s="93" t="str">
        <f t="shared" si="44"/>
        <v/>
      </c>
      <c r="FE25" s="93" t="str">
        <f t="shared" si="44"/>
        <v/>
      </c>
      <c r="FF25" s="93" t="str">
        <f t="shared" si="44"/>
        <v/>
      </c>
      <c r="FG25" s="93" t="str">
        <f t="shared" si="44"/>
        <v/>
      </c>
      <c r="FH25" s="93" t="str">
        <f t="shared" si="44"/>
        <v/>
      </c>
      <c r="FI25" s="93" t="str">
        <f t="shared" si="44"/>
        <v/>
      </c>
      <c r="FJ25" s="93" t="str">
        <f t="shared" si="44"/>
        <v/>
      </c>
      <c r="FK25" s="93" t="str">
        <f t="shared" si="44"/>
        <v/>
      </c>
      <c r="FL25" s="93" t="str">
        <f t="shared" si="44"/>
        <v/>
      </c>
      <c r="FM25" s="93" t="str">
        <f t="shared" si="44"/>
        <v/>
      </c>
      <c r="FN25" s="93" t="str">
        <f t="shared" si="44"/>
        <v/>
      </c>
      <c r="FO25" s="93" t="str">
        <f t="shared" si="44"/>
        <v/>
      </c>
      <c r="FP25" s="93" t="str">
        <f t="shared" si="44"/>
        <v/>
      </c>
      <c r="FQ25" s="93" t="str">
        <f t="shared" si="44"/>
        <v/>
      </c>
      <c r="FR25" s="93" t="str">
        <f t="shared" si="44"/>
        <v/>
      </c>
      <c r="FS25" s="93" t="str">
        <f t="shared" si="44"/>
        <v/>
      </c>
      <c r="FT25" s="93" t="str">
        <f t="shared" si="44"/>
        <v/>
      </c>
      <c r="FU25" s="93" t="str">
        <f t="shared" si="44"/>
        <v/>
      </c>
      <c r="FV25" s="93" t="str">
        <f t="shared" si="44"/>
        <v/>
      </c>
      <c r="FW25" s="93" t="str">
        <f t="shared" si="44"/>
        <v/>
      </c>
      <c r="FX25" s="93" t="str">
        <f t="shared" si="44"/>
        <v/>
      </c>
      <c r="FY25" s="93" t="str">
        <f t="shared" si="44"/>
        <v/>
      </c>
      <c r="FZ25" s="93" t="str">
        <f t="shared" si="44"/>
        <v/>
      </c>
      <c r="GA25" s="93" t="str">
        <f t="shared" si="44"/>
        <v/>
      </c>
      <c r="GB25" s="93" t="str">
        <f t="shared" si="44"/>
        <v/>
      </c>
      <c r="GC25" s="93" t="str">
        <f t="shared" si="44"/>
        <v/>
      </c>
      <c r="GD25" s="93" t="str">
        <f t="shared" si="44"/>
        <v/>
      </c>
      <c r="GE25" s="93" t="str">
        <f t="shared" si="44"/>
        <v/>
      </c>
      <c r="GF25" s="93" t="str">
        <f t="shared" si="44"/>
        <v/>
      </c>
      <c r="GG25" s="93" t="str">
        <f t="shared" si="44"/>
        <v/>
      </c>
      <c r="GH25" s="93" t="str">
        <f t="shared" si="44"/>
        <v/>
      </c>
      <c r="GI25" s="93" t="str">
        <f t="shared" si="44"/>
        <v/>
      </c>
      <c r="GJ25" s="93" t="str">
        <f t="shared" si="44"/>
        <v/>
      </c>
      <c r="GK25" s="93" t="str">
        <f t="shared" si="44"/>
        <v/>
      </c>
      <c r="GL25" s="93" t="str">
        <f t="shared" si="44"/>
        <v/>
      </c>
      <c r="GM25" s="93" t="str">
        <f t="shared" si="44"/>
        <v/>
      </c>
      <c r="GN25" s="93" t="str">
        <f t="shared" si="44"/>
        <v/>
      </c>
      <c r="GO25" s="93" t="str">
        <f t="shared" si="44"/>
        <v/>
      </c>
      <c r="GP25" s="93" t="str">
        <f t="shared" si="44"/>
        <v/>
      </c>
      <c r="GQ25" s="93" t="str">
        <f t="shared" si="44"/>
        <v/>
      </c>
      <c r="GR25" s="93" t="str">
        <f t="shared" si="44"/>
        <v/>
      </c>
      <c r="GS25" s="93" t="str">
        <f t="shared" si="44"/>
        <v/>
      </c>
      <c r="GT25" s="93" t="str">
        <f t="shared" si="44"/>
        <v/>
      </c>
      <c r="GU25" s="93" t="str">
        <f t="shared" si="44"/>
        <v/>
      </c>
      <c r="GV25" s="93" t="str">
        <f t="shared" si="44"/>
        <v/>
      </c>
      <c r="GW25" s="93" t="str">
        <f t="shared" si="44"/>
        <v/>
      </c>
      <c r="GX25" s="93" t="str">
        <f t="shared" si="44"/>
        <v/>
      </c>
      <c r="GY25" s="93" t="str">
        <f t="shared" ref="GY25:HN25" si="45">IF($B25=GY$12,$O25,"")</f>
        <v/>
      </c>
      <c r="GZ25" s="93" t="str">
        <f t="shared" si="45"/>
        <v/>
      </c>
      <c r="HA25" s="93" t="str">
        <f t="shared" si="45"/>
        <v/>
      </c>
      <c r="HB25" s="93" t="str">
        <f t="shared" si="45"/>
        <v/>
      </c>
      <c r="HC25" s="93" t="str">
        <f t="shared" si="45"/>
        <v/>
      </c>
      <c r="HD25" s="93" t="str">
        <f t="shared" si="45"/>
        <v/>
      </c>
      <c r="HE25" s="93" t="str">
        <f t="shared" si="45"/>
        <v/>
      </c>
      <c r="HF25" s="93" t="str">
        <f t="shared" si="45"/>
        <v/>
      </c>
      <c r="HG25" s="93" t="str">
        <f t="shared" si="45"/>
        <v/>
      </c>
      <c r="HH25" s="93" t="str">
        <f t="shared" si="45"/>
        <v/>
      </c>
      <c r="HI25" s="93" t="str">
        <f t="shared" si="45"/>
        <v/>
      </c>
      <c r="HJ25" s="93" t="str">
        <f t="shared" si="45"/>
        <v/>
      </c>
      <c r="HK25" s="93" t="str">
        <f t="shared" si="45"/>
        <v/>
      </c>
      <c r="HL25" s="93" t="str">
        <f t="shared" si="45"/>
        <v/>
      </c>
      <c r="HM25" s="93" t="str">
        <f t="shared" si="45"/>
        <v/>
      </c>
      <c r="HN25" s="93" t="str">
        <f t="shared" si="45"/>
        <v/>
      </c>
      <c r="HO25" s="93" t="str">
        <f t="shared" ref="HN25:HR30" si="46">IF($B25=HO$12,$O25,"")</f>
        <v/>
      </c>
      <c r="HP25" s="93" t="str">
        <f t="shared" si="46"/>
        <v/>
      </c>
      <c r="HQ25" s="93" t="str">
        <f t="shared" si="46"/>
        <v/>
      </c>
      <c r="HR25" s="111" t="str">
        <f t="shared" si="46"/>
        <v/>
      </c>
    </row>
    <row r="26" spans="1:226" ht="11.1" customHeight="1" x14ac:dyDescent="0.25">
      <c r="A26" s="26"/>
      <c r="B26" s="27"/>
      <c r="C26" s="28" t="str">
        <f>IF(A26=0,"",VLOOKUP(A26,[2]CO!$A$3:$F$5327,2,0))</f>
        <v/>
      </c>
      <c r="D26" s="29"/>
      <c r="E26" s="29"/>
      <c r="F26" s="29"/>
      <c r="G26" s="30" t="str">
        <f>IF(A26=0,"",VLOOKUP(A26,[2]CO!$A$3:$F$5327,3,0))</f>
        <v/>
      </c>
      <c r="H26" s="95"/>
      <c r="I26" s="31"/>
      <c r="J26" s="31"/>
      <c r="K26" s="31"/>
      <c r="L26" s="31"/>
      <c r="M26" s="32" t="str">
        <f t="shared" ref="M26:M28" si="47">IF(H26&gt;0,H26*Q$21/N26,IF(AND(L26&gt;0,I26&gt;0),L26*I26,IF(L26&gt;0,L26,"")))</f>
        <v/>
      </c>
      <c r="N26" s="32" t="str">
        <f>IF(B26=0,"",IF(H26="M",HLOOKUP(B26,$Y$12:$DT$13,2),IF(A26=0,"",VLOOKUP(A26,[2]CO!$A$3:$F$5327,4,0))))</f>
        <v/>
      </c>
      <c r="O26" s="32" t="str">
        <f t="shared" ref="O26:O28" si="48">IF(L26=0,"",PRODUCT(M26:N26))</f>
        <v/>
      </c>
      <c r="P26" s="33"/>
      <c r="Q26" s="34" t="str">
        <f t="shared" ref="Q26:Q28" si="49">IF(P26=0,"",(HLOOKUP(P26,$DW$12:$HR$13,2)))</f>
        <v/>
      </c>
      <c r="R26" s="35" t="str">
        <f>IF(S26=0,"",IF(OR(G26="PEON",G26="OF",G26="JARD",G26="CARP",G26="MAESTRO",G26="SOLD",G26="BGRO",G26="CHOFER",G26="AYTE",G26="S.INTTE.",G26="ASEO",G26="P.PISOS",G26="VELADOR",G26="RESID",G26="PINTOR",G26="ELECT",G26="AZULE",G26="AUX CONT.",G26="SECRETARIA",G26="AUXILIAR ADMTVO.",G26="ARQUITECTO",G26="DIBUJANTE",G26="AUX. DE RESIDENTE",G26="TOPOGRAFIA"),VLOOKUP(B26,P$14:Q$49,2),"")*S26)</f>
        <v/>
      </c>
      <c r="T26" s="53" t="str">
        <f>IF(A26=0,"",VLOOKUP(A26,[2]CO!$A$3:$F$5318,5,0))</f>
        <v/>
      </c>
      <c r="U26" s="54">
        <f t="shared" ref="U26:U28" si="50">IF(T26=1,O26*0.1,)</f>
        <v>0</v>
      </c>
      <c r="V26" s="24"/>
      <c r="W26" s="25"/>
      <c r="X26" s="25"/>
      <c r="Y26" s="64" t="str">
        <f t="shared" ref="Y26:AN27" si="51">IF($B26=Y$12,$U26,"")</f>
        <v/>
      </c>
      <c r="Z26" s="55" t="str">
        <f t="shared" si="51"/>
        <v/>
      </c>
      <c r="AA26" s="55" t="str">
        <f t="shared" si="51"/>
        <v/>
      </c>
      <c r="AB26" s="55" t="str">
        <f t="shared" si="51"/>
        <v/>
      </c>
      <c r="AC26" s="55" t="str">
        <f t="shared" si="51"/>
        <v/>
      </c>
      <c r="AD26" s="55" t="str">
        <f t="shared" si="51"/>
        <v/>
      </c>
      <c r="AE26" s="55" t="str">
        <f t="shared" si="51"/>
        <v/>
      </c>
      <c r="AF26" s="55" t="str">
        <f t="shared" si="51"/>
        <v/>
      </c>
      <c r="AG26" s="55" t="str">
        <f t="shared" si="51"/>
        <v/>
      </c>
      <c r="AH26" s="55" t="str">
        <f t="shared" si="51"/>
        <v/>
      </c>
      <c r="AI26" s="55" t="str">
        <f t="shared" si="51"/>
        <v/>
      </c>
      <c r="AJ26" s="55" t="str">
        <f t="shared" si="51"/>
        <v/>
      </c>
      <c r="AK26" s="55" t="str">
        <f t="shared" si="51"/>
        <v/>
      </c>
      <c r="AL26" s="55" t="str">
        <f t="shared" si="51"/>
        <v/>
      </c>
      <c r="AM26" s="55" t="str">
        <f t="shared" si="51"/>
        <v/>
      </c>
      <c r="AN26" s="55" t="str">
        <f t="shared" si="51"/>
        <v/>
      </c>
      <c r="AO26" s="55" t="str">
        <f t="shared" ref="AO26:BD27" si="52">IF($B26=AO$12,$U26,"")</f>
        <v/>
      </c>
      <c r="AP26" s="55" t="str">
        <f t="shared" si="52"/>
        <v/>
      </c>
      <c r="AQ26" s="55" t="str">
        <f t="shared" si="52"/>
        <v/>
      </c>
      <c r="AR26" s="55" t="str">
        <f t="shared" si="52"/>
        <v/>
      </c>
      <c r="AS26" s="55" t="str">
        <f t="shared" si="52"/>
        <v/>
      </c>
      <c r="AT26" s="55" t="str">
        <f t="shared" si="52"/>
        <v/>
      </c>
      <c r="AU26" s="55" t="str">
        <f t="shared" si="52"/>
        <v/>
      </c>
      <c r="AV26" s="55" t="str">
        <f t="shared" si="52"/>
        <v/>
      </c>
      <c r="AW26" s="55" t="str">
        <f t="shared" si="52"/>
        <v/>
      </c>
      <c r="AX26" s="55" t="str">
        <f t="shared" si="52"/>
        <v/>
      </c>
      <c r="AY26" s="55" t="str">
        <f t="shared" si="52"/>
        <v/>
      </c>
      <c r="AZ26" s="55" t="str">
        <f t="shared" si="52"/>
        <v/>
      </c>
      <c r="BA26" s="55" t="str">
        <f t="shared" si="52"/>
        <v/>
      </c>
      <c r="BB26" s="55" t="str">
        <f t="shared" si="52"/>
        <v/>
      </c>
      <c r="BC26" s="55" t="str">
        <f t="shared" si="52"/>
        <v/>
      </c>
      <c r="BD26" s="55" t="str">
        <f t="shared" si="52"/>
        <v/>
      </c>
      <c r="BE26" s="55" t="str">
        <f t="shared" ref="BE26:BX26" si="53">IF($B26=BE$12,$U26,"")</f>
        <v/>
      </c>
      <c r="BF26" s="55" t="str">
        <f t="shared" si="53"/>
        <v/>
      </c>
      <c r="BG26" s="55" t="str">
        <f t="shared" si="53"/>
        <v/>
      </c>
      <c r="BH26" s="55" t="str">
        <f t="shared" si="53"/>
        <v/>
      </c>
      <c r="BI26" s="55" t="str">
        <f t="shared" si="53"/>
        <v/>
      </c>
      <c r="BJ26" s="55" t="str">
        <f t="shared" si="53"/>
        <v/>
      </c>
      <c r="BK26" s="55" t="str">
        <f t="shared" si="53"/>
        <v/>
      </c>
      <c r="BL26" s="55" t="str">
        <f t="shared" si="53"/>
        <v/>
      </c>
      <c r="BM26" s="55" t="str">
        <f t="shared" si="53"/>
        <v/>
      </c>
      <c r="BN26" s="55" t="str">
        <f t="shared" si="53"/>
        <v/>
      </c>
      <c r="BO26" s="55" t="str">
        <f t="shared" si="53"/>
        <v/>
      </c>
      <c r="BP26" s="55" t="str">
        <f t="shared" si="53"/>
        <v/>
      </c>
      <c r="BQ26" s="55" t="str">
        <f t="shared" si="53"/>
        <v/>
      </c>
      <c r="BR26" s="55" t="str">
        <f t="shared" si="53"/>
        <v/>
      </c>
      <c r="BS26" s="55" t="str">
        <f t="shared" si="53"/>
        <v/>
      </c>
      <c r="BT26" s="55" t="str">
        <f t="shared" si="53"/>
        <v/>
      </c>
      <c r="BU26" s="55" t="str">
        <f t="shared" si="53"/>
        <v/>
      </c>
      <c r="BV26" s="55" t="str">
        <f t="shared" si="53"/>
        <v/>
      </c>
      <c r="BW26" s="55" t="str">
        <f t="shared" si="53"/>
        <v/>
      </c>
      <c r="BX26" s="55" t="str">
        <f t="shared" si="53"/>
        <v/>
      </c>
      <c r="BY26" s="55" t="str">
        <f t="shared" ref="BY26:CY26" si="54">IF($B26=BY$12,$U26,"")</f>
        <v/>
      </c>
      <c r="BZ26" s="55" t="str">
        <f t="shared" si="54"/>
        <v/>
      </c>
      <c r="CA26" s="55" t="str">
        <f t="shared" si="54"/>
        <v/>
      </c>
      <c r="CB26" s="55" t="str">
        <f t="shared" si="54"/>
        <v/>
      </c>
      <c r="CC26" s="55" t="str">
        <f t="shared" si="54"/>
        <v/>
      </c>
      <c r="CD26" s="55" t="str">
        <f t="shared" si="54"/>
        <v/>
      </c>
      <c r="CE26" s="55" t="str">
        <f t="shared" si="54"/>
        <v/>
      </c>
      <c r="CF26" s="55" t="str">
        <f t="shared" si="54"/>
        <v/>
      </c>
      <c r="CG26" s="55" t="str">
        <f t="shared" si="54"/>
        <v/>
      </c>
      <c r="CH26" s="55" t="str">
        <f t="shared" si="54"/>
        <v/>
      </c>
      <c r="CI26" s="55" t="str">
        <f t="shared" si="54"/>
        <v/>
      </c>
      <c r="CJ26" s="55" t="str">
        <f t="shared" si="54"/>
        <v/>
      </c>
      <c r="CK26" s="55" t="str">
        <f t="shared" si="54"/>
        <v/>
      </c>
      <c r="CL26" s="55" t="str">
        <f t="shared" si="54"/>
        <v/>
      </c>
      <c r="CM26" s="55" t="str">
        <f t="shared" si="54"/>
        <v/>
      </c>
      <c r="CN26" s="55" t="str">
        <f t="shared" si="54"/>
        <v/>
      </c>
      <c r="CO26" s="55" t="str">
        <f t="shared" si="54"/>
        <v/>
      </c>
      <c r="CP26" s="55" t="str">
        <f t="shared" si="54"/>
        <v/>
      </c>
      <c r="CQ26" s="55" t="str">
        <f t="shared" si="54"/>
        <v/>
      </c>
      <c r="CR26" s="55" t="str">
        <f t="shared" si="54"/>
        <v/>
      </c>
      <c r="CS26" s="55" t="str">
        <f t="shared" si="54"/>
        <v/>
      </c>
      <c r="CT26" s="55" t="str">
        <f t="shared" si="54"/>
        <v/>
      </c>
      <c r="CU26" s="55" t="str">
        <f t="shared" si="54"/>
        <v/>
      </c>
      <c r="CV26" s="55" t="str">
        <f t="shared" si="54"/>
        <v/>
      </c>
      <c r="CW26" s="55" t="str">
        <f t="shared" si="54"/>
        <v/>
      </c>
      <c r="CX26" s="55" t="str">
        <f t="shared" si="54"/>
        <v/>
      </c>
      <c r="CY26" s="55" t="str">
        <f t="shared" si="54"/>
        <v/>
      </c>
      <c r="CZ26" s="55" t="str">
        <f t="shared" ref="CZ26:DJ27" si="55">IF($B26=CZ$12,$U26,"")</f>
        <v/>
      </c>
      <c r="DA26" s="55" t="str">
        <f t="shared" si="55"/>
        <v/>
      </c>
      <c r="DB26" s="55" t="str">
        <f t="shared" si="55"/>
        <v/>
      </c>
      <c r="DC26" s="55" t="str">
        <f t="shared" si="55"/>
        <v/>
      </c>
      <c r="DD26" s="55" t="str">
        <f t="shared" si="55"/>
        <v/>
      </c>
      <c r="DE26" s="55" t="str">
        <f t="shared" si="55"/>
        <v/>
      </c>
      <c r="DF26" s="55" t="str">
        <f t="shared" si="55"/>
        <v/>
      </c>
      <c r="DG26" s="55" t="str">
        <f t="shared" si="55"/>
        <v/>
      </c>
      <c r="DH26" s="55" t="str">
        <f t="shared" si="55"/>
        <v/>
      </c>
      <c r="DI26" s="55" t="str">
        <f t="shared" si="55"/>
        <v/>
      </c>
      <c r="DJ26" s="55" t="str">
        <f t="shared" si="55"/>
        <v/>
      </c>
      <c r="DK26" s="55" t="str">
        <f t="shared" si="41"/>
        <v/>
      </c>
      <c r="DL26" s="55" t="str">
        <f t="shared" si="41"/>
        <v/>
      </c>
      <c r="DM26" s="55" t="str">
        <f t="shared" si="41"/>
        <v/>
      </c>
      <c r="DN26" s="55" t="str">
        <f t="shared" si="41"/>
        <v/>
      </c>
      <c r="DO26" s="55" t="str">
        <f t="shared" si="41"/>
        <v/>
      </c>
      <c r="DP26" s="55" t="str">
        <f t="shared" si="41"/>
        <v/>
      </c>
      <c r="DQ26" s="55" t="str">
        <f t="shared" si="42"/>
        <v/>
      </c>
      <c r="DR26" s="55" t="str">
        <f t="shared" si="42"/>
        <v/>
      </c>
      <c r="DS26" s="55" t="str">
        <f t="shared" si="42"/>
        <v/>
      </c>
      <c r="DT26" s="106" t="str">
        <f t="shared" si="42"/>
        <v/>
      </c>
      <c r="DU26" s="54"/>
      <c r="DV26" s="25"/>
      <c r="DW26" s="61" t="str">
        <f t="shared" ref="DW26:EL27" si="56">IF($B26=DW$12,$O26,"")</f>
        <v/>
      </c>
      <c r="DX26" s="50" t="str">
        <f t="shared" si="56"/>
        <v/>
      </c>
      <c r="DY26" s="50" t="str">
        <f t="shared" si="56"/>
        <v/>
      </c>
      <c r="DZ26" s="50" t="str">
        <f t="shared" si="56"/>
        <v/>
      </c>
      <c r="EA26" s="50" t="str">
        <f t="shared" si="56"/>
        <v/>
      </c>
      <c r="EB26" s="50" t="str">
        <f t="shared" si="56"/>
        <v/>
      </c>
      <c r="EC26" s="50" t="str">
        <f t="shared" si="56"/>
        <v/>
      </c>
      <c r="ED26" s="50" t="str">
        <f t="shared" si="56"/>
        <v/>
      </c>
      <c r="EE26" s="50" t="str">
        <f t="shared" si="56"/>
        <v/>
      </c>
      <c r="EF26" s="50" t="str">
        <f t="shared" si="56"/>
        <v/>
      </c>
      <c r="EG26" s="50" t="str">
        <f t="shared" si="56"/>
        <v/>
      </c>
      <c r="EH26" s="50" t="str">
        <f t="shared" si="56"/>
        <v/>
      </c>
      <c r="EI26" s="50" t="str">
        <f t="shared" si="56"/>
        <v/>
      </c>
      <c r="EJ26" s="50" t="str">
        <f t="shared" si="56"/>
        <v/>
      </c>
      <c r="EK26" s="50" t="str">
        <f t="shared" si="56"/>
        <v/>
      </c>
      <c r="EL26" s="50" t="str">
        <f t="shared" si="56"/>
        <v/>
      </c>
      <c r="EM26" s="50" t="str">
        <f t="shared" ref="EM26:FB27" si="57">IF($B26=EM$12,$O26,"")</f>
        <v/>
      </c>
      <c r="EN26" s="50" t="str">
        <f t="shared" si="57"/>
        <v/>
      </c>
      <c r="EO26" s="50" t="str">
        <f t="shared" si="57"/>
        <v/>
      </c>
      <c r="EP26" s="50" t="str">
        <f t="shared" si="57"/>
        <v/>
      </c>
      <c r="EQ26" s="50" t="str">
        <f t="shared" si="57"/>
        <v/>
      </c>
      <c r="ER26" s="50" t="str">
        <f t="shared" si="57"/>
        <v/>
      </c>
      <c r="ES26" s="50" t="str">
        <f t="shared" si="57"/>
        <v/>
      </c>
      <c r="ET26" s="50" t="str">
        <f t="shared" si="57"/>
        <v/>
      </c>
      <c r="EU26" s="50" t="str">
        <f t="shared" si="57"/>
        <v/>
      </c>
      <c r="EV26" s="50" t="str">
        <f t="shared" si="57"/>
        <v/>
      </c>
      <c r="EW26" s="50" t="str">
        <f t="shared" si="57"/>
        <v/>
      </c>
      <c r="EX26" s="50" t="str">
        <f t="shared" si="57"/>
        <v/>
      </c>
      <c r="EY26" s="50" t="str">
        <f t="shared" si="57"/>
        <v/>
      </c>
      <c r="EZ26" s="50" t="str">
        <f t="shared" si="57"/>
        <v/>
      </c>
      <c r="FA26" s="50" t="str">
        <f t="shared" si="57"/>
        <v/>
      </c>
      <c r="FB26" s="50" t="str">
        <f t="shared" si="57"/>
        <v/>
      </c>
      <c r="FC26" s="50" t="str">
        <f t="shared" ref="FC26:FV26" si="58">IF($B26=FC$12,$O26,"")</f>
        <v/>
      </c>
      <c r="FD26" s="50" t="str">
        <f t="shared" si="58"/>
        <v/>
      </c>
      <c r="FE26" s="50" t="str">
        <f t="shared" si="58"/>
        <v/>
      </c>
      <c r="FF26" s="50" t="str">
        <f t="shared" si="58"/>
        <v/>
      </c>
      <c r="FG26" s="50" t="str">
        <f t="shared" si="58"/>
        <v/>
      </c>
      <c r="FH26" s="50" t="str">
        <f t="shared" si="58"/>
        <v/>
      </c>
      <c r="FI26" s="50" t="str">
        <f t="shared" si="58"/>
        <v/>
      </c>
      <c r="FJ26" s="50" t="str">
        <f t="shared" si="58"/>
        <v/>
      </c>
      <c r="FK26" s="50" t="str">
        <f t="shared" si="58"/>
        <v/>
      </c>
      <c r="FL26" s="50" t="str">
        <f t="shared" si="58"/>
        <v/>
      </c>
      <c r="FM26" s="50" t="str">
        <f t="shared" si="58"/>
        <v/>
      </c>
      <c r="FN26" s="50" t="str">
        <f t="shared" si="58"/>
        <v/>
      </c>
      <c r="FO26" s="50" t="str">
        <f t="shared" si="58"/>
        <v/>
      </c>
      <c r="FP26" s="50" t="str">
        <f t="shared" si="58"/>
        <v/>
      </c>
      <c r="FQ26" s="50" t="str">
        <f t="shared" si="58"/>
        <v/>
      </c>
      <c r="FR26" s="50" t="str">
        <f t="shared" si="58"/>
        <v/>
      </c>
      <c r="FS26" s="50" t="str">
        <f t="shared" si="58"/>
        <v/>
      </c>
      <c r="FT26" s="50" t="str">
        <f t="shared" si="58"/>
        <v/>
      </c>
      <c r="FU26" s="50" t="str">
        <f t="shared" si="58"/>
        <v/>
      </c>
      <c r="FV26" s="50" t="str">
        <f t="shared" si="58"/>
        <v/>
      </c>
      <c r="FW26" s="50" t="str">
        <f t="shared" ref="FW26:GW26" si="59">IF($B26=FW$12,$O26,"")</f>
        <v/>
      </c>
      <c r="FX26" s="50" t="str">
        <f t="shared" si="59"/>
        <v/>
      </c>
      <c r="FY26" s="50" t="str">
        <f t="shared" si="59"/>
        <v/>
      </c>
      <c r="FZ26" s="50" t="str">
        <f t="shared" si="59"/>
        <v/>
      </c>
      <c r="GA26" s="50" t="str">
        <f t="shared" si="59"/>
        <v/>
      </c>
      <c r="GB26" s="50" t="str">
        <f t="shared" si="59"/>
        <v/>
      </c>
      <c r="GC26" s="50" t="str">
        <f t="shared" si="59"/>
        <v/>
      </c>
      <c r="GD26" s="50" t="str">
        <f t="shared" si="59"/>
        <v/>
      </c>
      <c r="GE26" s="50" t="str">
        <f t="shared" si="59"/>
        <v/>
      </c>
      <c r="GF26" s="50" t="str">
        <f t="shared" si="59"/>
        <v/>
      </c>
      <c r="GG26" s="50" t="str">
        <f t="shared" si="59"/>
        <v/>
      </c>
      <c r="GH26" s="50" t="str">
        <f t="shared" si="59"/>
        <v/>
      </c>
      <c r="GI26" s="50" t="str">
        <f t="shared" si="59"/>
        <v/>
      </c>
      <c r="GJ26" s="50" t="str">
        <f t="shared" si="59"/>
        <v/>
      </c>
      <c r="GK26" s="50" t="str">
        <f t="shared" si="59"/>
        <v/>
      </c>
      <c r="GL26" s="50" t="str">
        <f t="shared" si="59"/>
        <v/>
      </c>
      <c r="GM26" s="50" t="str">
        <f t="shared" si="59"/>
        <v/>
      </c>
      <c r="GN26" s="50" t="str">
        <f t="shared" si="59"/>
        <v/>
      </c>
      <c r="GO26" s="50" t="str">
        <f t="shared" si="59"/>
        <v/>
      </c>
      <c r="GP26" s="50" t="str">
        <f t="shared" si="59"/>
        <v/>
      </c>
      <c r="GQ26" s="50" t="str">
        <f t="shared" si="59"/>
        <v/>
      </c>
      <c r="GR26" s="50" t="str">
        <f t="shared" si="59"/>
        <v/>
      </c>
      <c r="GS26" s="50" t="str">
        <f t="shared" si="59"/>
        <v/>
      </c>
      <c r="GT26" s="50" t="str">
        <f t="shared" si="59"/>
        <v/>
      </c>
      <c r="GU26" s="50" t="str">
        <f t="shared" si="59"/>
        <v/>
      </c>
      <c r="GV26" s="50" t="str">
        <f t="shared" si="59"/>
        <v/>
      </c>
      <c r="GW26" s="50" t="str">
        <f t="shared" si="59"/>
        <v/>
      </c>
      <c r="GX26" s="50" t="str">
        <f t="shared" ref="GX26:HM27" si="60">IF($B26=GX$12,$O26,"")</f>
        <v/>
      </c>
      <c r="GY26" s="50" t="str">
        <f t="shared" si="60"/>
        <v/>
      </c>
      <c r="GZ26" s="50" t="str">
        <f t="shared" si="60"/>
        <v/>
      </c>
      <c r="HA26" s="50" t="str">
        <f t="shared" si="60"/>
        <v/>
      </c>
      <c r="HB26" s="50" t="str">
        <f t="shared" si="60"/>
        <v/>
      </c>
      <c r="HC26" s="50" t="str">
        <f t="shared" si="60"/>
        <v/>
      </c>
      <c r="HD26" s="50" t="str">
        <f t="shared" si="60"/>
        <v/>
      </c>
      <c r="HE26" s="50" t="str">
        <f t="shared" si="60"/>
        <v/>
      </c>
      <c r="HF26" s="50" t="str">
        <f t="shared" si="60"/>
        <v/>
      </c>
      <c r="HG26" s="50" t="str">
        <f t="shared" si="60"/>
        <v/>
      </c>
      <c r="HH26" s="50" t="str">
        <f t="shared" si="60"/>
        <v/>
      </c>
      <c r="HI26" s="50" t="str">
        <f t="shared" si="60"/>
        <v/>
      </c>
      <c r="HJ26" s="50" t="str">
        <f t="shared" si="60"/>
        <v/>
      </c>
      <c r="HK26" s="50" t="str">
        <f t="shared" si="60"/>
        <v/>
      </c>
      <c r="HL26" s="50" t="str">
        <f t="shared" si="60"/>
        <v/>
      </c>
      <c r="HM26" s="50" t="str">
        <f t="shared" si="60"/>
        <v/>
      </c>
      <c r="HN26" s="50" t="str">
        <f t="shared" si="46"/>
        <v/>
      </c>
      <c r="HO26" s="50" t="str">
        <f t="shared" si="46"/>
        <v/>
      </c>
      <c r="HP26" s="50" t="str">
        <f t="shared" si="46"/>
        <v/>
      </c>
      <c r="HQ26" s="50" t="str">
        <f t="shared" si="46"/>
        <v/>
      </c>
      <c r="HR26" s="112" t="str">
        <f t="shared" si="46"/>
        <v/>
      </c>
    </row>
    <row r="27" spans="1:226" ht="11.1" customHeight="1" x14ac:dyDescent="0.25">
      <c r="A27" s="26"/>
      <c r="B27" s="27"/>
      <c r="C27" s="28" t="str">
        <f>IF(A27=0,"",VLOOKUP(A27,[2]CO!$A$3:$F$5327,2,0))</f>
        <v/>
      </c>
      <c r="D27" s="29"/>
      <c r="E27" s="29"/>
      <c r="F27" s="29"/>
      <c r="G27" s="30" t="str">
        <f>IF(A27=0,"",VLOOKUP(A27,[2]CO!$A$3:$F$5327,3,0))</f>
        <v/>
      </c>
      <c r="H27" s="95"/>
      <c r="I27" s="31"/>
      <c r="J27" s="31"/>
      <c r="K27" s="31"/>
      <c r="L27" s="31"/>
      <c r="M27" s="32" t="str">
        <f t="shared" si="47"/>
        <v/>
      </c>
      <c r="N27" s="32" t="str">
        <f>IF(B27=0,"",IF(H27="M",HLOOKUP(B27,$Y$12:$DT$13,2),IF(A27=0,"",VLOOKUP(A27,[2]CO!$A$3:$F$5327,4,0))))</f>
        <v/>
      </c>
      <c r="O27" s="32" t="str">
        <f t="shared" si="48"/>
        <v/>
      </c>
      <c r="P27" s="33"/>
      <c r="Q27" s="34" t="str">
        <f t="shared" si="49"/>
        <v/>
      </c>
      <c r="R27" s="35" t="str">
        <f>IF(S27=0,"",IF(OR(G27="PEON",G27="OF",G27="JARD",G27="CARP",G27="MAESTRO",G27="SOLD",G27="BGRO",G27="CHOFER",G27="AYTE",G27="S.INTTE.",G27="ASEO",G27="P.PISOS",G27="VELADOR",G27="RESID",G27="PINTOR",G27="ELECT",G27="AZULE",G27="AUX CONT.",G27="SECRETARIA",G27="AUXILIAR ADMTVO.",G27="ARQUITECTO",G27="DIBUJANTE",G27="AUX. DE RESIDENTE",G27="TOPOGRAFIA"),VLOOKUP(B27,P$14:Q$49,2),"")*S27)</f>
        <v/>
      </c>
      <c r="T27" s="53" t="str">
        <f>IF(A27=0,"",VLOOKUP(A27,[2]CO!$A$3:$F$5318,5,0))</f>
        <v/>
      </c>
      <c r="U27" s="54">
        <f t="shared" si="50"/>
        <v>0</v>
      </c>
      <c r="V27" s="24"/>
      <c r="W27" s="25"/>
      <c r="X27" s="25"/>
      <c r="Y27" s="64" t="str">
        <f t="shared" si="51"/>
        <v/>
      </c>
      <c r="Z27" s="55" t="str">
        <f t="shared" si="51"/>
        <v/>
      </c>
      <c r="AA27" s="55" t="str">
        <f t="shared" si="51"/>
        <v/>
      </c>
      <c r="AB27" s="55" t="str">
        <f t="shared" si="51"/>
        <v/>
      </c>
      <c r="AC27" s="55" t="str">
        <f t="shared" si="51"/>
        <v/>
      </c>
      <c r="AD27" s="55" t="str">
        <f t="shared" si="51"/>
        <v/>
      </c>
      <c r="AE27" s="55" t="str">
        <f t="shared" si="51"/>
        <v/>
      </c>
      <c r="AF27" s="55" t="str">
        <f t="shared" si="51"/>
        <v/>
      </c>
      <c r="AG27" s="55" t="str">
        <f t="shared" si="51"/>
        <v/>
      </c>
      <c r="AH27" s="55" t="str">
        <f t="shared" si="51"/>
        <v/>
      </c>
      <c r="AI27" s="55" t="str">
        <f t="shared" si="51"/>
        <v/>
      </c>
      <c r="AJ27" s="55" t="str">
        <f t="shared" si="51"/>
        <v/>
      </c>
      <c r="AK27" s="55" t="str">
        <f t="shared" si="51"/>
        <v/>
      </c>
      <c r="AL27" s="55" t="str">
        <f t="shared" si="51"/>
        <v/>
      </c>
      <c r="AM27" s="55" t="str">
        <f t="shared" si="51"/>
        <v/>
      </c>
      <c r="AN27" s="55" t="str">
        <f t="shared" si="51"/>
        <v/>
      </c>
      <c r="AO27" s="55" t="str">
        <f t="shared" si="52"/>
        <v/>
      </c>
      <c r="AP27" s="55" t="str">
        <f t="shared" si="52"/>
        <v/>
      </c>
      <c r="AQ27" s="55" t="str">
        <f t="shared" si="52"/>
        <v/>
      </c>
      <c r="AR27" s="55" t="str">
        <f t="shared" si="52"/>
        <v/>
      </c>
      <c r="AS27" s="55" t="str">
        <f t="shared" si="52"/>
        <v/>
      </c>
      <c r="AT27" s="55" t="str">
        <f t="shared" si="52"/>
        <v/>
      </c>
      <c r="AU27" s="55" t="str">
        <f t="shared" si="52"/>
        <v/>
      </c>
      <c r="AV27" s="55" t="str">
        <f t="shared" si="52"/>
        <v/>
      </c>
      <c r="AW27" s="55" t="str">
        <f t="shared" si="52"/>
        <v/>
      </c>
      <c r="AX27" s="55" t="str">
        <f t="shared" si="52"/>
        <v/>
      </c>
      <c r="AY27" s="55" t="str">
        <f t="shared" si="52"/>
        <v/>
      </c>
      <c r="AZ27" s="55" t="str">
        <f t="shared" si="52"/>
        <v/>
      </c>
      <c r="BA27" s="55" t="str">
        <f t="shared" si="52"/>
        <v/>
      </c>
      <c r="BB27" s="55" t="str">
        <f t="shared" si="52"/>
        <v/>
      </c>
      <c r="BC27" s="55" t="str">
        <f t="shared" si="52"/>
        <v/>
      </c>
      <c r="BD27" s="55" t="str">
        <f t="shared" si="52"/>
        <v/>
      </c>
      <c r="BE27" s="55" t="str">
        <f t="shared" ref="BE27:CY27" si="61">IF($B27=BE$12,$U27,"")</f>
        <v/>
      </c>
      <c r="BF27" s="55" t="str">
        <f t="shared" si="61"/>
        <v/>
      </c>
      <c r="BG27" s="55" t="str">
        <f t="shared" si="61"/>
        <v/>
      </c>
      <c r="BH27" s="55" t="str">
        <f t="shared" si="61"/>
        <v/>
      </c>
      <c r="BI27" s="55" t="str">
        <f t="shared" si="61"/>
        <v/>
      </c>
      <c r="BJ27" s="55" t="str">
        <f t="shared" si="61"/>
        <v/>
      </c>
      <c r="BK27" s="55" t="str">
        <f t="shared" si="61"/>
        <v/>
      </c>
      <c r="BL27" s="55" t="str">
        <f t="shared" si="61"/>
        <v/>
      </c>
      <c r="BM27" s="55" t="str">
        <f t="shared" si="61"/>
        <v/>
      </c>
      <c r="BN27" s="55" t="str">
        <f t="shared" si="61"/>
        <v/>
      </c>
      <c r="BO27" s="55" t="str">
        <f t="shared" si="61"/>
        <v/>
      </c>
      <c r="BP27" s="55" t="str">
        <f t="shared" si="61"/>
        <v/>
      </c>
      <c r="BQ27" s="55" t="str">
        <f t="shared" si="61"/>
        <v/>
      </c>
      <c r="BR27" s="55" t="str">
        <f t="shared" si="61"/>
        <v/>
      </c>
      <c r="BS27" s="55" t="str">
        <f t="shared" si="61"/>
        <v/>
      </c>
      <c r="BT27" s="55" t="str">
        <f t="shared" si="61"/>
        <v/>
      </c>
      <c r="BU27" s="55" t="str">
        <f t="shared" si="61"/>
        <v/>
      </c>
      <c r="BV27" s="55" t="str">
        <f t="shared" si="61"/>
        <v/>
      </c>
      <c r="BW27" s="55" t="str">
        <f t="shared" si="61"/>
        <v/>
      </c>
      <c r="BX27" s="55" t="str">
        <f t="shared" si="61"/>
        <v/>
      </c>
      <c r="BY27" s="55" t="str">
        <f t="shared" si="61"/>
        <v/>
      </c>
      <c r="BZ27" s="55" t="str">
        <f t="shared" si="61"/>
        <v/>
      </c>
      <c r="CA27" s="55" t="str">
        <f t="shared" si="61"/>
        <v/>
      </c>
      <c r="CB27" s="55" t="str">
        <f t="shared" si="61"/>
        <v/>
      </c>
      <c r="CC27" s="55" t="str">
        <f t="shared" si="61"/>
        <v/>
      </c>
      <c r="CD27" s="55" t="str">
        <f t="shared" si="61"/>
        <v/>
      </c>
      <c r="CE27" s="55" t="str">
        <f t="shared" si="61"/>
        <v/>
      </c>
      <c r="CF27" s="55" t="str">
        <f t="shared" si="61"/>
        <v/>
      </c>
      <c r="CG27" s="55" t="str">
        <f t="shared" si="61"/>
        <v/>
      </c>
      <c r="CH27" s="55" t="str">
        <f t="shared" si="61"/>
        <v/>
      </c>
      <c r="CI27" s="55" t="str">
        <f t="shared" si="61"/>
        <v/>
      </c>
      <c r="CJ27" s="55" t="str">
        <f t="shared" si="61"/>
        <v/>
      </c>
      <c r="CK27" s="55" t="str">
        <f t="shared" si="61"/>
        <v/>
      </c>
      <c r="CL27" s="55" t="str">
        <f t="shared" si="61"/>
        <v/>
      </c>
      <c r="CM27" s="55" t="str">
        <f t="shared" si="61"/>
        <v/>
      </c>
      <c r="CN27" s="55" t="str">
        <f t="shared" si="61"/>
        <v/>
      </c>
      <c r="CO27" s="55" t="str">
        <f t="shared" si="61"/>
        <v/>
      </c>
      <c r="CP27" s="55" t="str">
        <f t="shared" si="61"/>
        <v/>
      </c>
      <c r="CQ27" s="55" t="str">
        <f t="shared" si="61"/>
        <v/>
      </c>
      <c r="CR27" s="55" t="str">
        <f t="shared" si="61"/>
        <v/>
      </c>
      <c r="CS27" s="55" t="str">
        <f t="shared" si="61"/>
        <v/>
      </c>
      <c r="CT27" s="55" t="str">
        <f t="shared" si="61"/>
        <v/>
      </c>
      <c r="CU27" s="55" t="str">
        <f t="shared" si="61"/>
        <v/>
      </c>
      <c r="CV27" s="55" t="str">
        <f t="shared" si="61"/>
        <v/>
      </c>
      <c r="CW27" s="55" t="str">
        <f t="shared" si="61"/>
        <v/>
      </c>
      <c r="CX27" s="55" t="str">
        <f t="shared" si="61"/>
        <v/>
      </c>
      <c r="CY27" s="55" t="str">
        <f t="shared" si="61"/>
        <v/>
      </c>
      <c r="CZ27" s="55" t="str">
        <f t="shared" si="55"/>
        <v/>
      </c>
      <c r="DA27" s="55" t="str">
        <f t="shared" si="55"/>
        <v/>
      </c>
      <c r="DB27" s="55" t="str">
        <f t="shared" si="55"/>
        <v/>
      </c>
      <c r="DC27" s="55" t="str">
        <f t="shared" si="55"/>
        <v/>
      </c>
      <c r="DD27" s="55" t="str">
        <f t="shared" si="55"/>
        <v/>
      </c>
      <c r="DE27" s="55" t="str">
        <f t="shared" si="55"/>
        <v/>
      </c>
      <c r="DF27" s="55" t="str">
        <f t="shared" si="55"/>
        <v/>
      </c>
      <c r="DG27" s="55" t="str">
        <f t="shared" si="55"/>
        <v/>
      </c>
      <c r="DH27" s="55" t="str">
        <f t="shared" si="55"/>
        <v/>
      </c>
      <c r="DI27" s="55" t="str">
        <f t="shared" si="55"/>
        <v/>
      </c>
      <c r="DJ27" s="55" t="str">
        <f t="shared" si="55"/>
        <v/>
      </c>
      <c r="DK27" s="55" t="str">
        <f t="shared" si="41"/>
        <v/>
      </c>
      <c r="DL27" s="55" t="str">
        <f t="shared" si="41"/>
        <v/>
      </c>
      <c r="DM27" s="55" t="str">
        <f t="shared" si="41"/>
        <v/>
      </c>
      <c r="DN27" s="55" t="str">
        <f t="shared" si="41"/>
        <v/>
      </c>
      <c r="DO27" s="55" t="str">
        <f t="shared" si="41"/>
        <v/>
      </c>
      <c r="DP27" s="55" t="str">
        <f t="shared" si="41"/>
        <v/>
      </c>
      <c r="DQ27" s="55" t="str">
        <f t="shared" si="42"/>
        <v/>
      </c>
      <c r="DR27" s="55" t="str">
        <f t="shared" si="42"/>
        <v/>
      </c>
      <c r="DS27" s="55" t="str">
        <f t="shared" si="42"/>
        <v/>
      </c>
      <c r="DT27" s="106" t="str">
        <f t="shared" si="42"/>
        <v/>
      </c>
      <c r="DU27" s="54"/>
      <c r="DV27" s="25"/>
      <c r="DW27" s="61" t="str">
        <f t="shared" si="56"/>
        <v/>
      </c>
      <c r="DX27" s="50" t="str">
        <f t="shared" si="56"/>
        <v/>
      </c>
      <c r="DY27" s="50" t="str">
        <f t="shared" si="56"/>
        <v/>
      </c>
      <c r="DZ27" s="50" t="str">
        <f t="shared" si="56"/>
        <v/>
      </c>
      <c r="EA27" s="50" t="str">
        <f t="shared" si="56"/>
        <v/>
      </c>
      <c r="EB27" s="50" t="str">
        <f t="shared" si="56"/>
        <v/>
      </c>
      <c r="EC27" s="50" t="str">
        <f t="shared" si="56"/>
        <v/>
      </c>
      <c r="ED27" s="50" t="str">
        <f t="shared" si="56"/>
        <v/>
      </c>
      <c r="EE27" s="50" t="str">
        <f t="shared" si="56"/>
        <v/>
      </c>
      <c r="EF27" s="50" t="str">
        <f t="shared" si="56"/>
        <v/>
      </c>
      <c r="EG27" s="50" t="str">
        <f t="shared" si="56"/>
        <v/>
      </c>
      <c r="EH27" s="50" t="str">
        <f t="shared" si="56"/>
        <v/>
      </c>
      <c r="EI27" s="50" t="str">
        <f t="shared" si="56"/>
        <v/>
      </c>
      <c r="EJ27" s="50" t="str">
        <f t="shared" si="56"/>
        <v/>
      </c>
      <c r="EK27" s="50" t="str">
        <f t="shared" si="56"/>
        <v/>
      </c>
      <c r="EL27" s="50" t="str">
        <f t="shared" si="56"/>
        <v/>
      </c>
      <c r="EM27" s="50" t="str">
        <f t="shared" si="57"/>
        <v/>
      </c>
      <c r="EN27" s="50" t="str">
        <f t="shared" si="57"/>
        <v/>
      </c>
      <c r="EO27" s="50" t="str">
        <f t="shared" si="57"/>
        <v/>
      </c>
      <c r="EP27" s="50" t="str">
        <f t="shared" si="57"/>
        <v/>
      </c>
      <c r="EQ27" s="50" t="str">
        <f t="shared" si="57"/>
        <v/>
      </c>
      <c r="ER27" s="50" t="str">
        <f t="shared" si="57"/>
        <v/>
      </c>
      <c r="ES27" s="50" t="str">
        <f t="shared" si="57"/>
        <v/>
      </c>
      <c r="ET27" s="50" t="str">
        <f t="shared" si="57"/>
        <v/>
      </c>
      <c r="EU27" s="50" t="str">
        <f t="shared" si="57"/>
        <v/>
      </c>
      <c r="EV27" s="50" t="str">
        <f t="shared" si="57"/>
        <v/>
      </c>
      <c r="EW27" s="50" t="str">
        <f t="shared" si="57"/>
        <v/>
      </c>
      <c r="EX27" s="50" t="str">
        <f t="shared" si="57"/>
        <v/>
      </c>
      <c r="EY27" s="50" t="str">
        <f t="shared" si="57"/>
        <v/>
      </c>
      <c r="EZ27" s="50" t="str">
        <f t="shared" si="57"/>
        <v/>
      </c>
      <c r="FA27" s="50" t="str">
        <f t="shared" si="57"/>
        <v/>
      </c>
      <c r="FB27" s="50" t="str">
        <f t="shared" si="57"/>
        <v/>
      </c>
      <c r="FC27" s="50" t="str">
        <f t="shared" ref="FC27:GW27" si="62">IF($B27=FC$12,$O27,"")</f>
        <v/>
      </c>
      <c r="FD27" s="50" t="str">
        <f t="shared" si="62"/>
        <v/>
      </c>
      <c r="FE27" s="50" t="str">
        <f t="shared" si="62"/>
        <v/>
      </c>
      <c r="FF27" s="50" t="str">
        <f t="shared" si="62"/>
        <v/>
      </c>
      <c r="FG27" s="50" t="str">
        <f t="shared" si="62"/>
        <v/>
      </c>
      <c r="FH27" s="50" t="str">
        <f t="shared" si="62"/>
        <v/>
      </c>
      <c r="FI27" s="50" t="str">
        <f t="shared" si="62"/>
        <v/>
      </c>
      <c r="FJ27" s="50" t="str">
        <f t="shared" si="62"/>
        <v/>
      </c>
      <c r="FK27" s="50" t="str">
        <f t="shared" si="62"/>
        <v/>
      </c>
      <c r="FL27" s="50" t="str">
        <f t="shared" si="62"/>
        <v/>
      </c>
      <c r="FM27" s="50" t="str">
        <f t="shared" si="62"/>
        <v/>
      </c>
      <c r="FN27" s="50" t="str">
        <f t="shared" si="62"/>
        <v/>
      </c>
      <c r="FO27" s="50" t="str">
        <f t="shared" si="62"/>
        <v/>
      </c>
      <c r="FP27" s="50" t="str">
        <f t="shared" si="62"/>
        <v/>
      </c>
      <c r="FQ27" s="50" t="str">
        <f t="shared" si="62"/>
        <v/>
      </c>
      <c r="FR27" s="50" t="str">
        <f t="shared" si="62"/>
        <v/>
      </c>
      <c r="FS27" s="50" t="str">
        <f t="shared" si="62"/>
        <v/>
      </c>
      <c r="FT27" s="50" t="str">
        <f t="shared" si="62"/>
        <v/>
      </c>
      <c r="FU27" s="50" t="str">
        <f t="shared" si="62"/>
        <v/>
      </c>
      <c r="FV27" s="50" t="str">
        <f t="shared" si="62"/>
        <v/>
      </c>
      <c r="FW27" s="50" t="str">
        <f t="shared" si="62"/>
        <v/>
      </c>
      <c r="FX27" s="50" t="str">
        <f t="shared" si="62"/>
        <v/>
      </c>
      <c r="FY27" s="50" t="str">
        <f t="shared" si="62"/>
        <v/>
      </c>
      <c r="FZ27" s="50" t="str">
        <f t="shared" si="62"/>
        <v/>
      </c>
      <c r="GA27" s="50" t="str">
        <f t="shared" si="62"/>
        <v/>
      </c>
      <c r="GB27" s="50" t="str">
        <f t="shared" si="62"/>
        <v/>
      </c>
      <c r="GC27" s="50" t="str">
        <f t="shared" si="62"/>
        <v/>
      </c>
      <c r="GD27" s="50" t="str">
        <f t="shared" si="62"/>
        <v/>
      </c>
      <c r="GE27" s="50" t="str">
        <f t="shared" si="62"/>
        <v/>
      </c>
      <c r="GF27" s="50" t="str">
        <f t="shared" si="62"/>
        <v/>
      </c>
      <c r="GG27" s="50" t="str">
        <f t="shared" si="62"/>
        <v/>
      </c>
      <c r="GH27" s="50" t="str">
        <f t="shared" si="62"/>
        <v/>
      </c>
      <c r="GI27" s="50" t="str">
        <f t="shared" si="62"/>
        <v/>
      </c>
      <c r="GJ27" s="50" t="str">
        <f t="shared" si="62"/>
        <v/>
      </c>
      <c r="GK27" s="50" t="str">
        <f t="shared" si="62"/>
        <v/>
      </c>
      <c r="GL27" s="50" t="str">
        <f t="shared" si="62"/>
        <v/>
      </c>
      <c r="GM27" s="50" t="str">
        <f t="shared" si="62"/>
        <v/>
      </c>
      <c r="GN27" s="50" t="str">
        <f t="shared" si="62"/>
        <v/>
      </c>
      <c r="GO27" s="50" t="str">
        <f t="shared" si="62"/>
        <v/>
      </c>
      <c r="GP27" s="50" t="str">
        <f t="shared" si="62"/>
        <v/>
      </c>
      <c r="GQ27" s="50" t="str">
        <f t="shared" si="62"/>
        <v/>
      </c>
      <c r="GR27" s="50" t="str">
        <f t="shared" si="62"/>
        <v/>
      </c>
      <c r="GS27" s="50" t="str">
        <f t="shared" si="62"/>
        <v/>
      </c>
      <c r="GT27" s="50" t="str">
        <f t="shared" si="62"/>
        <v/>
      </c>
      <c r="GU27" s="50" t="str">
        <f t="shared" si="62"/>
        <v/>
      </c>
      <c r="GV27" s="50" t="str">
        <f t="shared" si="62"/>
        <v/>
      </c>
      <c r="GW27" s="50" t="str">
        <f t="shared" si="62"/>
        <v/>
      </c>
      <c r="GX27" s="50" t="str">
        <f t="shared" si="60"/>
        <v/>
      </c>
      <c r="GY27" s="50" t="str">
        <f t="shared" si="60"/>
        <v/>
      </c>
      <c r="GZ27" s="50" t="str">
        <f t="shared" si="60"/>
        <v/>
      </c>
      <c r="HA27" s="50" t="str">
        <f t="shared" si="60"/>
        <v/>
      </c>
      <c r="HB27" s="50" t="str">
        <f t="shared" si="60"/>
        <v/>
      </c>
      <c r="HC27" s="50" t="str">
        <f t="shared" si="60"/>
        <v/>
      </c>
      <c r="HD27" s="50" t="str">
        <f t="shared" si="60"/>
        <v/>
      </c>
      <c r="HE27" s="50" t="str">
        <f t="shared" si="60"/>
        <v/>
      </c>
      <c r="HF27" s="50" t="str">
        <f t="shared" si="60"/>
        <v/>
      </c>
      <c r="HG27" s="50" t="str">
        <f t="shared" si="60"/>
        <v/>
      </c>
      <c r="HH27" s="50" t="str">
        <f t="shared" si="60"/>
        <v/>
      </c>
      <c r="HI27" s="50" t="str">
        <f t="shared" si="60"/>
        <v/>
      </c>
      <c r="HJ27" s="50" t="str">
        <f t="shared" si="60"/>
        <v/>
      </c>
      <c r="HK27" s="50" t="str">
        <f t="shared" si="60"/>
        <v/>
      </c>
      <c r="HL27" s="50" t="str">
        <f t="shared" si="60"/>
        <v/>
      </c>
      <c r="HM27" s="50" t="str">
        <f t="shared" ref="HM27" si="63">IF($B27=HM$12,$O27,"")</f>
        <v/>
      </c>
      <c r="HN27" s="50" t="str">
        <f t="shared" si="46"/>
        <v/>
      </c>
      <c r="HO27" s="50" t="str">
        <f t="shared" si="46"/>
        <v/>
      </c>
      <c r="HP27" s="50" t="str">
        <f t="shared" si="46"/>
        <v/>
      </c>
      <c r="HQ27" s="50" t="str">
        <f t="shared" si="46"/>
        <v/>
      </c>
      <c r="HR27" s="112" t="str">
        <f t="shared" si="46"/>
        <v/>
      </c>
    </row>
    <row r="28" spans="1:226" ht="11.1" customHeight="1" x14ac:dyDescent="0.25">
      <c r="A28" s="26"/>
      <c r="B28" s="27"/>
      <c r="C28" s="28" t="str">
        <f>IF(A28=0,"",VLOOKUP(A28,[2]CO!$A$3:$F$5327,2,0))</f>
        <v/>
      </c>
      <c r="D28" s="29"/>
      <c r="E28" s="29"/>
      <c r="F28" s="29"/>
      <c r="G28" s="30" t="str">
        <f>IF(A28=0,"",VLOOKUP(A28,[2]CO!$A$3:$F$5327,3,0))</f>
        <v/>
      </c>
      <c r="H28" s="95"/>
      <c r="I28" s="31"/>
      <c r="J28" s="31"/>
      <c r="K28" s="31"/>
      <c r="L28" s="31"/>
      <c r="M28" s="32" t="str">
        <f t="shared" si="47"/>
        <v/>
      </c>
      <c r="N28" s="32" t="str">
        <f>IF(B28=0,"",IF(H28="M",HLOOKUP(B28,$Y$12:$DT$13,2),IF(A28=0,"",VLOOKUP(A28,[2]CO!$A$3:$F$5327,4,0))))</f>
        <v/>
      </c>
      <c r="O28" s="32" t="str">
        <f t="shared" si="48"/>
        <v/>
      </c>
      <c r="P28" s="33"/>
      <c r="Q28" s="34" t="str">
        <f t="shared" si="49"/>
        <v/>
      </c>
      <c r="R28" s="35" t="str">
        <f>IF(S28=0,"",IF(OR(G28="PEON",G28="OF",G28="JARD",G28="CARP",G28="MAESTRO",G28="SOLD",G28="BGRO",G28="CHOFER",G28="AYTE",G28="S.INTTE.",G28="ASEO",G28="P.PISOS",G28="VELADOR",G28="RESID",G28="PINTOR",G28="ELECT",G28="AZULE",G28="AUX CONT.",G28="SECRETARIA",G28="AUXILIAR ADMTVO.",G28="ARQUITECTO",G28="DIBUJANTE",G28="AUX. DE RESIDENTE",G28="TOPOGRAFIA"),VLOOKUP(B28,P$14:Q$49,2),"")*S28)</f>
        <v/>
      </c>
      <c r="T28" s="53" t="str">
        <f>IF(A28=0,"",VLOOKUP(A28,[2]CO!$A$3:$F$5318,5,0))</f>
        <v/>
      </c>
      <c r="U28" s="54">
        <f t="shared" si="50"/>
        <v>0</v>
      </c>
      <c r="V28" s="24"/>
      <c r="W28" s="25"/>
      <c r="X28" s="25"/>
      <c r="Y28" s="64" t="str">
        <f t="shared" si="39"/>
        <v/>
      </c>
      <c r="Z28" s="55" t="str">
        <f t="shared" si="39"/>
        <v/>
      </c>
      <c r="AA28" s="55" t="str">
        <f t="shared" si="39"/>
        <v/>
      </c>
      <c r="AB28" s="55" t="str">
        <f t="shared" si="39"/>
        <v/>
      </c>
      <c r="AC28" s="55" t="str">
        <f t="shared" si="39"/>
        <v/>
      </c>
      <c r="AD28" s="55" t="str">
        <f t="shared" si="39"/>
        <v/>
      </c>
      <c r="AE28" s="55" t="str">
        <f t="shared" si="39"/>
        <v/>
      </c>
      <c r="AF28" s="55" t="str">
        <f t="shared" si="39"/>
        <v/>
      </c>
      <c r="AG28" s="55" t="str">
        <f t="shared" si="39"/>
        <v/>
      </c>
      <c r="AH28" s="55" t="str">
        <f t="shared" si="39"/>
        <v/>
      </c>
      <c r="AI28" s="55" t="str">
        <f t="shared" si="39"/>
        <v/>
      </c>
      <c r="AJ28" s="55" t="str">
        <f t="shared" si="39"/>
        <v/>
      </c>
      <c r="AK28" s="55" t="str">
        <f t="shared" si="39"/>
        <v/>
      </c>
      <c r="AL28" s="55" t="str">
        <f t="shared" si="39"/>
        <v/>
      </c>
      <c r="AM28" s="55" t="str">
        <f t="shared" si="39"/>
        <v/>
      </c>
      <c r="AN28" s="55" t="str">
        <f t="shared" si="39"/>
        <v/>
      </c>
      <c r="AO28" s="55" t="str">
        <f t="shared" ref="AO28:BD30" si="64">IF($B28=AO$12,$U28,"")</f>
        <v/>
      </c>
      <c r="AP28" s="55" t="str">
        <f t="shared" si="64"/>
        <v/>
      </c>
      <c r="AQ28" s="55" t="str">
        <f t="shared" si="64"/>
        <v/>
      </c>
      <c r="AR28" s="55" t="str">
        <f t="shared" si="64"/>
        <v/>
      </c>
      <c r="AS28" s="55" t="str">
        <f t="shared" si="64"/>
        <v/>
      </c>
      <c r="AT28" s="55" t="str">
        <f t="shared" si="64"/>
        <v/>
      </c>
      <c r="AU28" s="55" t="str">
        <f t="shared" si="64"/>
        <v/>
      </c>
      <c r="AV28" s="55" t="str">
        <f t="shared" si="64"/>
        <v/>
      </c>
      <c r="AW28" s="55" t="str">
        <f t="shared" si="64"/>
        <v/>
      </c>
      <c r="AX28" s="55" t="str">
        <f t="shared" si="64"/>
        <v/>
      </c>
      <c r="AY28" s="55" t="str">
        <f t="shared" si="64"/>
        <v/>
      </c>
      <c r="AZ28" s="55" t="str">
        <f t="shared" si="64"/>
        <v/>
      </c>
      <c r="BA28" s="55" t="str">
        <f t="shared" si="64"/>
        <v/>
      </c>
      <c r="BB28" s="55" t="str">
        <f t="shared" si="64"/>
        <v/>
      </c>
      <c r="BC28" s="55" t="str">
        <f t="shared" si="64"/>
        <v/>
      </c>
      <c r="BD28" s="55" t="str">
        <f t="shared" si="64"/>
        <v/>
      </c>
      <c r="BE28" s="55" t="str">
        <f t="shared" ref="BE28:CY30" si="65">IF($B28=BE$12,$U28,"")</f>
        <v/>
      </c>
      <c r="BF28" s="55" t="str">
        <f t="shared" si="65"/>
        <v/>
      </c>
      <c r="BG28" s="55" t="str">
        <f t="shared" si="65"/>
        <v/>
      </c>
      <c r="BH28" s="55" t="str">
        <f t="shared" si="65"/>
        <v/>
      </c>
      <c r="BI28" s="55" t="str">
        <f t="shared" si="65"/>
        <v/>
      </c>
      <c r="BJ28" s="55" t="str">
        <f t="shared" si="65"/>
        <v/>
      </c>
      <c r="BK28" s="55" t="str">
        <f t="shared" si="65"/>
        <v/>
      </c>
      <c r="BL28" s="55" t="str">
        <f t="shared" si="65"/>
        <v/>
      </c>
      <c r="BM28" s="55" t="str">
        <f t="shared" si="65"/>
        <v/>
      </c>
      <c r="BN28" s="55" t="str">
        <f t="shared" si="65"/>
        <v/>
      </c>
      <c r="BO28" s="55" t="str">
        <f t="shared" si="65"/>
        <v/>
      </c>
      <c r="BP28" s="55" t="str">
        <f t="shared" si="65"/>
        <v/>
      </c>
      <c r="BQ28" s="55" t="str">
        <f t="shared" si="65"/>
        <v/>
      </c>
      <c r="BR28" s="55" t="str">
        <f t="shared" si="65"/>
        <v/>
      </c>
      <c r="BS28" s="55" t="str">
        <f t="shared" si="65"/>
        <v/>
      </c>
      <c r="BT28" s="55" t="str">
        <f t="shared" si="65"/>
        <v/>
      </c>
      <c r="BU28" s="55" t="str">
        <f t="shared" si="65"/>
        <v/>
      </c>
      <c r="BV28" s="55" t="str">
        <f t="shared" si="65"/>
        <v/>
      </c>
      <c r="BW28" s="55" t="str">
        <f t="shared" si="65"/>
        <v/>
      </c>
      <c r="BX28" s="55" t="str">
        <f t="shared" si="65"/>
        <v/>
      </c>
      <c r="BY28" s="55" t="str">
        <f t="shared" si="65"/>
        <v/>
      </c>
      <c r="BZ28" s="55" t="str">
        <f t="shared" si="65"/>
        <v/>
      </c>
      <c r="CA28" s="55" t="str">
        <f t="shared" si="65"/>
        <v/>
      </c>
      <c r="CB28" s="55" t="str">
        <f t="shared" si="65"/>
        <v/>
      </c>
      <c r="CC28" s="55" t="str">
        <f t="shared" si="65"/>
        <v/>
      </c>
      <c r="CD28" s="55" t="str">
        <f t="shared" si="65"/>
        <v/>
      </c>
      <c r="CE28" s="55" t="str">
        <f t="shared" si="65"/>
        <v/>
      </c>
      <c r="CF28" s="55" t="str">
        <f t="shared" si="65"/>
        <v/>
      </c>
      <c r="CG28" s="55" t="str">
        <f t="shared" si="65"/>
        <v/>
      </c>
      <c r="CH28" s="55" t="str">
        <f t="shared" si="65"/>
        <v/>
      </c>
      <c r="CI28" s="55" t="str">
        <f t="shared" si="65"/>
        <v/>
      </c>
      <c r="CJ28" s="55" t="str">
        <f t="shared" si="65"/>
        <v/>
      </c>
      <c r="CK28" s="55" t="str">
        <f t="shared" si="65"/>
        <v/>
      </c>
      <c r="CL28" s="55" t="str">
        <f t="shared" si="65"/>
        <v/>
      </c>
      <c r="CM28" s="55" t="str">
        <f t="shared" si="65"/>
        <v/>
      </c>
      <c r="CN28" s="55" t="str">
        <f t="shared" si="65"/>
        <v/>
      </c>
      <c r="CO28" s="55" t="str">
        <f t="shared" si="65"/>
        <v/>
      </c>
      <c r="CP28" s="55" t="str">
        <f t="shared" si="65"/>
        <v/>
      </c>
      <c r="CQ28" s="55" t="str">
        <f t="shared" si="65"/>
        <v/>
      </c>
      <c r="CR28" s="55" t="str">
        <f t="shared" si="65"/>
        <v/>
      </c>
      <c r="CS28" s="55" t="str">
        <f t="shared" si="65"/>
        <v/>
      </c>
      <c r="CT28" s="55" t="str">
        <f t="shared" si="65"/>
        <v/>
      </c>
      <c r="CU28" s="55" t="str">
        <f t="shared" si="65"/>
        <v/>
      </c>
      <c r="CV28" s="55" t="str">
        <f t="shared" si="65"/>
        <v/>
      </c>
      <c r="CW28" s="55" t="str">
        <f t="shared" si="65"/>
        <v/>
      </c>
      <c r="CX28" s="55" t="str">
        <f t="shared" si="65"/>
        <v/>
      </c>
      <c r="CY28" s="55" t="str">
        <f t="shared" si="65"/>
        <v/>
      </c>
      <c r="CZ28" s="55" t="str">
        <f t="shared" ref="CZ28:DJ30" si="66">IF($B28=CZ$12,$U28,"")</f>
        <v/>
      </c>
      <c r="DA28" s="55" t="str">
        <f t="shared" si="66"/>
        <v/>
      </c>
      <c r="DB28" s="55" t="str">
        <f t="shared" si="66"/>
        <v/>
      </c>
      <c r="DC28" s="55" t="str">
        <f t="shared" si="66"/>
        <v/>
      </c>
      <c r="DD28" s="55" t="str">
        <f t="shared" si="66"/>
        <v/>
      </c>
      <c r="DE28" s="55" t="str">
        <f t="shared" si="66"/>
        <v/>
      </c>
      <c r="DF28" s="55" t="str">
        <f t="shared" si="66"/>
        <v/>
      </c>
      <c r="DG28" s="55" t="str">
        <f t="shared" si="66"/>
        <v/>
      </c>
      <c r="DH28" s="55" t="str">
        <f t="shared" si="66"/>
        <v/>
      </c>
      <c r="DI28" s="55" t="str">
        <f t="shared" si="66"/>
        <v/>
      </c>
      <c r="DJ28" s="55" t="str">
        <f t="shared" si="66"/>
        <v/>
      </c>
      <c r="DK28" s="55" t="str">
        <f t="shared" si="41"/>
        <v/>
      </c>
      <c r="DL28" s="55" t="str">
        <f t="shared" si="41"/>
        <v/>
      </c>
      <c r="DM28" s="55" t="str">
        <f t="shared" si="41"/>
        <v/>
      </c>
      <c r="DN28" s="55" t="str">
        <f t="shared" si="41"/>
        <v/>
      </c>
      <c r="DO28" s="55" t="str">
        <f t="shared" si="41"/>
        <v/>
      </c>
      <c r="DP28" s="55" t="str">
        <f t="shared" si="41"/>
        <v/>
      </c>
      <c r="DQ28" s="55" t="str">
        <f t="shared" si="42"/>
        <v/>
      </c>
      <c r="DR28" s="55" t="str">
        <f t="shared" si="42"/>
        <v/>
      </c>
      <c r="DS28" s="55" t="str">
        <f t="shared" si="42"/>
        <v/>
      </c>
      <c r="DT28" s="106" t="str">
        <f t="shared" si="42"/>
        <v/>
      </c>
      <c r="DU28" s="54"/>
      <c r="DV28" s="25"/>
      <c r="DW28" s="61" t="str">
        <f t="shared" si="43"/>
        <v/>
      </c>
      <c r="DX28" s="50" t="str">
        <f t="shared" si="43"/>
        <v/>
      </c>
      <c r="DY28" s="50" t="str">
        <f t="shared" si="43"/>
        <v/>
      </c>
      <c r="DZ28" s="50" t="str">
        <f t="shared" si="43"/>
        <v/>
      </c>
      <c r="EA28" s="50" t="str">
        <f t="shared" si="43"/>
        <v/>
      </c>
      <c r="EB28" s="50" t="str">
        <f t="shared" si="43"/>
        <v/>
      </c>
      <c r="EC28" s="50" t="str">
        <f t="shared" si="43"/>
        <v/>
      </c>
      <c r="ED28" s="50" t="str">
        <f t="shared" si="43"/>
        <v/>
      </c>
      <c r="EE28" s="50" t="str">
        <f t="shared" si="43"/>
        <v/>
      </c>
      <c r="EF28" s="50" t="str">
        <f t="shared" si="43"/>
        <v/>
      </c>
      <c r="EG28" s="50" t="str">
        <f t="shared" si="43"/>
        <v/>
      </c>
      <c r="EH28" s="50" t="str">
        <f t="shared" si="43"/>
        <v/>
      </c>
      <c r="EI28" s="50" t="str">
        <f t="shared" si="43"/>
        <v/>
      </c>
      <c r="EJ28" s="50" t="str">
        <f t="shared" si="43"/>
        <v/>
      </c>
      <c r="EK28" s="50" t="str">
        <f t="shared" si="43"/>
        <v/>
      </c>
      <c r="EL28" s="50" t="str">
        <f t="shared" si="43"/>
        <v/>
      </c>
      <c r="EM28" s="50" t="str">
        <f t="shared" ref="EM28:FB30" si="67">IF($B28=EM$12,$O28,"")</f>
        <v/>
      </c>
      <c r="EN28" s="50" t="str">
        <f t="shared" si="67"/>
        <v/>
      </c>
      <c r="EO28" s="50" t="str">
        <f t="shared" si="67"/>
        <v/>
      </c>
      <c r="EP28" s="50" t="str">
        <f t="shared" si="67"/>
        <v/>
      </c>
      <c r="EQ28" s="50" t="str">
        <f t="shared" si="67"/>
        <v/>
      </c>
      <c r="ER28" s="50" t="str">
        <f t="shared" si="67"/>
        <v/>
      </c>
      <c r="ES28" s="50" t="str">
        <f t="shared" si="67"/>
        <v/>
      </c>
      <c r="ET28" s="50" t="str">
        <f t="shared" si="67"/>
        <v/>
      </c>
      <c r="EU28" s="50" t="str">
        <f t="shared" si="67"/>
        <v/>
      </c>
      <c r="EV28" s="50" t="str">
        <f t="shared" si="67"/>
        <v/>
      </c>
      <c r="EW28" s="50" t="str">
        <f t="shared" si="67"/>
        <v/>
      </c>
      <c r="EX28" s="50" t="str">
        <f t="shared" si="67"/>
        <v/>
      </c>
      <c r="EY28" s="50" t="str">
        <f t="shared" si="67"/>
        <v/>
      </c>
      <c r="EZ28" s="50" t="str">
        <f t="shared" si="67"/>
        <v/>
      </c>
      <c r="FA28" s="50" t="str">
        <f t="shared" si="67"/>
        <v/>
      </c>
      <c r="FB28" s="50" t="str">
        <f t="shared" si="67"/>
        <v/>
      </c>
      <c r="FC28" s="50" t="str">
        <f t="shared" ref="FC28:GW30" si="68">IF($B28=FC$12,$O28,"")</f>
        <v/>
      </c>
      <c r="FD28" s="50" t="str">
        <f t="shared" si="68"/>
        <v/>
      </c>
      <c r="FE28" s="50" t="str">
        <f t="shared" si="68"/>
        <v/>
      </c>
      <c r="FF28" s="50" t="str">
        <f t="shared" si="68"/>
        <v/>
      </c>
      <c r="FG28" s="50" t="str">
        <f t="shared" si="68"/>
        <v/>
      </c>
      <c r="FH28" s="50" t="str">
        <f t="shared" si="68"/>
        <v/>
      </c>
      <c r="FI28" s="50" t="str">
        <f t="shared" si="68"/>
        <v/>
      </c>
      <c r="FJ28" s="50" t="str">
        <f t="shared" si="68"/>
        <v/>
      </c>
      <c r="FK28" s="50" t="str">
        <f t="shared" si="68"/>
        <v/>
      </c>
      <c r="FL28" s="50" t="str">
        <f t="shared" si="68"/>
        <v/>
      </c>
      <c r="FM28" s="50" t="str">
        <f t="shared" si="68"/>
        <v/>
      </c>
      <c r="FN28" s="50" t="str">
        <f t="shared" si="68"/>
        <v/>
      </c>
      <c r="FO28" s="50" t="str">
        <f t="shared" si="68"/>
        <v/>
      </c>
      <c r="FP28" s="50" t="str">
        <f t="shared" si="68"/>
        <v/>
      </c>
      <c r="FQ28" s="50" t="str">
        <f t="shared" si="68"/>
        <v/>
      </c>
      <c r="FR28" s="50" t="str">
        <f t="shared" si="68"/>
        <v/>
      </c>
      <c r="FS28" s="50" t="str">
        <f t="shared" si="68"/>
        <v/>
      </c>
      <c r="FT28" s="50" t="str">
        <f t="shared" si="68"/>
        <v/>
      </c>
      <c r="FU28" s="50" t="str">
        <f t="shared" si="68"/>
        <v/>
      </c>
      <c r="FV28" s="50" t="str">
        <f t="shared" si="68"/>
        <v/>
      </c>
      <c r="FW28" s="50" t="str">
        <f t="shared" si="68"/>
        <v/>
      </c>
      <c r="FX28" s="50" t="str">
        <f t="shared" si="68"/>
        <v/>
      </c>
      <c r="FY28" s="50" t="str">
        <f t="shared" si="68"/>
        <v/>
      </c>
      <c r="FZ28" s="50" t="str">
        <f t="shared" si="68"/>
        <v/>
      </c>
      <c r="GA28" s="50" t="str">
        <f t="shared" si="68"/>
        <v/>
      </c>
      <c r="GB28" s="50" t="str">
        <f t="shared" si="68"/>
        <v/>
      </c>
      <c r="GC28" s="50" t="str">
        <f t="shared" si="68"/>
        <v/>
      </c>
      <c r="GD28" s="50" t="str">
        <f t="shared" si="68"/>
        <v/>
      </c>
      <c r="GE28" s="50" t="str">
        <f t="shared" si="68"/>
        <v/>
      </c>
      <c r="GF28" s="50" t="str">
        <f t="shared" si="68"/>
        <v/>
      </c>
      <c r="GG28" s="50" t="str">
        <f t="shared" si="68"/>
        <v/>
      </c>
      <c r="GH28" s="50" t="str">
        <f t="shared" si="68"/>
        <v/>
      </c>
      <c r="GI28" s="50" t="str">
        <f t="shared" si="68"/>
        <v/>
      </c>
      <c r="GJ28" s="50" t="str">
        <f t="shared" si="68"/>
        <v/>
      </c>
      <c r="GK28" s="50" t="str">
        <f t="shared" si="68"/>
        <v/>
      </c>
      <c r="GL28" s="50" t="str">
        <f t="shared" si="68"/>
        <v/>
      </c>
      <c r="GM28" s="50" t="str">
        <f t="shared" si="68"/>
        <v/>
      </c>
      <c r="GN28" s="50" t="str">
        <f t="shared" si="68"/>
        <v/>
      </c>
      <c r="GO28" s="50" t="str">
        <f t="shared" si="68"/>
        <v/>
      </c>
      <c r="GP28" s="50" t="str">
        <f t="shared" si="68"/>
        <v/>
      </c>
      <c r="GQ28" s="50" t="str">
        <f t="shared" si="68"/>
        <v/>
      </c>
      <c r="GR28" s="50" t="str">
        <f t="shared" si="68"/>
        <v/>
      </c>
      <c r="GS28" s="50" t="str">
        <f t="shared" si="68"/>
        <v/>
      </c>
      <c r="GT28" s="50" t="str">
        <f t="shared" si="68"/>
        <v/>
      </c>
      <c r="GU28" s="50" t="str">
        <f t="shared" si="68"/>
        <v/>
      </c>
      <c r="GV28" s="50" t="str">
        <f t="shared" si="68"/>
        <v/>
      </c>
      <c r="GW28" s="50" t="str">
        <f t="shared" si="68"/>
        <v/>
      </c>
      <c r="GX28" s="50" t="str">
        <f t="shared" ref="GX28:HM30" si="69">IF($B28=GX$12,$O28,"")</f>
        <v/>
      </c>
      <c r="GY28" s="50" t="str">
        <f t="shared" si="69"/>
        <v/>
      </c>
      <c r="GZ28" s="50" t="str">
        <f t="shared" si="69"/>
        <v/>
      </c>
      <c r="HA28" s="50" t="str">
        <f t="shared" si="69"/>
        <v/>
      </c>
      <c r="HB28" s="50" t="str">
        <f t="shared" si="69"/>
        <v/>
      </c>
      <c r="HC28" s="50" t="str">
        <f t="shared" si="69"/>
        <v/>
      </c>
      <c r="HD28" s="50" t="str">
        <f t="shared" si="69"/>
        <v/>
      </c>
      <c r="HE28" s="50" t="str">
        <f t="shared" si="69"/>
        <v/>
      </c>
      <c r="HF28" s="50" t="str">
        <f t="shared" si="69"/>
        <v/>
      </c>
      <c r="HG28" s="50" t="str">
        <f t="shared" si="69"/>
        <v/>
      </c>
      <c r="HH28" s="50" t="str">
        <f t="shared" si="69"/>
        <v/>
      </c>
      <c r="HI28" s="50" t="str">
        <f t="shared" si="69"/>
        <v/>
      </c>
      <c r="HJ28" s="50" t="str">
        <f t="shared" si="69"/>
        <v/>
      </c>
      <c r="HK28" s="50" t="str">
        <f t="shared" si="69"/>
        <v/>
      </c>
      <c r="HL28" s="50" t="str">
        <f t="shared" si="69"/>
        <v/>
      </c>
      <c r="HM28" s="50" t="str">
        <f t="shared" si="69"/>
        <v/>
      </c>
      <c r="HN28" s="50" t="str">
        <f t="shared" si="46"/>
        <v/>
      </c>
      <c r="HO28" s="50" t="str">
        <f t="shared" si="46"/>
        <v/>
      </c>
      <c r="HP28" s="50" t="str">
        <f t="shared" si="46"/>
        <v/>
      </c>
      <c r="HQ28" s="50" t="str">
        <f t="shared" si="46"/>
        <v/>
      </c>
      <c r="HR28" s="112" t="str">
        <f t="shared" si="46"/>
        <v/>
      </c>
    </row>
    <row r="29" spans="1:226" ht="11.1" customHeight="1" x14ac:dyDescent="0.25">
      <c r="A29" s="26"/>
      <c r="B29" s="27"/>
      <c r="C29" s="28" t="str">
        <f>IF(A29=0,"",VLOOKUP(A29,[2]CO!$A$3:$F$5327,2,0))</f>
        <v/>
      </c>
      <c r="D29" s="29"/>
      <c r="E29" s="29"/>
      <c r="F29" s="29"/>
      <c r="G29" s="30" t="str">
        <f>IF(A29=0,"",VLOOKUP(A29,[2]CO!$A$3:$F$5327,3,0))</f>
        <v/>
      </c>
      <c r="H29" s="95"/>
      <c r="I29" s="31"/>
      <c r="J29" s="31"/>
      <c r="K29" s="31"/>
      <c r="L29" s="31"/>
      <c r="M29" s="32" t="str">
        <f t="shared" si="36"/>
        <v/>
      </c>
      <c r="N29" s="32" t="str">
        <f>IF(B29=0,"",IF(H29="M",HLOOKUP(B29,$Y$12:$DT$13,2),IF(A29=0,"",VLOOKUP(A29,[2]CO!$A$3:$F$5327,4,0))))</f>
        <v/>
      </c>
      <c r="O29" s="32" t="str">
        <f t="shared" si="25"/>
        <v/>
      </c>
      <c r="P29" s="33"/>
      <c r="Q29" s="34" t="str">
        <f t="shared" si="37"/>
        <v/>
      </c>
      <c r="R29" s="35" t="str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RESIDENTE",G29="TOPOGRAFIA"),VLOOKUP(B29,P$14:Q$49,2),"")*S29)</f>
        <v/>
      </c>
      <c r="T29" s="53" t="str">
        <f>IF(A29=0,"",VLOOKUP(A29,[2]CO!$A$3:$F$5318,5,0))</f>
        <v/>
      </c>
      <c r="U29" s="54">
        <f t="shared" si="38"/>
        <v>0</v>
      </c>
      <c r="V29" s="24"/>
      <c r="W29" s="25"/>
      <c r="X29" s="25"/>
      <c r="Y29" s="64" t="str">
        <f t="shared" si="39"/>
        <v/>
      </c>
      <c r="Z29" s="55" t="str">
        <f t="shared" si="39"/>
        <v/>
      </c>
      <c r="AA29" s="55" t="str">
        <f t="shared" si="39"/>
        <v/>
      </c>
      <c r="AB29" s="55" t="str">
        <f t="shared" si="39"/>
        <v/>
      </c>
      <c r="AC29" s="55" t="str">
        <f t="shared" si="39"/>
        <v/>
      </c>
      <c r="AD29" s="55" t="str">
        <f t="shared" si="39"/>
        <v/>
      </c>
      <c r="AE29" s="55" t="str">
        <f t="shared" si="39"/>
        <v/>
      </c>
      <c r="AF29" s="55" t="str">
        <f t="shared" si="39"/>
        <v/>
      </c>
      <c r="AG29" s="55" t="str">
        <f t="shared" si="39"/>
        <v/>
      </c>
      <c r="AH29" s="55" t="str">
        <f t="shared" si="39"/>
        <v/>
      </c>
      <c r="AI29" s="55" t="str">
        <f t="shared" si="39"/>
        <v/>
      </c>
      <c r="AJ29" s="55" t="str">
        <f t="shared" si="39"/>
        <v/>
      </c>
      <c r="AK29" s="55" t="str">
        <f t="shared" si="39"/>
        <v/>
      </c>
      <c r="AL29" s="55" t="str">
        <f t="shared" si="39"/>
        <v/>
      </c>
      <c r="AM29" s="55" t="str">
        <f t="shared" si="39"/>
        <v/>
      </c>
      <c r="AN29" s="55" t="str">
        <f t="shared" si="39"/>
        <v/>
      </c>
      <c r="AO29" s="55" t="str">
        <f t="shared" si="64"/>
        <v/>
      </c>
      <c r="AP29" s="55" t="str">
        <f t="shared" si="64"/>
        <v/>
      </c>
      <c r="AQ29" s="55" t="str">
        <f t="shared" si="64"/>
        <v/>
      </c>
      <c r="AR29" s="55" t="str">
        <f t="shared" si="64"/>
        <v/>
      </c>
      <c r="AS29" s="55" t="str">
        <f t="shared" si="64"/>
        <v/>
      </c>
      <c r="AT29" s="55" t="str">
        <f t="shared" si="64"/>
        <v/>
      </c>
      <c r="AU29" s="55" t="str">
        <f t="shared" si="64"/>
        <v/>
      </c>
      <c r="AV29" s="55" t="str">
        <f t="shared" si="64"/>
        <v/>
      </c>
      <c r="AW29" s="55" t="str">
        <f t="shared" si="64"/>
        <v/>
      </c>
      <c r="AX29" s="55" t="str">
        <f t="shared" si="64"/>
        <v/>
      </c>
      <c r="AY29" s="55" t="str">
        <f t="shared" si="64"/>
        <v/>
      </c>
      <c r="AZ29" s="55" t="str">
        <f t="shared" si="64"/>
        <v/>
      </c>
      <c r="BA29" s="55" t="str">
        <f t="shared" si="64"/>
        <v/>
      </c>
      <c r="BB29" s="55" t="str">
        <f t="shared" si="64"/>
        <v/>
      </c>
      <c r="BC29" s="55" t="str">
        <f t="shared" si="64"/>
        <v/>
      </c>
      <c r="BD29" s="55" t="str">
        <f t="shared" si="64"/>
        <v/>
      </c>
      <c r="BE29" s="55" t="str">
        <f t="shared" si="65"/>
        <v/>
      </c>
      <c r="BF29" s="55" t="str">
        <f t="shared" si="65"/>
        <v/>
      </c>
      <c r="BG29" s="55" t="str">
        <f t="shared" si="65"/>
        <v/>
      </c>
      <c r="BH29" s="55" t="str">
        <f t="shared" si="65"/>
        <v/>
      </c>
      <c r="BI29" s="55" t="str">
        <f t="shared" si="65"/>
        <v/>
      </c>
      <c r="BJ29" s="55" t="str">
        <f t="shared" si="65"/>
        <v/>
      </c>
      <c r="BK29" s="55" t="str">
        <f t="shared" si="65"/>
        <v/>
      </c>
      <c r="BL29" s="55" t="str">
        <f t="shared" si="65"/>
        <v/>
      </c>
      <c r="BM29" s="55" t="str">
        <f t="shared" si="65"/>
        <v/>
      </c>
      <c r="BN29" s="55" t="str">
        <f t="shared" si="65"/>
        <v/>
      </c>
      <c r="BO29" s="55" t="str">
        <f t="shared" si="65"/>
        <v/>
      </c>
      <c r="BP29" s="55" t="str">
        <f t="shared" si="65"/>
        <v/>
      </c>
      <c r="BQ29" s="55" t="str">
        <f t="shared" si="65"/>
        <v/>
      </c>
      <c r="BR29" s="55" t="str">
        <f t="shared" si="65"/>
        <v/>
      </c>
      <c r="BS29" s="55" t="str">
        <f t="shared" si="65"/>
        <v/>
      </c>
      <c r="BT29" s="55" t="str">
        <f t="shared" si="65"/>
        <v/>
      </c>
      <c r="BU29" s="55" t="str">
        <f t="shared" si="65"/>
        <v/>
      </c>
      <c r="BV29" s="55" t="str">
        <f t="shared" si="65"/>
        <v/>
      </c>
      <c r="BW29" s="55" t="str">
        <f t="shared" si="65"/>
        <v/>
      </c>
      <c r="BX29" s="55" t="str">
        <f t="shared" si="65"/>
        <v/>
      </c>
      <c r="BY29" s="55" t="str">
        <f t="shared" si="65"/>
        <v/>
      </c>
      <c r="BZ29" s="55" t="str">
        <f t="shared" si="65"/>
        <v/>
      </c>
      <c r="CA29" s="55" t="str">
        <f t="shared" si="65"/>
        <v/>
      </c>
      <c r="CB29" s="55" t="str">
        <f t="shared" si="65"/>
        <v/>
      </c>
      <c r="CC29" s="55" t="str">
        <f t="shared" si="65"/>
        <v/>
      </c>
      <c r="CD29" s="55" t="str">
        <f t="shared" si="65"/>
        <v/>
      </c>
      <c r="CE29" s="55" t="str">
        <f t="shared" si="65"/>
        <v/>
      </c>
      <c r="CF29" s="55" t="str">
        <f t="shared" si="65"/>
        <v/>
      </c>
      <c r="CG29" s="55" t="str">
        <f t="shared" si="65"/>
        <v/>
      </c>
      <c r="CH29" s="55" t="str">
        <f t="shared" si="65"/>
        <v/>
      </c>
      <c r="CI29" s="55" t="str">
        <f t="shared" si="65"/>
        <v/>
      </c>
      <c r="CJ29" s="55" t="str">
        <f t="shared" si="65"/>
        <v/>
      </c>
      <c r="CK29" s="55" t="str">
        <f t="shared" si="65"/>
        <v/>
      </c>
      <c r="CL29" s="55" t="str">
        <f t="shared" si="65"/>
        <v/>
      </c>
      <c r="CM29" s="55" t="str">
        <f t="shared" si="65"/>
        <v/>
      </c>
      <c r="CN29" s="55" t="str">
        <f t="shared" si="65"/>
        <v/>
      </c>
      <c r="CO29" s="55" t="str">
        <f t="shared" si="65"/>
        <v/>
      </c>
      <c r="CP29" s="55" t="str">
        <f t="shared" si="65"/>
        <v/>
      </c>
      <c r="CQ29" s="55" t="str">
        <f t="shared" si="65"/>
        <v/>
      </c>
      <c r="CR29" s="55" t="str">
        <f t="shared" si="65"/>
        <v/>
      </c>
      <c r="CS29" s="55" t="str">
        <f t="shared" si="65"/>
        <v/>
      </c>
      <c r="CT29" s="55" t="str">
        <f t="shared" si="65"/>
        <v/>
      </c>
      <c r="CU29" s="55" t="str">
        <f t="shared" si="65"/>
        <v/>
      </c>
      <c r="CV29" s="55" t="str">
        <f t="shared" si="65"/>
        <v/>
      </c>
      <c r="CW29" s="55" t="str">
        <f t="shared" si="65"/>
        <v/>
      </c>
      <c r="CX29" s="55" t="str">
        <f t="shared" si="65"/>
        <v/>
      </c>
      <c r="CY29" s="55" t="str">
        <f t="shared" si="65"/>
        <v/>
      </c>
      <c r="CZ29" s="55" t="str">
        <f t="shared" si="66"/>
        <v/>
      </c>
      <c r="DA29" s="55" t="str">
        <f t="shared" si="66"/>
        <v/>
      </c>
      <c r="DB29" s="55" t="str">
        <f t="shared" si="66"/>
        <v/>
      </c>
      <c r="DC29" s="55" t="str">
        <f t="shared" si="66"/>
        <v/>
      </c>
      <c r="DD29" s="55" t="str">
        <f t="shared" si="66"/>
        <v/>
      </c>
      <c r="DE29" s="55" t="str">
        <f t="shared" si="66"/>
        <v/>
      </c>
      <c r="DF29" s="55" t="str">
        <f t="shared" si="66"/>
        <v/>
      </c>
      <c r="DG29" s="55" t="str">
        <f t="shared" si="66"/>
        <v/>
      </c>
      <c r="DH29" s="55" t="str">
        <f t="shared" si="66"/>
        <v/>
      </c>
      <c r="DI29" s="55" t="str">
        <f t="shared" si="66"/>
        <v/>
      </c>
      <c r="DJ29" s="55" t="str">
        <f t="shared" si="66"/>
        <v/>
      </c>
      <c r="DK29" s="55" t="str">
        <f t="shared" si="41"/>
        <v/>
      </c>
      <c r="DL29" s="55" t="str">
        <f t="shared" si="41"/>
        <v/>
      </c>
      <c r="DM29" s="55" t="str">
        <f t="shared" si="41"/>
        <v/>
      </c>
      <c r="DN29" s="55" t="str">
        <f t="shared" si="41"/>
        <v/>
      </c>
      <c r="DO29" s="55" t="str">
        <f t="shared" si="41"/>
        <v/>
      </c>
      <c r="DP29" s="55" t="str">
        <f t="shared" si="41"/>
        <v/>
      </c>
      <c r="DQ29" s="55" t="str">
        <f t="shared" si="42"/>
        <v/>
      </c>
      <c r="DR29" s="55" t="str">
        <f t="shared" si="42"/>
        <v/>
      </c>
      <c r="DS29" s="55" t="str">
        <f t="shared" si="42"/>
        <v/>
      </c>
      <c r="DT29" s="106" t="str">
        <f t="shared" si="42"/>
        <v/>
      </c>
      <c r="DU29" s="54"/>
      <c r="DV29" s="25"/>
      <c r="DW29" s="61" t="str">
        <f t="shared" si="43"/>
        <v/>
      </c>
      <c r="DX29" s="50" t="str">
        <f t="shared" si="43"/>
        <v/>
      </c>
      <c r="DY29" s="50" t="str">
        <f t="shared" si="43"/>
        <v/>
      </c>
      <c r="DZ29" s="50" t="str">
        <f t="shared" si="43"/>
        <v/>
      </c>
      <c r="EA29" s="50" t="str">
        <f t="shared" si="43"/>
        <v/>
      </c>
      <c r="EB29" s="50" t="str">
        <f t="shared" si="43"/>
        <v/>
      </c>
      <c r="EC29" s="50" t="str">
        <f t="shared" si="43"/>
        <v/>
      </c>
      <c r="ED29" s="50" t="str">
        <f t="shared" si="43"/>
        <v/>
      </c>
      <c r="EE29" s="50" t="str">
        <f t="shared" si="43"/>
        <v/>
      </c>
      <c r="EF29" s="50" t="str">
        <f t="shared" si="43"/>
        <v/>
      </c>
      <c r="EG29" s="50" t="str">
        <f t="shared" si="43"/>
        <v/>
      </c>
      <c r="EH29" s="50" t="str">
        <f t="shared" si="43"/>
        <v/>
      </c>
      <c r="EI29" s="50" t="str">
        <f t="shared" si="43"/>
        <v/>
      </c>
      <c r="EJ29" s="50" t="str">
        <f t="shared" si="43"/>
        <v/>
      </c>
      <c r="EK29" s="50" t="str">
        <f t="shared" si="43"/>
        <v/>
      </c>
      <c r="EL29" s="50" t="str">
        <f t="shared" si="43"/>
        <v/>
      </c>
      <c r="EM29" s="50" t="str">
        <f t="shared" si="67"/>
        <v/>
      </c>
      <c r="EN29" s="50" t="str">
        <f t="shared" si="67"/>
        <v/>
      </c>
      <c r="EO29" s="50" t="str">
        <f t="shared" si="67"/>
        <v/>
      </c>
      <c r="EP29" s="50" t="str">
        <f t="shared" si="67"/>
        <v/>
      </c>
      <c r="EQ29" s="50" t="str">
        <f t="shared" si="67"/>
        <v/>
      </c>
      <c r="ER29" s="50" t="str">
        <f t="shared" si="67"/>
        <v/>
      </c>
      <c r="ES29" s="50" t="str">
        <f t="shared" si="67"/>
        <v/>
      </c>
      <c r="ET29" s="50" t="str">
        <f t="shared" si="67"/>
        <v/>
      </c>
      <c r="EU29" s="50" t="str">
        <f t="shared" si="67"/>
        <v/>
      </c>
      <c r="EV29" s="50" t="str">
        <f t="shared" si="67"/>
        <v/>
      </c>
      <c r="EW29" s="50" t="str">
        <f t="shared" si="67"/>
        <v/>
      </c>
      <c r="EX29" s="50" t="str">
        <f t="shared" si="67"/>
        <v/>
      </c>
      <c r="EY29" s="50" t="str">
        <f t="shared" si="67"/>
        <v/>
      </c>
      <c r="EZ29" s="50" t="str">
        <f t="shared" si="67"/>
        <v/>
      </c>
      <c r="FA29" s="50" t="str">
        <f t="shared" si="67"/>
        <v/>
      </c>
      <c r="FB29" s="50" t="str">
        <f t="shared" si="67"/>
        <v/>
      </c>
      <c r="FC29" s="50" t="str">
        <f t="shared" si="68"/>
        <v/>
      </c>
      <c r="FD29" s="50" t="str">
        <f t="shared" si="68"/>
        <v/>
      </c>
      <c r="FE29" s="50" t="str">
        <f t="shared" si="68"/>
        <v/>
      </c>
      <c r="FF29" s="50" t="str">
        <f t="shared" si="68"/>
        <v/>
      </c>
      <c r="FG29" s="50" t="str">
        <f t="shared" si="68"/>
        <v/>
      </c>
      <c r="FH29" s="50" t="str">
        <f t="shared" si="68"/>
        <v/>
      </c>
      <c r="FI29" s="50" t="str">
        <f t="shared" si="68"/>
        <v/>
      </c>
      <c r="FJ29" s="50" t="str">
        <f t="shared" si="68"/>
        <v/>
      </c>
      <c r="FK29" s="50" t="str">
        <f t="shared" si="68"/>
        <v/>
      </c>
      <c r="FL29" s="50" t="str">
        <f t="shared" si="68"/>
        <v/>
      </c>
      <c r="FM29" s="50" t="str">
        <f t="shared" si="68"/>
        <v/>
      </c>
      <c r="FN29" s="50" t="str">
        <f t="shared" si="68"/>
        <v/>
      </c>
      <c r="FO29" s="50" t="str">
        <f t="shared" si="68"/>
        <v/>
      </c>
      <c r="FP29" s="50" t="str">
        <f t="shared" si="68"/>
        <v/>
      </c>
      <c r="FQ29" s="50" t="str">
        <f t="shared" si="68"/>
        <v/>
      </c>
      <c r="FR29" s="50" t="str">
        <f t="shared" si="68"/>
        <v/>
      </c>
      <c r="FS29" s="50" t="str">
        <f t="shared" si="68"/>
        <v/>
      </c>
      <c r="FT29" s="50" t="str">
        <f t="shared" si="68"/>
        <v/>
      </c>
      <c r="FU29" s="50" t="str">
        <f t="shared" si="68"/>
        <v/>
      </c>
      <c r="FV29" s="50" t="str">
        <f t="shared" si="68"/>
        <v/>
      </c>
      <c r="FW29" s="50" t="str">
        <f t="shared" si="68"/>
        <v/>
      </c>
      <c r="FX29" s="50" t="str">
        <f t="shared" si="68"/>
        <v/>
      </c>
      <c r="FY29" s="50" t="str">
        <f t="shared" si="68"/>
        <v/>
      </c>
      <c r="FZ29" s="50" t="str">
        <f t="shared" si="68"/>
        <v/>
      </c>
      <c r="GA29" s="50" t="str">
        <f t="shared" si="68"/>
        <v/>
      </c>
      <c r="GB29" s="50" t="str">
        <f t="shared" si="68"/>
        <v/>
      </c>
      <c r="GC29" s="50" t="str">
        <f t="shared" si="68"/>
        <v/>
      </c>
      <c r="GD29" s="50" t="str">
        <f t="shared" si="68"/>
        <v/>
      </c>
      <c r="GE29" s="50" t="str">
        <f t="shared" si="68"/>
        <v/>
      </c>
      <c r="GF29" s="50" t="str">
        <f t="shared" si="68"/>
        <v/>
      </c>
      <c r="GG29" s="50" t="str">
        <f t="shared" si="68"/>
        <v/>
      </c>
      <c r="GH29" s="50" t="str">
        <f t="shared" si="68"/>
        <v/>
      </c>
      <c r="GI29" s="50" t="str">
        <f t="shared" si="68"/>
        <v/>
      </c>
      <c r="GJ29" s="50" t="str">
        <f t="shared" si="68"/>
        <v/>
      </c>
      <c r="GK29" s="50" t="str">
        <f t="shared" si="68"/>
        <v/>
      </c>
      <c r="GL29" s="50" t="str">
        <f t="shared" si="68"/>
        <v/>
      </c>
      <c r="GM29" s="50" t="str">
        <f t="shared" si="68"/>
        <v/>
      </c>
      <c r="GN29" s="50" t="str">
        <f t="shared" si="68"/>
        <v/>
      </c>
      <c r="GO29" s="50" t="str">
        <f t="shared" si="68"/>
        <v/>
      </c>
      <c r="GP29" s="50" t="str">
        <f t="shared" si="68"/>
        <v/>
      </c>
      <c r="GQ29" s="50" t="str">
        <f t="shared" si="68"/>
        <v/>
      </c>
      <c r="GR29" s="50" t="str">
        <f t="shared" si="68"/>
        <v/>
      </c>
      <c r="GS29" s="50" t="str">
        <f t="shared" si="68"/>
        <v/>
      </c>
      <c r="GT29" s="50" t="str">
        <f t="shared" si="68"/>
        <v/>
      </c>
      <c r="GU29" s="50" t="str">
        <f t="shared" si="68"/>
        <v/>
      </c>
      <c r="GV29" s="50" t="str">
        <f t="shared" si="68"/>
        <v/>
      </c>
      <c r="GW29" s="50" t="str">
        <f t="shared" si="68"/>
        <v/>
      </c>
      <c r="GX29" s="50" t="str">
        <f t="shared" si="69"/>
        <v/>
      </c>
      <c r="GY29" s="50" t="str">
        <f t="shared" si="69"/>
        <v/>
      </c>
      <c r="GZ29" s="50" t="str">
        <f t="shared" si="69"/>
        <v/>
      </c>
      <c r="HA29" s="50" t="str">
        <f t="shared" si="69"/>
        <v/>
      </c>
      <c r="HB29" s="50" t="str">
        <f t="shared" si="69"/>
        <v/>
      </c>
      <c r="HC29" s="50" t="str">
        <f t="shared" si="69"/>
        <v/>
      </c>
      <c r="HD29" s="50" t="str">
        <f t="shared" si="69"/>
        <v/>
      </c>
      <c r="HE29" s="50" t="str">
        <f t="shared" si="69"/>
        <v/>
      </c>
      <c r="HF29" s="50" t="str">
        <f t="shared" si="69"/>
        <v/>
      </c>
      <c r="HG29" s="50" t="str">
        <f t="shared" si="69"/>
        <v/>
      </c>
      <c r="HH29" s="50" t="str">
        <f t="shared" si="69"/>
        <v/>
      </c>
      <c r="HI29" s="50" t="str">
        <f t="shared" si="69"/>
        <v/>
      </c>
      <c r="HJ29" s="50" t="str">
        <f t="shared" si="69"/>
        <v/>
      </c>
      <c r="HK29" s="50" t="str">
        <f t="shared" si="69"/>
        <v/>
      </c>
      <c r="HL29" s="50" t="str">
        <f t="shared" si="69"/>
        <v/>
      </c>
      <c r="HM29" s="50" t="str">
        <f t="shared" si="69"/>
        <v/>
      </c>
      <c r="HN29" s="50" t="str">
        <f t="shared" si="46"/>
        <v/>
      </c>
      <c r="HO29" s="50" t="str">
        <f t="shared" si="46"/>
        <v/>
      </c>
      <c r="HP29" s="50" t="str">
        <f t="shared" si="46"/>
        <v/>
      </c>
      <c r="HQ29" s="50" t="str">
        <f t="shared" si="46"/>
        <v/>
      </c>
      <c r="HR29" s="112" t="str">
        <f t="shared" si="46"/>
        <v/>
      </c>
    </row>
    <row r="30" spans="1:226" ht="11.1" customHeight="1" thickBot="1" x14ac:dyDescent="0.3">
      <c r="A30" s="66"/>
      <c r="B30" s="67"/>
      <c r="C30" s="68" t="str">
        <f>IF(A30=0,"",VLOOKUP(A30,[2]CO!$A$3:$F$5327,2,0))</f>
        <v/>
      </c>
      <c r="D30" s="69"/>
      <c r="E30" s="69"/>
      <c r="F30" s="69"/>
      <c r="G30" s="70" t="str">
        <f>IF(A30=0,"",VLOOKUP(A30,[2]CO!$A$3:$F$5327,3,0))</f>
        <v/>
      </c>
      <c r="H30" s="96"/>
      <c r="I30" s="71"/>
      <c r="J30" s="71"/>
      <c r="K30" s="71"/>
      <c r="L30" s="71"/>
      <c r="M30" s="72" t="str">
        <f t="shared" si="36"/>
        <v/>
      </c>
      <c r="N30" s="72" t="str">
        <f>IF(B30=0,"",IF(H30="M",HLOOKUP(B30,$Y$12:$DT$13,2),IF(A30=0,"",VLOOKUP(A30,[2]CO!$A$3:$F$5327,4,0))))</f>
        <v/>
      </c>
      <c r="O30" s="72" t="str">
        <f t="shared" si="25"/>
        <v/>
      </c>
      <c r="P30" s="73"/>
      <c r="Q30" s="74" t="str">
        <f t="shared" si="37"/>
        <v/>
      </c>
      <c r="R30" s="75" t="str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RESIDENTE",G30="TOPOGRAFIA"),VLOOKUP(B30,P$14:Q$49,2),"")*S30)</f>
        <v/>
      </c>
      <c r="T30" s="53" t="str">
        <f>IF(A30=0,"",VLOOKUP(A30,[2]CO!$A$3:$F$5318,5,0))</f>
        <v/>
      </c>
      <c r="U30" s="54">
        <f t="shared" si="38"/>
        <v>0</v>
      </c>
      <c r="V30" s="24"/>
      <c r="W30" s="25"/>
      <c r="X30" s="25"/>
      <c r="Y30" s="76" t="str">
        <f t="shared" si="39"/>
        <v/>
      </c>
      <c r="Z30" s="77" t="str">
        <f t="shared" si="39"/>
        <v/>
      </c>
      <c r="AA30" s="77" t="str">
        <f t="shared" si="39"/>
        <v/>
      </c>
      <c r="AB30" s="77" t="str">
        <f t="shared" si="39"/>
        <v/>
      </c>
      <c r="AC30" s="77" t="str">
        <f t="shared" si="39"/>
        <v/>
      </c>
      <c r="AD30" s="77" t="str">
        <f t="shared" si="39"/>
        <v/>
      </c>
      <c r="AE30" s="77" t="str">
        <f t="shared" si="39"/>
        <v/>
      </c>
      <c r="AF30" s="77" t="str">
        <f t="shared" si="39"/>
        <v/>
      </c>
      <c r="AG30" s="77" t="str">
        <f t="shared" si="39"/>
        <v/>
      </c>
      <c r="AH30" s="77" t="str">
        <f t="shared" si="39"/>
        <v/>
      </c>
      <c r="AI30" s="77" t="str">
        <f t="shared" si="39"/>
        <v/>
      </c>
      <c r="AJ30" s="77" t="str">
        <f t="shared" si="39"/>
        <v/>
      </c>
      <c r="AK30" s="77" t="str">
        <f t="shared" si="39"/>
        <v/>
      </c>
      <c r="AL30" s="77" t="str">
        <f t="shared" si="39"/>
        <v/>
      </c>
      <c r="AM30" s="77" t="str">
        <f t="shared" si="39"/>
        <v/>
      </c>
      <c r="AN30" s="77" t="str">
        <f t="shared" si="39"/>
        <v/>
      </c>
      <c r="AO30" s="77" t="str">
        <f t="shared" si="64"/>
        <v/>
      </c>
      <c r="AP30" s="77" t="str">
        <f t="shared" si="64"/>
        <v/>
      </c>
      <c r="AQ30" s="77" t="str">
        <f t="shared" si="64"/>
        <v/>
      </c>
      <c r="AR30" s="77" t="str">
        <f t="shared" si="64"/>
        <v/>
      </c>
      <c r="AS30" s="77" t="str">
        <f t="shared" si="64"/>
        <v/>
      </c>
      <c r="AT30" s="77" t="str">
        <f t="shared" si="64"/>
        <v/>
      </c>
      <c r="AU30" s="77" t="str">
        <f t="shared" si="64"/>
        <v/>
      </c>
      <c r="AV30" s="77" t="str">
        <f t="shared" si="64"/>
        <v/>
      </c>
      <c r="AW30" s="77" t="str">
        <f t="shared" si="64"/>
        <v/>
      </c>
      <c r="AX30" s="77" t="str">
        <f t="shared" si="64"/>
        <v/>
      </c>
      <c r="AY30" s="77" t="str">
        <f t="shared" si="64"/>
        <v/>
      </c>
      <c r="AZ30" s="77" t="str">
        <f t="shared" si="64"/>
        <v/>
      </c>
      <c r="BA30" s="77" t="str">
        <f t="shared" si="64"/>
        <v/>
      </c>
      <c r="BB30" s="77" t="str">
        <f t="shared" si="64"/>
        <v/>
      </c>
      <c r="BC30" s="77" t="str">
        <f t="shared" si="64"/>
        <v/>
      </c>
      <c r="BD30" s="77" t="str">
        <f t="shared" si="64"/>
        <v/>
      </c>
      <c r="BE30" s="77" t="str">
        <f t="shared" si="65"/>
        <v/>
      </c>
      <c r="BF30" s="77" t="str">
        <f t="shared" si="65"/>
        <v/>
      </c>
      <c r="BG30" s="77" t="str">
        <f t="shared" si="65"/>
        <v/>
      </c>
      <c r="BH30" s="77" t="str">
        <f t="shared" si="65"/>
        <v/>
      </c>
      <c r="BI30" s="77" t="str">
        <f t="shared" si="65"/>
        <v/>
      </c>
      <c r="BJ30" s="77" t="str">
        <f t="shared" si="65"/>
        <v/>
      </c>
      <c r="BK30" s="77" t="str">
        <f t="shared" si="65"/>
        <v/>
      </c>
      <c r="BL30" s="77" t="str">
        <f t="shared" si="65"/>
        <v/>
      </c>
      <c r="BM30" s="77" t="str">
        <f t="shared" si="65"/>
        <v/>
      </c>
      <c r="BN30" s="77" t="str">
        <f t="shared" si="65"/>
        <v/>
      </c>
      <c r="BO30" s="77" t="str">
        <f t="shared" si="65"/>
        <v/>
      </c>
      <c r="BP30" s="77" t="str">
        <f t="shared" si="65"/>
        <v/>
      </c>
      <c r="BQ30" s="77" t="str">
        <f t="shared" si="65"/>
        <v/>
      </c>
      <c r="BR30" s="77" t="str">
        <f t="shared" si="65"/>
        <v/>
      </c>
      <c r="BS30" s="77" t="str">
        <f t="shared" si="65"/>
        <v/>
      </c>
      <c r="BT30" s="77" t="str">
        <f t="shared" si="65"/>
        <v/>
      </c>
      <c r="BU30" s="77" t="str">
        <f t="shared" si="65"/>
        <v/>
      </c>
      <c r="BV30" s="77" t="str">
        <f t="shared" si="65"/>
        <v/>
      </c>
      <c r="BW30" s="77" t="str">
        <f t="shared" si="65"/>
        <v/>
      </c>
      <c r="BX30" s="77" t="str">
        <f t="shared" si="65"/>
        <v/>
      </c>
      <c r="BY30" s="77" t="str">
        <f t="shared" ref="BY30:CY30" si="70">IF($B30=BY$12,$U30,"")</f>
        <v/>
      </c>
      <c r="BZ30" s="77" t="str">
        <f t="shared" si="70"/>
        <v/>
      </c>
      <c r="CA30" s="77" t="str">
        <f t="shared" si="70"/>
        <v/>
      </c>
      <c r="CB30" s="77" t="str">
        <f t="shared" si="70"/>
        <v/>
      </c>
      <c r="CC30" s="77" t="str">
        <f t="shared" si="70"/>
        <v/>
      </c>
      <c r="CD30" s="77" t="str">
        <f t="shared" si="70"/>
        <v/>
      </c>
      <c r="CE30" s="77" t="str">
        <f t="shared" si="70"/>
        <v/>
      </c>
      <c r="CF30" s="77" t="str">
        <f t="shared" si="70"/>
        <v/>
      </c>
      <c r="CG30" s="77" t="str">
        <f t="shared" si="70"/>
        <v/>
      </c>
      <c r="CH30" s="77" t="str">
        <f t="shared" si="70"/>
        <v/>
      </c>
      <c r="CI30" s="77" t="str">
        <f t="shared" si="70"/>
        <v/>
      </c>
      <c r="CJ30" s="77" t="str">
        <f t="shared" si="70"/>
        <v/>
      </c>
      <c r="CK30" s="77" t="str">
        <f t="shared" si="70"/>
        <v/>
      </c>
      <c r="CL30" s="77" t="str">
        <f t="shared" si="70"/>
        <v/>
      </c>
      <c r="CM30" s="77" t="str">
        <f t="shared" si="70"/>
        <v/>
      </c>
      <c r="CN30" s="77" t="str">
        <f t="shared" si="70"/>
        <v/>
      </c>
      <c r="CO30" s="77" t="str">
        <f t="shared" si="70"/>
        <v/>
      </c>
      <c r="CP30" s="77" t="str">
        <f t="shared" si="70"/>
        <v/>
      </c>
      <c r="CQ30" s="77" t="str">
        <f t="shared" si="70"/>
        <v/>
      </c>
      <c r="CR30" s="77" t="str">
        <f t="shared" si="70"/>
        <v/>
      </c>
      <c r="CS30" s="77" t="str">
        <f t="shared" si="70"/>
        <v/>
      </c>
      <c r="CT30" s="77" t="str">
        <f t="shared" si="70"/>
        <v/>
      </c>
      <c r="CU30" s="77" t="str">
        <f t="shared" si="70"/>
        <v/>
      </c>
      <c r="CV30" s="77" t="str">
        <f t="shared" si="70"/>
        <v/>
      </c>
      <c r="CW30" s="77" t="str">
        <f t="shared" si="70"/>
        <v/>
      </c>
      <c r="CX30" s="77" t="str">
        <f t="shared" si="70"/>
        <v/>
      </c>
      <c r="CY30" s="77" t="str">
        <f t="shared" si="70"/>
        <v/>
      </c>
      <c r="CZ30" s="77" t="str">
        <f t="shared" si="66"/>
        <v/>
      </c>
      <c r="DA30" s="77" t="str">
        <f t="shared" si="66"/>
        <v/>
      </c>
      <c r="DB30" s="77" t="str">
        <f t="shared" si="66"/>
        <v/>
      </c>
      <c r="DC30" s="77" t="str">
        <f t="shared" si="66"/>
        <v/>
      </c>
      <c r="DD30" s="77" t="str">
        <f t="shared" si="66"/>
        <v/>
      </c>
      <c r="DE30" s="77" t="str">
        <f t="shared" si="66"/>
        <v/>
      </c>
      <c r="DF30" s="77" t="str">
        <f t="shared" si="66"/>
        <v/>
      </c>
      <c r="DG30" s="77" t="str">
        <f t="shared" si="66"/>
        <v/>
      </c>
      <c r="DH30" s="77" t="str">
        <f t="shared" si="66"/>
        <v/>
      </c>
      <c r="DI30" s="77" t="str">
        <f t="shared" si="66"/>
        <v/>
      </c>
      <c r="DJ30" s="77" t="str">
        <f t="shared" si="66"/>
        <v/>
      </c>
      <c r="DK30" s="77" t="str">
        <f t="shared" si="41"/>
        <v/>
      </c>
      <c r="DL30" s="77" t="str">
        <f t="shared" si="41"/>
        <v/>
      </c>
      <c r="DM30" s="77" t="str">
        <f t="shared" si="41"/>
        <v/>
      </c>
      <c r="DN30" s="77" t="str">
        <f t="shared" si="41"/>
        <v/>
      </c>
      <c r="DO30" s="77" t="str">
        <f t="shared" si="41"/>
        <v/>
      </c>
      <c r="DP30" s="77" t="str">
        <f t="shared" si="41"/>
        <v/>
      </c>
      <c r="DQ30" s="77" t="str">
        <f t="shared" si="42"/>
        <v/>
      </c>
      <c r="DR30" s="77" t="str">
        <f t="shared" si="42"/>
        <v/>
      </c>
      <c r="DS30" s="77" t="str">
        <f t="shared" si="42"/>
        <v/>
      </c>
      <c r="DT30" s="107" t="str">
        <f t="shared" si="42"/>
        <v/>
      </c>
      <c r="DU30" s="54"/>
      <c r="DV30" s="25"/>
      <c r="DW30" s="78" t="str">
        <f t="shared" si="43"/>
        <v/>
      </c>
      <c r="DX30" s="79" t="str">
        <f t="shared" si="43"/>
        <v/>
      </c>
      <c r="DY30" s="79" t="str">
        <f t="shared" si="43"/>
        <v/>
      </c>
      <c r="DZ30" s="79" t="str">
        <f t="shared" si="43"/>
        <v/>
      </c>
      <c r="EA30" s="79" t="str">
        <f t="shared" si="43"/>
        <v/>
      </c>
      <c r="EB30" s="79" t="str">
        <f t="shared" si="43"/>
        <v/>
      </c>
      <c r="EC30" s="79" t="str">
        <f t="shared" si="43"/>
        <v/>
      </c>
      <c r="ED30" s="79" t="str">
        <f t="shared" si="43"/>
        <v/>
      </c>
      <c r="EE30" s="79" t="str">
        <f t="shared" si="43"/>
        <v/>
      </c>
      <c r="EF30" s="79" t="str">
        <f t="shared" si="43"/>
        <v/>
      </c>
      <c r="EG30" s="79" t="str">
        <f t="shared" si="43"/>
        <v/>
      </c>
      <c r="EH30" s="79" t="str">
        <f t="shared" si="43"/>
        <v/>
      </c>
      <c r="EI30" s="79" t="str">
        <f t="shared" si="43"/>
        <v/>
      </c>
      <c r="EJ30" s="79" t="str">
        <f t="shared" si="43"/>
        <v/>
      </c>
      <c r="EK30" s="79" t="str">
        <f t="shared" si="43"/>
        <v/>
      </c>
      <c r="EL30" s="79" t="str">
        <f t="shared" si="43"/>
        <v/>
      </c>
      <c r="EM30" s="79" t="str">
        <f t="shared" si="67"/>
        <v/>
      </c>
      <c r="EN30" s="79" t="str">
        <f t="shared" si="67"/>
        <v/>
      </c>
      <c r="EO30" s="79" t="str">
        <f t="shared" si="67"/>
        <v/>
      </c>
      <c r="EP30" s="79" t="str">
        <f t="shared" si="67"/>
        <v/>
      </c>
      <c r="EQ30" s="79" t="str">
        <f t="shared" si="67"/>
        <v/>
      </c>
      <c r="ER30" s="79" t="str">
        <f t="shared" si="67"/>
        <v/>
      </c>
      <c r="ES30" s="79" t="str">
        <f t="shared" si="67"/>
        <v/>
      </c>
      <c r="ET30" s="79" t="str">
        <f t="shared" si="67"/>
        <v/>
      </c>
      <c r="EU30" s="79" t="str">
        <f t="shared" si="67"/>
        <v/>
      </c>
      <c r="EV30" s="79" t="str">
        <f t="shared" si="67"/>
        <v/>
      </c>
      <c r="EW30" s="79" t="str">
        <f t="shared" si="67"/>
        <v/>
      </c>
      <c r="EX30" s="79" t="str">
        <f t="shared" si="67"/>
        <v/>
      </c>
      <c r="EY30" s="79" t="str">
        <f t="shared" si="67"/>
        <v/>
      </c>
      <c r="EZ30" s="79" t="str">
        <f t="shared" si="67"/>
        <v/>
      </c>
      <c r="FA30" s="79" t="str">
        <f t="shared" si="67"/>
        <v/>
      </c>
      <c r="FB30" s="79" t="str">
        <f t="shared" si="67"/>
        <v/>
      </c>
      <c r="FC30" s="79" t="str">
        <f t="shared" si="68"/>
        <v/>
      </c>
      <c r="FD30" s="79" t="str">
        <f t="shared" si="68"/>
        <v/>
      </c>
      <c r="FE30" s="79" t="str">
        <f t="shared" si="68"/>
        <v/>
      </c>
      <c r="FF30" s="79" t="str">
        <f t="shared" si="68"/>
        <v/>
      </c>
      <c r="FG30" s="79" t="str">
        <f t="shared" si="68"/>
        <v/>
      </c>
      <c r="FH30" s="79" t="str">
        <f t="shared" si="68"/>
        <v/>
      </c>
      <c r="FI30" s="79" t="str">
        <f t="shared" si="68"/>
        <v/>
      </c>
      <c r="FJ30" s="79" t="str">
        <f t="shared" si="68"/>
        <v/>
      </c>
      <c r="FK30" s="79" t="str">
        <f t="shared" si="68"/>
        <v/>
      </c>
      <c r="FL30" s="79" t="str">
        <f t="shared" si="68"/>
        <v/>
      </c>
      <c r="FM30" s="79" t="str">
        <f t="shared" si="68"/>
        <v/>
      </c>
      <c r="FN30" s="79" t="str">
        <f t="shared" si="68"/>
        <v/>
      </c>
      <c r="FO30" s="79" t="str">
        <f t="shared" si="68"/>
        <v/>
      </c>
      <c r="FP30" s="79" t="str">
        <f t="shared" si="68"/>
        <v/>
      </c>
      <c r="FQ30" s="79" t="str">
        <f t="shared" si="68"/>
        <v/>
      </c>
      <c r="FR30" s="79" t="str">
        <f t="shared" si="68"/>
        <v/>
      </c>
      <c r="FS30" s="79" t="str">
        <f t="shared" si="68"/>
        <v/>
      </c>
      <c r="FT30" s="79" t="str">
        <f t="shared" si="68"/>
        <v/>
      </c>
      <c r="FU30" s="79" t="str">
        <f t="shared" si="68"/>
        <v/>
      </c>
      <c r="FV30" s="79" t="str">
        <f t="shared" si="68"/>
        <v/>
      </c>
      <c r="FW30" s="79" t="str">
        <f t="shared" ref="FW30:GW30" si="71">IF($B30=FW$12,$O30,"")</f>
        <v/>
      </c>
      <c r="FX30" s="79" t="str">
        <f t="shared" si="71"/>
        <v/>
      </c>
      <c r="FY30" s="79" t="str">
        <f t="shared" si="71"/>
        <v/>
      </c>
      <c r="FZ30" s="79" t="str">
        <f t="shared" si="71"/>
        <v/>
      </c>
      <c r="GA30" s="79" t="str">
        <f t="shared" si="71"/>
        <v/>
      </c>
      <c r="GB30" s="79" t="str">
        <f t="shared" si="71"/>
        <v/>
      </c>
      <c r="GC30" s="79" t="str">
        <f t="shared" si="71"/>
        <v/>
      </c>
      <c r="GD30" s="79" t="str">
        <f t="shared" si="71"/>
        <v/>
      </c>
      <c r="GE30" s="79" t="str">
        <f t="shared" si="71"/>
        <v/>
      </c>
      <c r="GF30" s="79" t="str">
        <f t="shared" si="71"/>
        <v/>
      </c>
      <c r="GG30" s="79" t="str">
        <f t="shared" si="71"/>
        <v/>
      </c>
      <c r="GH30" s="79" t="str">
        <f t="shared" si="71"/>
        <v/>
      </c>
      <c r="GI30" s="79" t="str">
        <f t="shared" si="71"/>
        <v/>
      </c>
      <c r="GJ30" s="79" t="str">
        <f t="shared" si="71"/>
        <v/>
      </c>
      <c r="GK30" s="79" t="str">
        <f t="shared" si="71"/>
        <v/>
      </c>
      <c r="GL30" s="79" t="str">
        <f t="shared" si="71"/>
        <v/>
      </c>
      <c r="GM30" s="79" t="str">
        <f t="shared" si="71"/>
        <v/>
      </c>
      <c r="GN30" s="79" t="str">
        <f t="shared" si="71"/>
        <v/>
      </c>
      <c r="GO30" s="79" t="str">
        <f t="shared" si="71"/>
        <v/>
      </c>
      <c r="GP30" s="79" t="str">
        <f t="shared" si="71"/>
        <v/>
      </c>
      <c r="GQ30" s="79" t="str">
        <f t="shared" si="71"/>
        <v/>
      </c>
      <c r="GR30" s="79" t="str">
        <f t="shared" si="71"/>
        <v/>
      </c>
      <c r="GS30" s="79" t="str">
        <f t="shared" si="71"/>
        <v/>
      </c>
      <c r="GT30" s="79" t="str">
        <f t="shared" si="71"/>
        <v/>
      </c>
      <c r="GU30" s="79" t="str">
        <f t="shared" si="71"/>
        <v/>
      </c>
      <c r="GV30" s="79" t="str">
        <f t="shared" si="71"/>
        <v/>
      </c>
      <c r="GW30" s="79" t="str">
        <f t="shared" si="71"/>
        <v/>
      </c>
      <c r="GX30" s="79" t="str">
        <f t="shared" si="69"/>
        <v/>
      </c>
      <c r="GY30" s="79" t="str">
        <f t="shared" si="69"/>
        <v/>
      </c>
      <c r="GZ30" s="79" t="str">
        <f t="shared" si="69"/>
        <v/>
      </c>
      <c r="HA30" s="79" t="str">
        <f t="shared" si="69"/>
        <v/>
      </c>
      <c r="HB30" s="79" t="str">
        <f t="shared" si="69"/>
        <v/>
      </c>
      <c r="HC30" s="79" t="str">
        <f t="shared" si="69"/>
        <v/>
      </c>
      <c r="HD30" s="79" t="str">
        <f t="shared" si="69"/>
        <v/>
      </c>
      <c r="HE30" s="79" t="str">
        <f t="shared" si="69"/>
        <v/>
      </c>
      <c r="HF30" s="79" t="str">
        <f t="shared" si="69"/>
        <v/>
      </c>
      <c r="HG30" s="79" t="str">
        <f t="shared" si="69"/>
        <v/>
      </c>
      <c r="HH30" s="79" t="str">
        <f t="shared" si="69"/>
        <v/>
      </c>
      <c r="HI30" s="79" t="str">
        <f t="shared" si="69"/>
        <v/>
      </c>
      <c r="HJ30" s="79" t="str">
        <f t="shared" si="69"/>
        <v/>
      </c>
      <c r="HK30" s="79" t="str">
        <f t="shared" si="69"/>
        <v/>
      </c>
      <c r="HL30" s="79" t="str">
        <f t="shared" si="69"/>
        <v/>
      </c>
      <c r="HM30" s="79" t="str">
        <f t="shared" si="69"/>
        <v/>
      </c>
      <c r="HN30" s="79" t="str">
        <f t="shared" si="46"/>
        <v/>
      </c>
      <c r="HO30" s="79" t="str">
        <f t="shared" si="46"/>
        <v/>
      </c>
      <c r="HP30" s="79" t="str">
        <f t="shared" si="46"/>
        <v/>
      </c>
      <c r="HQ30" s="79" t="str">
        <f t="shared" si="46"/>
        <v/>
      </c>
      <c r="HR30" s="113" t="str">
        <f t="shared" si="46"/>
        <v/>
      </c>
    </row>
    <row r="31" spans="1:226" ht="11.1" customHeight="1" thickTop="1" x14ac:dyDescent="0.25"/>
    <row r="32" spans="1:226" x14ac:dyDescent="0.25">
      <c r="L32" s="119"/>
      <c r="O32" s="48" t="s">
        <v>17</v>
      </c>
      <c r="P32" s="49"/>
      <c r="Q32" s="104">
        <f>SUM(Q25:Q30)</f>
        <v>0</v>
      </c>
      <c r="R32" s="104">
        <f>SUM(R25:R30)</f>
        <v>0</v>
      </c>
    </row>
    <row r="33" spans="1:226" ht="11.1" customHeight="1" thickBot="1" x14ac:dyDescent="0.3"/>
    <row r="34" spans="1:226" ht="16.2" thickBot="1" x14ac:dyDescent="0.3">
      <c r="A34" s="141"/>
      <c r="B34" s="142"/>
      <c r="C34" s="99"/>
      <c r="D34" s="142"/>
      <c r="E34" s="99"/>
      <c r="F34" s="99"/>
      <c r="G34" s="99" t="s">
        <v>19</v>
      </c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100"/>
    </row>
    <row r="35" spans="1:226" ht="11.1" customHeight="1" thickBot="1" x14ac:dyDescent="0.3"/>
    <row r="36" spans="1:226" ht="11.1" customHeight="1" thickTop="1" x14ac:dyDescent="0.25">
      <c r="A36" s="80"/>
      <c r="B36" s="81"/>
      <c r="C36" s="82" t="str">
        <f>IF(A36=0,"",VLOOKUP(A36,[2]CO!$A$3:$F$5327,2,0))</f>
        <v/>
      </c>
      <c r="D36" s="83"/>
      <c r="E36" s="83"/>
      <c r="F36" s="102" t="str">
        <f t="shared" ref="F36:F42" si="72">IF(AND(B36&gt;0,H36&gt;0),(H36*100) &amp; "% DE $" &amp;$Q$21,"")</f>
        <v/>
      </c>
      <c r="G36" s="84" t="str">
        <f>IF(A36=0,"",VLOOKUP(A36,[2]CO!$A$3:$F$5327,3,0))</f>
        <v/>
      </c>
      <c r="H36" s="94"/>
      <c r="I36" s="85"/>
      <c r="J36" s="85"/>
      <c r="K36" s="85"/>
      <c r="L36" s="85"/>
      <c r="M36" s="86" t="str">
        <f t="shared" ref="M36:M41" si="73">IF(L36=0,"",H36*Q$21/N36)</f>
        <v/>
      </c>
      <c r="N36" s="86" t="str">
        <f>IF(B36=0,"",IF(H36="M",HLOOKUP(B36,$Y$12:$DT$13,2),IF(A36=0,"",VLOOKUP(A36,[2]CO!$A$3:$F$5327,4,0))))</f>
        <v/>
      </c>
      <c r="O36" s="86" t="str">
        <f t="shared" si="25"/>
        <v/>
      </c>
      <c r="P36" s="87"/>
      <c r="Q36" s="88" t="str">
        <f t="shared" ref="Q36:Q42" si="74">IF(P36=0,"",(HLOOKUP(P36,$DW$12:$HR$13,2)))</f>
        <v/>
      </c>
      <c r="R36" s="89"/>
      <c r="T36" s="53" t="str">
        <f>IF(A36=0,"",VLOOKUP(A36,[2]CO!$A$3:$F$5318,5,0))</f>
        <v/>
      </c>
      <c r="U36" s="54">
        <f t="shared" si="38"/>
        <v>0</v>
      </c>
      <c r="V36" s="24"/>
      <c r="W36" s="25"/>
      <c r="X36" s="25"/>
      <c r="Y36" s="90" t="str">
        <f t="shared" ref="Y36:AN42" si="75">IF($B36=Y$12,$U36,"")</f>
        <v/>
      </c>
      <c r="Z36" s="91" t="str">
        <f t="shared" si="75"/>
        <v/>
      </c>
      <c r="AA36" s="91" t="str">
        <f t="shared" si="75"/>
        <v/>
      </c>
      <c r="AB36" s="91" t="str">
        <f t="shared" si="75"/>
        <v/>
      </c>
      <c r="AC36" s="91" t="str">
        <f t="shared" si="75"/>
        <v/>
      </c>
      <c r="AD36" s="91" t="str">
        <f t="shared" si="75"/>
        <v/>
      </c>
      <c r="AE36" s="91" t="str">
        <f t="shared" si="75"/>
        <v/>
      </c>
      <c r="AF36" s="91" t="str">
        <f t="shared" si="75"/>
        <v/>
      </c>
      <c r="AG36" s="91" t="str">
        <f t="shared" si="75"/>
        <v/>
      </c>
      <c r="AH36" s="91" t="str">
        <f t="shared" si="75"/>
        <v/>
      </c>
      <c r="AI36" s="91" t="str">
        <f t="shared" si="75"/>
        <v/>
      </c>
      <c r="AJ36" s="91" t="str">
        <f t="shared" si="75"/>
        <v/>
      </c>
      <c r="AK36" s="91" t="str">
        <f t="shared" si="75"/>
        <v/>
      </c>
      <c r="AL36" s="91" t="str">
        <f t="shared" si="75"/>
        <v/>
      </c>
      <c r="AM36" s="91" t="str">
        <f t="shared" si="75"/>
        <v/>
      </c>
      <c r="AN36" s="91" t="str">
        <f t="shared" si="75"/>
        <v/>
      </c>
      <c r="AO36" s="91" t="str">
        <f t="shared" ref="AO36:BD42" si="76">IF($B36=AO$12,$U36,"")</f>
        <v/>
      </c>
      <c r="AP36" s="91" t="str">
        <f t="shared" si="76"/>
        <v/>
      </c>
      <c r="AQ36" s="91" t="str">
        <f t="shared" si="76"/>
        <v/>
      </c>
      <c r="AR36" s="91" t="str">
        <f t="shared" si="76"/>
        <v/>
      </c>
      <c r="AS36" s="91" t="str">
        <f t="shared" si="76"/>
        <v/>
      </c>
      <c r="AT36" s="91" t="str">
        <f t="shared" si="76"/>
        <v/>
      </c>
      <c r="AU36" s="91" t="str">
        <f t="shared" si="76"/>
        <v/>
      </c>
      <c r="AV36" s="91" t="str">
        <f t="shared" si="76"/>
        <v/>
      </c>
      <c r="AW36" s="91" t="str">
        <f t="shared" si="76"/>
        <v/>
      </c>
      <c r="AX36" s="91" t="str">
        <f t="shared" si="76"/>
        <v/>
      </c>
      <c r="AY36" s="91" t="str">
        <f t="shared" si="76"/>
        <v/>
      </c>
      <c r="AZ36" s="91" t="str">
        <f t="shared" si="76"/>
        <v/>
      </c>
      <c r="BA36" s="91" t="str">
        <f t="shared" si="76"/>
        <v/>
      </c>
      <c r="BB36" s="91" t="str">
        <f t="shared" si="76"/>
        <v/>
      </c>
      <c r="BC36" s="91" t="str">
        <f t="shared" si="76"/>
        <v/>
      </c>
      <c r="BD36" s="91" t="str">
        <f t="shared" si="76"/>
        <v/>
      </c>
      <c r="BE36" s="91" t="str">
        <f t="shared" ref="BE36:BT42" si="77">IF($B36=BE$12,$U36,"")</f>
        <v/>
      </c>
      <c r="BF36" s="91" t="str">
        <f t="shared" si="77"/>
        <v/>
      </c>
      <c r="BG36" s="91" t="str">
        <f t="shared" si="77"/>
        <v/>
      </c>
      <c r="BH36" s="91" t="str">
        <f t="shared" si="77"/>
        <v/>
      </c>
      <c r="BI36" s="91" t="str">
        <f t="shared" si="77"/>
        <v/>
      </c>
      <c r="BJ36" s="91" t="str">
        <f t="shared" si="77"/>
        <v/>
      </c>
      <c r="BK36" s="91" t="str">
        <f t="shared" si="77"/>
        <v/>
      </c>
      <c r="BL36" s="91" t="str">
        <f t="shared" si="77"/>
        <v/>
      </c>
      <c r="BM36" s="91" t="str">
        <f t="shared" si="77"/>
        <v/>
      </c>
      <c r="BN36" s="91" t="str">
        <f t="shared" si="77"/>
        <v/>
      </c>
      <c r="BO36" s="91" t="str">
        <f t="shared" si="77"/>
        <v/>
      </c>
      <c r="BP36" s="91" t="str">
        <f t="shared" si="77"/>
        <v/>
      </c>
      <c r="BQ36" s="91" t="str">
        <f t="shared" si="77"/>
        <v/>
      </c>
      <c r="BR36" s="91" t="str">
        <f t="shared" si="77"/>
        <v/>
      </c>
      <c r="BS36" s="91" t="str">
        <f t="shared" si="77"/>
        <v/>
      </c>
      <c r="BT36" s="91" t="str">
        <f t="shared" si="77"/>
        <v/>
      </c>
      <c r="BU36" s="91" t="str">
        <f t="shared" ref="BU36:DT40" si="78">IF($B36=BU$12,$U36,"")</f>
        <v/>
      </c>
      <c r="BV36" s="91" t="str">
        <f t="shared" si="78"/>
        <v/>
      </c>
      <c r="BW36" s="91" t="str">
        <f t="shared" si="78"/>
        <v/>
      </c>
      <c r="BX36" s="91" t="str">
        <f t="shared" si="78"/>
        <v/>
      </c>
      <c r="BY36" s="91" t="str">
        <f t="shared" si="78"/>
        <v/>
      </c>
      <c r="BZ36" s="91" t="str">
        <f t="shared" si="78"/>
        <v/>
      </c>
      <c r="CA36" s="91" t="str">
        <f t="shared" si="78"/>
        <v/>
      </c>
      <c r="CB36" s="91" t="str">
        <f t="shared" si="78"/>
        <v/>
      </c>
      <c r="CC36" s="91" t="str">
        <f t="shared" si="78"/>
        <v/>
      </c>
      <c r="CD36" s="91" t="str">
        <f t="shared" si="78"/>
        <v/>
      </c>
      <c r="CE36" s="91" t="str">
        <f t="shared" si="78"/>
        <v/>
      </c>
      <c r="CF36" s="91" t="str">
        <f t="shared" si="78"/>
        <v/>
      </c>
      <c r="CG36" s="91" t="str">
        <f t="shared" si="78"/>
        <v/>
      </c>
      <c r="CH36" s="91" t="str">
        <f t="shared" si="78"/>
        <v/>
      </c>
      <c r="CI36" s="91" t="str">
        <f t="shared" si="78"/>
        <v/>
      </c>
      <c r="CJ36" s="91" t="str">
        <f t="shared" si="78"/>
        <v/>
      </c>
      <c r="CK36" s="91" t="str">
        <f t="shared" si="78"/>
        <v/>
      </c>
      <c r="CL36" s="91" t="str">
        <f t="shared" si="78"/>
        <v/>
      </c>
      <c r="CM36" s="91" t="str">
        <f t="shared" si="78"/>
        <v/>
      </c>
      <c r="CN36" s="91" t="str">
        <f t="shared" si="78"/>
        <v/>
      </c>
      <c r="CO36" s="91" t="str">
        <f t="shared" si="78"/>
        <v/>
      </c>
      <c r="CP36" s="91" t="str">
        <f t="shared" si="78"/>
        <v/>
      </c>
      <c r="CQ36" s="91" t="str">
        <f t="shared" si="78"/>
        <v/>
      </c>
      <c r="CR36" s="91" t="str">
        <f t="shared" si="78"/>
        <v/>
      </c>
      <c r="CS36" s="91" t="str">
        <f t="shared" si="78"/>
        <v/>
      </c>
      <c r="CT36" s="91" t="str">
        <f t="shared" si="78"/>
        <v/>
      </c>
      <c r="CU36" s="91" t="str">
        <f t="shared" si="78"/>
        <v/>
      </c>
      <c r="CV36" s="91" t="str">
        <f t="shared" si="78"/>
        <v/>
      </c>
      <c r="CW36" s="91" t="str">
        <f t="shared" si="78"/>
        <v/>
      </c>
      <c r="CX36" s="91" t="str">
        <f t="shared" si="78"/>
        <v/>
      </c>
      <c r="CY36" s="91" t="str">
        <f t="shared" si="78"/>
        <v/>
      </c>
      <c r="CZ36" s="91" t="str">
        <f t="shared" si="78"/>
        <v/>
      </c>
      <c r="DA36" s="91" t="str">
        <f t="shared" si="78"/>
        <v/>
      </c>
      <c r="DB36" s="91" t="str">
        <f t="shared" si="78"/>
        <v/>
      </c>
      <c r="DC36" s="91" t="str">
        <f t="shared" si="78"/>
        <v/>
      </c>
      <c r="DD36" s="91" t="str">
        <f t="shared" si="78"/>
        <v/>
      </c>
      <c r="DE36" s="91" t="str">
        <f t="shared" si="78"/>
        <v/>
      </c>
      <c r="DF36" s="91" t="str">
        <f t="shared" si="78"/>
        <v/>
      </c>
      <c r="DG36" s="91" t="str">
        <f t="shared" si="78"/>
        <v/>
      </c>
      <c r="DH36" s="91" t="str">
        <f t="shared" si="78"/>
        <v/>
      </c>
      <c r="DI36" s="91" t="str">
        <f t="shared" si="78"/>
        <v/>
      </c>
      <c r="DJ36" s="91" t="str">
        <f t="shared" si="78"/>
        <v/>
      </c>
      <c r="DK36" s="91" t="str">
        <f t="shared" si="78"/>
        <v/>
      </c>
      <c r="DL36" s="91" t="str">
        <f t="shared" si="78"/>
        <v/>
      </c>
      <c r="DM36" s="91" t="str">
        <f t="shared" si="78"/>
        <v/>
      </c>
      <c r="DN36" s="91" t="str">
        <f t="shared" si="78"/>
        <v/>
      </c>
      <c r="DO36" s="91" t="str">
        <f t="shared" si="78"/>
        <v/>
      </c>
      <c r="DP36" s="91" t="str">
        <f t="shared" si="78"/>
        <v/>
      </c>
      <c r="DQ36" s="91" t="str">
        <f t="shared" si="78"/>
        <v/>
      </c>
      <c r="DR36" s="91" t="str">
        <f t="shared" si="78"/>
        <v/>
      </c>
      <c r="DS36" s="91" t="str">
        <f t="shared" si="78"/>
        <v/>
      </c>
      <c r="DT36" s="105" t="str">
        <f t="shared" si="78"/>
        <v/>
      </c>
      <c r="DU36" s="54"/>
      <c r="DV36" s="25"/>
      <c r="DW36" s="92" t="str">
        <f t="shared" ref="DW36:EL42" si="79">IF($B36=DW$12,$O36,"")</f>
        <v/>
      </c>
      <c r="DX36" s="93" t="str">
        <f t="shared" si="79"/>
        <v/>
      </c>
      <c r="DY36" s="93" t="str">
        <f t="shared" si="79"/>
        <v/>
      </c>
      <c r="DZ36" s="93" t="str">
        <f t="shared" si="79"/>
        <v/>
      </c>
      <c r="EA36" s="93" t="str">
        <f t="shared" si="79"/>
        <v/>
      </c>
      <c r="EB36" s="93" t="str">
        <f t="shared" si="79"/>
        <v/>
      </c>
      <c r="EC36" s="93" t="str">
        <f t="shared" si="79"/>
        <v/>
      </c>
      <c r="ED36" s="93" t="str">
        <f t="shared" si="79"/>
        <v/>
      </c>
      <c r="EE36" s="93" t="str">
        <f t="shared" si="79"/>
        <v/>
      </c>
      <c r="EF36" s="93" t="str">
        <f t="shared" si="79"/>
        <v/>
      </c>
      <c r="EG36" s="93" t="str">
        <f t="shared" si="79"/>
        <v/>
      </c>
      <c r="EH36" s="93" t="str">
        <f t="shared" si="79"/>
        <v/>
      </c>
      <c r="EI36" s="93" t="str">
        <f t="shared" si="79"/>
        <v/>
      </c>
      <c r="EJ36" s="93" t="str">
        <f t="shared" si="79"/>
        <v/>
      </c>
      <c r="EK36" s="93" t="str">
        <f t="shared" si="79"/>
        <v/>
      </c>
      <c r="EL36" s="93" t="str">
        <f t="shared" si="79"/>
        <v/>
      </c>
      <c r="EM36" s="93" t="str">
        <f t="shared" ref="EM36:FB42" si="80">IF($B36=EM$12,$O36,"")</f>
        <v/>
      </c>
      <c r="EN36" s="93" t="str">
        <f t="shared" si="80"/>
        <v/>
      </c>
      <c r="EO36" s="93" t="str">
        <f t="shared" si="80"/>
        <v/>
      </c>
      <c r="EP36" s="93" t="str">
        <f t="shared" si="80"/>
        <v/>
      </c>
      <c r="EQ36" s="93" t="str">
        <f t="shared" si="80"/>
        <v/>
      </c>
      <c r="ER36" s="93" t="str">
        <f t="shared" si="80"/>
        <v/>
      </c>
      <c r="ES36" s="93" t="str">
        <f t="shared" si="80"/>
        <v/>
      </c>
      <c r="ET36" s="93" t="str">
        <f t="shared" si="80"/>
        <v/>
      </c>
      <c r="EU36" s="93" t="str">
        <f t="shared" si="80"/>
        <v/>
      </c>
      <c r="EV36" s="93" t="str">
        <f t="shared" si="80"/>
        <v/>
      </c>
      <c r="EW36" s="93" t="str">
        <f t="shared" si="80"/>
        <v/>
      </c>
      <c r="EX36" s="93" t="str">
        <f t="shared" si="80"/>
        <v/>
      </c>
      <c r="EY36" s="93" t="str">
        <f t="shared" si="80"/>
        <v/>
      </c>
      <c r="EZ36" s="93" t="str">
        <f t="shared" si="80"/>
        <v/>
      </c>
      <c r="FA36" s="93" t="str">
        <f t="shared" si="80"/>
        <v/>
      </c>
      <c r="FB36" s="93" t="str">
        <f t="shared" si="80"/>
        <v/>
      </c>
      <c r="FC36" s="93" t="str">
        <f t="shared" ref="FC36:FR42" si="81">IF($B36=FC$12,$O36,"")</f>
        <v/>
      </c>
      <c r="FD36" s="93" t="str">
        <f t="shared" si="81"/>
        <v/>
      </c>
      <c r="FE36" s="93" t="str">
        <f t="shared" si="81"/>
        <v/>
      </c>
      <c r="FF36" s="93" t="str">
        <f t="shared" si="81"/>
        <v/>
      </c>
      <c r="FG36" s="93" t="str">
        <f t="shared" si="81"/>
        <v/>
      </c>
      <c r="FH36" s="93" t="str">
        <f t="shared" si="81"/>
        <v/>
      </c>
      <c r="FI36" s="93" t="str">
        <f t="shared" si="81"/>
        <v/>
      </c>
      <c r="FJ36" s="93" t="str">
        <f t="shared" si="81"/>
        <v/>
      </c>
      <c r="FK36" s="93" t="str">
        <f t="shared" si="81"/>
        <v/>
      </c>
      <c r="FL36" s="93" t="str">
        <f t="shared" si="81"/>
        <v/>
      </c>
      <c r="FM36" s="93" t="str">
        <f t="shared" si="81"/>
        <v/>
      </c>
      <c r="FN36" s="93" t="str">
        <f t="shared" si="81"/>
        <v/>
      </c>
      <c r="FO36" s="93" t="str">
        <f t="shared" si="81"/>
        <v/>
      </c>
      <c r="FP36" s="93" t="str">
        <f t="shared" si="81"/>
        <v/>
      </c>
      <c r="FQ36" s="93" t="str">
        <f t="shared" si="81"/>
        <v/>
      </c>
      <c r="FR36" s="93" t="str">
        <f t="shared" si="81"/>
        <v/>
      </c>
      <c r="FS36" s="93" t="str">
        <f t="shared" ref="FS36:HR40" si="82">IF($B36=FS$12,$O36,"")</f>
        <v/>
      </c>
      <c r="FT36" s="93" t="str">
        <f t="shared" si="82"/>
        <v/>
      </c>
      <c r="FU36" s="93" t="str">
        <f t="shared" si="82"/>
        <v/>
      </c>
      <c r="FV36" s="93" t="str">
        <f t="shared" si="82"/>
        <v/>
      </c>
      <c r="FW36" s="93" t="str">
        <f t="shared" si="82"/>
        <v/>
      </c>
      <c r="FX36" s="93" t="str">
        <f t="shared" si="82"/>
        <v/>
      </c>
      <c r="FY36" s="93" t="str">
        <f t="shared" si="82"/>
        <v/>
      </c>
      <c r="FZ36" s="93" t="str">
        <f t="shared" si="82"/>
        <v/>
      </c>
      <c r="GA36" s="93" t="str">
        <f t="shared" si="82"/>
        <v/>
      </c>
      <c r="GB36" s="93" t="str">
        <f t="shared" si="82"/>
        <v/>
      </c>
      <c r="GC36" s="93" t="str">
        <f t="shared" si="82"/>
        <v/>
      </c>
      <c r="GD36" s="93" t="str">
        <f t="shared" si="82"/>
        <v/>
      </c>
      <c r="GE36" s="93" t="str">
        <f t="shared" si="82"/>
        <v/>
      </c>
      <c r="GF36" s="93" t="str">
        <f t="shared" si="82"/>
        <v/>
      </c>
      <c r="GG36" s="93" t="str">
        <f t="shared" si="82"/>
        <v/>
      </c>
      <c r="GH36" s="93" t="str">
        <f t="shared" si="82"/>
        <v/>
      </c>
      <c r="GI36" s="93" t="str">
        <f t="shared" si="82"/>
        <v/>
      </c>
      <c r="GJ36" s="93" t="str">
        <f t="shared" si="82"/>
        <v/>
      </c>
      <c r="GK36" s="93" t="str">
        <f t="shared" si="82"/>
        <v/>
      </c>
      <c r="GL36" s="93" t="str">
        <f t="shared" si="82"/>
        <v/>
      </c>
      <c r="GM36" s="93" t="str">
        <f t="shared" si="82"/>
        <v/>
      </c>
      <c r="GN36" s="93" t="str">
        <f t="shared" si="82"/>
        <v/>
      </c>
      <c r="GO36" s="93" t="str">
        <f t="shared" si="82"/>
        <v/>
      </c>
      <c r="GP36" s="93" t="str">
        <f t="shared" si="82"/>
        <v/>
      </c>
      <c r="GQ36" s="93" t="str">
        <f t="shared" si="82"/>
        <v/>
      </c>
      <c r="GR36" s="93" t="str">
        <f t="shared" si="82"/>
        <v/>
      </c>
      <c r="GS36" s="93" t="str">
        <f t="shared" si="82"/>
        <v/>
      </c>
      <c r="GT36" s="93" t="str">
        <f t="shared" si="82"/>
        <v/>
      </c>
      <c r="GU36" s="93" t="str">
        <f t="shared" si="82"/>
        <v/>
      </c>
      <c r="GV36" s="93" t="str">
        <f t="shared" si="82"/>
        <v/>
      </c>
      <c r="GW36" s="93" t="str">
        <f t="shared" si="82"/>
        <v/>
      </c>
      <c r="GX36" s="93" t="str">
        <f t="shared" si="82"/>
        <v/>
      </c>
      <c r="GY36" s="93" t="str">
        <f t="shared" si="82"/>
        <v/>
      </c>
      <c r="GZ36" s="93" t="str">
        <f t="shared" si="82"/>
        <v/>
      </c>
      <c r="HA36" s="93" t="str">
        <f t="shared" si="82"/>
        <v/>
      </c>
      <c r="HB36" s="93" t="str">
        <f t="shared" si="82"/>
        <v/>
      </c>
      <c r="HC36" s="93" t="str">
        <f t="shared" si="82"/>
        <v/>
      </c>
      <c r="HD36" s="93" t="str">
        <f t="shared" si="82"/>
        <v/>
      </c>
      <c r="HE36" s="93" t="str">
        <f t="shared" si="82"/>
        <v/>
      </c>
      <c r="HF36" s="93" t="str">
        <f t="shared" si="82"/>
        <v/>
      </c>
      <c r="HG36" s="93" t="str">
        <f t="shared" si="82"/>
        <v/>
      </c>
      <c r="HH36" s="93" t="str">
        <f t="shared" si="82"/>
        <v/>
      </c>
      <c r="HI36" s="93" t="str">
        <f t="shared" si="82"/>
        <v/>
      </c>
      <c r="HJ36" s="93" t="str">
        <f t="shared" si="82"/>
        <v/>
      </c>
      <c r="HK36" s="93" t="str">
        <f t="shared" si="82"/>
        <v/>
      </c>
      <c r="HL36" s="93" t="str">
        <f t="shared" si="82"/>
        <v/>
      </c>
      <c r="HM36" s="93" t="str">
        <f t="shared" si="82"/>
        <v/>
      </c>
      <c r="HN36" s="93" t="str">
        <f t="shared" si="82"/>
        <v/>
      </c>
      <c r="HO36" s="93" t="str">
        <f t="shared" si="82"/>
        <v/>
      </c>
      <c r="HP36" s="93" t="str">
        <f t="shared" si="82"/>
        <v/>
      </c>
      <c r="HQ36" s="93" t="str">
        <f t="shared" si="82"/>
        <v/>
      </c>
      <c r="HR36" s="111" t="str">
        <f t="shared" si="82"/>
        <v/>
      </c>
    </row>
    <row r="37" spans="1:226" ht="11.1" customHeight="1" x14ac:dyDescent="0.25">
      <c r="A37" s="26"/>
      <c r="B37" s="27"/>
      <c r="C37" s="28" t="str">
        <f>IF(A37=0,"",VLOOKUP(A37,[2]CO!$A$3:$F$5327,2,0))</f>
        <v/>
      </c>
      <c r="D37" s="29"/>
      <c r="E37" s="29"/>
      <c r="F37" s="101" t="str">
        <f t="shared" si="72"/>
        <v/>
      </c>
      <c r="G37" s="30" t="str">
        <f>IF(A37=0,"",VLOOKUP(A37,[2]CO!$A$3:$F$5327,3,0))</f>
        <v/>
      </c>
      <c r="H37" s="95"/>
      <c r="I37" s="31"/>
      <c r="J37" s="31"/>
      <c r="K37" s="31"/>
      <c r="L37" s="31"/>
      <c r="M37" s="32" t="str">
        <f t="shared" si="73"/>
        <v/>
      </c>
      <c r="N37" s="32" t="str">
        <f>IF(B37=0,"",IF(H37="M",HLOOKUP(B37,$Y$12:$DT$13,2),IF(A37=0,"",VLOOKUP(A37,[2]CO!$A$3:$F$5327,4,0))))</f>
        <v/>
      </c>
      <c r="O37" s="32" t="str">
        <f t="shared" si="25"/>
        <v/>
      </c>
      <c r="P37" s="33"/>
      <c r="Q37" s="34" t="str">
        <f t="shared" si="74"/>
        <v/>
      </c>
      <c r="R37" s="35"/>
      <c r="T37" s="53" t="str">
        <f>IF(A37=0,"",VLOOKUP(A37,[2]CO!$A$3:$F$5318,5,0))</f>
        <v/>
      </c>
      <c r="U37" s="54">
        <f t="shared" si="38"/>
        <v>0</v>
      </c>
      <c r="V37" s="24"/>
      <c r="W37" s="25"/>
      <c r="X37" s="25"/>
      <c r="Y37" s="64" t="str">
        <f t="shared" si="75"/>
        <v/>
      </c>
      <c r="Z37" s="55" t="str">
        <f t="shared" si="75"/>
        <v/>
      </c>
      <c r="AA37" s="55" t="str">
        <f t="shared" si="75"/>
        <v/>
      </c>
      <c r="AB37" s="55" t="str">
        <f t="shared" si="75"/>
        <v/>
      </c>
      <c r="AC37" s="55" t="str">
        <f t="shared" si="75"/>
        <v/>
      </c>
      <c r="AD37" s="55" t="str">
        <f t="shared" si="75"/>
        <v/>
      </c>
      <c r="AE37" s="55" t="str">
        <f t="shared" si="75"/>
        <v/>
      </c>
      <c r="AF37" s="55" t="str">
        <f t="shared" si="75"/>
        <v/>
      </c>
      <c r="AG37" s="55" t="str">
        <f t="shared" si="75"/>
        <v/>
      </c>
      <c r="AH37" s="55" t="str">
        <f t="shared" si="75"/>
        <v/>
      </c>
      <c r="AI37" s="55" t="str">
        <f t="shared" si="75"/>
        <v/>
      </c>
      <c r="AJ37" s="55" t="str">
        <f t="shared" si="75"/>
        <v/>
      </c>
      <c r="AK37" s="55" t="str">
        <f t="shared" si="75"/>
        <v/>
      </c>
      <c r="AL37" s="55" t="str">
        <f t="shared" si="75"/>
        <v/>
      </c>
      <c r="AM37" s="55" t="str">
        <f t="shared" si="75"/>
        <v/>
      </c>
      <c r="AN37" s="55" t="str">
        <f t="shared" si="75"/>
        <v/>
      </c>
      <c r="AO37" s="55" t="str">
        <f t="shared" si="76"/>
        <v/>
      </c>
      <c r="AP37" s="55" t="str">
        <f t="shared" si="76"/>
        <v/>
      </c>
      <c r="AQ37" s="55" t="str">
        <f t="shared" si="76"/>
        <v/>
      </c>
      <c r="AR37" s="55" t="str">
        <f t="shared" si="76"/>
        <v/>
      </c>
      <c r="AS37" s="55" t="str">
        <f t="shared" si="76"/>
        <v/>
      </c>
      <c r="AT37" s="55" t="str">
        <f t="shared" si="76"/>
        <v/>
      </c>
      <c r="AU37" s="55" t="str">
        <f t="shared" si="76"/>
        <v/>
      </c>
      <c r="AV37" s="55" t="str">
        <f t="shared" si="76"/>
        <v/>
      </c>
      <c r="AW37" s="55" t="str">
        <f t="shared" si="76"/>
        <v/>
      </c>
      <c r="AX37" s="55" t="str">
        <f t="shared" si="76"/>
        <v/>
      </c>
      <c r="AY37" s="55" t="str">
        <f t="shared" si="76"/>
        <v/>
      </c>
      <c r="AZ37" s="55" t="str">
        <f t="shared" si="76"/>
        <v/>
      </c>
      <c r="BA37" s="55" t="str">
        <f t="shared" si="76"/>
        <v/>
      </c>
      <c r="BB37" s="55" t="str">
        <f t="shared" si="76"/>
        <v/>
      </c>
      <c r="BC37" s="55" t="str">
        <f t="shared" si="76"/>
        <v/>
      </c>
      <c r="BD37" s="55" t="str">
        <f t="shared" si="76"/>
        <v/>
      </c>
      <c r="BE37" s="55" t="str">
        <f t="shared" si="77"/>
        <v/>
      </c>
      <c r="BF37" s="55" t="str">
        <f t="shared" si="77"/>
        <v/>
      </c>
      <c r="BG37" s="55" t="str">
        <f t="shared" si="77"/>
        <v/>
      </c>
      <c r="BH37" s="55" t="str">
        <f t="shared" si="77"/>
        <v/>
      </c>
      <c r="BI37" s="55" t="str">
        <f t="shared" si="77"/>
        <v/>
      </c>
      <c r="BJ37" s="55" t="str">
        <f t="shared" si="77"/>
        <v/>
      </c>
      <c r="BK37" s="55" t="str">
        <f t="shared" si="77"/>
        <v/>
      </c>
      <c r="BL37" s="55" t="str">
        <f t="shared" si="77"/>
        <v/>
      </c>
      <c r="BM37" s="55" t="str">
        <f t="shared" si="77"/>
        <v/>
      </c>
      <c r="BN37" s="55" t="str">
        <f t="shared" si="77"/>
        <v/>
      </c>
      <c r="BO37" s="55" t="str">
        <f t="shared" si="77"/>
        <v/>
      </c>
      <c r="BP37" s="55" t="str">
        <f t="shared" si="77"/>
        <v/>
      </c>
      <c r="BQ37" s="55" t="str">
        <f t="shared" si="77"/>
        <v/>
      </c>
      <c r="BR37" s="55" t="str">
        <f t="shared" si="77"/>
        <v/>
      </c>
      <c r="BS37" s="55" t="str">
        <f t="shared" si="77"/>
        <v/>
      </c>
      <c r="BT37" s="55" t="str">
        <f t="shared" si="77"/>
        <v/>
      </c>
      <c r="BU37" s="55" t="str">
        <f t="shared" si="78"/>
        <v/>
      </c>
      <c r="BV37" s="55" t="str">
        <f t="shared" si="78"/>
        <v/>
      </c>
      <c r="BW37" s="55" t="str">
        <f t="shared" si="78"/>
        <v/>
      </c>
      <c r="BX37" s="55" t="str">
        <f t="shared" si="78"/>
        <v/>
      </c>
      <c r="BY37" s="55" t="str">
        <f t="shared" si="78"/>
        <v/>
      </c>
      <c r="BZ37" s="55" t="str">
        <f t="shared" si="78"/>
        <v/>
      </c>
      <c r="CA37" s="55" t="str">
        <f t="shared" si="78"/>
        <v/>
      </c>
      <c r="CB37" s="55" t="str">
        <f t="shared" si="78"/>
        <v/>
      </c>
      <c r="CC37" s="55" t="str">
        <f t="shared" si="78"/>
        <v/>
      </c>
      <c r="CD37" s="55" t="str">
        <f t="shared" si="78"/>
        <v/>
      </c>
      <c r="CE37" s="55" t="str">
        <f t="shared" si="78"/>
        <v/>
      </c>
      <c r="CF37" s="55" t="str">
        <f t="shared" si="78"/>
        <v/>
      </c>
      <c r="CG37" s="55" t="str">
        <f t="shared" si="78"/>
        <v/>
      </c>
      <c r="CH37" s="55" t="str">
        <f t="shared" si="78"/>
        <v/>
      </c>
      <c r="CI37" s="55" t="str">
        <f t="shared" si="78"/>
        <v/>
      </c>
      <c r="CJ37" s="55" t="str">
        <f t="shared" si="78"/>
        <v/>
      </c>
      <c r="CK37" s="55" t="str">
        <f t="shared" si="78"/>
        <v/>
      </c>
      <c r="CL37" s="55" t="str">
        <f t="shared" si="78"/>
        <v/>
      </c>
      <c r="CM37" s="55" t="str">
        <f t="shared" si="78"/>
        <v/>
      </c>
      <c r="CN37" s="55" t="str">
        <f t="shared" si="78"/>
        <v/>
      </c>
      <c r="CO37" s="55" t="str">
        <f t="shared" si="78"/>
        <v/>
      </c>
      <c r="CP37" s="55" t="str">
        <f t="shared" si="78"/>
        <v/>
      </c>
      <c r="CQ37" s="55" t="str">
        <f t="shared" si="78"/>
        <v/>
      </c>
      <c r="CR37" s="55" t="str">
        <f t="shared" si="78"/>
        <v/>
      </c>
      <c r="CS37" s="55" t="str">
        <f t="shared" si="78"/>
        <v/>
      </c>
      <c r="CT37" s="55" t="str">
        <f t="shared" si="78"/>
        <v/>
      </c>
      <c r="CU37" s="55" t="str">
        <f t="shared" si="78"/>
        <v/>
      </c>
      <c r="CV37" s="55" t="str">
        <f t="shared" si="78"/>
        <v/>
      </c>
      <c r="CW37" s="55" t="str">
        <f t="shared" si="78"/>
        <v/>
      </c>
      <c r="CX37" s="55" t="str">
        <f t="shared" si="78"/>
        <v/>
      </c>
      <c r="CY37" s="55" t="str">
        <f t="shared" si="78"/>
        <v/>
      </c>
      <c r="CZ37" s="55" t="str">
        <f t="shared" si="78"/>
        <v/>
      </c>
      <c r="DA37" s="55" t="str">
        <f t="shared" si="78"/>
        <v/>
      </c>
      <c r="DB37" s="55" t="str">
        <f t="shared" si="78"/>
        <v/>
      </c>
      <c r="DC37" s="55" t="str">
        <f t="shared" si="78"/>
        <v/>
      </c>
      <c r="DD37" s="55" t="str">
        <f t="shared" si="78"/>
        <v/>
      </c>
      <c r="DE37" s="55" t="str">
        <f t="shared" si="78"/>
        <v/>
      </c>
      <c r="DF37" s="55" t="str">
        <f t="shared" si="78"/>
        <v/>
      </c>
      <c r="DG37" s="55" t="str">
        <f t="shared" si="78"/>
        <v/>
      </c>
      <c r="DH37" s="55" t="str">
        <f t="shared" si="78"/>
        <v/>
      </c>
      <c r="DI37" s="55" t="str">
        <f t="shared" si="78"/>
        <v/>
      </c>
      <c r="DJ37" s="55" t="str">
        <f t="shared" si="78"/>
        <v/>
      </c>
      <c r="DK37" s="55" t="str">
        <f t="shared" si="78"/>
        <v/>
      </c>
      <c r="DL37" s="55" t="str">
        <f t="shared" si="78"/>
        <v/>
      </c>
      <c r="DM37" s="55" t="str">
        <f t="shared" si="78"/>
        <v/>
      </c>
      <c r="DN37" s="55" t="str">
        <f t="shared" si="78"/>
        <v/>
      </c>
      <c r="DO37" s="55" t="str">
        <f t="shared" si="78"/>
        <v/>
      </c>
      <c r="DP37" s="55" t="str">
        <f t="shared" si="78"/>
        <v/>
      </c>
      <c r="DQ37" s="55" t="str">
        <f t="shared" si="78"/>
        <v/>
      </c>
      <c r="DR37" s="55" t="str">
        <f t="shared" si="78"/>
        <v/>
      </c>
      <c r="DS37" s="55" t="str">
        <f t="shared" si="78"/>
        <v/>
      </c>
      <c r="DT37" s="106" t="str">
        <f t="shared" si="78"/>
        <v/>
      </c>
      <c r="DU37" s="54"/>
      <c r="DV37" s="25"/>
      <c r="DW37" s="61" t="str">
        <f t="shared" si="79"/>
        <v/>
      </c>
      <c r="DX37" s="50" t="str">
        <f t="shared" si="79"/>
        <v/>
      </c>
      <c r="DY37" s="50" t="str">
        <f t="shared" si="79"/>
        <v/>
      </c>
      <c r="DZ37" s="50" t="str">
        <f t="shared" si="79"/>
        <v/>
      </c>
      <c r="EA37" s="50" t="str">
        <f t="shared" si="79"/>
        <v/>
      </c>
      <c r="EB37" s="50" t="str">
        <f t="shared" si="79"/>
        <v/>
      </c>
      <c r="EC37" s="50" t="str">
        <f t="shared" si="79"/>
        <v/>
      </c>
      <c r="ED37" s="50" t="str">
        <f t="shared" si="79"/>
        <v/>
      </c>
      <c r="EE37" s="50" t="str">
        <f t="shared" si="79"/>
        <v/>
      </c>
      <c r="EF37" s="50" t="str">
        <f t="shared" si="79"/>
        <v/>
      </c>
      <c r="EG37" s="50" t="str">
        <f t="shared" si="79"/>
        <v/>
      </c>
      <c r="EH37" s="50" t="str">
        <f t="shared" si="79"/>
        <v/>
      </c>
      <c r="EI37" s="50" t="str">
        <f t="shared" si="79"/>
        <v/>
      </c>
      <c r="EJ37" s="50" t="str">
        <f t="shared" si="79"/>
        <v/>
      </c>
      <c r="EK37" s="50" t="str">
        <f t="shared" si="79"/>
        <v/>
      </c>
      <c r="EL37" s="50" t="str">
        <f t="shared" si="79"/>
        <v/>
      </c>
      <c r="EM37" s="50" t="str">
        <f t="shared" si="80"/>
        <v/>
      </c>
      <c r="EN37" s="50" t="str">
        <f t="shared" si="80"/>
        <v/>
      </c>
      <c r="EO37" s="50" t="str">
        <f t="shared" si="80"/>
        <v/>
      </c>
      <c r="EP37" s="50" t="str">
        <f t="shared" si="80"/>
        <v/>
      </c>
      <c r="EQ37" s="50" t="str">
        <f t="shared" si="80"/>
        <v/>
      </c>
      <c r="ER37" s="50" t="str">
        <f t="shared" si="80"/>
        <v/>
      </c>
      <c r="ES37" s="50" t="str">
        <f t="shared" si="80"/>
        <v/>
      </c>
      <c r="ET37" s="50" t="str">
        <f t="shared" si="80"/>
        <v/>
      </c>
      <c r="EU37" s="50" t="str">
        <f t="shared" si="80"/>
        <v/>
      </c>
      <c r="EV37" s="50" t="str">
        <f t="shared" si="80"/>
        <v/>
      </c>
      <c r="EW37" s="50" t="str">
        <f t="shared" si="80"/>
        <v/>
      </c>
      <c r="EX37" s="50" t="str">
        <f t="shared" si="80"/>
        <v/>
      </c>
      <c r="EY37" s="50" t="str">
        <f t="shared" si="80"/>
        <v/>
      </c>
      <c r="EZ37" s="50" t="str">
        <f t="shared" si="80"/>
        <v/>
      </c>
      <c r="FA37" s="50" t="str">
        <f t="shared" si="80"/>
        <v/>
      </c>
      <c r="FB37" s="50" t="str">
        <f t="shared" si="80"/>
        <v/>
      </c>
      <c r="FC37" s="50" t="str">
        <f t="shared" si="81"/>
        <v/>
      </c>
      <c r="FD37" s="50" t="str">
        <f t="shared" si="81"/>
        <v/>
      </c>
      <c r="FE37" s="50" t="str">
        <f t="shared" si="81"/>
        <v/>
      </c>
      <c r="FF37" s="50" t="str">
        <f t="shared" si="81"/>
        <v/>
      </c>
      <c r="FG37" s="50" t="str">
        <f t="shared" si="81"/>
        <v/>
      </c>
      <c r="FH37" s="50" t="str">
        <f t="shared" si="81"/>
        <v/>
      </c>
      <c r="FI37" s="50" t="str">
        <f t="shared" si="81"/>
        <v/>
      </c>
      <c r="FJ37" s="50" t="str">
        <f t="shared" si="81"/>
        <v/>
      </c>
      <c r="FK37" s="50" t="str">
        <f t="shared" si="81"/>
        <v/>
      </c>
      <c r="FL37" s="50" t="str">
        <f t="shared" si="81"/>
        <v/>
      </c>
      <c r="FM37" s="50" t="str">
        <f t="shared" si="81"/>
        <v/>
      </c>
      <c r="FN37" s="50" t="str">
        <f t="shared" si="81"/>
        <v/>
      </c>
      <c r="FO37" s="50" t="str">
        <f t="shared" si="81"/>
        <v/>
      </c>
      <c r="FP37" s="50" t="str">
        <f t="shared" si="81"/>
        <v/>
      </c>
      <c r="FQ37" s="50" t="str">
        <f t="shared" si="81"/>
        <v/>
      </c>
      <c r="FR37" s="50" t="str">
        <f t="shared" si="81"/>
        <v/>
      </c>
      <c r="FS37" s="50" t="str">
        <f t="shared" si="82"/>
        <v/>
      </c>
      <c r="FT37" s="50" t="str">
        <f t="shared" si="82"/>
        <v/>
      </c>
      <c r="FU37" s="50" t="str">
        <f t="shared" si="82"/>
        <v/>
      </c>
      <c r="FV37" s="50" t="str">
        <f t="shared" si="82"/>
        <v/>
      </c>
      <c r="FW37" s="50" t="str">
        <f t="shared" si="82"/>
        <v/>
      </c>
      <c r="FX37" s="50" t="str">
        <f t="shared" si="82"/>
        <v/>
      </c>
      <c r="FY37" s="50" t="str">
        <f t="shared" si="82"/>
        <v/>
      </c>
      <c r="FZ37" s="50" t="str">
        <f t="shared" si="82"/>
        <v/>
      </c>
      <c r="GA37" s="50" t="str">
        <f t="shared" si="82"/>
        <v/>
      </c>
      <c r="GB37" s="50" t="str">
        <f t="shared" si="82"/>
        <v/>
      </c>
      <c r="GC37" s="50" t="str">
        <f t="shared" si="82"/>
        <v/>
      </c>
      <c r="GD37" s="50" t="str">
        <f t="shared" si="82"/>
        <v/>
      </c>
      <c r="GE37" s="50" t="str">
        <f t="shared" si="82"/>
        <v/>
      </c>
      <c r="GF37" s="50" t="str">
        <f t="shared" si="82"/>
        <v/>
      </c>
      <c r="GG37" s="50" t="str">
        <f t="shared" si="82"/>
        <v/>
      </c>
      <c r="GH37" s="50" t="str">
        <f t="shared" si="82"/>
        <v/>
      </c>
      <c r="GI37" s="50" t="str">
        <f t="shared" si="82"/>
        <v/>
      </c>
      <c r="GJ37" s="50" t="str">
        <f t="shared" si="82"/>
        <v/>
      </c>
      <c r="GK37" s="50" t="str">
        <f t="shared" si="82"/>
        <v/>
      </c>
      <c r="GL37" s="50" t="str">
        <f t="shared" si="82"/>
        <v/>
      </c>
      <c r="GM37" s="50" t="str">
        <f t="shared" si="82"/>
        <v/>
      </c>
      <c r="GN37" s="50" t="str">
        <f t="shared" si="82"/>
        <v/>
      </c>
      <c r="GO37" s="50" t="str">
        <f t="shared" si="82"/>
        <v/>
      </c>
      <c r="GP37" s="50" t="str">
        <f t="shared" si="82"/>
        <v/>
      </c>
      <c r="GQ37" s="50" t="str">
        <f t="shared" si="82"/>
        <v/>
      </c>
      <c r="GR37" s="50" t="str">
        <f t="shared" si="82"/>
        <v/>
      </c>
      <c r="GS37" s="50" t="str">
        <f t="shared" si="82"/>
        <v/>
      </c>
      <c r="GT37" s="50" t="str">
        <f t="shared" si="82"/>
        <v/>
      </c>
      <c r="GU37" s="50" t="str">
        <f t="shared" si="82"/>
        <v/>
      </c>
      <c r="GV37" s="50" t="str">
        <f t="shared" si="82"/>
        <v/>
      </c>
      <c r="GW37" s="50" t="str">
        <f t="shared" si="82"/>
        <v/>
      </c>
      <c r="GX37" s="50" t="str">
        <f t="shared" si="82"/>
        <v/>
      </c>
      <c r="GY37" s="50" t="str">
        <f t="shared" si="82"/>
        <v/>
      </c>
      <c r="GZ37" s="50" t="str">
        <f t="shared" si="82"/>
        <v/>
      </c>
      <c r="HA37" s="50" t="str">
        <f t="shared" si="82"/>
        <v/>
      </c>
      <c r="HB37" s="50" t="str">
        <f t="shared" si="82"/>
        <v/>
      </c>
      <c r="HC37" s="50" t="str">
        <f t="shared" si="82"/>
        <v/>
      </c>
      <c r="HD37" s="50" t="str">
        <f t="shared" si="82"/>
        <v/>
      </c>
      <c r="HE37" s="50" t="str">
        <f t="shared" si="82"/>
        <v/>
      </c>
      <c r="HF37" s="50" t="str">
        <f t="shared" si="82"/>
        <v/>
      </c>
      <c r="HG37" s="50" t="str">
        <f t="shared" si="82"/>
        <v/>
      </c>
      <c r="HH37" s="50" t="str">
        <f t="shared" si="82"/>
        <v/>
      </c>
      <c r="HI37" s="50" t="str">
        <f t="shared" si="82"/>
        <v/>
      </c>
      <c r="HJ37" s="50" t="str">
        <f t="shared" si="82"/>
        <v/>
      </c>
      <c r="HK37" s="50" t="str">
        <f t="shared" si="82"/>
        <v/>
      </c>
      <c r="HL37" s="50" t="str">
        <f t="shared" si="82"/>
        <v/>
      </c>
      <c r="HM37" s="50" t="str">
        <f t="shared" si="82"/>
        <v/>
      </c>
      <c r="HN37" s="50" t="str">
        <f t="shared" si="82"/>
        <v/>
      </c>
      <c r="HO37" s="50" t="str">
        <f t="shared" si="82"/>
        <v/>
      </c>
      <c r="HP37" s="50" t="str">
        <f t="shared" si="82"/>
        <v/>
      </c>
      <c r="HQ37" s="50" t="str">
        <f t="shared" si="82"/>
        <v/>
      </c>
      <c r="HR37" s="112" t="str">
        <f t="shared" si="82"/>
        <v/>
      </c>
    </row>
    <row r="38" spans="1:226" ht="11.1" customHeight="1" x14ac:dyDescent="0.25">
      <c r="A38" s="26"/>
      <c r="B38" s="27"/>
      <c r="C38" s="28" t="str">
        <f>IF(A38=0,"",VLOOKUP(A38,[2]CO!$A$3:$F$5327,2,0))</f>
        <v/>
      </c>
      <c r="D38" s="29"/>
      <c r="E38" s="29"/>
      <c r="F38" s="101" t="str">
        <f t="shared" si="72"/>
        <v/>
      </c>
      <c r="G38" s="30" t="str">
        <f>IF(A38=0,"",VLOOKUP(A38,[2]CO!$A$3:$F$5327,3,0))</f>
        <v/>
      </c>
      <c r="H38" s="95"/>
      <c r="I38" s="31"/>
      <c r="J38" s="31"/>
      <c r="K38" s="31"/>
      <c r="L38" s="31"/>
      <c r="M38" s="32" t="str">
        <f t="shared" si="73"/>
        <v/>
      </c>
      <c r="N38" s="32" t="str">
        <f>IF(B38=0,"",IF(H38="M",HLOOKUP(B38,$Y$12:$DT$13,2),IF(A38=0,"",VLOOKUP(A38,[2]CO!$A$3:$F$5327,4,0))))</f>
        <v/>
      </c>
      <c r="O38" s="32" t="str">
        <f t="shared" si="25"/>
        <v/>
      </c>
      <c r="P38" s="33"/>
      <c r="Q38" s="34" t="str">
        <f t="shared" si="74"/>
        <v/>
      </c>
      <c r="R38" s="35"/>
      <c r="T38" s="53" t="str">
        <f>IF(A38=0,"",VLOOKUP(A38,[2]CO!$A$3:$F$5318,5,0))</f>
        <v/>
      </c>
      <c r="U38" s="54">
        <f t="shared" si="38"/>
        <v>0</v>
      </c>
      <c r="V38" s="24"/>
      <c r="W38" s="25"/>
      <c r="X38" s="25"/>
      <c r="Y38" s="64" t="str">
        <f t="shared" si="75"/>
        <v/>
      </c>
      <c r="Z38" s="55" t="str">
        <f t="shared" si="75"/>
        <v/>
      </c>
      <c r="AA38" s="55" t="str">
        <f t="shared" si="75"/>
        <v/>
      </c>
      <c r="AB38" s="55" t="str">
        <f t="shared" si="75"/>
        <v/>
      </c>
      <c r="AC38" s="55" t="str">
        <f t="shared" si="75"/>
        <v/>
      </c>
      <c r="AD38" s="55" t="str">
        <f t="shared" si="75"/>
        <v/>
      </c>
      <c r="AE38" s="55" t="str">
        <f t="shared" si="75"/>
        <v/>
      </c>
      <c r="AF38" s="55" t="str">
        <f t="shared" si="75"/>
        <v/>
      </c>
      <c r="AG38" s="55" t="str">
        <f t="shared" si="75"/>
        <v/>
      </c>
      <c r="AH38" s="55" t="str">
        <f t="shared" si="75"/>
        <v/>
      </c>
      <c r="AI38" s="55" t="str">
        <f t="shared" si="75"/>
        <v/>
      </c>
      <c r="AJ38" s="55" t="str">
        <f t="shared" si="75"/>
        <v/>
      </c>
      <c r="AK38" s="55" t="str">
        <f t="shared" si="75"/>
        <v/>
      </c>
      <c r="AL38" s="55" t="str">
        <f t="shared" si="75"/>
        <v/>
      </c>
      <c r="AM38" s="55" t="str">
        <f t="shared" si="75"/>
        <v/>
      </c>
      <c r="AN38" s="55" t="str">
        <f t="shared" si="75"/>
        <v/>
      </c>
      <c r="AO38" s="55" t="str">
        <f t="shared" si="76"/>
        <v/>
      </c>
      <c r="AP38" s="55" t="str">
        <f t="shared" si="76"/>
        <v/>
      </c>
      <c r="AQ38" s="55" t="str">
        <f t="shared" si="76"/>
        <v/>
      </c>
      <c r="AR38" s="55" t="str">
        <f t="shared" si="76"/>
        <v/>
      </c>
      <c r="AS38" s="55" t="str">
        <f t="shared" si="76"/>
        <v/>
      </c>
      <c r="AT38" s="55" t="str">
        <f t="shared" si="76"/>
        <v/>
      </c>
      <c r="AU38" s="55" t="str">
        <f t="shared" si="76"/>
        <v/>
      </c>
      <c r="AV38" s="55" t="str">
        <f t="shared" si="76"/>
        <v/>
      </c>
      <c r="AW38" s="55" t="str">
        <f t="shared" si="76"/>
        <v/>
      </c>
      <c r="AX38" s="55" t="str">
        <f t="shared" si="76"/>
        <v/>
      </c>
      <c r="AY38" s="55" t="str">
        <f t="shared" si="76"/>
        <v/>
      </c>
      <c r="AZ38" s="55" t="str">
        <f t="shared" si="76"/>
        <v/>
      </c>
      <c r="BA38" s="55" t="str">
        <f t="shared" si="76"/>
        <v/>
      </c>
      <c r="BB38" s="55" t="str">
        <f t="shared" si="76"/>
        <v/>
      </c>
      <c r="BC38" s="55" t="str">
        <f t="shared" si="76"/>
        <v/>
      </c>
      <c r="BD38" s="55" t="str">
        <f t="shared" si="76"/>
        <v/>
      </c>
      <c r="BE38" s="55" t="str">
        <f t="shared" si="77"/>
        <v/>
      </c>
      <c r="BF38" s="55" t="str">
        <f t="shared" si="77"/>
        <v/>
      </c>
      <c r="BG38" s="55" t="str">
        <f t="shared" si="77"/>
        <v/>
      </c>
      <c r="BH38" s="55" t="str">
        <f t="shared" si="77"/>
        <v/>
      </c>
      <c r="BI38" s="55" t="str">
        <f t="shared" si="77"/>
        <v/>
      </c>
      <c r="BJ38" s="55" t="str">
        <f t="shared" si="77"/>
        <v/>
      </c>
      <c r="BK38" s="55" t="str">
        <f t="shared" si="77"/>
        <v/>
      </c>
      <c r="BL38" s="55" t="str">
        <f t="shared" si="77"/>
        <v/>
      </c>
      <c r="BM38" s="55" t="str">
        <f t="shared" si="77"/>
        <v/>
      </c>
      <c r="BN38" s="55" t="str">
        <f t="shared" si="77"/>
        <v/>
      </c>
      <c r="BO38" s="55" t="str">
        <f t="shared" si="77"/>
        <v/>
      </c>
      <c r="BP38" s="55" t="str">
        <f t="shared" si="77"/>
        <v/>
      </c>
      <c r="BQ38" s="55" t="str">
        <f t="shared" si="77"/>
        <v/>
      </c>
      <c r="BR38" s="55" t="str">
        <f t="shared" si="77"/>
        <v/>
      </c>
      <c r="BS38" s="55" t="str">
        <f t="shared" si="77"/>
        <v/>
      </c>
      <c r="BT38" s="55" t="str">
        <f t="shared" si="77"/>
        <v/>
      </c>
      <c r="BU38" s="55" t="str">
        <f t="shared" si="78"/>
        <v/>
      </c>
      <c r="BV38" s="55" t="str">
        <f t="shared" si="78"/>
        <v/>
      </c>
      <c r="BW38" s="55" t="str">
        <f t="shared" si="78"/>
        <v/>
      </c>
      <c r="BX38" s="55" t="str">
        <f t="shared" si="78"/>
        <v/>
      </c>
      <c r="BY38" s="55" t="str">
        <f t="shared" si="78"/>
        <v/>
      </c>
      <c r="BZ38" s="55" t="str">
        <f t="shared" si="78"/>
        <v/>
      </c>
      <c r="CA38" s="55" t="str">
        <f t="shared" si="78"/>
        <v/>
      </c>
      <c r="CB38" s="55" t="str">
        <f t="shared" si="78"/>
        <v/>
      </c>
      <c r="CC38" s="55" t="str">
        <f t="shared" si="78"/>
        <v/>
      </c>
      <c r="CD38" s="55" t="str">
        <f t="shared" si="78"/>
        <v/>
      </c>
      <c r="CE38" s="55" t="str">
        <f t="shared" si="78"/>
        <v/>
      </c>
      <c r="CF38" s="55" t="str">
        <f t="shared" si="78"/>
        <v/>
      </c>
      <c r="CG38" s="55" t="str">
        <f t="shared" si="78"/>
        <v/>
      </c>
      <c r="CH38" s="55" t="str">
        <f t="shared" si="78"/>
        <v/>
      </c>
      <c r="CI38" s="55" t="str">
        <f t="shared" si="78"/>
        <v/>
      </c>
      <c r="CJ38" s="55" t="str">
        <f t="shared" si="78"/>
        <v/>
      </c>
      <c r="CK38" s="55" t="str">
        <f t="shared" si="78"/>
        <v/>
      </c>
      <c r="CL38" s="55" t="str">
        <f t="shared" si="78"/>
        <v/>
      </c>
      <c r="CM38" s="55" t="str">
        <f t="shared" si="78"/>
        <v/>
      </c>
      <c r="CN38" s="55" t="str">
        <f t="shared" si="78"/>
        <v/>
      </c>
      <c r="CO38" s="55" t="str">
        <f t="shared" si="78"/>
        <v/>
      </c>
      <c r="CP38" s="55" t="str">
        <f t="shared" si="78"/>
        <v/>
      </c>
      <c r="CQ38" s="55" t="str">
        <f t="shared" si="78"/>
        <v/>
      </c>
      <c r="CR38" s="55" t="str">
        <f t="shared" si="78"/>
        <v/>
      </c>
      <c r="CS38" s="55" t="str">
        <f t="shared" si="78"/>
        <v/>
      </c>
      <c r="CT38" s="55" t="str">
        <f t="shared" si="78"/>
        <v/>
      </c>
      <c r="CU38" s="55" t="str">
        <f t="shared" si="78"/>
        <v/>
      </c>
      <c r="CV38" s="55" t="str">
        <f t="shared" si="78"/>
        <v/>
      </c>
      <c r="CW38" s="55" t="str">
        <f t="shared" si="78"/>
        <v/>
      </c>
      <c r="CX38" s="55" t="str">
        <f t="shared" si="78"/>
        <v/>
      </c>
      <c r="CY38" s="55" t="str">
        <f t="shared" si="78"/>
        <v/>
      </c>
      <c r="CZ38" s="55" t="str">
        <f t="shared" si="78"/>
        <v/>
      </c>
      <c r="DA38" s="55" t="str">
        <f t="shared" si="78"/>
        <v/>
      </c>
      <c r="DB38" s="55" t="str">
        <f t="shared" si="78"/>
        <v/>
      </c>
      <c r="DC38" s="55" t="str">
        <f t="shared" si="78"/>
        <v/>
      </c>
      <c r="DD38" s="55" t="str">
        <f t="shared" si="78"/>
        <v/>
      </c>
      <c r="DE38" s="55" t="str">
        <f t="shared" si="78"/>
        <v/>
      </c>
      <c r="DF38" s="55" t="str">
        <f t="shared" si="78"/>
        <v/>
      </c>
      <c r="DG38" s="55" t="str">
        <f t="shared" si="78"/>
        <v/>
      </c>
      <c r="DH38" s="55" t="str">
        <f t="shared" si="78"/>
        <v/>
      </c>
      <c r="DI38" s="55" t="str">
        <f t="shared" si="78"/>
        <v/>
      </c>
      <c r="DJ38" s="55" t="str">
        <f t="shared" si="78"/>
        <v/>
      </c>
      <c r="DK38" s="55" t="str">
        <f t="shared" si="78"/>
        <v/>
      </c>
      <c r="DL38" s="55" t="str">
        <f t="shared" si="78"/>
        <v/>
      </c>
      <c r="DM38" s="55" t="str">
        <f t="shared" si="78"/>
        <v/>
      </c>
      <c r="DN38" s="55" t="str">
        <f t="shared" si="78"/>
        <v/>
      </c>
      <c r="DO38" s="55" t="str">
        <f t="shared" si="78"/>
        <v/>
      </c>
      <c r="DP38" s="55" t="str">
        <f t="shared" si="78"/>
        <v/>
      </c>
      <c r="DQ38" s="55" t="str">
        <f t="shared" si="78"/>
        <v/>
      </c>
      <c r="DR38" s="55" t="str">
        <f t="shared" si="78"/>
        <v/>
      </c>
      <c r="DS38" s="55" t="str">
        <f t="shared" si="78"/>
        <v/>
      </c>
      <c r="DT38" s="106" t="str">
        <f t="shared" si="78"/>
        <v/>
      </c>
      <c r="DU38" s="54"/>
      <c r="DV38" s="25"/>
      <c r="DW38" s="61" t="str">
        <f t="shared" si="79"/>
        <v/>
      </c>
      <c r="DX38" s="50" t="str">
        <f t="shared" si="79"/>
        <v/>
      </c>
      <c r="DY38" s="50" t="str">
        <f t="shared" si="79"/>
        <v/>
      </c>
      <c r="DZ38" s="50" t="str">
        <f t="shared" si="79"/>
        <v/>
      </c>
      <c r="EA38" s="50" t="str">
        <f t="shared" si="79"/>
        <v/>
      </c>
      <c r="EB38" s="50" t="str">
        <f t="shared" si="79"/>
        <v/>
      </c>
      <c r="EC38" s="50" t="str">
        <f t="shared" si="79"/>
        <v/>
      </c>
      <c r="ED38" s="50" t="str">
        <f t="shared" si="79"/>
        <v/>
      </c>
      <c r="EE38" s="50" t="str">
        <f t="shared" si="79"/>
        <v/>
      </c>
      <c r="EF38" s="50" t="str">
        <f t="shared" si="79"/>
        <v/>
      </c>
      <c r="EG38" s="50" t="str">
        <f t="shared" si="79"/>
        <v/>
      </c>
      <c r="EH38" s="50" t="str">
        <f t="shared" si="79"/>
        <v/>
      </c>
      <c r="EI38" s="50" t="str">
        <f t="shared" si="79"/>
        <v/>
      </c>
      <c r="EJ38" s="50" t="str">
        <f t="shared" si="79"/>
        <v/>
      </c>
      <c r="EK38" s="50" t="str">
        <f t="shared" si="79"/>
        <v/>
      </c>
      <c r="EL38" s="50" t="str">
        <f t="shared" si="79"/>
        <v/>
      </c>
      <c r="EM38" s="50" t="str">
        <f t="shared" si="80"/>
        <v/>
      </c>
      <c r="EN38" s="50" t="str">
        <f t="shared" si="80"/>
        <v/>
      </c>
      <c r="EO38" s="50" t="str">
        <f t="shared" si="80"/>
        <v/>
      </c>
      <c r="EP38" s="50" t="str">
        <f t="shared" si="80"/>
        <v/>
      </c>
      <c r="EQ38" s="50" t="str">
        <f t="shared" si="80"/>
        <v/>
      </c>
      <c r="ER38" s="50" t="str">
        <f t="shared" si="80"/>
        <v/>
      </c>
      <c r="ES38" s="50" t="str">
        <f t="shared" si="80"/>
        <v/>
      </c>
      <c r="ET38" s="50" t="str">
        <f t="shared" si="80"/>
        <v/>
      </c>
      <c r="EU38" s="50" t="str">
        <f t="shared" si="80"/>
        <v/>
      </c>
      <c r="EV38" s="50" t="str">
        <f t="shared" si="80"/>
        <v/>
      </c>
      <c r="EW38" s="50" t="str">
        <f t="shared" si="80"/>
        <v/>
      </c>
      <c r="EX38" s="50" t="str">
        <f t="shared" si="80"/>
        <v/>
      </c>
      <c r="EY38" s="50" t="str">
        <f t="shared" si="80"/>
        <v/>
      </c>
      <c r="EZ38" s="50" t="str">
        <f t="shared" si="80"/>
        <v/>
      </c>
      <c r="FA38" s="50" t="str">
        <f t="shared" si="80"/>
        <v/>
      </c>
      <c r="FB38" s="50" t="str">
        <f t="shared" si="80"/>
        <v/>
      </c>
      <c r="FC38" s="50" t="str">
        <f t="shared" si="81"/>
        <v/>
      </c>
      <c r="FD38" s="50" t="str">
        <f t="shared" si="81"/>
        <v/>
      </c>
      <c r="FE38" s="50" t="str">
        <f t="shared" si="81"/>
        <v/>
      </c>
      <c r="FF38" s="50" t="str">
        <f t="shared" si="81"/>
        <v/>
      </c>
      <c r="FG38" s="50" t="str">
        <f t="shared" si="81"/>
        <v/>
      </c>
      <c r="FH38" s="50" t="str">
        <f t="shared" si="81"/>
        <v/>
      </c>
      <c r="FI38" s="50" t="str">
        <f t="shared" si="81"/>
        <v/>
      </c>
      <c r="FJ38" s="50" t="str">
        <f t="shared" si="81"/>
        <v/>
      </c>
      <c r="FK38" s="50" t="str">
        <f t="shared" si="81"/>
        <v/>
      </c>
      <c r="FL38" s="50" t="str">
        <f t="shared" si="81"/>
        <v/>
      </c>
      <c r="FM38" s="50" t="str">
        <f t="shared" si="81"/>
        <v/>
      </c>
      <c r="FN38" s="50" t="str">
        <f t="shared" si="81"/>
        <v/>
      </c>
      <c r="FO38" s="50" t="str">
        <f t="shared" si="81"/>
        <v/>
      </c>
      <c r="FP38" s="50" t="str">
        <f t="shared" si="81"/>
        <v/>
      </c>
      <c r="FQ38" s="50" t="str">
        <f t="shared" si="81"/>
        <v/>
      </c>
      <c r="FR38" s="50" t="str">
        <f t="shared" si="81"/>
        <v/>
      </c>
      <c r="FS38" s="50" t="str">
        <f t="shared" si="82"/>
        <v/>
      </c>
      <c r="FT38" s="50" t="str">
        <f t="shared" si="82"/>
        <v/>
      </c>
      <c r="FU38" s="50" t="str">
        <f t="shared" si="82"/>
        <v/>
      </c>
      <c r="FV38" s="50" t="str">
        <f t="shared" si="82"/>
        <v/>
      </c>
      <c r="FW38" s="50" t="str">
        <f t="shared" si="82"/>
        <v/>
      </c>
      <c r="FX38" s="50" t="str">
        <f t="shared" si="82"/>
        <v/>
      </c>
      <c r="FY38" s="50" t="str">
        <f t="shared" si="82"/>
        <v/>
      </c>
      <c r="FZ38" s="50" t="str">
        <f t="shared" si="82"/>
        <v/>
      </c>
      <c r="GA38" s="50" t="str">
        <f t="shared" si="82"/>
        <v/>
      </c>
      <c r="GB38" s="50" t="str">
        <f t="shared" si="82"/>
        <v/>
      </c>
      <c r="GC38" s="50" t="str">
        <f t="shared" si="82"/>
        <v/>
      </c>
      <c r="GD38" s="50" t="str">
        <f t="shared" si="82"/>
        <v/>
      </c>
      <c r="GE38" s="50" t="str">
        <f t="shared" si="82"/>
        <v/>
      </c>
      <c r="GF38" s="50" t="str">
        <f t="shared" si="82"/>
        <v/>
      </c>
      <c r="GG38" s="50" t="str">
        <f t="shared" si="82"/>
        <v/>
      </c>
      <c r="GH38" s="50" t="str">
        <f t="shared" si="82"/>
        <v/>
      </c>
      <c r="GI38" s="50" t="str">
        <f t="shared" si="82"/>
        <v/>
      </c>
      <c r="GJ38" s="50" t="str">
        <f t="shared" si="82"/>
        <v/>
      </c>
      <c r="GK38" s="50" t="str">
        <f t="shared" si="82"/>
        <v/>
      </c>
      <c r="GL38" s="50" t="str">
        <f t="shared" si="82"/>
        <v/>
      </c>
      <c r="GM38" s="50" t="str">
        <f t="shared" si="82"/>
        <v/>
      </c>
      <c r="GN38" s="50" t="str">
        <f t="shared" si="82"/>
        <v/>
      </c>
      <c r="GO38" s="50" t="str">
        <f t="shared" si="82"/>
        <v/>
      </c>
      <c r="GP38" s="50" t="str">
        <f t="shared" si="82"/>
        <v/>
      </c>
      <c r="GQ38" s="50" t="str">
        <f t="shared" si="82"/>
        <v/>
      </c>
      <c r="GR38" s="50" t="str">
        <f t="shared" si="82"/>
        <v/>
      </c>
      <c r="GS38" s="50" t="str">
        <f t="shared" si="82"/>
        <v/>
      </c>
      <c r="GT38" s="50" t="str">
        <f t="shared" si="82"/>
        <v/>
      </c>
      <c r="GU38" s="50" t="str">
        <f t="shared" si="82"/>
        <v/>
      </c>
      <c r="GV38" s="50" t="str">
        <f t="shared" si="82"/>
        <v/>
      </c>
      <c r="GW38" s="50" t="str">
        <f t="shared" si="82"/>
        <v/>
      </c>
      <c r="GX38" s="50" t="str">
        <f t="shared" si="82"/>
        <v/>
      </c>
      <c r="GY38" s="50" t="str">
        <f t="shared" si="82"/>
        <v/>
      </c>
      <c r="GZ38" s="50" t="str">
        <f t="shared" si="82"/>
        <v/>
      </c>
      <c r="HA38" s="50" t="str">
        <f t="shared" si="82"/>
        <v/>
      </c>
      <c r="HB38" s="50" t="str">
        <f t="shared" si="82"/>
        <v/>
      </c>
      <c r="HC38" s="50" t="str">
        <f t="shared" si="82"/>
        <v/>
      </c>
      <c r="HD38" s="50" t="str">
        <f t="shared" si="82"/>
        <v/>
      </c>
      <c r="HE38" s="50" t="str">
        <f t="shared" si="82"/>
        <v/>
      </c>
      <c r="HF38" s="50" t="str">
        <f t="shared" si="82"/>
        <v/>
      </c>
      <c r="HG38" s="50" t="str">
        <f t="shared" si="82"/>
        <v/>
      </c>
      <c r="HH38" s="50" t="str">
        <f t="shared" si="82"/>
        <v/>
      </c>
      <c r="HI38" s="50" t="str">
        <f t="shared" si="82"/>
        <v/>
      </c>
      <c r="HJ38" s="50" t="str">
        <f t="shared" si="82"/>
        <v/>
      </c>
      <c r="HK38" s="50" t="str">
        <f t="shared" si="82"/>
        <v/>
      </c>
      <c r="HL38" s="50" t="str">
        <f t="shared" si="82"/>
        <v/>
      </c>
      <c r="HM38" s="50" t="str">
        <f t="shared" si="82"/>
        <v/>
      </c>
      <c r="HN38" s="50" t="str">
        <f t="shared" si="82"/>
        <v/>
      </c>
      <c r="HO38" s="50" t="str">
        <f t="shared" si="82"/>
        <v/>
      </c>
      <c r="HP38" s="50" t="str">
        <f t="shared" si="82"/>
        <v/>
      </c>
      <c r="HQ38" s="50" t="str">
        <f t="shared" si="82"/>
        <v/>
      </c>
      <c r="HR38" s="112" t="str">
        <f t="shared" si="82"/>
        <v/>
      </c>
    </row>
    <row r="39" spans="1:226" ht="11.1" customHeight="1" x14ac:dyDescent="0.25">
      <c r="A39" s="26"/>
      <c r="B39" s="27"/>
      <c r="C39" s="28" t="str">
        <f>IF(A39=0,"",VLOOKUP(A39,[2]CO!$A$3:$F$5327,2,0))</f>
        <v/>
      </c>
      <c r="D39" s="29"/>
      <c r="E39" s="29"/>
      <c r="F39" s="101" t="str">
        <f t="shared" si="72"/>
        <v/>
      </c>
      <c r="G39" s="30" t="str">
        <f>IF(A39=0,"",VLOOKUP(A39,[2]CO!$A$3:$F$5327,3,0))</f>
        <v/>
      </c>
      <c r="H39" s="95"/>
      <c r="I39" s="31"/>
      <c r="J39" s="31"/>
      <c r="K39" s="31"/>
      <c r="L39" s="31"/>
      <c r="M39" s="32" t="str">
        <f t="shared" si="73"/>
        <v/>
      </c>
      <c r="N39" s="32" t="str">
        <f>IF(B39=0,"",IF(H39="M",HLOOKUP(B39,$Y$12:$DT$13,2),IF(A39=0,"",VLOOKUP(A39,[2]CO!$A$3:$F$5327,4,0))))</f>
        <v/>
      </c>
      <c r="O39" s="32" t="str">
        <f t="shared" si="25"/>
        <v/>
      </c>
      <c r="P39" s="33"/>
      <c r="Q39" s="34" t="str">
        <f t="shared" si="74"/>
        <v/>
      </c>
      <c r="R39" s="35"/>
      <c r="T39" s="53" t="str">
        <f>IF(A39=0,"",VLOOKUP(A39,[2]CO!$A$3:$F$5318,5,0))</f>
        <v/>
      </c>
      <c r="U39" s="54">
        <f t="shared" si="38"/>
        <v>0</v>
      </c>
      <c r="V39" s="24"/>
      <c r="W39" s="25"/>
      <c r="X39" s="25"/>
      <c r="Y39" s="64" t="str">
        <f t="shared" si="75"/>
        <v/>
      </c>
      <c r="Z39" s="55" t="str">
        <f t="shared" si="75"/>
        <v/>
      </c>
      <c r="AA39" s="55" t="str">
        <f t="shared" si="75"/>
        <v/>
      </c>
      <c r="AB39" s="55" t="str">
        <f t="shared" si="75"/>
        <v/>
      </c>
      <c r="AC39" s="55" t="str">
        <f t="shared" si="75"/>
        <v/>
      </c>
      <c r="AD39" s="55" t="str">
        <f t="shared" si="75"/>
        <v/>
      </c>
      <c r="AE39" s="55" t="str">
        <f t="shared" si="75"/>
        <v/>
      </c>
      <c r="AF39" s="55" t="str">
        <f t="shared" si="75"/>
        <v/>
      </c>
      <c r="AG39" s="55" t="str">
        <f t="shared" si="75"/>
        <v/>
      </c>
      <c r="AH39" s="55" t="str">
        <f t="shared" si="75"/>
        <v/>
      </c>
      <c r="AI39" s="55" t="str">
        <f t="shared" si="75"/>
        <v/>
      </c>
      <c r="AJ39" s="55" t="str">
        <f t="shared" si="75"/>
        <v/>
      </c>
      <c r="AK39" s="55" t="str">
        <f t="shared" si="75"/>
        <v/>
      </c>
      <c r="AL39" s="55" t="str">
        <f t="shared" si="75"/>
        <v/>
      </c>
      <c r="AM39" s="55" t="str">
        <f t="shared" si="75"/>
        <v/>
      </c>
      <c r="AN39" s="55" t="str">
        <f t="shared" si="75"/>
        <v/>
      </c>
      <c r="AO39" s="55" t="str">
        <f t="shared" si="76"/>
        <v/>
      </c>
      <c r="AP39" s="55" t="str">
        <f t="shared" si="76"/>
        <v/>
      </c>
      <c r="AQ39" s="55" t="str">
        <f t="shared" si="76"/>
        <v/>
      </c>
      <c r="AR39" s="55" t="str">
        <f t="shared" si="76"/>
        <v/>
      </c>
      <c r="AS39" s="55" t="str">
        <f t="shared" si="76"/>
        <v/>
      </c>
      <c r="AT39" s="55" t="str">
        <f t="shared" si="76"/>
        <v/>
      </c>
      <c r="AU39" s="55" t="str">
        <f t="shared" si="76"/>
        <v/>
      </c>
      <c r="AV39" s="55" t="str">
        <f t="shared" si="76"/>
        <v/>
      </c>
      <c r="AW39" s="55" t="str">
        <f t="shared" si="76"/>
        <v/>
      </c>
      <c r="AX39" s="55" t="str">
        <f t="shared" si="76"/>
        <v/>
      </c>
      <c r="AY39" s="55" t="str">
        <f t="shared" si="76"/>
        <v/>
      </c>
      <c r="AZ39" s="55" t="str">
        <f t="shared" si="76"/>
        <v/>
      </c>
      <c r="BA39" s="55" t="str">
        <f t="shared" si="76"/>
        <v/>
      </c>
      <c r="BB39" s="55" t="str">
        <f t="shared" si="76"/>
        <v/>
      </c>
      <c r="BC39" s="55" t="str">
        <f t="shared" si="76"/>
        <v/>
      </c>
      <c r="BD39" s="55" t="str">
        <f t="shared" si="76"/>
        <v/>
      </c>
      <c r="BE39" s="55" t="str">
        <f t="shared" si="77"/>
        <v/>
      </c>
      <c r="BF39" s="55" t="str">
        <f t="shared" si="77"/>
        <v/>
      </c>
      <c r="BG39" s="55" t="str">
        <f t="shared" si="77"/>
        <v/>
      </c>
      <c r="BH39" s="55" t="str">
        <f t="shared" si="77"/>
        <v/>
      </c>
      <c r="BI39" s="55" t="str">
        <f t="shared" si="77"/>
        <v/>
      </c>
      <c r="BJ39" s="55" t="str">
        <f t="shared" si="77"/>
        <v/>
      </c>
      <c r="BK39" s="55" t="str">
        <f t="shared" si="77"/>
        <v/>
      </c>
      <c r="BL39" s="55" t="str">
        <f t="shared" si="77"/>
        <v/>
      </c>
      <c r="BM39" s="55" t="str">
        <f t="shared" si="77"/>
        <v/>
      </c>
      <c r="BN39" s="55" t="str">
        <f t="shared" si="77"/>
        <v/>
      </c>
      <c r="BO39" s="55" t="str">
        <f t="shared" si="77"/>
        <v/>
      </c>
      <c r="BP39" s="55" t="str">
        <f t="shared" si="77"/>
        <v/>
      </c>
      <c r="BQ39" s="55" t="str">
        <f t="shared" si="77"/>
        <v/>
      </c>
      <c r="BR39" s="55" t="str">
        <f t="shared" si="77"/>
        <v/>
      </c>
      <c r="BS39" s="55" t="str">
        <f t="shared" si="77"/>
        <v/>
      </c>
      <c r="BT39" s="55" t="str">
        <f t="shared" si="77"/>
        <v/>
      </c>
      <c r="BU39" s="55" t="str">
        <f t="shared" si="78"/>
        <v/>
      </c>
      <c r="BV39" s="55" t="str">
        <f t="shared" si="78"/>
        <v/>
      </c>
      <c r="BW39" s="55" t="str">
        <f t="shared" si="78"/>
        <v/>
      </c>
      <c r="BX39" s="55" t="str">
        <f t="shared" si="78"/>
        <v/>
      </c>
      <c r="BY39" s="55" t="str">
        <f t="shared" si="78"/>
        <v/>
      </c>
      <c r="BZ39" s="55" t="str">
        <f t="shared" si="78"/>
        <v/>
      </c>
      <c r="CA39" s="55" t="str">
        <f t="shared" si="78"/>
        <v/>
      </c>
      <c r="CB39" s="55" t="str">
        <f t="shared" si="78"/>
        <v/>
      </c>
      <c r="CC39" s="55" t="str">
        <f t="shared" si="78"/>
        <v/>
      </c>
      <c r="CD39" s="55" t="str">
        <f t="shared" si="78"/>
        <v/>
      </c>
      <c r="CE39" s="55" t="str">
        <f t="shared" si="78"/>
        <v/>
      </c>
      <c r="CF39" s="55" t="str">
        <f t="shared" si="78"/>
        <v/>
      </c>
      <c r="CG39" s="55" t="str">
        <f t="shared" si="78"/>
        <v/>
      </c>
      <c r="CH39" s="55" t="str">
        <f t="shared" si="78"/>
        <v/>
      </c>
      <c r="CI39" s="55" t="str">
        <f t="shared" si="78"/>
        <v/>
      </c>
      <c r="CJ39" s="55" t="str">
        <f t="shared" si="78"/>
        <v/>
      </c>
      <c r="CK39" s="55" t="str">
        <f t="shared" si="78"/>
        <v/>
      </c>
      <c r="CL39" s="55" t="str">
        <f t="shared" si="78"/>
        <v/>
      </c>
      <c r="CM39" s="55" t="str">
        <f t="shared" si="78"/>
        <v/>
      </c>
      <c r="CN39" s="55" t="str">
        <f t="shared" si="78"/>
        <v/>
      </c>
      <c r="CO39" s="55" t="str">
        <f t="shared" si="78"/>
        <v/>
      </c>
      <c r="CP39" s="55" t="str">
        <f t="shared" si="78"/>
        <v/>
      </c>
      <c r="CQ39" s="55" t="str">
        <f t="shared" si="78"/>
        <v/>
      </c>
      <c r="CR39" s="55" t="str">
        <f t="shared" si="78"/>
        <v/>
      </c>
      <c r="CS39" s="55" t="str">
        <f t="shared" si="78"/>
        <v/>
      </c>
      <c r="CT39" s="55" t="str">
        <f t="shared" si="78"/>
        <v/>
      </c>
      <c r="CU39" s="55" t="str">
        <f t="shared" si="78"/>
        <v/>
      </c>
      <c r="CV39" s="55" t="str">
        <f t="shared" si="78"/>
        <v/>
      </c>
      <c r="CW39" s="55" t="str">
        <f t="shared" si="78"/>
        <v/>
      </c>
      <c r="CX39" s="55" t="str">
        <f t="shared" si="78"/>
        <v/>
      </c>
      <c r="CY39" s="55" t="str">
        <f t="shared" si="78"/>
        <v/>
      </c>
      <c r="CZ39" s="55" t="str">
        <f t="shared" si="78"/>
        <v/>
      </c>
      <c r="DA39" s="55" t="str">
        <f t="shared" si="78"/>
        <v/>
      </c>
      <c r="DB39" s="55" t="str">
        <f t="shared" si="78"/>
        <v/>
      </c>
      <c r="DC39" s="55" t="str">
        <f t="shared" si="78"/>
        <v/>
      </c>
      <c r="DD39" s="55" t="str">
        <f t="shared" si="78"/>
        <v/>
      </c>
      <c r="DE39" s="55" t="str">
        <f t="shared" si="78"/>
        <v/>
      </c>
      <c r="DF39" s="55" t="str">
        <f t="shared" si="78"/>
        <v/>
      </c>
      <c r="DG39" s="55" t="str">
        <f t="shared" si="78"/>
        <v/>
      </c>
      <c r="DH39" s="55" t="str">
        <f t="shared" si="78"/>
        <v/>
      </c>
      <c r="DI39" s="55" t="str">
        <f t="shared" si="78"/>
        <v/>
      </c>
      <c r="DJ39" s="55" t="str">
        <f t="shared" si="78"/>
        <v/>
      </c>
      <c r="DK39" s="55" t="str">
        <f t="shared" si="78"/>
        <v/>
      </c>
      <c r="DL39" s="55" t="str">
        <f t="shared" si="78"/>
        <v/>
      </c>
      <c r="DM39" s="55" t="str">
        <f t="shared" si="78"/>
        <v/>
      </c>
      <c r="DN39" s="55" t="str">
        <f t="shared" si="78"/>
        <v/>
      </c>
      <c r="DO39" s="55" t="str">
        <f t="shared" si="78"/>
        <v/>
      </c>
      <c r="DP39" s="55" t="str">
        <f t="shared" si="78"/>
        <v/>
      </c>
      <c r="DQ39" s="55" t="str">
        <f t="shared" si="78"/>
        <v/>
      </c>
      <c r="DR39" s="55" t="str">
        <f t="shared" si="78"/>
        <v/>
      </c>
      <c r="DS39" s="55" t="str">
        <f t="shared" si="78"/>
        <v/>
      </c>
      <c r="DT39" s="106" t="str">
        <f t="shared" si="78"/>
        <v/>
      </c>
      <c r="DU39" s="54"/>
      <c r="DV39" s="25"/>
      <c r="DW39" s="61" t="str">
        <f t="shared" si="79"/>
        <v/>
      </c>
      <c r="DX39" s="50" t="str">
        <f t="shared" si="79"/>
        <v/>
      </c>
      <c r="DY39" s="50" t="str">
        <f t="shared" si="79"/>
        <v/>
      </c>
      <c r="DZ39" s="50" t="str">
        <f t="shared" si="79"/>
        <v/>
      </c>
      <c r="EA39" s="50" t="str">
        <f t="shared" si="79"/>
        <v/>
      </c>
      <c r="EB39" s="50" t="str">
        <f t="shared" si="79"/>
        <v/>
      </c>
      <c r="EC39" s="50" t="str">
        <f t="shared" si="79"/>
        <v/>
      </c>
      <c r="ED39" s="50" t="str">
        <f t="shared" si="79"/>
        <v/>
      </c>
      <c r="EE39" s="50" t="str">
        <f t="shared" si="79"/>
        <v/>
      </c>
      <c r="EF39" s="50" t="str">
        <f t="shared" si="79"/>
        <v/>
      </c>
      <c r="EG39" s="50" t="str">
        <f t="shared" si="79"/>
        <v/>
      </c>
      <c r="EH39" s="50" t="str">
        <f t="shared" si="79"/>
        <v/>
      </c>
      <c r="EI39" s="50" t="str">
        <f t="shared" si="79"/>
        <v/>
      </c>
      <c r="EJ39" s="50" t="str">
        <f t="shared" si="79"/>
        <v/>
      </c>
      <c r="EK39" s="50" t="str">
        <f t="shared" si="79"/>
        <v/>
      </c>
      <c r="EL39" s="50" t="str">
        <f t="shared" si="79"/>
        <v/>
      </c>
      <c r="EM39" s="50" t="str">
        <f t="shared" si="80"/>
        <v/>
      </c>
      <c r="EN39" s="50" t="str">
        <f t="shared" si="80"/>
        <v/>
      </c>
      <c r="EO39" s="50" t="str">
        <f t="shared" si="80"/>
        <v/>
      </c>
      <c r="EP39" s="50" t="str">
        <f t="shared" si="80"/>
        <v/>
      </c>
      <c r="EQ39" s="50" t="str">
        <f t="shared" si="80"/>
        <v/>
      </c>
      <c r="ER39" s="50" t="str">
        <f t="shared" si="80"/>
        <v/>
      </c>
      <c r="ES39" s="50" t="str">
        <f t="shared" si="80"/>
        <v/>
      </c>
      <c r="ET39" s="50" t="str">
        <f t="shared" si="80"/>
        <v/>
      </c>
      <c r="EU39" s="50" t="str">
        <f t="shared" si="80"/>
        <v/>
      </c>
      <c r="EV39" s="50" t="str">
        <f t="shared" si="80"/>
        <v/>
      </c>
      <c r="EW39" s="50" t="str">
        <f t="shared" si="80"/>
        <v/>
      </c>
      <c r="EX39" s="50" t="str">
        <f t="shared" si="80"/>
        <v/>
      </c>
      <c r="EY39" s="50" t="str">
        <f t="shared" si="80"/>
        <v/>
      </c>
      <c r="EZ39" s="50" t="str">
        <f t="shared" si="80"/>
        <v/>
      </c>
      <c r="FA39" s="50" t="str">
        <f t="shared" si="80"/>
        <v/>
      </c>
      <c r="FB39" s="50" t="str">
        <f t="shared" si="80"/>
        <v/>
      </c>
      <c r="FC39" s="50" t="str">
        <f t="shared" si="81"/>
        <v/>
      </c>
      <c r="FD39" s="50" t="str">
        <f t="shared" si="81"/>
        <v/>
      </c>
      <c r="FE39" s="50" t="str">
        <f t="shared" si="81"/>
        <v/>
      </c>
      <c r="FF39" s="50" t="str">
        <f t="shared" si="81"/>
        <v/>
      </c>
      <c r="FG39" s="50" t="str">
        <f t="shared" si="81"/>
        <v/>
      </c>
      <c r="FH39" s="50" t="str">
        <f t="shared" si="81"/>
        <v/>
      </c>
      <c r="FI39" s="50" t="str">
        <f t="shared" si="81"/>
        <v/>
      </c>
      <c r="FJ39" s="50" t="str">
        <f t="shared" si="81"/>
        <v/>
      </c>
      <c r="FK39" s="50" t="str">
        <f t="shared" si="81"/>
        <v/>
      </c>
      <c r="FL39" s="50" t="str">
        <f t="shared" si="81"/>
        <v/>
      </c>
      <c r="FM39" s="50" t="str">
        <f t="shared" si="81"/>
        <v/>
      </c>
      <c r="FN39" s="50" t="str">
        <f t="shared" si="81"/>
        <v/>
      </c>
      <c r="FO39" s="50" t="str">
        <f t="shared" si="81"/>
        <v/>
      </c>
      <c r="FP39" s="50" t="str">
        <f t="shared" si="81"/>
        <v/>
      </c>
      <c r="FQ39" s="50" t="str">
        <f t="shared" si="81"/>
        <v/>
      </c>
      <c r="FR39" s="50" t="str">
        <f t="shared" si="81"/>
        <v/>
      </c>
      <c r="FS39" s="50" t="str">
        <f t="shared" si="82"/>
        <v/>
      </c>
      <c r="FT39" s="50" t="str">
        <f t="shared" si="82"/>
        <v/>
      </c>
      <c r="FU39" s="50" t="str">
        <f t="shared" si="82"/>
        <v/>
      </c>
      <c r="FV39" s="50" t="str">
        <f t="shared" si="82"/>
        <v/>
      </c>
      <c r="FW39" s="50" t="str">
        <f t="shared" si="82"/>
        <v/>
      </c>
      <c r="FX39" s="50" t="str">
        <f t="shared" si="82"/>
        <v/>
      </c>
      <c r="FY39" s="50" t="str">
        <f t="shared" si="82"/>
        <v/>
      </c>
      <c r="FZ39" s="50" t="str">
        <f t="shared" si="82"/>
        <v/>
      </c>
      <c r="GA39" s="50" t="str">
        <f t="shared" si="82"/>
        <v/>
      </c>
      <c r="GB39" s="50" t="str">
        <f t="shared" si="82"/>
        <v/>
      </c>
      <c r="GC39" s="50" t="str">
        <f t="shared" si="82"/>
        <v/>
      </c>
      <c r="GD39" s="50" t="str">
        <f t="shared" si="82"/>
        <v/>
      </c>
      <c r="GE39" s="50" t="str">
        <f t="shared" si="82"/>
        <v/>
      </c>
      <c r="GF39" s="50" t="str">
        <f t="shared" si="82"/>
        <v/>
      </c>
      <c r="GG39" s="50" t="str">
        <f t="shared" si="82"/>
        <v/>
      </c>
      <c r="GH39" s="50" t="str">
        <f t="shared" si="82"/>
        <v/>
      </c>
      <c r="GI39" s="50" t="str">
        <f t="shared" si="82"/>
        <v/>
      </c>
      <c r="GJ39" s="50" t="str">
        <f t="shared" si="82"/>
        <v/>
      </c>
      <c r="GK39" s="50" t="str">
        <f t="shared" si="82"/>
        <v/>
      </c>
      <c r="GL39" s="50" t="str">
        <f t="shared" si="82"/>
        <v/>
      </c>
      <c r="GM39" s="50" t="str">
        <f t="shared" si="82"/>
        <v/>
      </c>
      <c r="GN39" s="50" t="str">
        <f t="shared" si="82"/>
        <v/>
      </c>
      <c r="GO39" s="50" t="str">
        <f t="shared" si="82"/>
        <v/>
      </c>
      <c r="GP39" s="50" t="str">
        <f t="shared" si="82"/>
        <v/>
      </c>
      <c r="GQ39" s="50" t="str">
        <f t="shared" si="82"/>
        <v/>
      </c>
      <c r="GR39" s="50" t="str">
        <f t="shared" si="82"/>
        <v/>
      </c>
      <c r="GS39" s="50" t="str">
        <f t="shared" si="82"/>
        <v/>
      </c>
      <c r="GT39" s="50" t="str">
        <f t="shared" si="82"/>
        <v/>
      </c>
      <c r="GU39" s="50" t="str">
        <f t="shared" si="82"/>
        <v/>
      </c>
      <c r="GV39" s="50" t="str">
        <f t="shared" si="82"/>
        <v/>
      </c>
      <c r="GW39" s="50" t="str">
        <f t="shared" si="82"/>
        <v/>
      </c>
      <c r="GX39" s="50" t="str">
        <f t="shared" si="82"/>
        <v/>
      </c>
      <c r="GY39" s="50" t="str">
        <f t="shared" si="82"/>
        <v/>
      </c>
      <c r="GZ39" s="50" t="str">
        <f t="shared" si="82"/>
        <v/>
      </c>
      <c r="HA39" s="50" t="str">
        <f t="shared" si="82"/>
        <v/>
      </c>
      <c r="HB39" s="50" t="str">
        <f t="shared" si="82"/>
        <v/>
      </c>
      <c r="HC39" s="50" t="str">
        <f t="shared" si="82"/>
        <v/>
      </c>
      <c r="HD39" s="50" t="str">
        <f t="shared" si="82"/>
        <v/>
      </c>
      <c r="HE39" s="50" t="str">
        <f t="shared" si="82"/>
        <v/>
      </c>
      <c r="HF39" s="50" t="str">
        <f t="shared" si="82"/>
        <v/>
      </c>
      <c r="HG39" s="50" t="str">
        <f t="shared" si="82"/>
        <v/>
      </c>
      <c r="HH39" s="50" t="str">
        <f t="shared" si="82"/>
        <v/>
      </c>
      <c r="HI39" s="50" t="str">
        <f t="shared" si="82"/>
        <v/>
      </c>
      <c r="HJ39" s="50" t="str">
        <f t="shared" si="82"/>
        <v/>
      </c>
      <c r="HK39" s="50" t="str">
        <f t="shared" si="82"/>
        <v/>
      </c>
      <c r="HL39" s="50" t="str">
        <f t="shared" si="82"/>
        <v/>
      </c>
      <c r="HM39" s="50" t="str">
        <f t="shared" si="82"/>
        <v/>
      </c>
      <c r="HN39" s="50" t="str">
        <f t="shared" si="82"/>
        <v/>
      </c>
      <c r="HO39" s="50" t="str">
        <f t="shared" si="82"/>
        <v/>
      </c>
      <c r="HP39" s="50" t="str">
        <f t="shared" si="82"/>
        <v/>
      </c>
      <c r="HQ39" s="50" t="str">
        <f t="shared" si="82"/>
        <v/>
      </c>
      <c r="HR39" s="112" t="str">
        <f t="shared" si="82"/>
        <v/>
      </c>
    </row>
    <row r="40" spans="1:226" ht="11.1" customHeight="1" x14ac:dyDescent="0.25">
      <c r="A40" s="26"/>
      <c r="B40" s="27"/>
      <c r="C40" s="28" t="str">
        <f>IF(A40=0,"",VLOOKUP(A40,[2]CO!$A$3:$F$5327,2,0))</f>
        <v/>
      </c>
      <c r="D40" s="29"/>
      <c r="E40" s="29"/>
      <c r="F40" s="101" t="str">
        <f t="shared" si="72"/>
        <v/>
      </c>
      <c r="G40" s="30" t="str">
        <f>IF(A40=0,"",VLOOKUP(A40,[2]CO!$A$3:$F$5327,3,0))</f>
        <v/>
      </c>
      <c r="H40" s="95"/>
      <c r="I40" s="31"/>
      <c r="J40" s="31"/>
      <c r="K40" s="31"/>
      <c r="L40" s="31"/>
      <c r="M40" s="32" t="str">
        <f t="shared" si="73"/>
        <v/>
      </c>
      <c r="N40" s="32" t="str">
        <f>IF(B40=0,"",IF(H40="M",HLOOKUP(B40,$Y$12:$DT$13,2),IF(A40=0,"",VLOOKUP(A40,[2]CO!$A$3:$F$5327,4,0))))</f>
        <v/>
      </c>
      <c r="O40" s="32" t="str">
        <f t="shared" si="25"/>
        <v/>
      </c>
      <c r="P40" s="33"/>
      <c r="Q40" s="34" t="str">
        <f t="shared" si="74"/>
        <v/>
      </c>
      <c r="R40" s="35"/>
      <c r="T40" s="53" t="str">
        <f>IF(A40=0,"",VLOOKUP(A40,[2]CO!$A$3:$F$5318,5,0))</f>
        <v/>
      </c>
      <c r="U40" s="54">
        <f t="shared" si="38"/>
        <v>0</v>
      </c>
      <c r="V40" s="24"/>
      <c r="W40" s="25"/>
      <c r="X40" s="25"/>
      <c r="Y40" s="64" t="str">
        <f t="shared" si="75"/>
        <v/>
      </c>
      <c r="Z40" s="55" t="str">
        <f t="shared" si="75"/>
        <v/>
      </c>
      <c r="AA40" s="55" t="str">
        <f t="shared" si="75"/>
        <v/>
      </c>
      <c r="AB40" s="55" t="str">
        <f t="shared" si="75"/>
        <v/>
      </c>
      <c r="AC40" s="55" t="str">
        <f t="shared" si="75"/>
        <v/>
      </c>
      <c r="AD40" s="55" t="str">
        <f t="shared" si="75"/>
        <v/>
      </c>
      <c r="AE40" s="55" t="str">
        <f t="shared" si="75"/>
        <v/>
      </c>
      <c r="AF40" s="55" t="str">
        <f t="shared" si="75"/>
        <v/>
      </c>
      <c r="AG40" s="55" t="str">
        <f t="shared" si="75"/>
        <v/>
      </c>
      <c r="AH40" s="55" t="str">
        <f t="shared" si="75"/>
        <v/>
      </c>
      <c r="AI40" s="55" t="str">
        <f t="shared" si="75"/>
        <v/>
      </c>
      <c r="AJ40" s="55" t="str">
        <f t="shared" si="75"/>
        <v/>
      </c>
      <c r="AK40" s="55" t="str">
        <f t="shared" si="75"/>
        <v/>
      </c>
      <c r="AL40" s="55" t="str">
        <f t="shared" si="75"/>
        <v/>
      </c>
      <c r="AM40" s="55" t="str">
        <f t="shared" si="75"/>
        <v/>
      </c>
      <c r="AN40" s="55" t="str">
        <f t="shared" si="75"/>
        <v/>
      </c>
      <c r="AO40" s="55" t="str">
        <f t="shared" si="76"/>
        <v/>
      </c>
      <c r="AP40" s="55" t="str">
        <f t="shared" si="76"/>
        <v/>
      </c>
      <c r="AQ40" s="55" t="str">
        <f t="shared" si="76"/>
        <v/>
      </c>
      <c r="AR40" s="55" t="str">
        <f t="shared" si="76"/>
        <v/>
      </c>
      <c r="AS40" s="55" t="str">
        <f t="shared" si="76"/>
        <v/>
      </c>
      <c r="AT40" s="55" t="str">
        <f t="shared" si="76"/>
        <v/>
      </c>
      <c r="AU40" s="55" t="str">
        <f t="shared" si="76"/>
        <v/>
      </c>
      <c r="AV40" s="55" t="str">
        <f t="shared" si="76"/>
        <v/>
      </c>
      <c r="AW40" s="55" t="str">
        <f t="shared" si="76"/>
        <v/>
      </c>
      <c r="AX40" s="55" t="str">
        <f t="shared" si="76"/>
        <v/>
      </c>
      <c r="AY40" s="55" t="str">
        <f t="shared" si="76"/>
        <v/>
      </c>
      <c r="AZ40" s="55" t="str">
        <f t="shared" si="76"/>
        <v/>
      </c>
      <c r="BA40" s="55" t="str">
        <f t="shared" si="76"/>
        <v/>
      </c>
      <c r="BB40" s="55" t="str">
        <f t="shared" si="76"/>
        <v/>
      </c>
      <c r="BC40" s="55" t="str">
        <f t="shared" si="76"/>
        <v/>
      </c>
      <c r="BD40" s="55" t="str">
        <f t="shared" si="76"/>
        <v/>
      </c>
      <c r="BE40" s="55" t="str">
        <f t="shared" si="77"/>
        <v/>
      </c>
      <c r="BF40" s="55" t="str">
        <f t="shared" si="77"/>
        <v/>
      </c>
      <c r="BG40" s="55" t="str">
        <f t="shared" si="77"/>
        <v/>
      </c>
      <c r="BH40" s="55" t="str">
        <f t="shared" si="77"/>
        <v/>
      </c>
      <c r="BI40" s="55" t="str">
        <f t="shared" si="77"/>
        <v/>
      </c>
      <c r="BJ40" s="55" t="str">
        <f t="shared" si="77"/>
        <v/>
      </c>
      <c r="BK40" s="55" t="str">
        <f t="shared" si="77"/>
        <v/>
      </c>
      <c r="BL40" s="55" t="str">
        <f t="shared" si="77"/>
        <v/>
      </c>
      <c r="BM40" s="55" t="str">
        <f t="shared" si="77"/>
        <v/>
      </c>
      <c r="BN40" s="55" t="str">
        <f t="shared" si="77"/>
        <v/>
      </c>
      <c r="BO40" s="55" t="str">
        <f t="shared" si="77"/>
        <v/>
      </c>
      <c r="BP40" s="55" t="str">
        <f t="shared" si="77"/>
        <v/>
      </c>
      <c r="BQ40" s="55" t="str">
        <f t="shared" si="77"/>
        <v/>
      </c>
      <c r="BR40" s="55" t="str">
        <f t="shared" si="77"/>
        <v/>
      </c>
      <c r="BS40" s="55" t="str">
        <f t="shared" si="77"/>
        <v/>
      </c>
      <c r="BT40" s="55" t="str">
        <f t="shared" si="77"/>
        <v/>
      </c>
      <c r="BU40" s="55" t="str">
        <f t="shared" si="78"/>
        <v/>
      </c>
      <c r="BV40" s="55" t="str">
        <f t="shared" si="78"/>
        <v/>
      </c>
      <c r="BW40" s="55" t="str">
        <f t="shared" si="78"/>
        <v/>
      </c>
      <c r="BX40" s="55" t="str">
        <f t="shared" si="78"/>
        <v/>
      </c>
      <c r="BY40" s="55" t="str">
        <f t="shared" si="78"/>
        <v/>
      </c>
      <c r="BZ40" s="55" t="str">
        <f t="shared" si="78"/>
        <v/>
      </c>
      <c r="CA40" s="55" t="str">
        <f t="shared" si="78"/>
        <v/>
      </c>
      <c r="CB40" s="55" t="str">
        <f t="shared" si="78"/>
        <v/>
      </c>
      <c r="CC40" s="55" t="str">
        <f t="shared" si="78"/>
        <v/>
      </c>
      <c r="CD40" s="55" t="str">
        <f t="shared" si="78"/>
        <v/>
      </c>
      <c r="CE40" s="55" t="str">
        <f t="shared" si="78"/>
        <v/>
      </c>
      <c r="CF40" s="55" t="str">
        <f t="shared" si="78"/>
        <v/>
      </c>
      <c r="CG40" s="55" t="str">
        <f t="shared" si="78"/>
        <v/>
      </c>
      <c r="CH40" s="55" t="str">
        <f t="shared" si="78"/>
        <v/>
      </c>
      <c r="CI40" s="55" t="str">
        <f t="shared" si="78"/>
        <v/>
      </c>
      <c r="CJ40" s="55" t="str">
        <f t="shared" si="78"/>
        <v/>
      </c>
      <c r="CK40" s="55" t="str">
        <f t="shared" si="78"/>
        <v/>
      </c>
      <c r="CL40" s="55" t="str">
        <f t="shared" si="78"/>
        <v/>
      </c>
      <c r="CM40" s="55" t="str">
        <f t="shared" si="78"/>
        <v/>
      </c>
      <c r="CN40" s="55" t="str">
        <f t="shared" si="78"/>
        <v/>
      </c>
      <c r="CO40" s="55" t="str">
        <f t="shared" si="78"/>
        <v/>
      </c>
      <c r="CP40" s="55" t="str">
        <f t="shared" si="78"/>
        <v/>
      </c>
      <c r="CQ40" s="55" t="str">
        <f t="shared" si="78"/>
        <v/>
      </c>
      <c r="CR40" s="55" t="str">
        <f t="shared" si="78"/>
        <v/>
      </c>
      <c r="CS40" s="55" t="str">
        <f t="shared" si="78"/>
        <v/>
      </c>
      <c r="CT40" s="55" t="str">
        <f t="shared" si="78"/>
        <v/>
      </c>
      <c r="CU40" s="55" t="str">
        <f t="shared" si="78"/>
        <v/>
      </c>
      <c r="CV40" s="55" t="str">
        <f t="shared" si="78"/>
        <v/>
      </c>
      <c r="CW40" s="55" t="str">
        <f t="shared" si="78"/>
        <v/>
      </c>
      <c r="CX40" s="55" t="str">
        <f t="shared" si="78"/>
        <v/>
      </c>
      <c r="CY40" s="55" t="str">
        <f t="shared" si="78"/>
        <v/>
      </c>
      <c r="CZ40" s="55" t="str">
        <f t="shared" si="78"/>
        <v/>
      </c>
      <c r="DA40" s="55" t="str">
        <f t="shared" si="78"/>
        <v/>
      </c>
      <c r="DB40" s="55" t="str">
        <f t="shared" si="78"/>
        <v/>
      </c>
      <c r="DC40" s="55" t="str">
        <f t="shared" si="78"/>
        <v/>
      </c>
      <c r="DD40" s="55" t="str">
        <f t="shared" si="78"/>
        <v/>
      </c>
      <c r="DE40" s="55" t="str">
        <f t="shared" si="78"/>
        <v/>
      </c>
      <c r="DF40" s="55" t="str">
        <f t="shared" si="78"/>
        <v/>
      </c>
      <c r="DG40" s="55" t="str">
        <f t="shared" si="78"/>
        <v/>
      </c>
      <c r="DH40" s="55" t="str">
        <f t="shared" si="78"/>
        <v/>
      </c>
      <c r="DI40" s="55" t="str">
        <f t="shared" si="78"/>
        <v/>
      </c>
      <c r="DJ40" s="55" t="str">
        <f t="shared" si="78"/>
        <v/>
      </c>
      <c r="DK40" s="55" t="str">
        <f t="shared" si="78"/>
        <v/>
      </c>
      <c r="DL40" s="55" t="str">
        <f t="shared" si="78"/>
        <v/>
      </c>
      <c r="DM40" s="55" t="str">
        <f t="shared" si="78"/>
        <v/>
      </c>
      <c r="DN40" s="55" t="str">
        <f t="shared" si="78"/>
        <v/>
      </c>
      <c r="DO40" s="55" t="str">
        <f t="shared" si="78"/>
        <v/>
      </c>
      <c r="DP40" s="55" t="str">
        <f t="shared" ref="DP40:DT42" si="83">IF($B40=DP$12,$U40,"")</f>
        <v/>
      </c>
      <c r="DQ40" s="55" t="str">
        <f t="shared" si="83"/>
        <v/>
      </c>
      <c r="DR40" s="55" t="str">
        <f t="shared" si="83"/>
        <v/>
      </c>
      <c r="DS40" s="55" t="str">
        <f t="shared" si="83"/>
        <v/>
      </c>
      <c r="DT40" s="106" t="str">
        <f t="shared" si="83"/>
        <v/>
      </c>
      <c r="DU40" s="54"/>
      <c r="DV40" s="25"/>
      <c r="DW40" s="61" t="str">
        <f t="shared" si="79"/>
        <v/>
      </c>
      <c r="DX40" s="50" t="str">
        <f t="shared" si="79"/>
        <v/>
      </c>
      <c r="DY40" s="50" t="str">
        <f t="shared" si="79"/>
        <v/>
      </c>
      <c r="DZ40" s="50" t="str">
        <f t="shared" si="79"/>
        <v/>
      </c>
      <c r="EA40" s="50" t="str">
        <f t="shared" si="79"/>
        <v/>
      </c>
      <c r="EB40" s="50" t="str">
        <f t="shared" si="79"/>
        <v/>
      </c>
      <c r="EC40" s="50" t="str">
        <f t="shared" si="79"/>
        <v/>
      </c>
      <c r="ED40" s="50" t="str">
        <f t="shared" si="79"/>
        <v/>
      </c>
      <c r="EE40" s="50" t="str">
        <f t="shared" si="79"/>
        <v/>
      </c>
      <c r="EF40" s="50" t="str">
        <f t="shared" si="79"/>
        <v/>
      </c>
      <c r="EG40" s="50" t="str">
        <f t="shared" si="79"/>
        <v/>
      </c>
      <c r="EH40" s="50" t="str">
        <f t="shared" si="79"/>
        <v/>
      </c>
      <c r="EI40" s="50" t="str">
        <f t="shared" si="79"/>
        <v/>
      </c>
      <c r="EJ40" s="50" t="str">
        <f t="shared" si="79"/>
        <v/>
      </c>
      <c r="EK40" s="50" t="str">
        <f t="shared" si="79"/>
        <v/>
      </c>
      <c r="EL40" s="50" t="str">
        <f t="shared" si="79"/>
        <v/>
      </c>
      <c r="EM40" s="50" t="str">
        <f t="shared" si="80"/>
        <v/>
      </c>
      <c r="EN40" s="50" t="str">
        <f t="shared" si="80"/>
        <v/>
      </c>
      <c r="EO40" s="50" t="str">
        <f t="shared" si="80"/>
        <v/>
      </c>
      <c r="EP40" s="50" t="str">
        <f t="shared" si="80"/>
        <v/>
      </c>
      <c r="EQ40" s="50" t="str">
        <f t="shared" si="80"/>
        <v/>
      </c>
      <c r="ER40" s="50" t="str">
        <f t="shared" si="80"/>
        <v/>
      </c>
      <c r="ES40" s="50" t="str">
        <f t="shared" si="80"/>
        <v/>
      </c>
      <c r="ET40" s="50" t="str">
        <f t="shared" si="80"/>
        <v/>
      </c>
      <c r="EU40" s="50" t="str">
        <f t="shared" si="80"/>
        <v/>
      </c>
      <c r="EV40" s="50" t="str">
        <f t="shared" si="80"/>
        <v/>
      </c>
      <c r="EW40" s="50" t="str">
        <f t="shared" si="80"/>
        <v/>
      </c>
      <c r="EX40" s="50" t="str">
        <f t="shared" si="80"/>
        <v/>
      </c>
      <c r="EY40" s="50" t="str">
        <f t="shared" si="80"/>
        <v/>
      </c>
      <c r="EZ40" s="50" t="str">
        <f t="shared" si="80"/>
        <v/>
      </c>
      <c r="FA40" s="50" t="str">
        <f t="shared" si="80"/>
        <v/>
      </c>
      <c r="FB40" s="50" t="str">
        <f t="shared" si="80"/>
        <v/>
      </c>
      <c r="FC40" s="50" t="str">
        <f t="shared" si="81"/>
        <v/>
      </c>
      <c r="FD40" s="50" t="str">
        <f t="shared" si="81"/>
        <v/>
      </c>
      <c r="FE40" s="50" t="str">
        <f t="shared" si="81"/>
        <v/>
      </c>
      <c r="FF40" s="50" t="str">
        <f t="shared" si="81"/>
        <v/>
      </c>
      <c r="FG40" s="50" t="str">
        <f t="shared" si="81"/>
        <v/>
      </c>
      <c r="FH40" s="50" t="str">
        <f t="shared" si="81"/>
        <v/>
      </c>
      <c r="FI40" s="50" t="str">
        <f t="shared" si="81"/>
        <v/>
      </c>
      <c r="FJ40" s="50" t="str">
        <f t="shared" si="81"/>
        <v/>
      </c>
      <c r="FK40" s="50" t="str">
        <f t="shared" si="81"/>
        <v/>
      </c>
      <c r="FL40" s="50" t="str">
        <f t="shared" si="81"/>
        <v/>
      </c>
      <c r="FM40" s="50" t="str">
        <f t="shared" si="81"/>
        <v/>
      </c>
      <c r="FN40" s="50" t="str">
        <f t="shared" si="81"/>
        <v/>
      </c>
      <c r="FO40" s="50" t="str">
        <f t="shared" si="81"/>
        <v/>
      </c>
      <c r="FP40" s="50" t="str">
        <f t="shared" si="81"/>
        <v/>
      </c>
      <c r="FQ40" s="50" t="str">
        <f t="shared" si="81"/>
        <v/>
      </c>
      <c r="FR40" s="50" t="str">
        <f t="shared" si="81"/>
        <v/>
      </c>
      <c r="FS40" s="50" t="str">
        <f t="shared" si="82"/>
        <v/>
      </c>
      <c r="FT40" s="50" t="str">
        <f t="shared" si="82"/>
        <v/>
      </c>
      <c r="FU40" s="50" t="str">
        <f t="shared" si="82"/>
        <v/>
      </c>
      <c r="FV40" s="50" t="str">
        <f t="shared" si="82"/>
        <v/>
      </c>
      <c r="FW40" s="50" t="str">
        <f t="shared" si="82"/>
        <v/>
      </c>
      <c r="FX40" s="50" t="str">
        <f t="shared" si="82"/>
        <v/>
      </c>
      <c r="FY40" s="50" t="str">
        <f t="shared" si="82"/>
        <v/>
      </c>
      <c r="FZ40" s="50" t="str">
        <f t="shared" si="82"/>
        <v/>
      </c>
      <c r="GA40" s="50" t="str">
        <f t="shared" si="82"/>
        <v/>
      </c>
      <c r="GB40" s="50" t="str">
        <f t="shared" si="82"/>
        <v/>
      </c>
      <c r="GC40" s="50" t="str">
        <f t="shared" si="82"/>
        <v/>
      </c>
      <c r="GD40" s="50" t="str">
        <f t="shared" si="82"/>
        <v/>
      </c>
      <c r="GE40" s="50" t="str">
        <f t="shared" si="82"/>
        <v/>
      </c>
      <c r="GF40" s="50" t="str">
        <f t="shared" si="82"/>
        <v/>
      </c>
      <c r="GG40" s="50" t="str">
        <f t="shared" si="82"/>
        <v/>
      </c>
      <c r="GH40" s="50" t="str">
        <f t="shared" si="82"/>
        <v/>
      </c>
      <c r="GI40" s="50" t="str">
        <f t="shared" si="82"/>
        <v/>
      </c>
      <c r="GJ40" s="50" t="str">
        <f t="shared" si="82"/>
        <v/>
      </c>
      <c r="GK40" s="50" t="str">
        <f t="shared" si="82"/>
        <v/>
      </c>
      <c r="GL40" s="50" t="str">
        <f t="shared" si="82"/>
        <v/>
      </c>
      <c r="GM40" s="50" t="str">
        <f t="shared" si="82"/>
        <v/>
      </c>
      <c r="GN40" s="50" t="str">
        <f t="shared" si="82"/>
        <v/>
      </c>
      <c r="GO40" s="50" t="str">
        <f t="shared" si="82"/>
        <v/>
      </c>
      <c r="GP40" s="50" t="str">
        <f t="shared" si="82"/>
        <v/>
      </c>
      <c r="GQ40" s="50" t="str">
        <f t="shared" si="82"/>
        <v/>
      </c>
      <c r="GR40" s="50" t="str">
        <f t="shared" si="82"/>
        <v/>
      </c>
      <c r="GS40" s="50" t="str">
        <f t="shared" si="82"/>
        <v/>
      </c>
      <c r="GT40" s="50" t="str">
        <f t="shared" si="82"/>
        <v/>
      </c>
      <c r="GU40" s="50" t="str">
        <f t="shared" si="82"/>
        <v/>
      </c>
      <c r="GV40" s="50" t="str">
        <f t="shared" si="82"/>
        <v/>
      </c>
      <c r="GW40" s="50" t="str">
        <f t="shared" si="82"/>
        <v/>
      </c>
      <c r="GX40" s="50" t="str">
        <f t="shared" si="82"/>
        <v/>
      </c>
      <c r="GY40" s="50" t="str">
        <f t="shared" si="82"/>
        <v/>
      </c>
      <c r="GZ40" s="50" t="str">
        <f t="shared" si="82"/>
        <v/>
      </c>
      <c r="HA40" s="50" t="str">
        <f t="shared" si="82"/>
        <v/>
      </c>
      <c r="HB40" s="50" t="str">
        <f t="shared" si="82"/>
        <v/>
      </c>
      <c r="HC40" s="50" t="str">
        <f t="shared" si="82"/>
        <v/>
      </c>
      <c r="HD40" s="50" t="str">
        <f t="shared" si="82"/>
        <v/>
      </c>
      <c r="HE40" s="50" t="str">
        <f t="shared" si="82"/>
        <v/>
      </c>
      <c r="HF40" s="50" t="str">
        <f t="shared" si="82"/>
        <v/>
      </c>
      <c r="HG40" s="50" t="str">
        <f t="shared" si="82"/>
        <v/>
      </c>
      <c r="HH40" s="50" t="str">
        <f t="shared" si="82"/>
        <v/>
      </c>
      <c r="HI40" s="50" t="str">
        <f t="shared" si="82"/>
        <v/>
      </c>
      <c r="HJ40" s="50" t="str">
        <f t="shared" si="82"/>
        <v/>
      </c>
      <c r="HK40" s="50" t="str">
        <f t="shared" si="82"/>
        <v/>
      </c>
      <c r="HL40" s="50" t="str">
        <f t="shared" si="82"/>
        <v/>
      </c>
      <c r="HM40" s="50" t="str">
        <f t="shared" si="82"/>
        <v/>
      </c>
      <c r="HN40" s="50" t="str">
        <f t="shared" ref="HN40:HR42" si="84">IF($B40=HN$12,$O40,"")</f>
        <v/>
      </c>
      <c r="HO40" s="50" t="str">
        <f t="shared" si="84"/>
        <v/>
      </c>
      <c r="HP40" s="50" t="str">
        <f t="shared" si="84"/>
        <v/>
      </c>
      <c r="HQ40" s="50" t="str">
        <f t="shared" si="84"/>
        <v/>
      </c>
      <c r="HR40" s="112" t="str">
        <f t="shared" si="84"/>
        <v/>
      </c>
    </row>
    <row r="41" spans="1:226" ht="11.1" customHeight="1" x14ac:dyDescent="0.25">
      <c r="A41" s="26"/>
      <c r="B41" s="27"/>
      <c r="C41" s="28" t="str">
        <f>IF(A41=0,"",VLOOKUP(A41,[2]CO!$A$3:$F$5327,2,0))</f>
        <v/>
      </c>
      <c r="D41" s="29"/>
      <c r="E41" s="29"/>
      <c r="F41" s="101" t="str">
        <f t="shared" si="72"/>
        <v/>
      </c>
      <c r="G41" s="30" t="str">
        <f>IF(A41=0,"",VLOOKUP(A41,[2]CO!$A$3:$F$5327,3,0))</f>
        <v/>
      </c>
      <c r="H41" s="95"/>
      <c r="I41" s="31"/>
      <c r="J41" s="31"/>
      <c r="K41" s="31"/>
      <c r="L41" s="31"/>
      <c r="M41" s="32" t="str">
        <f t="shared" si="73"/>
        <v/>
      </c>
      <c r="N41" s="32" t="str">
        <f>IF(B41=0,"",IF(H41="M",HLOOKUP(B41,$Y$12:$DT$13,2),IF(A41=0,"",VLOOKUP(A41,[2]CO!$A$3:$F$5327,4,0))))</f>
        <v/>
      </c>
      <c r="O41" s="32" t="str">
        <f t="shared" si="25"/>
        <v/>
      </c>
      <c r="P41" s="33"/>
      <c r="Q41" s="34" t="str">
        <f t="shared" si="74"/>
        <v/>
      </c>
      <c r="R41" s="35"/>
      <c r="T41" s="53" t="str">
        <f>IF(A41=0,"",VLOOKUP(A41,[2]CO!$A$3:$F$5318,5,0))</f>
        <v/>
      </c>
      <c r="U41" s="54">
        <f t="shared" si="38"/>
        <v>0</v>
      </c>
      <c r="V41" s="24"/>
      <c r="W41" s="25"/>
      <c r="X41" s="25"/>
      <c r="Y41" s="64" t="str">
        <f t="shared" si="75"/>
        <v/>
      </c>
      <c r="Z41" s="55" t="str">
        <f t="shared" si="75"/>
        <v/>
      </c>
      <c r="AA41" s="55" t="str">
        <f t="shared" si="75"/>
        <v/>
      </c>
      <c r="AB41" s="55" t="str">
        <f t="shared" si="75"/>
        <v/>
      </c>
      <c r="AC41" s="55" t="str">
        <f t="shared" si="75"/>
        <v/>
      </c>
      <c r="AD41" s="55" t="str">
        <f t="shared" si="75"/>
        <v/>
      </c>
      <c r="AE41" s="55" t="str">
        <f t="shared" si="75"/>
        <v/>
      </c>
      <c r="AF41" s="55" t="str">
        <f t="shared" si="75"/>
        <v/>
      </c>
      <c r="AG41" s="55" t="str">
        <f t="shared" si="75"/>
        <v/>
      </c>
      <c r="AH41" s="55" t="str">
        <f t="shared" si="75"/>
        <v/>
      </c>
      <c r="AI41" s="55" t="str">
        <f t="shared" si="75"/>
        <v/>
      </c>
      <c r="AJ41" s="55" t="str">
        <f t="shared" si="75"/>
        <v/>
      </c>
      <c r="AK41" s="55" t="str">
        <f t="shared" si="75"/>
        <v/>
      </c>
      <c r="AL41" s="55" t="str">
        <f t="shared" si="75"/>
        <v/>
      </c>
      <c r="AM41" s="55" t="str">
        <f t="shared" si="75"/>
        <v/>
      </c>
      <c r="AN41" s="55" t="str">
        <f t="shared" si="75"/>
        <v/>
      </c>
      <c r="AO41" s="55" t="str">
        <f t="shared" si="76"/>
        <v/>
      </c>
      <c r="AP41" s="55" t="str">
        <f t="shared" si="76"/>
        <v/>
      </c>
      <c r="AQ41" s="55" t="str">
        <f t="shared" si="76"/>
        <v/>
      </c>
      <c r="AR41" s="55" t="str">
        <f t="shared" si="76"/>
        <v/>
      </c>
      <c r="AS41" s="55" t="str">
        <f t="shared" si="76"/>
        <v/>
      </c>
      <c r="AT41" s="55" t="str">
        <f t="shared" si="76"/>
        <v/>
      </c>
      <c r="AU41" s="55" t="str">
        <f t="shared" si="76"/>
        <v/>
      </c>
      <c r="AV41" s="55" t="str">
        <f t="shared" si="76"/>
        <v/>
      </c>
      <c r="AW41" s="55" t="str">
        <f t="shared" si="76"/>
        <v/>
      </c>
      <c r="AX41" s="55" t="str">
        <f t="shared" si="76"/>
        <v/>
      </c>
      <c r="AY41" s="55" t="str">
        <f t="shared" si="76"/>
        <v/>
      </c>
      <c r="AZ41" s="55" t="str">
        <f t="shared" si="76"/>
        <v/>
      </c>
      <c r="BA41" s="55" t="str">
        <f t="shared" si="76"/>
        <v/>
      </c>
      <c r="BB41" s="55" t="str">
        <f t="shared" si="76"/>
        <v/>
      </c>
      <c r="BC41" s="55" t="str">
        <f t="shared" si="76"/>
        <v/>
      </c>
      <c r="BD41" s="55" t="str">
        <f t="shared" si="76"/>
        <v/>
      </c>
      <c r="BE41" s="55" t="str">
        <f t="shared" si="77"/>
        <v/>
      </c>
      <c r="BF41" s="55" t="str">
        <f t="shared" si="77"/>
        <v/>
      </c>
      <c r="BG41" s="55" t="str">
        <f t="shared" si="77"/>
        <v/>
      </c>
      <c r="BH41" s="55" t="str">
        <f t="shared" si="77"/>
        <v/>
      </c>
      <c r="BI41" s="55" t="str">
        <f t="shared" si="77"/>
        <v/>
      </c>
      <c r="BJ41" s="55" t="str">
        <f t="shared" si="77"/>
        <v/>
      </c>
      <c r="BK41" s="55" t="str">
        <f t="shared" si="77"/>
        <v/>
      </c>
      <c r="BL41" s="55" t="str">
        <f t="shared" si="77"/>
        <v/>
      </c>
      <c r="BM41" s="55" t="str">
        <f t="shared" si="77"/>
        <v/>
      </c>
      <c r="BN41" s="55" t="str">
        <f t="shared" si="77"/>
        <v/>
      </c>
      <c r="BO41" s="55" t="str">
        <f t="shared" si="77"/>
        <v/>
      </c>
      <c r="BP41" s="55" t="str">
        <f t="shared" si="77"/>
        <v/>
      </c>
      <c r="BQ41" s="55" t="str">
        <f t="shared" si="77"/>
        <v/>
      </c>
      <c r="BR41" s="55" t="str">
        <f t="shared" si="77"/>
        <v/>
      </c>
      <c r="BS41" s="55" t="str">
        <f t="shared" si="77"/>
        <v/>
      </c>
      <c r="BT41" s="55" t="str">
        <f t="shared" si="77"/>
        <v/>
      </c>
      <c r="BU41" s="55" t="str">
        <f t="shared" ref="BU41:DP42" si="85">IF($B41=BU$12,$U41,"")</f>
        <v/>
      </c>
      <c r="BV41" s="55" t="str">
        <f t="shared" si="85"/>
        <v/>
      </c>
      <c r="BW41" s="55" t="str">
        <f t="shared" si="85"/>
        <v/>
      </c>
      <c r="BX41" s="55" t="str">
        <f t="shared" si="85"/>
        <v/>
      </c>
      <c r="BY41" s="55" t="str">
        <f t="shared" si="85"/>
        <v/>
      </c>
      <c r="BZ41" s="55" t="str">
        <f t="shared" si="85"/>
        <v/>
      </c>
      <c r="CA41" s="55" t="str">
        <f t="shared" si="85"/>
        <v/>
      </c>
      <c r="CB41" s="55" t="str">
        <f t="shared" si="85"/>
        <v/>
      </c>
      <c r="CC41" s="55" t="str">
        <f t="shared" si="85"/>
        <v/>
      </c>
      <c r="CD41" s="55" t="str">
        <f t="shared" si="85"/>
        <v/>
      </c>
      <c r="CE41" s="55" t="str">
        <f t="shared" si="85"/>
        <v/>
      </c>
      <c r="CF41" s="55" t="str">
        <f t="shared" si="85"/>
        <v/>
      </c>
      <c r="CG41" s="55" t="str">
        <f t="shared" si="85"/>
        <v/>
      </c>
      <c r="CH41" s="55" t="str">
        <f t="shared" si="85"/>
        <v/>
      </c>
      <c r="CI41" s="55" t="str">
        <f t="shared" si="85"/>
        <v/>
      </c>
      <c r="CJ41" s="55" t="str">
        <f t="shared" si="85"/>
        <v/>
      </c>
      <c r="CK41" s="55" t="str">
        <f t="shared" si="85"/>
        <v/>
      </c>
      <c r="CL41" s="55" t="str">
        <f t="shared" si="85"/>
        <v/>
      </c>
      <c r="CM41" s="55" t="str">
        <f t="shared" si="85"/>
        <v/>
      </c>
      <c r="CN41" s="55" t="str">
        <f t="shared" si="85"/>
        <v/>
      </c>
      <c r="CO41" s="55" t="str">
        <f t="shared" si="85"/>
        <v/>
      </c>
      <c r="CP41" s="55" t="str">
        <f t="shared" si="85"/>
        <v/>
      </c>
      <c r="CQ41" s="55" t="str">
        <f t="shared" si="85"/>
        <v/>
      </c>
      <c r="CR41" s="55" t="str">
        <f t="shared" si="85"/>
        <v/>
      </c>
      <c r="CS41" s="55" t="str">
        <f t="shared" si="85"/>
        <v/>
      </c>
      <c r="CT41" s="55" t="str">
        <f t="shared" si="85"/>
        <v/>
      </c>
      <c r="CU41" s="55" t="str">
        <f t="shared" si="85"/>
        <v/>
      </c>
      <c r="CV41" s="55" t="str">
        <f t="shared" si="85"/>
        <v/>
      </c>
      <c r="CW41" s="55" t="str">
        <f t="shared" si="85"/>
        <v/>
      </c>
      <c r="CX41" s="55" t="str">
        <f t="shared" si="85"/>
        <v/>
      </c>
      <c r="CY41" s="55" t="str">
        <f t="shared" si="85"/>
        <v/>
      </c>
      <c r="CZ41" s="55" t="str">
        <f t="shared" si="85"/>
        <v/>
      </c>
      <c r="DA41" s="55" t="str">
        <f t="shared" si="85"/>
        <v/>
      </c>
      <c r="DB41" s="55" t="str">
        <f t="shared" si="85"/>
        <v/>
      </c>
      <c r="DC41" s="55" t="str">
        <f t="shared" si="85"/>
        <v/>
      </c>
      <c r="DD41" s="55" t="str">
        <f t="shared" si="85"/>
        <v/>
      </c>
      <c r="DE41" s="55" t="str">
        <f t="shared" si="85"/>
        <v/>
      </c>
      <c r="DF41" s="55" t="str">
        <f t="shared" si="85"/>
        <v/>
      </c>
      <c r="DG41" s="55" t="str">
        <f t="shared" si="85"/>
        <v/>
      </c>
      <c r="DH41" s="55" t="str">
        <f t="shared" si="85"/>
        <v/>
      </c>
      <c r="DI41" s="55" t="str">
        <f t="shared" si="85"/>
        <v/>
      </c>
      <c r="DJ41" s="55" t="str">
        <f t="shared" si="85"/>
        <v/>
      </c>
      <c r="DK41" s="55" t="str">
        <f t="shared" si="85"/>
        <v/>
      </c>
      <c r="DL41" s="55" t="str">
        <f t="shared" si="85"/>
        <v/>
      </c>
      <c r="DM41" s="55" t="str">
        <f t="shared" si="85"/>
        <v/>
      </c>
      <c r="DN41" s="55" t="str">
        <f t="shared" si="85"/>
        <v/>
      </c>
      <c r="DO41" s="55" t="str">
        <f t="shared" si="85"/>
        <v/>
      </c>
      <c r="DP41" s="55" t="str">
        <f t="shared" si="83"/>
        <v/>
      </c>
      <c r="DQ41" s="55" t="str">
        <f t="shared" si="83"/>
        <v/>
      </c>
      <c r="DR41" s="55" t="str">
        <f t="shared" si="83"/>
        <v/>
      </c>
      <c r="DS41" s="55" t="str">
        <f t="shared" si="83"/>
        <v/>
      </c>
      <c r="DT41" s="106" t="str">
        <f t="shared" si="83"/>
        <v/>
      </c>
      <c r="DU41" s="54"/>
      <c r="DV41" s="25"/>
      <c r="DW41" s="61" t="str">
        <f t="shared" si="79"/>
        <v/>
      </c>
      <c r="DX41" s="50" t="str">
        <f t="shared" si="79"/>
        <v/>
      </c>
      <c r="DY41" s="50" t="str">
        <f t="shared" si="79"/>
        <v/>
      </c>
      <c r="DZ41" s="50" t="str">
        <f t="shared" si="79"/>
        <v/>
      </c>
      <c r="EA41" s="50" t="str">
        <f t="shared" si="79"/>
        <v/>
      </c>
      <c r="EB41" s="50" t="str">
        <f t="shared" si="79"/>
        <v/>
      </c>
      <c r="EC41" s="50" t="str">
        <f t="shared" si="79"/>
        <v/>
      </c>
      <c r="ED41" s="50" t="str">
        <f t="shared" si="79"/>
        <v/>
      </c>
      <c r="EE41" s="50" t="str">
        <f t="shared" si="79"/>
        <v/>
      </c>
      <c r="EF41" s="50" t="str">
        <f t="shared" si="79"/>
        <v/>
      </c>
      <c r="EG41" s="50" t="str">
        <f t="shared" si="79"/>
        <v/>
      </c>
      <c r="EH41" s="50" t="str">
        <f t="shared" si="79"/>
        <v/>
      </c>
      <c r="EI41" s="50" t="str">
        <f t="shared" si="79"/>
        <v/>
      </c>
      <c r="EJ41" s="50" t="str">
        <f t="shared" si="79"/>
        <v/>
      </c>
      <c r="EK41" s="50" t="str">
        <f t="shared" si="79"/>
        <v/>
      </c>
      <c r="EL41" s="50" t="str">
        <f t="shared" si="79"/>
        <v/>
      </c>
      <c r="EM41" s="50" t="str">
        <f t="shared" si="80"/>
        <v/>
      </c>
      <c r="EN41" s="50" t="str">
        <f t="shared" si="80"/>
        <v/>
      </c>
      <c r="EO41" s="50" t="str">
        <f t="shared" si="80"/>
        <v/>
      </c>
      <c r="EP41" s="50" t="str">
        <f t="shared" si="80"/>
        <v/>
      </c>
      <c r="EQ41" s="50" t="str">
        <f t="shared" si="80"/>
        <v/>
      </c>
      <c r="ER41" s="50" t="str">
        <f t="shared" si="80"/>
        <v/>
      </c>
      <c r="ES41" s="50" t="str">
        <f t="shared" si="80"/>
        <v/>
      </c>
      <c r="ET41" s="50" t="str">
        <f t="shared" si="80"/>
        <v/>
      </c>
      <c r="EU41" s="50" t="str">
        <f t="shared" si="80"/>
        <v/>
      </c>
      <c r="EV41" s="50" t="str">
        <f t="shared" si="80"/>
        <v/>
      </c>
      <c r="EW41" s="50" t="str">
        <f t="shared" si="80"/>
        <v/>
      </c>
      <c r="EX41" s="50" t="str">
        <f t="shared" si="80"/>
        <v/>
      </c>
      <c r="EY41" s="50" t="str">
        <f t="shared" si="80"/>
        <v/>
      </c>
      <c r="EZ41" s="50" t="str">
        <f t="shared" si="80"/>
        <v/>
      </c>
      <c r="FA41" s="50" t="str">
        <f t="shared" si="80"/>
        <v/>
      </c>
      <c r="FB41" s="50" t="str">
        <f t="shared" si="80"/>
        <v/>
      </c>
      <c r="FC41" s="50" t="str">
        <f t="shared" si="81"/>
        <v/>
      </c>
      <c r="FD41" s="50" t="str">
        <f t="shared" si="81"/>
        <v/>
      </c>
      <c r="FE41" s="50" t="str">
        <f t="shared" si="81"/>
        <v/>
      </c>
      <c r="FF41" s="50" t="str">
        <f t="shared" si="81"/>
        <v/>
      </c>
      <c r="FG41" s="50" t="str">
        <f t="shared" si="81"/>
        <v/>
      </c>
      <c r="FH41" s="50" t="str">
        <f t="shared" si="81"/>
        <v/>
      </c>
      <c r="FI41" s="50" t="str">
        <f t="shared" si="81"/>
        <v/>
      </c>
      <c r="FJ41" s="50" t="str">
        <f t="shared" si="81"/>
        <v/>
      </c>
      <c r="FK41" s="50" t="str">
        <f t="shared" si="81"/>
        <v/>
      </c>
      <c r="FL41" s="50" t="str">
        <f t="shared" si="81"/>
        <v/>
      </c>
      <c r="FM41" s="50" t="str">
        <f t="shared" si="81"/>
        <v/>
      </c>
      <c r="FN41" s="50" t="str">
        <f t="shared" si="81"/>
        <v/>
      </c>
      <c r="FO41" s="50" t="str">
        <f t="shared" si="81"/>
        <v/>
      </c>
      <c r="FP41" s="50" t="str">
        <f t="shared" si="81"/>
        <v/>
      </c>
      <c r="FQ41" s="50" t="str">
        <f t="shared" si="81"/>
        <v/>
      </c>
      <c r="FR41" s="50" t="str">
        <f t="shared" si="81"/>
        <v/>
      </c>
      <c r="FS41" s="50" t="str">
        <f t="shared" ref="FS41:HN42" si="86">IF($B41=FS$12,$O41,"")</f>
        <v/>
      </c>
      <c r="FT41" s="50" t="str">
        <f t="shared" si="86"/>
        <v/>
      </c>
      <c r="FU41" s="50" t="str">
        <f t="shared" si="86"/>
        <v/>
      </c>
      <c r="FV41" s="50" t="str">
        <f t="shared" si="86"/>
        <v/>
      </c>
      <c r="FW41" s="50" t="str">
        <f t="shared" si="86"/>
        <v/>
      </c>
      <c r="FX41" s="50" t="str">
        <f t="shared" si="86"/>
        <v/>
      </c>
      <c r="FY41" s="50" t="str">
        <f t="shared" si="86"/>
        <v/>
      </c>
      <c r="FZ41" s="50" t="str">
        <f t="shared" si="86"/>
        <v/>
      </c>
      <c r="GA41" s="50" t="str">
        <f t="shared" si="86"/>
        <v/>
      </c>
      <c r="GB41" s="50" t="str">
        <f t="shared" si="86"/>
        <v/>
      </c>
      <c r="GC41" s="50" t="str">
        <f t="shared" si="86"/>
        <v/>
      </c>
      <c r="GD41" s="50" t="str">
        <f t="shared" si="86"/>
        <v/>
      </c>
      <c r="GE41" s="50" t="str">
        <f t="shared" si="86"/>
        <v/>
      </c>
      <c r="GF41" s="50" t="str">
        <f t="shared" si="86"/>
        <v/>
      </c>
      <c r="GG41" s="50" t="str">
        <f t="shared" si="86"/>
        <v/>
      </c>
      <c r="GH41" s="50" t="str">
        <f t="shared" si="86"/>
        <v/>
      </c>
      <c r="GI41" s="50" t="str">
        <f t="shared" si="86"/>
        <v/>
      </c>
      <c r="GJ41" s="50" t="str">
        <f t="shared" si="86"/>
        <v/>
      </c>
      <c r="GK41" s="50" t="str">
        <f t="shared" si="86"/>
        <v/>
      </c>
      <c r="GL41" s="50" t="str">
        <f t="shared" si="86"/>
        <v/>
      </c>
      <c r="GM41" s="50" t="str">
        <f t="shared" si="86"/>
        <v/>
      </c>
      <c r="GN41" s="50" t="str">
        <f t="shared" si="86"/>
        <v/>
      </c>
      <c r="GO41" s="50" t="str">
        <f t="shared" si="86"/>
        <v/>
      </c>
      <c r="GP41" s="50" t="str">
        <f t="shared" si="86"/>
        <v/>
      </c>
      <c r="GQ41" s="50" t="str">
        <f t="shared" si="86"/>
        <v/>
      </c>
      <c r="GR41" s="50" t="str">
        <f t="shared" si="86"/>
        <v/>
      </c>
      <c r="GS41" s="50" t="str">
        <f t="shared" si="86"/>
        <v/>
      </c>
      <c r="GT41" s="50" t="str">
        <f t="shared" si="86"/>
        <v/>
      </c>
      <c r="GU41" s="50" t="str">
        <f t="shared" si="86"/>
        <v/>
      </c>
      <c r="GV41" s="50" t="str">
        <f t="shared" si="86"/>
        <v/>
      </c>
      <c r="GW41" s="50" t="str">
        <f t="shared" si="86"/>
        <v/>
      </c>
      <c r="GX41" s="50" t="str">
        <f t="shared" si="86"/>
        <v/>
      </c>
      <c r="GY41" s="50" t="str">
        <f t="shared" si="86"/>
        <v/>
      </c>
      <c r="GZ41" s="50" t="str">
        <f t="shared" si="86"/>
        <v/>
      </c>
      <c r="HA41" s="50" t="str">
        <f t="shared" si="86"/>
        <v/>
      </c>
      <c r="HB41" s="50" t="str">
        <f t="shared" si="86"/>
        <v/>
      </c>
      <c r="HC41" s="50" t="str">
        <f t="shared" si="86"/>
        <v/>
      </c>
      <c r="HD41" s="50" t="str">
        <f t="shared" si="86"/>
        <v/>
      </c>
      <c r="HE41" s="50" t="str">
        <f t="shared" si="86"/>
        <v/>
      </c>
      <c r="HF41" s="50" t="str">
        <f t="shared" si="86"/>
        <v/>
      </c>
      <c r="HG41" s="50" t="str">
        <f t="shared" si="86"/>
        <v/>
      </c>
      <c r="HH41" s="50" t="str">
        <f t="shared" si="86"/>
        <v/>
      </c>
      <c r="HI41" s="50" t="str">
        <f t="shared" si="86"/>
        <v/>
      </c>
      <c r="HJ41" s="50" t="str">
        <f t="shared" si="86"/>
        <v/>
      </c>
      <c r="HK41" s="50" t="str">
        <f t="shared" si="86"/>
        <v/>
      </c>
      <c r="HL41" s="50" t="str">
        <f t="shared" si="86"/>
        <v/>
      </c>
      <c r="HM41" s="50" t="str">
        <f t="shared" si="86"/>
        <v/>
      </c>
      <c r="HN41" s="50" t="str">
        <f t="shared" si="84"/>
        <v/>
      </c>
      <c r="HO41" s="50" t="str">
        <f t="shared" si="84"/>
        <v/>
      </c>
      <c r="HP41" s="50" t="str">
        <f t="shared" si="84"/>
        <v/>
      </c>
      <c r="HQ41" s="50" t="str">
        <f t="shared" si="84"/>
        <v/>
      </c>
      <c r="HR41" s="112" t="str">
        <f t="shared" si="84"/>
        <v/>
      </c>
    </row>
    <row r="42" spans="1:226" ht="11.1" customHeight="1" thickBot="1" x14ac:dyDescent="0.3">
      <c r="A42" s="36"/>
      <c r="B42" s="37"/>
      <c r="C42" s="38" t="str">
        <f>IF(A42=0,"",VLOOKUP(A42,[2]CO!$A$3:$F$5327,2,0))</f>
        <v/>
      </c>
      <c r="D42" s="39"/>
      <c r="E42" s="39"/>
      <c r="F42" s="103" t="str">
        <f t="shared" si="72"/>
        <v/>
      </c>
      <c r="G42" s="40" t="str">
        <f>IF(A42=0,"",VLOOKUP(A42,[2]CO!$A$3:$F$5327,3,0))</f>
        <v/>
      </c>
      <c r="H42" s="97"/>
      <c r="I42" s="41"/>
      <c r="J42" s="41"/>
      <c r="K42" s="41"/>
      <c r="L42" s="41"/>
      <c r="M42" s="42" t="str">
        <f>IF(L42=0,"",PRODUCT(I42:L42))</f>
        <v/>
      </c>
      <c r="N42" s="42" t="str">
        <f>IF(B42=0,"",IF(H42="M",HLOOKUP(B42,$Y$12:$DT$13,2),IF(A42=0,"",VLOOKUP(A42,[2]CO!$A$3:$F$5327,4,0))))</f>
        <v/>
      </c>
      <c r="O42" s="42" t="str">
        <f t="shared" si="25"/>
        <v/>
      </c>
      <c r="P42" s="37"/>
      <c r="Q42" s="43" t="str">
        <f t="shared" si="74"/>
        <v/>
      </c>
      <c r="R42" s="44"/>
      <c r="T42" s="53" t="str">
        <f>IF(A42=0,"",VLOOKUP(A42,[2]CO!$A$3:$F$5318,5,0))</f>
        <v/>
      </c>
      <c r="U42" s="54">
        <f t="shared" si="38"/>
        <v>0</v>
      </c>
      <c r="V42" s="24"/>
      <c r="W42" s="24"/>
      <c r="X42" s="24"/>
      <c r="Y42" s="76" t="str">
        <f t="shared" si="75"/>
        <v/>
      </c>
      <c r="Z42" s="77" t="str">
        <f t="shared" si="75"/>
        <v/>
      </c>
      <c r="AA42" s="77" t="str">
        <f t="shared" si="75"/>
        <v/>
      </c>
      <c r="AB42" s="77" t="str">
        <f t="shared" si="75"/>
        <v/>
      </c>
      <c r="AC42" s="77" t="str">
        <f t="shared" si="75"/>
        <v/>
      </c>
      <c r="AD42" s="77" t="str">
        <f t="shared" si="75"/>
        <v/>
      </c>
      <c r="AE42" s="77" t="str">
        <f t="shared" si="75"/>
        <v/>
      </c>
      <c r="AF42" s="77" t="str">
        <f t="shared" si="75"/>
        <v/>
      </c>
      <c r="AG42" s="77" t="str">
        <f t="shared" si="75"/>
        <v/>
      </c>
      <c r="AH42" s="77" t="str">
        <f t="shared" si="75"/>
        <v/>
      </c>
      <c r="AI42" s="77" t="str">
        <f t="shared" si="75"/>
        <v/>
      </c>
      <c r="AJ42" s="77" t="str">
        <f t="shared" si="75"/>
        <v/>
      </c>
      <c r="AK42" s="77" t="str">
        <f t="shared" si="75"/>
        <v/>
      </c>
      <c r="AL42" s="77" t="str">
        <f t="shared" si="75"/>
        <v/>
      </c>
      <c r="AM42" s="77" t="str">
        <f t="shared" si="75"/>
        <v/>
      </c>
      <c r="AN42" s="77" t="str">
        <f t="shared" si="75"/>
        <v/>
      </c>
      <c r="AO42" s="77" t="str">
        <f t="shared" si="76"/>
        <v/>
      </c>
      <c r="AP42" s="77" t="str">
        <f t="shared" si="76"/>
        <v/>
      </c>
      <c r="AQ42" s="77" t="str">
        <f t="shared" si="76"/>
        <v/>
      </c>
      <c r="AR42" s="77" t="str">
        <f t="shared" si="76"/>
        <v/>
      </c>
      <c r="AS42" s="77" t="str">
        <f t="shared" si="76"/>
        <v/>
      </c>
      <c r="AT42" s="77" t="str">
        <f t="shared" si="76"/>
        <v/>
      </c>
      <c r="AU42" s="77" t="str">
        <f t="shared" si="76"/>
        <v/>
      </c>
      <c r="AV42" s="77" t="str">
        <f t="shared" si="76"/>
        <v/>
      </c>
      <c r="AW42" s="77" t="str">
        <f t="shared" si="76"/>
        <v/>
      </c>
      <c r="AX42" s="77" t="str">
        <f t="shared" si="76"/>
        <v/>
      </c>
      <c r="AY42" s="77" t="str">
        <f t="shared" si="76"/>
        <v/>
      </c>
      <c r="AZ42" s="77" t="str">
        <f t="shared" si="76"/>
        <v/>
      </c>
      <c r="BA42" s="77" t="str">
        <f t="shared" si="76"/>
        <v/>
      </c>
      <c r="BB42" s="77" t="str">
        <f t="shared" si="76"/>
        <v/>
      </c>
      <c r="BC42" s="77" t="str">
        <f t="shared" si="76"/>
        <v/>
      </c>
      <c r="BD42" s="77" t="str">
        <f t="shared" si="76"/>
        <v/>
      </c>
      <c r="BE42" s="77" t="str">
        <f t="shared" si="77"/>
        <v/>
      </c>
      <c r="BF42" s="77" t="str">
        <f t="shared" si="77"/>
        <v/>
      </c>
      <c r="BG42" s="77" t="str">
        <f t="shared" si="77"/>
        <v/>
      </c>
      <c r="BH42" s="77" t="str">
        <f t="shared" si="77"/>
        <v/>
      </c>
      <c r="BI42" s="77" t="str">
        <f t="shared" si="77"/>
        <v/>
      </c>
      <c r="BJ42" s="77" t="str">
        <f t="shared" si="77"/>
        <v/>
      </c>
      <c r="BK42" s="77" t="str">
        <f t="shared" si="77"/>
        <v/>
      </c>
      <c r="BL42" s="77" t="str">
        <f t="shared" si="77"/>
        <v/>
      </c>
      <c r="BM42" s="77" t="str">
        <f t="shared" si="77"/>
        <v/>
      </c>
      <c r="BN42" s="77" t="str">
        <f t="shared" si="77"/>
        <v/>
      </c>
      <c r="BO42" s="77" t="str">
        <f t="shared" si="77"/>
        <v/>
      </c>
      <c r="BP42" s="77" t="str">
        <f t="shared" si="77"/>
        <v/>
      </c>
      <c r="BQ42" s="77" t="str">
        <f t="shared" si="77"/>
        <v/>
      </c>
      <c r="BR42" s="77" t="str">
        <f t="shared" si="77"/>
        <v/>
      </c>
      <c r="BS42" s="77" t="str">
        <f t="shared" si="77"/>
        <v/>
      </c>
      <c r="BT42" s="77" t="str">
        <f t="shared" si="77"/>
        <v/>
      </c>
      <c r="BU42" s="77" t="str">
        <f t="shared" si="85"/>
        <v/>
      </c>
      <c r="BV42" s="77" t="str">
        <f t="shared" si="85"/>
        <v/>
      </c>
      <c r="BW42" s="77" t="str">
        <f t="shared" si="85"/>
        <v/>
      </c>
      <c r="BX42" s="77" t="str">
        <f t="shared" si="85"/>
        <v/>
      </c>
      <c r="BY42" s="77" t="str">
        <f t="shared" si="85"/>
        <v/>
      </c>
      <c r="BZ42" s="77" t="str">
        <f t="shared" si="85"/>
        <v/>
      </c>
      <c r="CA42" s="77" t="str">
        <f t="shared" si="85"/>
        <v/>
      </c>
      <c r="CB42" s="77" t="str">
        <f t="shared" si="85"/>
        <v/>
      </c>
      <c r="CC42" s="77" t="str">
        <f t="shared" si="85"/>
        <v/>
      </c>
      <c r="CD42" s="77" t="str">
        <f t="shared" si="85"/>
        <v/>
      </c>
      <c r="CE42" s="77" t="str">
        <f t="shared" si="85"/>
        <v/>
      </c>
      <c r="CF42" s="77" t="str">
        <f t="shared" si="85"/>
        <v/>
      </c>
      <c r="CG42" s="77" t="str">
        <f t="shared" si="85"/>
        <v/>
      </c>
      <c r="CH42" s="77" t="str">
        <f t="shared" si="85"/>
        <v/>
      </c>
      <c r="CI42" s="77" t="str">
        <f t="shared" si="85"/>
        <v/>
      </c>
      <c r="CJ42" s="77" t="str">
        <f t="shared" si="85"/>
        <v/>
      </c>
      <c r="CK42" s="77" t="str">
        <f t="shared" si="85"/>
        <v/>
      </c>
      <c r="CL42" s="77" t="str">
        <f t="shared" si="85"/>
        <v/>
      </c>
      <c r="CM42" s="77" t="str">
        <f t="shared" si="85"/>
        <v/>
      </c>
      <c r="CN42" s="77" t="str">
        <f t="shared" si="85"/>
        <v/>
      </c>
      <c r="CO42" s="77" t="str">
        <f t="shared" si="85"/>
        <v/>
      </c>
      <c r="CP42" s="77" t="str">
        <f t="shared" si="85"/>
        <v/>
      </c>
      <c r="CQ42" s="77" t="str">
        <f t="shared" si="85"/>
        <v/>
      </c>
      <c r="CR42" s="77" t="str">
        <f t="shared" si="85"/>
        <v/>
      </c>
      <c r="CS42" s="77" t="str">
        <f t="shared" si="85"/>
        <v/>
      </c>
      <c r="CT42" s="77" t="str">
        <f t="shared" si="85"/>
        <v/>
      </c>
      <c r="CU42" s="77" t="str">
        <f t="shared" si="85"/>
        <v/>
      </c>
      <c r="CV42" s="77" t="str">
        <f t="shared" si="85"/>
        <v/>
      </c>
      <c r="CW42" s="77" t="str">
        <f t="shared" si="85"/>
        <v/>
      </c>
      <c r="CX42" s="77" t="str">
        <f t="shared" si="85"/>
        <v/>
      </c>
      <c r="CY42" s="77" t="str">
        <f t="shared" si="85"/>
        <v/>
      </c>
      <c r="CZ42" s="77" t="str">
        <f t="shared" si="85"/>
        <v/>
      </c>
      <c r="DA42" s="77" t="str">
        <f t="shared" si="85"/>
        <v/>
      </c>
      <c r="DB42" s="77" t="str">
        <f t="shared" si="85"/>
        <v/>
      </c>
      <c r="DC42" s="77" t="str">
        <f t="shared" si="85"/>
        <v/>
      </c>
      <c r="DD42" s="77" t="str">
        <f t="shared" si="85"/>
        <v/>
      </c>
      <c r="DE42" s="77" t="str">
        <f t="shared" si="85"/>
        <v/>
      </c>
      <c r="DF42" s="77" t="str">
        <f t="shared" si="85"/>
        <v/>
      </c>
      <c r="DG42" s="77" t="str">
        <f t="shared" si="85"/>
        <v/>
      </c>
      <c r="DH42" s="77" t="str">
        <f t="shared" si="85"/>
        <v/>
      </c>
      <c r="DI42" s="77" t="str">
        <f t="shared" si="85"/>
        <v/>
      </c>
      <c r="DJ42" s="77" t="str">
        <f t="shared" si="85"/>
        <v/>
      </c>
      <c r="DK42" s="77" t="str">
        <f t="shared" si="85"/>
        <v/>
      </c>
      <c r="DL42" s="77" t="str">
        <f t="shared" si="85"/>
        <v/>
      </c>
      <c r="DM42" s="77" t="str">
        <f t="shared" si="85"/>
        <v/>
      </c>
      <c r="DN42" s="77" t="str">
        <f t="shared" si="85"/>
        <v/>
      </c>
      <c r="DO42" s="77" t="str">
        <f t="shared" si="85"/>
        <v/>
      </c>
      <c r="DP42" s="77" t="str">
        <f t="shared" si="85"/>
        <v/>
      </c>
      <c r="DQ42" s="77" t="str">
        <f t="shared" si="83"/>
        <v/>
      </c>
      <c r="DR42" s="77" t="str">
        <f t="shared" si="83"/>
        <v/>
      </c>
      <c r="DS42" s="77" t="str">
        <f t="shared" si="83"/>
        <v/>
      </c>
      <c r="DT42" s="107" t="str">
        <f t="shared" si="83"/>
        <v/>
      </c>
      <c r="DU42" s="54"/>
      <c r="DV42" s="21"/>
      <c r="DW42" s="78" t="str">
        <f t="shared" si="79"/>
        <v/>
      </c>
      <c r="DX42" s="79" t="str">
        <f t="shared" si="79"/>
        <v/>
      </c>
      <c r="DY42" s="79" t="str">
        <f t="shared" si="79"/>
        <v/>
      </c>
      <c r="DZ42" s="79" t="str">
        <f t="shared" si="79"/>
        <v/>
      </c>
      <c r="EA42" s="79" t="str">
        <f t="shared" si="79"/>
        <v/>
      </c>
      <c r="EB42" s="79" t="str">
        <f t="shared" si="79"/>
        <v/>
      </c>
      <c r="EC42" s="79" t="str">
        <f t="shared" si="79"/>
        <v/>
      </c>
      <c r="ED42" s="79" t="str">
        <f t="shared" si="79"/>
        <v/>
      </c>
      <c r="EE42" s="79" t="str">
        <f t="shared" si="79"/>
        <v/>
      </c>
      <c r="EF42" s="79" t="str">
        <f t="shared" si="79"/>
        <v/>
      </c>
      <c r="EG42" s="79" t="str">
        <f t="shared" si="79"/>
        <v/>
      </c>
      <c r="EH42" s="79" t="str">
        <f t="shared" si="79"/>
        <v/>
      </c>
      <c r="EI42" s="79" t="str">
        <f t="shared" si="79"/>
        <v/>
      </c>
      <c r="EJ42" s="79" t="str">
        <f t="shared" si="79"/>
        <v/>
      </c>
      <c r="EK42" s="79" t="str">
        <f t="shared" si="79"/>
        <v/>
      </c>
      <c r="EL42" s="79" t="str">
        <f t="shared" si="79"/>
        <v/>
      </c>
      <c r="EM42" s="79" t="str">
        <f t="shared" si="80"/>
        <v/>
      </c>
      <c r="EN42" s="79" t="str">
        <f t="shared" si="80"/>
        <v/>
      </c>
      <c r="EO42" s="79" t="str">
        <f t="shared" si="80"/>
        <v/>
      </c>
      <c r="EP42" s="79" t="str">
        <f t="shared" si="80"/>
        <v/>
      </c>
      <c r="EQ42" s="79" t="str">
        <f t="shared" si="80"/>
        <v/>
      </c>
      <c r="ER42" s="79" t="str">
        <f t="shared" si="80"/>
        <v/>
      </c>
      <c r="ES42" s="79" t="str">
        <f t="shared" si="80"/>
        <v/>
      </c>
      <c r="ET42" s="79" t="str">
        <f t="shared" si="80"/>
        <v/>
      </c>
      <c r="EU42" s="79" t="str">
        <f t="shared" si="80"/>
        <v/>
      </c>
      <c r="EV42" s="79" t="str">
        <f t="shared" si="80"/>
        <v/>
      </c>
      <c r="EW42" s="79" t="str">
        <f t="shared" si="80"/>
        <v/>
      </c>
      <c r="EX42" s="79" t="str">
        <f t="shared" si="80"/>
        <v/>
      </c>
      <c r="EY42" s="79" t="str">
        <f t="shared" si="80"/>
        <v/>
      </c>
      <c r="EZ42" s="79" t="str">
        <f t="shared" si="80"/>
        <v/>
      </c>
      <c r="FA42" s="79" t="str">
        <f t="shared" si="80"/>
        <v/>
      </c>
      <c r="FB42" s="79" t="str">
        <f t="shared" si="80"/>
        <v/>
      </c>
      <c r="FC42" s="79" t="str">
        <f t="shared" si="81"/>
        <v/>
      </c>
      <c r="FD42" s="79" t="str">
        <f t="shared" si="81"/>
        <v/>
      </c>
      <c r="FE42" s="79" t="str">
        <f t="shared" si="81"/>
        <v/>
      </c>
      <c r="FF42" s="79" t="str">
        <f t="shared" si="81"/>
        <v/>
      </c>
      <c r="FG42" s="79" t="str">
        <f t="shared" si="81"/>
        <v/>
      </c>
      <c r="FH42" s="79" t="str">
        <f t="shared" si="81"/>
        <v/>
      </c>
      <c r="FI42" s="79" t="str">
        <f t="shared" si="81"/>
        <v/>
      </c>
      <c r="FJ42" s="79" t="str">
        <f t="shared" si="81"/>
        <v/>
      </c>
      <c r="FK42" s="79" t="str">
        <f t="shared" si="81"/>
        <v/>
      </c>
      <c r="FL42" s="79" t="str">
        <f t="shared" si="81"/>
        <v/>
      </c>
      <c r="FM42" s="79" t="str">
        <f t="shared" si="81"/>
        <v/>
      </c>
      <c r="FN42" s="79" t="str">
        <f t="shared" si="81"/>
        <v/>
      </c>
      <c r="FO42" s="79" t="str">
        <f t="shared" si="81"/>
        <v/>
      </c>
      <c r="FP42" s="79" t="str">
        <f t="shared" si="81"/>
        <v/>
      </c>
      <c r="FQ42" s="79" t="str">
        <f t="shared" si="81"/>
        <v/>
      </c>
      <c r="FR42" s="79" t="str">
        <f t="shared" si="81"/>
        <v/>
      </c>
      <c r="FS42" s="79" t="str">
        <f t="shared" si="86"/>
        <v/>
      </c>
      <c r="FT42" s="79" t="str">
        <f t="shared" si="86"/>
        <v/>
      </c>
      <c r="FU42" s="79" t="str">
        <f t="shared" si="86"/>
        <v/>
      </c>
      <c r="FV42" s="79" t="str">
        <f t="shared" si="86"/>
        <v/>
      </c>
      <c r="FW42" s="79" t="str">
        <f t="shared" si="86"/>
        <v/>
      </c>
      <c r="FX42" s="79" t="str">
        <f t="shared" si="86"/>
        <v/>
      </c>
      <c r="FY42" s="79" t="str">
        <f t="shared" si="86"/>
        <v/>
      </c>
      <c r="FZ42" s="79" t="str">
        <f t="shared" si="86"/>
        <v/>
      </c>
      <c r="GA42" s="79" t="str">
        <f t="shared" si="86"/>
        <v/>
      </c>
      <c r="GB42" s="79" t="str">
        <f t="shared" si="86"/>
        <v/>
      </c>
      <c r="GC42" s="79" t="str">
        <f t="shared" si="86"/>
        <v/>
      </c>
      <c r="GD42" s="79" t="str">
        <f t="shared" si="86"/>
        <v/>
      </c>
      <c r="GE42" s="79" t="str">
        <f t="shared" si="86"/>
        <v/>
      </c>
      <c r="GF42" s="79" t="str">
        <f t="shared" si="86"/>
        <v/>
      </c>
      <c r="GG42" s="79" t="str">
        <f t="shared" si="86"/>
        <v/>
      </c>
      <c r="GH42" s="79" t="str">
        <f t="shared" si="86"/>
        <v/>
      </c>
      <c r="GI42" s="79" t="str">
        <f t="shared" si="86"/>
        <v/>
      </c>
      <c r="GJ42" s="79" t="str">
        <f t="shared" si="86"/>
        <v/>
      </c>
      <c r="GK42" s="79" t="str">
        <f t="shared" si="86"/>
        <v/>
      </c>
      <c r="GL42" s="79" t="str">
        <f t="shared" si="86"/>
        <v/>
      </c>
      <c r="GM42" s="79" t="str">
        <f t="shared" si="86"/>
        <v/>
      </c>
      <c r="GN42" s="79" t="str">
        <f t="shared" si="86"/>
        <v/>
      </c>
      <c r="GO42" s="79" t="str">
        <f t="shared" si="86"/>
        <v/>
      </c>
      <c r="GP42" s="79" t="str">
        <f t="shared" si="86"/>
        <v/>
      </c>
      <c r="GQ42" s="79" t="str">
        <f t="shared" si="86"/>
        <v/>
      </c>
      <c r="GR42" s="79" t="str">
        <f t="shared" si="86"/>
        <v/>
      </c>
      <c r="GS42" s="79" t="str">
        <f t="shared" si="86"/>
        <v/>
      </c>
      <c r="GT42" s="79" t="str">
        <f t="shared" si="86"/>
        <v/>
      </c>
      <c r="GU42" s="79" t="str">
        <f t="shared" si="86"/>
        <v/>
      </c>
      <c r="GV42" s="79" t="str">
        <f t="shared" si="86"/>
        <v/>
      </c>
      <c r="GW42" s="79" t="str">
        <f t="shared" si="86"/>
        <v/>
      </c>
      <c r="GX42" s="79" t="str">
        <f t="shared" si="86"/>
        <v/>
      </c>
      <c r="GY42" s="79" t="str">
        <f t="shared" si="86"/>
        <v/>
      </c>
      <c r="GZ42" s="79" t="str">
        <f t="shared" si="86"/>
        <v/>
      </c>
      <c r="HA42" s="79" t="str">
        <f t="shared" si="86"/>
        <v/>
      </c>
      <c r="HB42" s="79" t="str">
        <f t="shared" si="86"/>
        <v/>
      </c>
      <c r="HC42" s="79" t="str">
        <f t="shared" si="86"/>
        <v/>
      </c>
      <c r="HD42" s="79" t="str">
        <f t="shared" si="86"/>
        <v/>
      </c>
      <c r="HE42" s="79" t="str">
        <f t="shared" si="86"/>
        <v/>
      </c>
      <c r="HF42" s="79" t="str">
        <f t="shared" si="86"/>
        <v/>
      </c>
      <c r="HG42" s="79" t="str">
        <f t="shared" si="86"/>
        <v/>
      </c>
      <c r="HH42" s="79" t="str">
        <f t="shared" si="86"/>
        <v/>
      </c>
      <c r="HI42" s="79" t="str">
        <f t="shared" si="86"/>
        <v/>
      </c>
      <c r="HJ42" s="79" t="str">
        <f t="shared" si="86"/>
        <v/>
      </c>
      <c r="HK42" s="79" t="str">
        <f t="shared" si="86"/>
        <v/>
      </c>
      <c r="HL42" s="79" t="str">
        <f t="shared" si="86"/>
        <v/>
      </c>
      <c r="HM42" s="79" t="str">
        <f t="shared" si="86"/>
        <v/>
      </c>
      <c r="HN42" s="79" t="str">
        <f t="shared" si="86"/>
        <v/>
      </c>
      <c r="HO42" s="79" t="str">
        <f t="shared" si="84"/>
        <v/>
      </c>
      <c r="HP42" s="79" t="str">
        <f t="shared" si="84"/>
        <v/>
      </c>
      <c r="HQ42" s="79" t="str">
        <f t="shared" si="84"/>
        <v/>
      </c>
      <c r="HR42" s="113" t="str">
        <f t="shared" si="84"/>
        <v/>
      </c>
    </row>
    <row r="43" spans="1:226" ht="10.199999999999999" customHeight="1" x14ac:dyDescent="0.25">
      <c r="A43" s="45"/>
      <c r="B43" s="23"/>
      <c r="C43" s="23" t="str">
        <f>IF(A43=0,"",VLOOKUP(A43,#REF!,2,0))</f>
        <v/>
      </c>
      <c r="D43" s="23"/>
      <c r="E43" s="23"/>
      <c r="F43" s="23"/>
      <c r="G43" s="23"/>
      <c r="H43" s="23"/>
      <c r="I43" s="46"/>
      <c r="J43" s="46"/>
      <c r="K43" s="46"/>
      <c r="L43" s="46"/>
      <c r="M43" s="47"/>
      <c r="N43" s="47"/>
      <c r="O43" s="47"/>
      <c r="P43" s="23"/>
      <c r="Q43" s="23"/>
      <c r="R43" s="23"/>
      <c r="T43" s="21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2"/>
      <c r="EU43" s="22"/>
      <c r="EV43" s="22"/>
    </row>
    <row r="44" spans="1:226" x14ac:dyDescent="0.25">
      <c r="A44" s="45"/>
      <c r="B44" s="23"/>
      <c r="C44" s="23"/>
      <c r="D44" s="23"/>
      <c r="E44" s="23"/>
      <c r="F44" s="23"/>
      <c r="G44" s="23"/>
      <c r="H44" s="23"/>
      <c r="I44" s="46"/>
      <c r="J44" s="46"/>
      <c r="K44" s="46"/>
      <c r="L44" s="46"/>
      <c r="M44" s="47"/>
      <c r="N44" s="47"/>
      <c r="O44" s="48" t="s">
        <v>17</v>
      </c>
      <c r="P44" s="49"/>
      <c r="Q44" s="104">
        <f>SUM(Q36:Q42)</f>
        <v>0</v>
      </c>
      <c r="R44" s="104">
        <f>SUM(R36:R42)</f>
        <v>0</v>
      </c>
      <c r="T44" s="21"/>
      <c r="U44" s="24"/>
      <c r="V44" s="24"/>
      <c r="W44" s="24"/>
      <c r="X44" s="24"/>
      <c r="EV44" s="22"/>
    </row>
    <row r="45" spans="1:226" x14ac:dyDescent="0.25">
      <c r="A45" s="45"/>
      <c r="B45" s="23"/>
      <c r="C45" s="23"/>
      <c r="D45" s="23"/>
      <c r="E45" s="23"/>
      <c r="F45" s="23"/>
      <c r="G45" s="23"/>
      <c r="H45" s="23"/>
      <c r="I45" s="46"/>
      <c r="J45" s="46"/>
      <c r="K45" s="46"/>
      <c r="L45" s="46"/>
      <c r="M45" s="47"/>
      <c r="N45" s="47"/>
      <c r="O45" s="47"/>
      <c r="P45" s="23"/>
      <c r="Q45" s="23"/>
      <c r="R45" s="23"/>
      <c r="T45" s="21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2"/>
      <c r="EU45" s="22"/>
      <c r="EV45" s="22"/>
    </row>
    <row r="46" spans="1:226" x14ac:dyDescent="0.25">
      <c r="A46" s="45"/>
      <c r="B46" s="23"/>
      <c r="C46" s="23"/>
      <c r="D46" s="23"/>
      <c r="E46" s="23"/>
      <c r="F46" s="23"/>
      <c r="G46" s="23"/>
      <c r="H46" s="23"/>
      <c r="I46" s="46"/>
      <c r="J46" s="46"/>
      <c r="K46" s="46"/>
      <c r="L46" s="46"/>
      <c r="M46" s="47"/>
      <c r="N46" s="47"/>
      <c r="O46" s="48" t="s">
        <v>18</v>
      </c>
      <c r="P46" s="23"/>
      <c r="Q46" s="104">
        <f>Q21+Q32+Q44</f>
        <v>0</v>
      </c>
      <c r="R46" s="104"/>
      <c r="T46" s="21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2"/>
      <c r="EU46" s="22"/>
      <c r="EV46" s="22"/>
    </row>
    <row r="47" spans="1:226" ht="10.199999999999999" customHeight="1" x14ac:dyDescent="0.25"/>
    <row r="48" spans="1:226" ht="10.199999999999999" customHeight="1" x14ac:dyDescent="0.25"/>
    <row r="49" ht="10.199999999999999" customHeight="1" x14ac:dyDescent="0.25"/>
    <row r="1047579" spans="9:9" x14ac:dyDescent="0.25">
      <c r="I1047579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2026-06-29T20:27:02Z</dcterms:modified>
</cp:coreProperties>
</file>