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exportados\semana_25\"/>
    </mc:Choice>
  </mc:AlternateContent>
  <xr:revisionPtr revIDLastSave="0" documentId="13_ncr:1_{FC342248-F58C-4A24-9B06-8AD6E7CBC3B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'026'!$A$1:$R$53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35" i="491" l="1"/>
  <c r="HQ35" i="491"/>
  <c r="HP35" i="491"/>
  <c r="HO35" i="491"/>
  <c r="HN35" i="491"/>
  <c r="HM35" i="491"/>
  <c r="HL35" i="491"/>
  <c r="HK35" i="491"/>
  <c r="HJ35" i="491"/>
  <c r="HI35" i="491"/>
  <c r="HH35" i="491"/>
  <c r="HG35" i="491"/>
  <c r="HF35" i="491"/>
  <c r="HE35" i="491"/>
  <c r="HD35" i="491"/>
  <c r="HC35" i="491"/>
  <c r="HB35" i="491"/>
  <c r="HA35" i="491"/>
  <c r="GZ35" i="491"/>
  <c r="GY35" i="491"/>
  <c r="GX35" i="491"/>
  <c r="GW35" i="491"/>
  <c r="GV35" i="491"/>
  <c r="GU35" i="491"/>
  <c r="GT35" i="491"/>
  <c r="GS35" i="491"/>
  <c r="GR35" i="491"/>
  <c r="GQ35" i="491"/>
  <c r="GP35" i="491"/>
  <c r="GO35" i="491"/>
  <c r="GN35" i="491"/>
  <c r="GM35" i="491"/>
  <c r="GL35" i="491"/>
  <c r="GK35" i="491"/>
  <c r="GJ35" i="491"/>
  <c r="GI35" i="491"/>
  <c r="GH35" i="491"/>
  <c r="GG35" i="491"/>
  <c r="GF35" i="491"/>
  <c r="GE35" i="491"/>
  <c r="GD35" i="491"/>
  <c r="GC35" i="491"/>
  <c r="GB35" i="491"/>
  <c r="GA35" i="491"/>
  <c r="FZ35" i="491"/>
  <c r="FY35" i="491"/>
  <c r="FX35" i="491"/>
  <c r="FW35" i="491"/>
  <c r="FV35" i="491"/>
  <c r="FU35" i="491"/>
  <c r="FT35" i="491"/>
  <c r="FS35" i="491"/>
  <c r="FR35" i="491"/>
  <c r="FQ35" i="491"/>
  <c r="FP35" i="491"/>
  <c r="FO35" i="491"/>
  <c r="FN35" i="491"/>
  <c r="FM35" i="491"/>
  <c r="FL35" i="491"/>
  <c r="FK35" i="491"/>
  <c r="FJ35" i="491"/>
  <c r="FI35" i="491"/>
  <c r="FH35" i="491"/>
  <c r="FG35" i="491"/>
  <c r="FF35" i="491"/>
  <c r="FE35" i="491"/>
  <c r="FD35" i="491"/>
  <c r="FC35" i="491"/>
  <c r="FB35" i="491"/>
  <c r="FA35" i="491"/>
  <c r="EZ35" i="491"/>
  <c r="EY35" i="491"/>
  <c r="EX35" i="491"/>
  <c r="EW35" i="491"/>
  <c r="EV35" i="491"/>
  <c r="EU35" i="491"/>
  <c r="ET35" i="491"/>
  <c r="ES35" i="491"/>
  <c r="ER35" i="491"/>
  <c r="EQ35" i="491"/>
  <c r="EP35" i="491"/>
  <c r="EO35" i="491"/>
  <c r="EN35" i="491"/>
  <c r="EM35" i="491"/>
  <c r="EL35" i="491"/>
  <c r="EK35" i="491"/>
  <c r="EJ35" i="491"/>
  <c r="EI35" i="491"/>
  <c r="EH35" i="491"/>
  <c r="EG35" i="491"/>
  <c r="EF35" i="491"/>
  <c r="EE35" i="491"/>
  <c r="ED35" i="491"/>
  <c r="EC35" i="491"/>
  <c r="EB35" i="491"/>
  <c r="EA35" i="491"/>
  <c r="DZ35" i="491"/>
  <c r="DY35" i="491"/>
  <c r="DX35" i="491"/>
  <c r="DW35" i="491"/>
  <c r="DT35" i="491"/>
  <c r="DS35" i="491"/>
  <c r="DR35" i="491"/>
  <c r="DQ35" i="491"/>
  <c r="DP35" i="491"/>
  <c r="DO35" i="491"/>
  <c r="DN35" i="491"/>
  <c r="DM35" i="491"/>
  <c r="DL35" i="491"/>
  <c r="DK35" i="491"/>
  <c r="DJ35" i="491"/>
  <c r="DI35" i="491"/>
  <c r="DH35" i="491"/>
  <c r="DG35" i="491"/>
  <c r="DF35" i="491"/>
  <c r="DE35" i="491"/>
  <c r="DD35" i="491"/>
  <c r="DC35" i="491"/>
  <c r="DB35" i="491"/>
  <c r="DA35" i="491"/>
  <c r="CZ35" i="491"/>
  <c r="CY35" i="491"/>
  <c r="CX35" i="491"/>
  <c r="CW35" i="491"/>
  <c r="CV35" i="491"/>
  <c r="CU35" i="491"/>
  <c r="CT35" i="491"/>
  <c r="CS35" i="491"/>
  <c r="CR35" i="491"/>
  <c r="CQ35" i="491"/>
  <c r="CP35" i="491"/>
  <c r="CO35" i="491"/>
  <c r="CN35" i="491"/>
  <c r="CM35" i="491"/>
  <c r="CL35" i="491"/>
  <c r="CK35" i="491"/>
  <c r="CJ35" i="491"/>
  <c r="CI35" i="491"/>
  <c r="CH35" i="491"/>
  <c r="CG35" i="491"/>
  <c r="CF35" i="491"/>
  <c r="CE35" i="491"/>
  <c r="CD35" i="491"/>
  <c r="CC35" i="491"/>
  <c r="CB35" i="491"/>
  <c r="CA35" i="491"/>
  <c r="BZ35" i="491"/>
  <c r="BY35" i="491"/>
  <c r="BX35" i="491"/>
  <c r="BW35" i="491"/>
  <c r="BV35" i="491"/>
  <c r="BU35" i="491"/>
  <c r="BT35" i="491"/>
  <c r="BS35" i="491"/>
  <c r="BR35" i="491"/>
  <c r="BQ35" i="491"/>
  <c r="BP35" i="491"/>
  <c r="BO35" i="491"/>
  <c r="BN35" i="491"/>
  <c r="BM35" i="491"/>
  <c r="BL35" i="491"/>
  <c r="BK35" i="491"/>
  <c r="BJ35" i="491"/>
  <c r="BI35" i="491"/>
  <c r="BH35" i="491"/>
  <c r="BG35" i="491"/>
  <c r="BF35" i="491"/>
  <c r="BE35" i="491"/>
  <c r="BD35" i="491"/>
  <c r="BC35" i="491"/>
  <c r="BB35" i="491"/>
  <c r="BA35" i="491"/>
  <c r="AZ35" i="491"/>
  <c r="AY35" i="491"/>
  <c r="AX35" i="491"/>
  <c r="AW35" i="491"/>
  <c r="AV35" i="491"/>
  <c r="AU35" i="491"/>
  <c r="AT35" i="491"/>
  <c r="AS35" i="491"/>
  <c r="AR35" i="491"/>
  <c r="AQ35" i="491"/>
  <c r="AP35" i="491"/>
  <c r="AO35" i="491"/>
  <c r="AN35" i="491"/>
  <c r="AM35" i="491"/>
  <c r="AL35" i="491"/>
  <c r="AK35" i="491"/>
  <c r="AJ35" i="491"/>
  <c r="AI35" i="491"/>
  <c r="AH35" i="491"/>
  <c r="AG35" i="491"/>
  <c r="AF35" i="491"/>
  <c r="AE35" i="491"/>
  <c r="AD35" i="491"/>
  <c r="AC35" i="491"/>
  <c r="AB35" i="491"/>
  <c r="AA35" i="491"/>
  <c r="Z35" i="491"/>
  <c r="Y35" i="491"/>
  <c r="T35" i="491"/>
  <c r="U35" i="491" s="1"/>
  <c r="R35" i="491"/>
  <c r="Q35" i="491"/>
  <c r="O35" i="491"/>
  <c r="N35" i="491"/>
  <c r="M35" i="491"/>
  <c r="G35" i="491"/>
  <c r="C35" i="491"/>
  <c r="HR34" i="491"/>
  <c r="HQ34" i="491"/>
  <c r="HP34" i="491"/>
  <c r="HO34" i="491"/>
  <c r="HN34" i="491"/>
  <c r="HM34" i="491"/>
  <c r="HL34" i="491"/>
  <c r="HK34" i="491"/>
  <c r="HJ34" i="491"/>
  <c r="HI34" i="491"/>
  <c r="HH34" i="491"/>
  <c r="HG34" i="491"/>
  <c r="HF34" i="491"/>
  <c r="HE34" i="491"/>
  <c r="HD34" i="491"/>
  <c r="HC34" i="491"/>
  <c r="HB34" i="491"/>
  <c r="HA34" i="491"/>
  <c r="GZ34" i="491"/>
  <c r="GY34" i="491"/>
  <c r="GX34" i="491"/>
  <c r="GW34" i="491"/>
  <c r="GV34" i="491"/>
  <c r="GU34" i="491"/>
  <c r="GT34" i="491"/>
  <c r="GS34" i="491"/>
  <c r="GR34" i="491"/>
  <c r="GQ34" i="491"/>
  <c r="GP34" i="491"/>
  <c r="GO34" i="491"/>
  <c r="GN34" i="491"/>
  <c r="GM34" i="491"/>
  <c r="GL34" i="491"/>
  <c r="GK34" i="491"/>
  <c r="GJ34" i="491"/>
  <c r="GI34" i="491"/>
  <c r="GH34" i="491"/>
  <c r="GG34" i="491"/>
  <c r="GF34" i="491"/>
  <c r="GE34" i="491"/>
  <c r="GD34" i="491"/>
  <c r="GC34" i="491"/>
  <c r="GB34" i="491"/>
  <c r="GA34" i="491"/>
  <c r="FZ34" i="491"/>
  <c r="FY34" i="491"/>
  <c r="FX34" i="491"/>
  <c r="FW34" i="491"/>
  <c r="FV34" i="491"/>
  <c r="FU34" i="491"/>
  <c r="FT34" i="491"/>
  <c r="FS34" i="491"/>
  <c r="FR34" i="491"/>
  <c r="FQ34" i="491"/>
  <c r="FP34" i="491"/>
  <c r="FO34" i="491"/>
  <c r="FN34" i="491"/>
  <c r="FM34" i="491"/>
  <c r="FL34" i="491"/>
  <c r="FK34" i="491"/>
  <c r="FJ34" i="491"/>
  <c r="FI34" i="491"/>
  <c r="FH34" i="491"/>
  <c r="FG34" i="491"/>
  <c r="FF34" i="491"/>
  <c r="FE34" i="491"/>
  <c r="FD34" i="491"/>
  <c r="FC34" i="491"/>
  <c r="FB34" i="491"/>
  <c r="FA34" i="491"/>
  <c r="EZ34" i="491"/>
  <c r="EY34" i="491"/>
  <c r="EX34" i="491"/>
  <c r="EW34" i="491"/>
  <c r="EV34" i="491"/>
  <c r="EU34" i="491"/>
  <c r="ET34" i="491"/>
  <c r="ES34" i="491"/>
  <c r="ER34" i="491"/>
  <c r="EQ34" i="491"/>
  <c r="EP34" i="491"/>
  <c r="EO34" i="491"/>
  <c r="EN34" i="491"/>
  <c r="EM34" i="491"/>
  <c r="EL34" i="491"/>
  <c r="EK34" i="491"/>
  <c r="EJ34" i="491"/>
  <c r="EI34" i="491"/>
  <c r="EH34" i="491"/>
  <c r="EG34" i="491"/>
  <c r="EF34" i="491"/>
  <c r="EE34" i="491"/>
  <c r="ED34" i="491"/>
  <c r="EC34" i="491"/>
  <c r="EB34" i="491"/>
  <c r="EA34" i="491"/>
  <c r="DZ34" i="491"/>
  <c r="DY34" i="491"/>
  <c r="DX34" i="491"/>
  <c r="DW34" i="491"/>
  <c r="DT34" i="491"/>
  <c r="DS34" i="491"/>
  <c r="DR34" i="491"/>
  <c r="DQ34" i="491"/>
  <c r="DP34" i="491"/>
  <c r="DO34" i="491"/>
  <c r="DN34" i="491"/>
  <c r="DM34" i="491"/>
  <c r="DL34" i="491"/>
  <c r="DK34" i="491"/>
  <c r="DJ34" i="491"/>
  <c r="DI34" i="491"/>
  <c r="DH34" i="491"/>
  <c r="DG34" i="491"/>
  <c r="DF34" i="491"/>
  <c r="DE34" i="491"/>
  <c r="DD34" i="491"/>
  <c r="DC34" i="491"/>
  <c r="DB34" i="491"/>
  <c r="DA34" i="491"/>
  <c r="CZ34" i="491"/>
  <c r="CY34" i="491"/>
  <c r="CX34" i="491"/>
  <c r="CW34" i="491"/>
  <c r="CV34" i="491"/>
  <c r="CU34" i="491"/>
  <c r="CT34" i="491"/>
  <c r="CS34" i="491"/>
  <c r="CR34" i="491"/>
  <c r="CQ34" i="491"/>
  <c r="CP34" i="491"/>
  <c r="CO34" i="491"/>
  <c r="CN34" i="491"/>
  <c r="CM34" i="491"/>
  <c r="CL34" i="491"/>
  <c r="CK34" i="491"/>
  <c r="CJ34" i="491"/>
  <c r="CI34" i="491"/>
  <c r="CH34" i="491"/>
  <c r="CG34" i="491"/>
  <c r="CF34" i="491"/>
  <c r="CE34" i="491"/>
  <c r="CD34" i="491"/>
  <c r="CC34" i="491"/>
  <c r="CB34" i="491"/>
  <c r="CA34" i="491"/>
  <c r="BZ34" i="491"/>
  <c r="BY34" i="491"/>
  <c r="BX34" i="491"/>
  <c r="BW34" i="491"/>
  <c r="BV34" i="491"/>
  <c r="BU34" i="491"/>
  <c r="BT34" i="491"/>
  <c r="BS34" i="491"/>
  <c r="BR34" i="491"/>
  <c r="BQ34" i="491"/>
  <c r="BP34" i="491"/>
  <c r="BO34" i="491"/>
  <c r="BN34" i="491"/>
  <c r="BM34" i="491"/>
  <c r="BL34" i="491"/>
  <c r="BK34" i="491"/>
  <c r="BJ34" i="491"/>
  <c r="BI34" i="491"/>
  <c r="BH34" i="491"/>
  <c r="BG34" i="491"/>
  <c r="BF34" i="491"/>
  <c r="BE34" i="491"/>
  <c r="BD34" i="491"/>
  <c r="BC34" i="491"/>
  <c r="BB34" i="491"/>
  <c r="BA34" i="491"/>
  <c r="AZ34" i="491"/>
  <c r="AY34" i="491"/>
  <c r="AX34" i="491"/>
  <c r="AW34" i="491"/>
  <c r="AV34" i="491"/>
  <c r="AU34" i="491"/>
  <c r="AT34" i="491"/>
  <c r="AS34" i="491"/>
  <c r="AR34" i="491"/>
  <c r="AQ34" i="491"/>
  <c r="AP34" i="491"/>
  <c r="AO34" i="491"/>
  <c r="AN34" i="491"/>
  <c r="AM34" i="491"/>
  <c r="AL34" i="491"/>
  <c r="AK34" i="491"/>
  <c r="AJ34" i="491"/>
  <c r="AI34" i="491"/>
  <c r="AH34" i="491"/>
  <c r="AG34" i="491"/>
  <c r="AF34" i="491"/>
  <c r="AE34" i="491"/>
  <c r="AD34" i="491"/>
  <c r="AC34" i="491"/>
  <c r="AB34" i="491"/>
  <c r="AA34" i="491"/>
  <c r="Z34" i="491"/>
  <c r="Y34" i="491"/>
  <c r="T34" i="491"/>
  <c r="U34" i="491" s="1"/>
  <c r="R34" i="491"/>
  <c r="Q34" i="491"/>
  <c r="O34" i="491"/>
  <c r="N34" i="491"/>
  <c r="M34" i="491"/>
  <c r="G34" i="491"/>
  <c r="C34" i="491"/>
  <c r="HR33" i="491"/>
  <c r="HQ33" i="491"/>
  <c r="HP33" i="491"/>
  <c r="HO33" i="491"/>
  <c r="HN33" i="491"/>
  <c r="HM33" i="491"/>
  <c r="HL33" i="491"/>
  <c r="HK33" i="491"/>
  <c r="HJ33" i="491"/>
  <c r="HI33" i="491"/>
  <c r="HH33" i="491"/>
  <c r="HG33" i="491"/>
  <c r="HF33" i="491"/>
  <c r="HE33" i="491"/>
  <c r="HD33" i="491"/>
  <c r="HC33" i="491"/>
  <c r="HB33" i="491"/>
  <c r="HA33" i="491"/>
  <c r="GZ33" i="491"/>
  <c r="GY33" i="491"/>
  <c r="GX33" i="491"/>
  <c r="GW33" i="491"/>
  <c r="GV33" i="491"/>
  <c r="GU33" i="491"/>
  <c r="GT33" i="491"/>
  <c r="GS33" i="491"/>
  <c r="GR33" i="491"/>
  <c r="GQ33" i="491"/>
  <c r="GP33" i="491"/>
  <c r="GO33" i="491"/>
  <c r="GN33" i="491"/>
  <c r="GM33" i="491"/>
  <c r="GL33" i="491"/>
  <c r="GK33" i="491"/>
  <c r="GJ33" i="491"/>
  <c r="GI33" i="491"/>
  <c r="GH33" i="491"/>
  <c r="GG33" i="491"/>
  <c r="GF33" i="491"/>
  <c r="GE33" i="491"/>
  <c r="GD33" i="491"/>
  <c r="GC33" i="491"/>
  <c r="GB33" i="491"/>
  <c r="GA33" i="491"/>
  <c r="FZ33" i="491"/>
  <c r="FY33" i="491"/>
  <c r="FX33" i="491"/>
  <c r="FW33" i="491"/>
  <c r="FV33" i="491"/>
  <c r="FU33" i="491"/>
  <c r="FT33" i="491"/>
  <c r="FS33" i="491"/>
  <c r="FR33" i="491"/>
  <c r="FQ33" i="491"/>
  <c r="FP33" i="491"/>
  <c r="FO33" i="491"/>
  <c r="FN33" i="491"/>
  <c r="FM33" i="491"/>
  <c r="FL33" i="491"/>
  <c r="FK33" i="491"/>
  <c r="FJ33" i="491"/>
  <c r="FI33" i="491"/>
  <c r="FH33" i="491"/>
  <c r="FG33" i="491"/>
  <c r="FF33" i="491"/>
  <c r="FE33" i="491"/>
  <c r="FD33" i="491"/>
  <c r="FC33" i="491"/>
  <c r="FB33" i="491"/>
  <c r="FA33" i="491"/>
  <c r="EZ33" i="491"/>
  <c r="EY33" i="491"/>
  <c r="EX33" i="491"/>
  <c r="EW33" i="491"/>
  <c r="EV33" i="491"/>
  <c r="EU33" i="491"/>
  <c r="ET33" i="491"/>
  <c r="ES33" i="491"/>
  <c r="ER33" i="491"/>
  <c r="EQ33" i="491"/>
  <c r="EP33" i="491"/>
  <c r="EO33" i="491"/>
  <c r="EN33" i="491"/>
  <c r="EM33" i="491"/>
  <c r="EL33" i="491"/>
  <c r="EK33" i="491"/>
  <c r="EJ33" i="491"/>
  <c r="EI33" i="491"/>
  <c r="EH33" i="491"/>
  <c r="EG33" i="491"/>
  <c r="EF33" i="491"/>
  <c r="EE33" i="491"/>
  <c r="ED33" i="491"/>
  <c r="EC33" i="491"/>
  <c r="EB33" i="491"/>
  <c r="EA33" i="491"/>
  <c r="DZ33" i="491"/>
  <c r="DY33" i="491"/>
  <c r="DX33" i="491"/>
  <c r="DW33" i="491"/>
  <c r="DT33" i="491"/>
  <c r="DS33" i="491"/>
  <c r="DR33" i="491"/>
  <c r="DQ33" i="491"/>
  <c r="DP33" i="491"/>
  <c r="DO33" i="491"/>
  <c r="DN33" i="491"/>
  <c r="DM33" i="491"/>
  <c r="DL33" i="491"/>
  <c r="DK33" i="491"/>
  <c r="DJ33" i="491"/>
  <c r="DI33" i="491"/>
  <c r="DH33" i="491"/>
  <c r="DG33" i="491"/>
  <c r="DF33" i="491"/>
  <c r="DE33" i="491"/>
  <c r="DD33" i="491"/>
  <c r="DC33" i="491"/>
  <c r="DB33" i="491"/>
  <c r="DA33" i="491"/>
  <c r="CZ33" i="491"/>
  <c r="CY33" i="491"/>
  <c r="CX33" i="491"/>
  <c r="CW33" i="491"/>
  <c r="CV33" i="491"/>
  <c r="CU33" i="491"/>
  <c r="CT33" i="491"/>
  <c r="CS33" i="491"/>
  <c r="CR33" i="491"/>
  <c r="CQ33" i="491"/>
  <c r="CP33" i="491"/>
  <c r="CO33" i="491"/>
  <c r="CN33" i="491"/>
  <c r="CM33" i="491"/>
  <c r="CL33" i="491"/>
  <c r="CK33" i="491"/>
  <c r="CJ33" i="491"/>
  <c r="CI33" i="491"/>
  <c r="CH33" i="491"/>
  <c r="CG33" i="491"/>
  <c r="CF33" i="491"/>
  <c r="CE33" i="491"/>
  <c r="CD33" i="491"/>
  <c r="CC33" i="491"/>
  <c r="CB33" i="491"/>
  <c r="CA33" i="491"/>
  <c r="BZ33" i="491"/>
  <c r="BY33" i="491"/>
  <c r="BX33" i="491"/>
  <c r="BW33" i="491"/>
  <c r="BV33" i="491"/>
  <c r="BU33" i="491"/>
  <c r="BT33" i="491"/>
  <c r="BS33" i="491"/>
  <c r="BR33" i="491"/>
  <c r="BQ33" i="491"/>
  <c r="BP33" i="491"/>
  <c r="BO33" i="491"/>
  <c r="BN33" i="491"/>
  <c r="BM33" i="491"/>
  <c r="BL33" i="491"/>
  <c r="BK33" i="491"/>
  <c r="BJ33" i="491"/>
  <c r="BI33" i="491"/>
  <c r="BH33" i="491"/>
  <c r="BG33" i="491"/>
  <c r="BF33" i="491"/>
  <c r="BE33" i="491"/>
  <c r="BD33" i="491"/>
  <c r="BC33" i="491"/>
  <c r="BB33" i="491"/>
  <c r="BA33" i="491"/>
  <c r="AZ33" i="491"/>
  <c r="AY33" i="491"/>
  <c r="AX33" i="491"/>
  <c r="AW33" i="491"/>
  <c r="AV33" i="491"/>
  <c r="AU33" i="491"/>
  <c r="AT33" i="491"/>
  <c r="AS33" i="491"/>
  <c r="AR33" i="491"/>
  <c r="AQ33" i="491"/>
  <c r="AP33" i="491"/>
  <c r="AO33" i="491"/>
  <c r="AN33" i="491"/>
  <c r="AM33" i="491"/>
  <c r="AL33" i="491"/>
  <c r="AK33" i="491"/>
  <c r="AJ33" i="491"/>
  <c r="AI33" i="491"/>
  <c r="AH33" i="491"/>
  <c r="AG33" i="491"/>
  <c r="AF33" i="491"/>
  <c r="AE33" i="491"/>
  <c r="AD33" i="491"/>
  <c r="AC33" i="491"/>
  <c r="AB33" i="491"/>
  <c r="AA33" i="491"/>
  <c r="Z33" i="491"/>
  <c r="Y33" i="491"/>
  <c r="T33" i="491"/>
  <c r="U33" i="491" s="1"/>
  <c r="R33" i="491"/>
  <c r="Q33" i="491"/>
  <c r="O33" i="491"/>
  <c r="N33" i="491"/>
  <c r="M33" i="491"/>
  <c r="G33" i="491"/>
  <c r="C33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W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Y18" i="491"/>
  <c r="T18" i="491"/>
  <c r="U18" i="491" s="1"/>
  <c r="R18" i="491"/>
  <c r="Q18" i="491"/>
  <c r="O18" i="491"/>
  <c r="N18" i="491"/>
  <c r="M18" i="491"/>
  <c r="G18" i="491"/>
  <c r="C18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W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Y17" i="491"/>
  <c r="T17" i="491"/>
  <c r="U17" i="491" s="1"/>
  <c r="R17" i="491"/>
  <c r="Q17" i="491"/>
  <c r="O17" i="491"/>
  <c r="N17" i="49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T16" i="491"/>
  <c r="U16" i="491" s="1"/>
  <c r="Y16" i="491" s="1"/>
  <c r="R16" i="491"/>
  <c r="Q16" i="491"/>
  <c r="O16" i="491"/>
  <c r="DW16" i="491" s="1"/>
  <c r="N16" i="491"/>
  <c r="M16" i="491"/>
  <c r="G16" i="491"/>
  <c r="C16" i="491"/>
  <c r="R51" i="491"/>
  <c r="C50" i="491"/>
  <c r="HR49" i="491"/>
  <c r="HQ49" i="491"/>
  <c r="HP49" i="491"/>
  <c r="HO49" i="491"/>
  <c r="HN49" i="491"/>
  <c r="HM49" i="491"/>
  <c r="HL49" i="491"/>
  <c r="HK49" i="491"/>
  <c r="HJ49" i="491"/>
  <c r="HI49" i="491"/>
  <c r="HH49" i="491"/>
  <c r="HG49" i="491"/>
  <c r="HF49" i="491"/>
  <c r="HE49" i="491"/>
  <c r="HD49" i="491"/>
  <c r="HC49" i="491"/>
  <c r="HB49" i="491"/>
  <c r="HA49" i="491"/>
  <c r="GZ49" i="491"/>
  <c r="GY49" i="491"/>
  <c r="GX49" i="491"/>
  <c r="GW49" i="491"/>
  <c r="GV49" i="491"/>
  <c r="GU49" i="491"/>
  <c r="GT49" i="491"/>
  <c r="GS49" i="491"/>
  <c r="GR49" i="491"/>
  <c r="GQ49" i="491"/>
  <c r="GP49" i="491"/>
  <c r="GO49" i="491"/>
  <c r="GN49" i="491"/>
  <c r="GM49" i="491"/>
  <c r="GL49" i="491"/>
  <c r="GK49" i="491"/>
  <c r="GJ49" i="491"/>
  <c r="GI49" i="491"/>
  <c r="GH49" i="491"/>
  <c r="GG49" i="491"/>
  <c r="GF49" i="491"/>
  <c r="GE49" i="491"/>
  <c r="GD49" i="491"/>
  <c r="GC49" i="491"/>
  <c r="GB49" i="491"/>
  <c r="GA49" i="491"/>
  <c r="FZ49" i="491"/>
  <c r="FY49" i="491"/>
  <c r="FX49" i="491"/>
  <c r="FW49" i="491"/>
  <c r="FV49" i="491"/>
  <c r="FU49" i="491"/>
  <c r="FT49" i="491"/>
  <c r="FS49" i="491"/>
  <c r="FR49" i="491"/>
  <c r="FQ49" i="491"/>
  <c r="FP49" i="491"/>
  <c r="FO49" i="491"/>
  <c r="FN49" i="491"/>
  <c r="FM49" i="491"/>
  <c r="FL49" i="491"/>
  <c r="FK49" i="491"/>
  <c r="FJ49" i="491"/>
  <c r="FI49" i="491"/>
  <c r="FH49" i="491"/>
  <c r="FG49" i="491"/>
  <c r="FF49" i="491"/>
  <c r="FE49" i="491"/>
  <c r="FD49" i="491"/>
  <c r="FC49" i="491"/>
  <c r="FB49" i="491"/>
  <c r="FA49" i="491"/>
  <c r="EZ49" i="491"/>
  <c r="EY49" i="491"/>
  <c r="EX49" i="491"/>
  <c r="EW49" i="491"/>
  <c r="EV49" i="491"/>
  <c r="EU49" i="491"/>
  <c r="ET49" i="491"/>
  <c r="ES49" i="491"/>
  <c r="ER49" i="491"/>
  <c r="EQ49" i="491"/>
  <c r="EP49" i="491"/>
  <c r="EO49" i="491"/>
  <c r="EN49" i="491"/>
  <c r="EM49" i="491"/>
  <c r="EL49" i="491"/>
  <c r="EK49" i="491"/>
  <c r="EJ49" i="491"/>
  <c r="EI49" i="491"/>
  <c r="EH49" i="491"/>
  <c r="EG49" i="491"/>
  <c r="EF49" i="491"/>
  <c r="EE49" i="491"/>
  <c r="ED49" i="491"/>
  <c r="EC49" i="491"/>
  <c r="EB49" i="491"/>
  <c r="EA49" i="491"/>
  <c r="DZ49" i="491"/>
  <c r="DY49" i="491"/>
  <c r="DX49" i="491"/>
  <c r="DW49" i="491"/>
  <c r="DT49" i="491"/>
  <c r="DS49" i="491"/>
  <c r="DR49" i="491"/>
  <c r="DQ49" i="491"/>
  <c r="DP49" i="491"/>
  <c r="DO49" i="491"/>
  <c r="DN49" i="491"/>
  <c r="DM49" i="491"/>
  <c r="DL49" i="491"/>
  <c r="DK49" i="491"/>
  <c r="DJ49" i="491"/>
  <c r="DI49" i="491"/>
  <c r="DH49" i="491"/>
  <c r="DG49" i="491"/>
  <c r="DF49" i="491"/>
  <c r="DE49" i="491"/>
  <c r="DD49" i="491"/>
  <c r="DC49" i="491"/>
  <c r="DB49" i="491"/>
  <c r="DA49" i="491"/>
  <c r="CZ49" i="491"/>
  <c r="CY49" i="491"/>
  <c r="CX49" i="491"/>
  <c r="CW49" i="491"/>
  <c r="CV49" i="491"/>
  <c r="CU49" i="491"/>
  <c r="CT49" i="491"/>
  <c r="CS49" i="491"/>
  <c r="CR49" i="491"/>
  <c r="CQ49" i="491"/>
  <c r="CP49" i="491"/>
  <c r="CO49" i="491"/>
  <c r="CN49" i="491"/>
  <c r="CM49" i="491"/>
  <c r="CL49" i="491"/>
  <c r="CK49" i="491"/>
  <c r="CJ49" i="491"/>
  <c r="CI49" i="491"/>
  <c r="CH49" i="491"/>
  <c r="CG49" i="491"/>
  <c r="CF49" i="491"/>
  <c r="CE49" i="491"/>
  <c r="CD49" i="491"/>
  <c r="CC49" i="491"/>
  <c r="CB49" i="491"/>
  <c r="CA49" i="491"/>
  <c r="BZ49" i="491"/>
  <c r="BY49" i="491"/>
  <c r="BX49" i="491"/>
  <c r="BW49" i="491"/>
  <c r="BV49" i="491"/>
  <c r="BU49" i="491"/>
  <c r="BT49" i="491"/>
  <c r="BS49" i="491"/>
  <c r="BR49" i="491"/>
  <c r="BQ49" i="491"/>
  <c r="BP49" i="491"/>
  <c r="BO49" i="491"/>
  <c r="BN49" i="491"/>
  <c r="BM49" i="491"/>
  <c r="BL49" i="491"/>
  <c r="BK49" i="491"/>
  <c r="BJ49" i="491"/>
  <c r="BI49" i="491"/>
  <c r="BH49" i="491"/>
  <c r="BG49" i="491"/>
  <c r="BF49" i="491"/>
  <c r="BE49" i="491"/>
  <c r="BD49" i="491"/>
  <c r="BC49" i="491"/>
  <c r="BB49" i="491"/>
  <c r="BA49" i="491"/>
  <c r="AZ49" i="491"/>
  <c r="AY49" i="491"/>
  <c r="AX49" i="491"/>
  <c r="AW49" i="491"/>
  <c r="AV49" i="491"/>
  <c r="AU49" i="491"/>
  <c r="AT49" i="491"/>
  <c r="AS49" i="491"/>
  <c r="AR49" i="491"/>
  <c r="AQ49" i="491"/>
  <c r="AP49" i="491"/>
  <c r="AO49" i="491"/>
  <c r="AN49" i="491"/>
  <c r="AM49" i="491"/>
  <c r="AL49" i="491"/>
  <c r="AK49" i="491"/>
  <c r="AJ49" i="491"/>
  <c r="AI49" i="491"/>
  <c r="AH49" i="491"/>
  <c r="AG49" i="491"/>
  <c r="AF49" i="491"/>
  <c r="AE49" i="491"/>
  <c r="AD49" i="491"/>
  <c r="AC49" i="491"/>
  <c r="AB49" i="491"/>
  <c r="AA49" i="491"/>
  <c r="Z49" i="491"/>
  <c r="Y49" i="491"/>
  <c r="T49" i="491"/>
  <c r="U49" i="491" s="1"/>
  <c r="Q49" i="491"/>
  <c r="O49" i="491"/>
  <c r="N49" i="491"/>
  <c r="M49" i="491"/>
  <c r="G49" i="491"/>
  <c r="F49" i="491"/>
  <c r="C49" i="491"/>
  <c r="HR48" i="491"/>
  <c r="HQ48" i="491"/>
  <c r="HP48" i="491"/>
  <c r="HO48" i="491"/>
  <c r="HN48" i="491"/>
  <c r="HM48" i="491"/>
  <c r="HL48" i="491"/>
  <c r="HK48" i="491"/>
  <c r="HJ48" i="491"/>
  <c r="HI48" i="491"/>
  <c r="HH48" i="491"/>
  <c r="HG48" i="491"/>
  <c r="HF48" i="491"/>
  <c r="HE48" i="491"/>
  <c r="HD48" i="491"/>
  <c r="HC48" i="491"/>
  <c r="HB48" i="491"/>
  <c r="HA48" i="491"/>
  <c r="GZ48" i="491"/>
  <c r="GY48" i="491"/>
  <c r="GX48" i="491"/>
  <c r="GW48" i="491"/>
  <c r="GV48" i="491"/>
  <c r="GU48" i="491"/>
  <c r="GT48" i="491"/>
  <c r="GS48" i="491"/>
  <c r="GR48" i="491"/>
  <c r="GQ48" i="491"/>
  <c r="GP48" i="491"/>
  <c r="GO48" i="491"/>
  <c r="GN48" i="491"/>
  <c r="GM48" i="491"/>
  <c r="GL48" i="491"/>
  <c r="GK48" i="491"/>
  <c r="GJ48" i="491"/>
  <c r="GI48" i="491"/>
  <c r="GH48" i="491"/>
  <c r="GG48" i="491"/>
  <c r="GF48" i="491"/>
  <c r="GE48" i="491"/>
  <c r="GD48" i="491"/>
  <c r="GC48" i="491"/>
  <c r="GB48" i="491"/>
  <c r="GA48" i="491"/>
  <c r="FZ48" i="491"/>
  <c r="FY48" i="491"/>
  <c r="FX48" i="491"/>
  <c r="FW48" i="491"/>
  <c r="FV48" i="491"/>
  <c r="FU48" i="491"/>
  <c r="FT48" i="491"/>
  <c r="FS48" i="491"/>
  <c r="FR48" i="491"/>
  <c r="FQ48" i="491"/>
  <c r="FP48" i="491"/>
  <c r="FO48" i="491"/>
  <c r="FN48" i="491"/>
  <c r="FM48" i="491"/>
  <c r="FL48" i="491"/>
  <c r="FK48" i="491"/>
  <c r="FJ48" i="491"/>
  <c r="FI48" i="491"/>
  <c r="FH48" i="491"/>
  <c r="FG48" i="491"/>
  <c r="FF48" i="491"/>
  <c r="FE48" i="491"/>
  <c r="FD48" i="491"/>
  <c r="FC48" i="491"/>
  <c r="FB48" i="491"/>
  <c r="FA48" i="491"/>
  <c r="EZ48" i="491"/>
  <c r="EY48" i="491"/>
  <c r="EX48" i="491"/>
  <c r="EW48" i="491"/>
  <c r="EV48" i="491"/>
  <c r="EU48" i="491"/>
  <c r="ET48" i="491"/>
  <c r="ES48" i="491"/>
  <c r="ER48" i="491"/>
  <c r="EQ48" i="491"/>
  <c r="EP48" i="491"/>
  <c r="EO48" i="491"/>
  <c r="EN48" i="491"/>
  <c r="EM48" i="491"/>
  <c r="EL48" i="491"/>
  <c r="EK48" i="491"/>
  <c r="EJ48" i="491"/>
  <c r="EI48" i="491"/>
  <c r="EH48" i="491"/>
  <c r="EG48" i="491"/>
  <c r="EF48" i="491"/>
  <c r="EE48" i="491"/>
  <c r="ED48" i="491"/>
  <c r="EC48" i="491"/>
  <c r="EB48" i="491"/>
  <c r="EA48" i="491"/>
  <c r="DZ48" i="491"/>
  <c r="DY48" i="491"/>
  <c r="DX48" i="491"/>
  <c r="DW48" i="491"/>
  <c r="DT48" i="491"/>
  <c r="DS48" i="491"/>
  <c r="DR48" i="491"/>
  <c r="DQ48" i="491"/>
  <c r="DP48" i="491"/>
  <c r="DO48" i="491"/>
  <c r="DN48" i="491"/>
  <c r="DM48" i="491"/>
  <c r="DL48" i="491"/>
  <c r="DK48" i="491"/>
  <c r="DJ48" i="491"/>
  <c r="DI48" i="491"/>
  <c r="DH48" i="491"/>
  <c r="DG48" i="491"/>
  <c r="DF48" i="491"/>
  <c r="DE48" i="491"/>
  <c r="DD48" i="491"/>
  <c r="DC48" i="491"/>
  <c r="DB48" i="491"/>
  <c r="DA48" i="491"/>
  <c r="CZ48" i="491"/>
  <c r="CY48" i="491"/>
  <c r="CX48" i="491"/>
  <c r="CW48" i="491"/>
  <c r="CV48" i="491"/>
  <c r="CU48" i="491"/>
  <c r="CT48" i="491"/>
  <c r="CS48" i="491"/>
  <c r="CR48" i="491"/>
  <c r="CQ48" i="491"/>
  <c r="CP48" i="491"/>
  <c r="CO48" i="491"/>
  <c r="CN48" i="491"/>
  <c r="CM48" i="491"/>
  <c r="CL48" i="491"/>
  <c r="CK48" i="491"/>
  <c r="CJ48" i="491"/>
  <c r="CI48" i="491"/>
  <c r="CH48" i="491"/>
  <c r="CG48" i="491"/>
  <c r="CF48" i="491"/>
  <c r="CE48" i="491"/>
  <c r="CD48" i="491"/>
  <c r="CC48" i="491"/>
  <c r="CB48" i="491"/>
  <c r="CA48" i="491"/>
  <c r="BZ48" i="491"/>
  <c r="BY48" i="491"/>
  <c r="BX48" i="491"/>
  <c r="BW48" i="491"/>
  <c r="BV48" i="491"/>
  <c r="BU48" i="491"/>
  <c r="BT48" i="491"/>
  <c r="BS48" i="491"/>
  <c r="BR48" i="491"/>
  <c r="BQ48" i="491"/>
  <c r="BP48" i="491"/>
  <c r="BO48" i="491"/>
  <c r="BN48" i="491"/>
  <c r="BM48" i="491"/>
  <c r="BL48" i="491"/>
  <c r="BK48" i="491"/>
  <c r="BJ48" i="491"/>
  <c r="BI48" i="491"/>
  <c r="BH48" i="491"/>
  <c r="BG48" i="491"/>
  <c r="BF48" i="491"/>
  <c r="BE48" i="491"/>
  <c r="BD48" i="491"/>
  <c r="BC48" i="491"/>
  <c r="BB48" i="491"/>
  <c r="BA48" i="491"/>
  <c r="AZ48" i="491"/>
  <c r="AY48" i="491"/>
  <c r="AX48" i="491"/>
  <c r="AW48" i="491"/>
  <c r="AV48" i="491"/>
  <c r="AU48" i="491"/>
  <c r="AT48" i="491"/>
  <c r="AS48" i="491"/>
  <c r="AR48" i="491"/>
  <c r="AQ48" i="491"/>
  <c r="AP48" i="491"/>
  <c r="AO48" i="491"/>
  <c r="AN48" i="491"/>
  <c r="AM48" i="491"/>
  <c r="AL48" i="491"/>
  <c r="AK48" i="491"/>
  <c r="AJ48" i="491"/>
  <c r="AI48" i="491"/>
  <c r="AH48" i="491"/>
  <c r="AG48" i="491"/>
  <c r="AF48" i="491"/>
  <c r="AE48" i="491"/>
  <c r="AD48" i="491"/>
  <c r="AC48" i="491"/>
  <c r="AB48" i="491"/>
  <c r="AA48" i="491"/>
  <c r="Z48" i="491"/>
  <c r="Y48" i="491"/>
  <c r="T48" i="491"/>
  <c r="U48" i="491" s="1"/>
  <c r="Q48" i="491"/>
  <c r="O48" i="491"/>
  <c r="N48" i="491"/>
  <c r="M48" i="491"/>
  <c r="G48" i="491"/>
  <c r="F48" i="491"/>
  <c r="C48" i="491"/>
  <c r="HR47" i="491"/>
  <c r="HQ47" i="491"/>
  <c r="HP47" i="491"/>
  <c r="HO47" i="491"/>
  <c r="HN47" i="491"/>
  <c r="HM47" i="491"/>
  <c r="HL47" i="491"/>
  <c r="HK47" i="491"/>
  <c r="HJ47" i="491"/>
  <c r="HI47" i="491"/>
  <c r="HH47" i="491"/>
  <c r="HG47" i="491"/>
  <c r="HF47" i="491"/>
  <c r="HE47" i="491"/>
  <c r="HD47" i="491"/>
  <c r="HC47" i="491"/>
  <c r="HB47" i="491"/>
  <c r="HA47" i="491"/>
  <c r="GZ47" i="491"/>
  <c r="GY47" i="491"/>
  <c r="GX47" i="491"/>
  <c r="GW47" i="491"/>
  <c r="GV47" i="491"/>
  <c r="GU47" i="491"/>
  <c r="GT47" i="491"/>
  <c r="GS47" i="491"/>
  <c r="GR47" i="491"/>
  <c r="GQ47" i="491"/>
  <c r="GP47" i="491"/>
  <c r="GO47" i="491"/>
  <c r="GN47" i="491"/>
  <c r="GM47" i="491"/>
  <c r="GL47" i="491"/>
  <c r="GK47" i="491"/>
  <c r="GJ47" i="491"/>
  <c r="GI47" i="491"/>
  <c r="GH47" i="491"/>
  <c r="GG47" i="491"/>
  <c r="GF47" i="491"/>
  <c r="GE47" i="491"/>
  <c r="GD47" i="491"/>
  <c r="GC47" i="491"/>
  <c r="GB47" i="491"/>
  <c r="GA47" i="491"/>
  <c r="FZ47" i="491"/>
  <c r="FY47" i="491"/>
  <c r="FX47" i="491"/>
  <c r="FW47" i="491"/>
  <c r="FV47" i="491"/>
  <c r="FU47" i="491"/>
  <c r="FT47" i="491"/>
  <c r="FS47" i="491"/>
  <c r="FR47" i="491"/>
  <c r="FQ47" i="491"/>
  <c r="FP47" i="491"/>
  <c r="FO47" i="491"/>
  <c r="FN47" i="491"/>
  <c r="FM47" i="491"/>
  <c r="FL47" i="491"/>
  <c r="FK47" i="491"/>
  <c r="FJ47" i="491"/>
  <c r="FI47" i="491"/>
  <c r="FH47" i="491"/>
  <c r="FG47" i="491"/>
  <c r="FF47" i="491"/>
  <c r="FE47" i="491"/>
  <c r="FD47" i="491"/>
  <c r="FC47" i="491"/>
  <c r="FB47" i="491"/>
  <c r="FA47" i="491"/>
  <c r="EZ47" i="491"/>
  <c r="EY47" i="491"/>
  <c r="EX47" i="491"/>
  <c r="EW47" i="491"/>
  <c r="EV47" i="491"/>
  <c r="EU47" i="491"/>
  <c r="ET47" i="491"/>
  <c r="ES47" i="491"/>
  <c r="ER47" i="491"/>
  <c r="EQ47" i="491"/>
  <c r="EP47" i="491"/>
  <c r="EO47" i="491"/>
  <c r="EN47" i="491"/>
  <c r="EM47" i="491"/>
  <c r="EL47" i="491"/>
  <c r="EK47" i="491"/>
  <c r="EJ47" i="491"/>
  <c r="EI47" i="491"/>
  <c r="EH47" i="491"/>
  <c r="EG47" i="491"/>
  <c r="EF47" i="491"/>
  <c r="EE47" i="491"/>
  <c r="ED47" i="491"/>
  <c r="EC47" i="491"/>
  <c r="EB47" i="491"/>
  <c r="EA47" i="491"/>
  <c r="DZ47" i="491"/>
  <c r="DY47" i="491"/>
  <c r="DX47" i="491"/>
  <c r="DW47" i="491"/>
  <c r="DT47" i="491"/>
  <c r="DS47" i="491"/>
  <c r="DR47" i="491"/>
  <c r="DQ47" i="491"/>
  <c r="DP47" i="491"/>
  <c r="DO47" i="491"/>
  <c r="DN47" i="491"/>
  <c r="DM47" i="491"/>
  <c r="DL47" i="491"/>
  <c r="DK47" i="491"/>
  <c r="DJ47" i="491"/>
  <c r="DI47" i="491"/>
  <c r="DH47" i="491"/>
  <c r="DG47" i="491"/>
  <c r="DF47" i="491"/>
  <c r="DE47" i="491"/>
  <c r="DD47" i="491"/>
  <c r="DC47" i="491"/>
  <c r="DB47" i="491"/>
  <c r="DA47" i="491"/>
  <c r="CZ47" i="491"/>
  <c r="CY47" i="491"/>
  <c r="CX47" i="491"/>
  <c r="CW47" i="491"/>
  <c r="CV47" i="491"/>
  <c r="CU47" i="491"/>
  <c r="CT47" i="491"/>
  <c r="CS47" i="491"/>
  <c r="CR47" i="491"/>
  <c r="CQ47" i="491"/>
  <c r="CP47" i="491"/>
  <c r="CO47" i="491"/>
  <c r="CN47" i="491"/>
  <c r="CM47" i="491"/>
  <c r="CL47" i="491"/>
  <c r="CK47" i="491"/>
  <c r="CJ47" i="491"/>
  <c r="CI47" i="491"/>
  <c r="CH47" i="491"/>
  <c r="CG47" i="491"/>
  <c r="CF47" i="491"/>
  <c r="CE47" i="491"/>
  <c r="CD47" i="491"/>
  <c r="CC47" i="491"/>
  <c r="CB47" i="491"/>
  <c r="CA47" i="491"/>
  <c r="BZ47" i="491"/>
  <c r="BY47" i="491"/>
  <c r="BX47" i="491"/>
  <c r="BW47" i="491"/>
  <c r="BV47" i="491"/>
  <c r="BU47" i="491"/>
  <c r="BT47" i="491"/>
  <c r="BS47" i="491"/>
  <c r="BR47" i="491"/>
  <c r="BQ47" i="491"/>
  <c r="BP47" i="491"/>
  <c r="BO47" i="491"/>
  <c r="BN47" i="491"/>
  <c r="BM47" i="491"/>
  <c r="BL47" i="491"/>
  <c r="BK47" i="491"/>
  <c r="BJ47" i="491"/>
  <c r="BI47" i="491"/>
  <c r="BH47" i="491"/>
  <c r="BG47" i="491"/>
  <c r="BF47" i="491"/>
  <c r="BE47" i="491"/>
  <c r="BD47" i="491"/>
  <c r="BC47" i="491"/>
  <c r="BB47" i="491"/>
  <c r="BA47" i="491"/>
  <c r="AZ47" i="491"/>
  <c r="AY47" i="491"/>
  <c r="AX47" i="491"/>
  <c r="AW47" i="491"/>
  <c r="AV47" i="491"/>
  <c r="AU47" i="491"/>
  <c r="AT47" i="491"/>
  <c r="AS47" i="491"/>
  <c r="AR47" i="491"/>
  <c r="AQ47" i="491"/>
  <c r="AP47" i="491"/>
  <c r="AO47" i="491"/>
  <c r="AN47" i="491"/>
  <c r="AM47" i="491"/>
  <c r="AL47" i="491"/>
  <c r="AK47" i="491"/>
  <c r="AJ47" i="491"/>
  <c r="AI47" i="491"/>
  <c r="AH47" i="491"/>
  <c r="AG47" i="491"/>
  <c r="AF47" i="491"/>
  <c r="AE47" i="491"/>
  <c r="AD47" i="491"/>
  <c r="AC47" i="491"/>
  <c r="AB47" i="491"/>
  <c r="AA47" i="491"/>
  <c r="Z47" i="491"/>
  <c r="Y47" i="491"/>
  <c r="T47" i="491"/>
  <c r="U47" i="491" s="1"/>
  <c r="Q47" i="491"/>
  <c r="O47" i="491"/>
  <c r="N47" i="491"/>
  <c r="M47" i="491"/>
  <c r="G47" i="491"/>
  <c r="F47" i="491"/>
  <c r="C47" i="491"/>
  <c r="HR46" i="491"/>
  <c r="HQ46" i="491"/>
  <c r="HP46" i="491"/>
  <c r="HO46" i="491"/>
  <c r="HN46" i="491"/>
  <c r="HM46" i="491"/>
  <c r="HL46" i="491"/>
  <c r="HK46" i="491"/>
  <c r="HJ46" i="491"/>
  <c r="HI46" i="491"/>
  <c r="HH46" i="491"/>
  <c r="HG46" i="491"/>
  <c r="HF46" i="491"/>
  <c r="HE46" i="491"/>
  <c r="HD46" i="491"/>
  <c r="HC46" i="491"/>
  <c r="HB46" i="491"/>
  <c r="HA46" i="491"/>
  <c r="GZ46" i="491"/>
  <c r="GY46" i="491"/>
  <c r="GX46" i="491"/>
  <c r="GW46" i="491"/>
  <c r="GV46" i="491"/>
  <c r="GU46" i="491"/>
  <c r="GT46" i="491"/>
  <c r="GS46" i="491"/>
  <c r="GR46" i="491"/>
  <c r="GQ46" i="491"/>
  <c r="GP46" i="491"/>
  <c r="GO46" i="491"/>
  <c r="GN46" i="491"/>
  <c r="GM46" i="491"/>
  <c r="GL46" i="491"/>
  <c r="GK46" i="491"/>
  <c r="GJ46" i="491"/>
  <c r="GI46" i="491"/>
  <c r="GH46" i="491"/>
  <c r="GG46" i="491"/>
  <c r="GF46" i="491"/>
  <c r="GE46" i="491"/>
  <c r="GD46" i="491"/>
  <c r="GC46" i="491"/>
  <c r="GB46" i="491"/>
  <c r="GA46" i="491"/>
  <c r="FZ46" i="491"/>
  <c r="FY46" i="491"/>
  <c r="FX46" i="491"/>
  <c r="FW46" i="491"/>
  <c r="FV46" i="491"/>
  <c r="FU46" i="491"/>
  <c r="FT46" i="491"/>
  <c r="FS46" i="491"/>
  <c r="FR46" i="491"/>
  <c r="FQ46" i="491"/>
  <c r="FP46" i="491"/>
  <c r="FO46" i="491"/>
  <c r="FN46" i="491"/>
  <c r="FM46" i="491"/>
  <c r="FL46" i="491"/>
  <c r="FK46" i="491"/>
  <c r="FJ46" i="491"/>
  <c r="FI46" i="491"/>
  <c r="FH46" i="491"/>
  <c r="FG46" i="491"/>
  <c r="FF46" i="491"/>
  <c r="FE46" i="491"/>
  <c r="FD46" i="491"/>
  <c r="FC46" i="491"/>
  <c r="FB46" i="491"/>
  <c r="FA46" i="491"/>
  <c r="EZ46" i="491"/>
  <c r="EY46" i="491"/>
  <c r="EX46" i="491"/>
  <c r="EW46" i="491"/>
  <c r="EV46" i="491"/>
  <c r="EU46" i="491"/>
  <c r="ET46" i="491"/>
  <c r="ES46" i="491"/>
  <c r="ER46" i="491"/>
  <c r="EQ46" i="491"/>
  <c r="EP46" i="491"/>
  <c r="EO46" i="491"/>
  <c r="EN46" i="491"/>
  <c r="EM46" i="491"/>
  <c r="EL46" i="491"/>
  <c r="EK46" i="491"/>
  <c r="EJ46" i="491"/>
  <c r="EI46" i="491"/>
  <c r="EH46" i="491"/>
  <c r="EG46" i="491"/>
  <c r="EF46" i="491"/>
  <c r="EE46" i="491"/>
  <c r="ED46" i="491"/>
  <c r="EC46" i="491"/>
  <c r="EB46" i="491"/>
  <c r="EA46" i="491"/>
  <c r="DZ46" i="491"/>
  <c r="DY46" i="491"/>
  <c r="DX46" i="491"/>
  <c r="DW46" i="491"/>
  <c r="DT46" i="491"/>
  <c r="DS46" i="491"/>
  <c r="DR46" i="491"/>
  <c r="DQ46" i="491"/>
  <c r="DP46" i="491"/>
  <c r="DO46" i="491"/>
  <c r="DN46" i="491"/>
  <c r="DM46" i="491"/>
  <c r="DL46" i="491"/>
  <c r="DK46" i="491"/>
  <c r="DJ46" i="491"/>
  <c r="DI46" i="491"/>
  <c r="DH46" i="491"/>
  <c r="DG46" i="491"/>
  <c r="DF46" i="491"/>
  <c r="DE46" i="491"/>
  <c r="DD46" i="491"/>
  <c r="DC46" i="491"/>
  <c r="DB46" i="491"/>
  <c r="DA46" i="491"/>
  <c r="CZ46" i="491"/>
  <c r="CY46" i="491"/>
  <c r="CX46" i="491"/>
  <c r="CW46" i="491"/>
  <c r="CV46" i="491"/>
  <c r="CU46" i="491"/>
  <c r="CT46" i="491"/>
  <c r="CS46" i="491"/>
  <c r="CR46" i="491"/>
  <c r="CQ46" i="491"/>
  <c r="CP46" i="491"/>
  <c r="CO46" i="491"/>
  <c r="CN46" i="491"/>
  <c r="CM46" i="491"/>
  <c r="CL46" i="491"/>
  <c r="CK46" i="491"/>
  <c r="CJ46" i="491"/>
  <c r="CI46" i="491"/>
  <c r="CH46" i="491"/>
  <c r="CG46" i="491"/>
  <c r="CF46" i="491"/>
  <c r="CE46" i="491"/>
  <c r="CD46" i="491"/>
  <c r="CC46" i="491"/>
  <c r="CB46" i="491"/>
  <c r="CA46" i="491"/>
  <c r="BZ46" i="491"/>
  <c r="BY46" i="491"/>
  <c r="BX46" i="491"/>
  <c r="BW46" i="491"/>
  <c r="BV46" i="491"/>
  <c r="BU46" i="491"/>
  <c r="BT46" i="491"/>
  <c r="BS46" i="491"/>
  <c r="BR46" i="491"/>
  <c r="BQ46" i="491"/>
  <c r="BP46" i="491"/>
  <c r="BO46" i="491"/>
  <c r="BN46" i="491"/>
  <c r="BM46" i="491"/>
  <c r="BL46" i="491"/>
  <c r="BK46" i="491"/>
  <c r="BJ46" i="491"/>
  <c r="BI46" i="491"/>
  <c r="BH46" i="491"/>
  <c r="BG46" i="491"/>
  <c r="BF46" i="491"/>
  <c r="BE46" i="491"/>
  <c r="BD46" i="491"/>
  <c r="BC46" i="491"/>
  <c r="BB46" i="491"/>
  <c r="BA46" i="491"/>
  <c r="AZ46" i="491"/>
  <c r="AY46" i="491"/>
  <c r="AX46" i="491"/>
  <c r="AW46" i="491"/>
  <c r="AV46" i="491"/>
  <c r="AU46" i="491"/>
  <c r="AT46" i="491"/>
  <c r="AS46" i="491"/>
  <c r="AR46" i="491"/>
  <c r="AQ46" i="491"/>
  <c r="AP46" i="491"/>
  <c r="AO46" i="491"/>
  <c r="AN46" i="491"/>
  <c r="AM46" i="491"/>
  <c r="AL46" i="491"/>
  <c r="AK46" i="491"/>
  <c r="AJ46" i="491"/>
  <c r="AI46" i="491"/>
  <c r="AH46" i="491"/>
  <c r="AG46" i="491"/>
  <c r="AF46" i="491"/>
  <c r="AE46" i="491"/>
  <c r="AD46" i="491"/>
  <c r="AC46" i="491"/>
  <c r="AB46" i="491"/>
  <c r="AA46" i="491"/>
  <c r="Z46" i="491"/>
  <c r="Y46" i="491"/>
  <c r="T46" i="491"/>
  <c r="U46" i="491" s="1"/>
  <c r="Q46" i="491"/>
  <c r="O46" i="491"/>
  <c r="N46" i="491"/>
  <c r="M46" i="491"/>
  <c r="G46" i="491"/>
  <c r="F46" i="491"/>
  <c r="C46" i="491"/>
  <c r="HR45" i="491"/>
  <c r="HQ45" i="491"/>
  <c r="HP45" i="491"/>
  <c r="HO45" i="491"/>
  <c r="HN45" i="491"/>
  <c r="HM45" i="491"/>
  <c r="HL45" i="491"/>
  <c r="HK45" i="491"/>
  <c r="HJ45" i="491"/>
  <c r="HI45" i="491"/>
  <c r="HH45" i="491"/>
  <c r="HG45" i="491"/>
  <c r="HF45" i="491"/>
  <c r="HE45" i="491"/>
  <c r="HD45" i="491"/>
  <c r="HC45" i="491"/>
  <c r="HB45" i="491"/>
  <c r="HA45" i="491"/>
  <c r="GZ45" i="491"/>
  <c r="GY45" i="491"/>
  <c r="GX45" i="491"/>
  <c r="GW45" i="491"/>
  <c r="GV45" i="491"/>
  <c r="GU45" i="491"/>
  <c r="GT45" i="491"/>
  <c r="GS45" i="491"/>
  <c r="GR45" i="491"/>
  <c r="GQ45" i="491"/>
  <c r="GP45" i="491"/>
  <c r="GO45" i="491"/>
  <c r="GN45" i="491"/>
  <c r="GM45" i="491"/>
  <c r="GL45" i="491"/>
  <c r="GK45" i="491"/>
  <c r="GJ45" i="491"/>
  <c r="GI45" i="491"/>
  <c r="GH45" i="491"/>
  <c r="GG45" i="491"/>
  <c r="GF45" i="491"/>
  <c r="GE45" i="491"/>
  <c r="GD45" i="491"/>
  <c r="GC45" i="491"/>
  <c r="GB45" i="491"/>
  <c r="GA45" i="491"/>
  <c r="FZ45" i="491"/>
  <c r="FY45" i="491"/>
  <c r="FX45" i="491"/>
  <c r="FW45" i="491"/>
  <c r="FV45" i="491"/>
  <c r="FU45" i="491"/>
  <c r="FT45" i="491"/>
  <c r="FS45" i="491"/>
  <c r="FR45" i="491"/>
  <c r="FQ45" i="491"/>
  <c r="FP45" i="491"/>
  <c r="FO45" i="491"/>
  <c r="FN45" i="491"/>
  <c r="FM45" i="491"/>
  <c r="FL45" i="491"/>
  <c r="FK45" i="491"/>
  <c r="FJ45" i="491"/>
  <c r="FI45" i="491"/>
  <c r="FH45" i="491"/>
  <c r="FG45" i="491"/>
  <c r="FF45" i="491"/>
  <c r="FE45" i="491"/>
  <c r="FD45" i="491"/>
  <c r="FC45" i="491"/>
  <c r="FB45" i="491"/>
  <c r="FA45" i="491"/>
  <c r="EZ45" i="491"/>
  <c r="EY45" i="491"/>
  <c r="EX45" i="491"/>
  <c r="EW45" i="491"/>
  <c r="EV45" i="491"/>
  <c r="EU45" i="491"/>
  <c r="ET45" i="491"/>
  <c r="ES45" i="491"/>
  <c r="ER45" i="491"/>
  <c r="EQ45" i="491"/>
  <c r="EP45" i="491"/>
  <c r="EO45" i="491"/>
  <c r="EN45" i="491"/>
  <c r="EM45" i="491"/>
  <c r="EL45" i="491"/>
  <c r="EK45" i="491"/>
  <c r="EJ45" i="491"/>
  <c r="EI45" i="491"/>
  <c r="EH45" i="491"/>
  <c r="EG45" i="491"/>
  <c r="EF45" i="491"/>
  <c r="EE45" i="491"/>
  <c r="ED45" i="491"/>
  <c r="EC45" i="491"/>
  <c r="EB45" i="491"/>
  <c r="EA45" i="491"/>
  <c r="DZ45" i="491"/>
  <c r="DY45" i="491"/>
  <c r="DX45" i="491"/>
  <c r="DW45" i="491"/>
  <c r="DT45" i="491"/>
  <c r="DS45" i="491"/>
  <c r="DR45" i="491"/>
  <c r="DQ45" i="491"/>
  <c r="DP45" i="491"/>
  <c r="DO45" i="491"/>
  <c r="DN45" i="491"/>
  <c r="DM45" i="491"/>
  <c r="DL45" i="491"/>
  <c r="DK45" i="491"/>
  <c r="DJ45" i="491"/>
  <c r="DI45" i="491"/>
  <c r="DH45" i="491"/>
  <c r="DG45" i="491"/>
  <c r="DF45" i="491"/>
  <c r="DE45" i="491"/>
  <c r="DD45" i="491"/>
  <c r="DC45" i="491"/>
  <c r="DB45" i="491"/>
  <c r="DA45" i="491"/>
  <c r="CZ45" i="491"/>
  <c r="CY45" i="491"/>
  <c r="CX45" i="491"/>
  <c r="CW45" i="491"/>
  <c r="CV45" i="491"/>
  <c r="CU45" i="491"/>
  <c r="CT45" i="491"/>
  <c r="CS45" i="491"/>
  <c r="CR45" i="491"/>
  <c r="CQ45" i="491"/>
  <c r="CP45" i="491"/>
  <c r="CO45" i="491"/>
  <c r="CN45" i="491"/>
  <c r="CM45" i="491"/>
  <c r="CL45" i="491"/>
  <c r="CK45" i="491"/>
  <c r="CJ45" i="491"/>
  <c r="CI45" i="491"/>
  <c r="CH45" i="491"/>
  <c r="CG45" i="491"/>
  <c r="CF45" i="491"/>
  <c r="CE45" i="491"/>
  <c r="CD45" i="491"/>
  <c r="CC45" i="491"/>
  <c r="CB45" i="491"/>
  <c r="CA45" i="491"/>
  <c r="BZ45" i="491"/>
  <c r="BY45" i="491"/>
  <c r="BX45" i="491"/>
  <c r="BW45" i="491"/>
  <c r="BV45" i="491"/>
  <c r="BU45" i="491"/>
  <c r="BT45" i="491"/>
  <c r="BS45" i="491"/>
  <c r="BR45" i="491"/>
  <c r="BQ45" i="491"/>
  <c r="BP45" i="491"/>
  <c r="BO45" i="491"/>
  <c r="BN45" i="491"/>
  <c r="BM45" i="491"/>
  <c r="BL45" i="491"/>
  <c r="BK45" i="491"/>
  <c r="BJ45" i="491"/>
  <c r="BI45" i="491"/>
  <c r="BH45" i="491"/>
  <c r="BG45" i="491"/>
  <c r="BF45" i="491"/>
  <c r="BE45" i="491"/>
  <c r="BD45" i="491"/>
  <c r="BC45" i="491"/>
  <c r="BB45" i="491"/>
  <c r="BA45" i="491"/>
  <c r="AZ45" i="491"/>
  <c r="AY45" i="491"/>
  <c r="AX45" i="491"/>
  <c r="AW45" i="491"/>
  <c r="AV45" i="491"/>
  <c r="AU45" i="491"/>
  <c r="AT45" i="491"/>
  <c r="AS45" i="491"/>
  <c r="AR45" i="491"/>
  <c r="AQ45" i="491"/>
  <c r="AP45" i="491"/>
  <c r="AO45" i="491"/>
  <c r="AN45" i="491"/>
  <c r="AM45" i="491"/>
  <c r="AL45" i="491"/>
  <c r="AK45" i="491"/>
  <c r="AJ45" i="491"/>
  <c r="AI45" i="491"/>
  <c r="AH45" i="491"/>
  <c r="AG45" i="491"/>
  <c r="AF45" i="491"/>
  <c r="AE45" i="491"/>
  <c r="AD45" i="491"/>
  <c r="AC45" i="491"/>
  <c r="AB45" i="491"/>
  <c r="AA45" i="491"/>
  <c r="Z45" i="491"/>
  <c r="Y45" i="491"/>
  <c r="T45" i="491"/>
  <c r="U45" i="491" s="1"/>
  <c r="Q45" i="491"/>
  <c r="O45" i="491"/>
  <c r="N45" i="491"/>
  <c r="M45" i="491"/>
  <c r="G45" i="491"/>
  <c r="F45" i="491"/>
  <c r="C45" i="491"/>
  <c r="HR44" i="491"/>
  <c r="HQ44" i="491"/>
  <c r="HP44" i="491"/>
  <c r="HO44" i="491"/>
  <c r="HN44" i="491"/>
  <c r="HM44" i="491"/>
  <c r="HL44" i="491"/>
  <c r="HK44" i="491"/>
  <c r="HJ44" i="491"/>
  <c r="HI44" i="491"/>
  <c r="HH44" i="491"/>
  <c r="HG44" i="491"/>
  <c r="HF44" i="491"/>
  <c r="HE44" i="491"/>
  <c r="HD44" i="491"/>
  <c r="HC44" i="491"/>
  <c r="HB44" i="491"/>
  <c r="HA44" i="491"/>
  <c r="GZ44" i="491"/>
  <c r="GY44" i="491"/>
  <c r="GX44" i="491"/>
  <c r="GW44" i="491"/>
  <c r="GV44" i="491"/>
  <c r="GU44" i="491"/>
  <c r="GT44" i="491"/>
  <c r="GR44" i="491"/>
  <c r="GQ44" i="491"/>
  <c r="GP44" i="491"/>
  <c r="GO44" i="491"/>
  <c r="GN44" i="491"/>
  <c r="GM44" i="491"/>
  <c r="GL44" i="491"/>
  <c r="GK44" i="491"/>
  <c r="GJ44" i="491"/>
  <c r="GI44" i="491"/>
  <c r="GH44" i="491"/>
  <c r="GG44" i="491"/>
  <c r="GF44" i="491"/>
  <c r="GE44" i="491"/>
  <c r="GD44" i="491"/>
  <c r="GC44" i="491"/>
  <c r="GB44" i="491"/>
  <c r="GA44" i="491"/>
  <c r="FZ44" i="491"/>
  <c r="FY44" i="491"/>
  <c r="FX44" i="491"/>
  <c r="FW44" i="491"/>
  <c r="FV44" i="491"/>
  <c r="FU44" i="491"/>
  <c r="FT44" i="491"/>
  <c r="FS44" i="491"/>
  <c r="FR44" i="491"/>
  <c r="FQ44" i="491"/>
  <c r="FP44" i="491"/>
  <c r="FO44" i="491"/>
  <c r="FN44" i="491"/>
  <c r="FM44" i="491"/>
  <c r="FL44" i="491"/>
  <c r="FK44" i="491"/>
  <c r="FJ44" i="491"/>
  <c r="FI44" i="491"/>
  <c r="FH44" i="491"/>
  <c r="FG44" i="491"/>
  <c r="FF44" i="491"/>
  <c r="FE44" i="491"/>
  <c r="FD44" i="491"/>
  <c r="FC44" i="491"/>
  <c r="FB44" i="491"/>
  <c r="FA44" i="491"/>
  <c r="EZ44" i="491"/>
  <c r="EY44" i="491"/>
  <c r="EX44" i="491"/>
  <c r="EW44" i="491"/>
  <c r="EV44" i="491"/>
  <c r="EU44" i="491"/>
  <c r="ET44" i="491"/>
  <c r="ES44" i="491"/>
  <c r="ER44" i="491"/>
  <c r="EQ44" i="491"/>
  <c r="EP44" i="491"/>
  <c r="EO44" i="491"/>
  <c r="EN44" i="491"/>
  <c r="EM44" i="491"/>
  <c r="EL44" i="491"/>
  <c r="EK44" i="491"/>
  <c r="EJ44" i="491"/>
  <c r="EI44" i="491"/>
  <c r="EH44" i="491"/>
  <c r="EG44" i="491"/>
  <c r="EF44" i="491"/>
  <c r="EE44" i="491"/>
  <c r="ED44" i="491"/>
  <c r="EC44" i="491"/>
  <c r="EB44" i="491"/>
  <c r="EA44" i="491"/>
  <c r="DZ44" i="491"/>
  <c r="DY44" i="491"/>
  <c r="DX44" i="491"/>
  <c r="DW44" i="491"/>
  <c r="DT44" i="491"/>
  <c r="DS44" i="491"/>
  <c r="DR44" i="491"/>
  <c r="DQ44" i="491"/>
  <c r="DP44" i="491"/>
  <c r="DO44" i="491"/>
  <c r="DN44" i="491"/>
  <c r="DM44" i="491"/>
  <c r="DL44" i="491"/>
  <c r="DK44" i="491"/>
  <c r="DJ44" i="491"/>
  <c r="DI44" i="491"/>
  <c r="DH44" i="491"/>
  <c r="DG44" i="491"/>
  <c r="DF44" i="491"/>
  <c r="DE44" i="491"/>
  <c r="DD44" i="491"/>
  <c r="DC44" i="491"/>
  <c r="DB44" i="491"/>
  <c r="DA44" i="491"/>
  <c r="CZ44" i="491"/>
  <c r="CY44" i="491"/>
  <c r="CX44" i="491"/>
  <c r="CW44" i="491"/>
  <c r="CV44" i="491"/>
  <c r="CT44" i="491"/>
  <c r="CS44" i="491"/>
  <c r="CR44" i="491"/>
  <c r="CQ44" i="491"/>
  <c r="CP44" i="491"/>
  <c r="CO44" i="491"/>
  <c r="CN44" i="491"/>
  <c r="CM44" i="491"/>
  <c r="CL44" i="491"/>
  <c r="CK44" i="491"/>
  <c r="CJ44" i="491"/>
  <c r="CI44" i="491"/>
  <c r="CH44" i="491"/>
  <c r="CG44" i="491"/>
  <c r="CF44" i="491"/>
  <c r="CE44" i="491"/>
  <c r="CD44" i="491"/>
  <c r="CC44" i="491"/>
  <c r="CB44" i="491"/>
  <c r="CA44" i="491"/>
  <c r="BZ44" i="491"/>
  <c r="BY44" i="491"/>
  <c r="BX44" i="491"/>
  <c r="BW44" i="491"/>
  <c r="BV44" i="491"/>
  <c r="BU44" i="491"/>
  <c r="BT44" i="491"/>
  <c r="BS44" i="491"/>
  <c r="BR44" i="491"/>
  <c r="BQ44" i="491"/>
  <c r="BP44" i="491"/>
  <c r="BO44" i="491"/>
  <c r="BN44" i="491"/>
  <c r="BM44" i="491"/>
  <c r="BL44" i="491"/>
  <c r="BK44" i="491"/>
  <c r="BJ44" i="491"/>
  <c r="BI44" i="491"/>
  <c r="BH44" i="491"/>
  <c r="BG44" i="491"/>
  <c r="BF44" i="491"/>
  <c r="BE44" i="491"/>
  <c r="BD44" i="491"/>
  <c r="BC44" i="491"/>
  <c r="BB44" i="491"/>
  <c r="BA44" i="491"/>
  <c r="AZ44" i="491"/>
  <c r="AY44" i="491"/>
  <c r="AX44" i="491"/>
  <c r="AW44" i="491"/>
  <c r="AV44" i="491"/>
  <c r="AU44" i="491"/>
  <c r="AT44" i="491"/>
  <c r="AS44" i="491"/>
  <c r="AR44" i="491"/>
  <c r="AQ44" i="491"/>
  <c r="AP44" i="491"/>
  <c r="AO44" i="491"/>
  <c r="AN44" i="491"/>
  <c r="AM44" i="491"/>
  <c r="AL44" i="491"/>
  <c r="AK44" i="491"/>
  <c r="AJ44" i="491"/>
  <c r="AI44" i="491"/>
  <c r="AH44" i="491"/>
  <c r="AG44" i="491"/>
  <c r="AF44" i="491"/>
  <c r="AE44" i="491"/>
  <c r="AD44" i="491"/>
  <c r="AC44" i="491"/>
  <c r="AB44" i="491"/>
  <c r="AA44" i="491"/>
  <c r="Z44" i="491"/>
  <c r="Y44" i="491"/>
  <c r="T44" i="491"/>
  <c r="U44" i="491" s="1"/>
  <c r="CU44" i="491" s="1"/>
  <c r="N44" i="491"/>
  <c r="G44" i="491"/>
  <c r="C44" i="491"/>
  <c r="HR43" i="491"/>
  <c r="HQ43" i="491"/>
  <c r="HP43" i="491"/>
  <c r="HO43" i="491"/>
  <c r="HN43" i="491"/>
  <c r="HM43" i="491"/>
  <c r="HL43" i="491"/>
  <c r="HK43" i="491"/>
  <c r="HJ43" i="491"/>
  <c r="HI43" i="491"/>
  <c r="HH43" i="491"/>
  <c r="HG43" i="491"/>
  <c r="HF43" i="491"/>
  <c r="HE43" i="491"/>
  <c r="HD43" i="491"/>
  <c r="HC43" i="491"/>
  <c r="HB43" i="491"/>
  <c r="HA43" i="491"/>
  <c r="GZ43" i="491"/>
  <c r="GY43" i="491"/>
  <c r="GX43" i="491"/>
  <c r="GW43" i="491"/>
  <c r="GV43" i="491"/>
  <c r="GU43" i="491"/>
  <c r="GT43" i="491"/>
  <c r="GS43" i="491"/>
  <c r="GR43" i="491"/>
  <c r="GQ43" i="491"/>
  <c r="GP43" i="491"/>
  <c r="GO43" i="491"/>
  <c r="GN43" i="491"/>
  <c r="GM43" i="491"/>
  <c r="GL43" i="491"/>
  <c r="GK43" i="491"/>
  <c r="GJ43" i="491"/>
  <c r="GI43" i="491"/>
  <c r="GH43" i="491"/>
  <c r="GG43" i="491"/>
  <c r="GF43" i="491"/>
  <c r="GE43" i="491"/>
  <c r="GD43" i="491"/>
  <c r="GC43" i="491"/>
  <c r="GB43" i="491"/>
  <c r="GA43" i="491"/>
  <c r="FZ43" i="491"/>
  <c r="FY43" i="491"/>
  <c r="FX43" i="491"/>
  <c r="FW43" i="491"/>
  <c r="FV43" i="491"/>
  <c r="FU43" i="491"/>
  <c r="FT43" i="491"/>
  <c r="FS43" i="491"/>
  <c r="FR43" i="491"/>
  <c r="FQ43" i="491"/>
  <c r="FP43" i="491"/>
  <c r="FO43" i="491"/>
  <c r="FN43" i="491"/>
  <c r="FM43" i="491"/>
  <c r="FL43" i="491"/>
  <c r="FK43" i="491"/>
  <c r="FJ43" i="491"/>
  <c r="FI43" i="491"/>
  <c r="FH43" i="491"/>
  <c r="FG43" i="491"/>
  <c r="FF43" i="491"/>
  <c r="FE43" i="491"/>
  <c r="FD43" i="491"/>
  <c r="FC43" i="491"/>
  <c r="FB43" i="491"/>
  <c r="FA43" i="491"/>
  <c r="EZ43" i="491"/>
  <c r="EY43" i="491"/>
  <c r="EX43" i="491"/>
  <c r="EW43" i="491"/>
  <c r="EV43" i="491"/>
  <c r="EU43" i="491"/>
  <c r="ET43" i="491"/>
  <c r="ES43" i="491"/>
  <c r="ER43" i="491"/>
  <c r="EQ43" i="491"/>
  <c r="EP43" i="491"/>
  <c r="EO43" i="491"/>
  <c r="EN43" i="491"/>
  <c r="EM43" i="491"/>
  <c r="EL43" i="491"/>
  <c r="EK43" i="491"/>
  <c r="EJ43" i="491"/>
  <c r="EI43" i="491"/>
  <c r="EH43" i="491"/>
  <c r="EG43" i="491"/>
  <c r="EF43" i="491"/>
  <c r="EE43" i="491"/>
  <c r="ED43" i="491"/>
  <c r="EC43" i="491"/>
  <c r="EB43" i="491"/>
  <c r="EA43" i="491"/>
  <c r="DZ43" i="491"/>
  <c r="DY43" i="491"/>
  <c r="DX43" i="491"/>
  <c r="DW43" i="491"/>
  <c r="DT43" i="491"/>
  <c r="DS43" i="491"/>
  <c r="DR43" i="491"/>
  <c r="DQ43" i="491"/>
  <c r="DP43" i="491"/>
  <c r="DO43" i="491"/>
  <c r="DN43" i="491"/>
  <c r="DM43" i="491"/>
  <c r="DL43" i="491"/>
  <c r="DK43" i="491"/>
  <c r="DJ43" i="491"/>
  <c r="DI43" i="491"/>
  <c r="DH43" i="491"/>
  <c r="DG43" i="491"/>
  <c r="DF43" i="491"/>
  <c r="DE43" i="491"/>
  <c r="DD43" i="491"/>
  <c r="DC43" i="491"/>
  <c r="DB43" i="491"/>
  <c r="DA43" i="491"/>
  <c r="CZ43" i="491"/>
  <c r="CY43" i="491"/>
  <c r="CX43" i="491"/>
  <c r="CW43" i="491"/>
  <c r="CV43" i="491"/>
  <c r="CU43" i="491"/>
  <c r="CT43" i="491"/>
  <c r="CS43" i="491"/>
  <c r="CR43" i="491"/>
  <c r="CQ43" i="491"/>
  <c r="CP43" i="491"/>
  <c r="CO43" i="491"/>
  <c r="CN43" i="491"/>
  <c r="CM43" i="491"/>
  <c r="CL43" i="491"/>
  <c r="CK43" i="491"/>
  <c r="CJ43" i="491"/>
  <c r="CI43" i="491"/>
  <c r="CH43" i="491"/>
  <c r="CG43" i="491"/>
  <c r="CF43" i="491"/>
  <c r="CE43" i="491"/>
  <c r="CD43" i="491"/>
  <c r="CC43" i="491"/>
  <c r="CB43" i="491"/>
  <c r="CA43" i="491"/>
  <c r="BZ43" i="491"/>
  <c r="BY43" i="491"/>
  <c r="BX43" i="491"/>
  <c r="BW43" i="491"/>
  <c r="BV43" i="491"/>
  <c r="BU43" i="491"/>
  <c r="BT43" i="491"/>
  <c r="BS43" i="491"/>
  <c r="BR43" i="491"/>
  <c r="BQ43" i="491"/>
  <c r="BP43" i="491"/>
  <c r="BO43" i="491"/>
  <c r="BN43" i="491"/>
  <c r="BM43" i="491"/>
  <c r="BL43" i="491"/>
  <c r="BK43" i="491"/>
  <c r="BJ43" i="491"/>
  <c r="BI43" i="491"/>
  <c r="BH43" i="491"/>
  <c r="BG43" i="491"/>
  <c r="BF43" i="491"/>
  <c r="BE43" i="491"/>
  <c r="BD43" i="491"/>
  <c r="BC43" i="491"/>
  <c r="BB43" i="491"/>
  <c r="BA43" i="491"/>
  <c r="AZ43" i="491"/>
  <c r="AY43" i="491"/>
  <c r="AX43" i="491"/>
  <c r="AW43" i="491"/>
  <c r="AV43" i="491"/>
  <c r="AU43" i="491"/>
  <c r="AT43" i="491"/>
  <c r="AS43" i="491"/>
  <c r="AR43" i="491"/>
  <c r="AQ43" i="491"/>
  <c r="AP43" i="491"/>
  <c r="AO43" i="491"/>
  <c r="AN43" i="491"/>
  <c r="AM43" i="491"/>
  <c r="AL43" i="491"/>
  <c r="AK43" i="491"/>
  <c r="AJ43" i="491"/>
  <c r="AI43" i="491"/>
  <c r="AH43" i="491"/>
  <c r="AG43" i="491"/>
  <c r="AF43" i="491"/>
  <c r="AE43" i="491"/>
  <c r="AD43" i="491"/>
  <c r="AC43" i="491"/>
  <c r="AB43" i="491"/>
  <c r="AA43" i="491"/>
  <c r="Z43" i="491"/>
  <c r="Y43" i="491"/>
  <c r="T43" i="491"/>
  <c r="U43" i="491" s="1"/>
  <c r="Q43" i="491"/>
  <c r="O43" i="491"/>
  <c r="N43" i="491"/>
  <c r="M43" i="491"/>
  <c r="G43" i="491"/>
  <c r="F43" i="491"/>
  <c r="C43" i="491"/>
  <c r="HR37" i="491"/>
  <c r="HQ37" i="491"/>
  <c r="HP37" i="491"/>
  <c r="HO37" i="491"/>
  <c r="HN37" i="491"/>
  <c r="HM37" i="491"/>
  <c r="HL37" i="491"/>
  <c r="HK37" i="491"/>
  <c r="HJ37" i="491"/>
  <c r="HI37" i="491"/>
  <c r="HH37" i="491"/>
  <c r="HG37" i="491"/>
  <c r="HF37" i="491"/>
  <c r="HE37" i="491"/>
  <c r="HD37" i="491"/>
  <c r="HC37" i="491"/>
  <c r="HB37" i="491"/>
  <c r="HA37" i="491"/>
  <c r="GZ37" i="491"/>
  <c r="GY37" i="491"/>
  <c r="GX37" i="491"/>
  <c r="GW37" i="491"/>
  <c r="GV37" i="491"/>
  <c r="GU37" i="491"/>
  <c r="GT37" i="491"/>
  <c r="GS37" i="491"/>
  <c r="GR37" i="491"/>
  <c r="GQ37" i="491"/>
  <c r="GP37" i="491"/>
  <c r="GO37" i="491"/>
  <c r="GN37" i="491"/>
  <c r="GM37" i="491"/>
  <c r="GL37" i="491"/>
  <c r="GK37" i="491"/>
  <c r="GJ37" i="491"/>
  <c r="GI37" i="491"/>
  <c r="GH37" i="491"/>
  <c r="GG37" i="491"/>
  <c r="GF37" i="491"/>
  <c r="GE37" i="491"/>
  <c r="GD37" i="491"/>
  <c r="GC37" i="491"/>
  <c r="GB37" i="491"/>
  <c r="GA37" i="491"/>
  <c r="FZ37" i="491"/>
  <c r="FY37" i="491"/>
  <c r="FX37" i="491"/>
  <c r="FW37" i="491"/>
  <c r="FV37" i="491"/>
  <c r="FU37" i="491"/>
  <c r="FT37" i="491"/>
  <c r="FS37" i="491"/>
  <c r="FR37" i="491"/>
  <c r="FQ37" i="491"/>
  <c r="FP37" i="491"/>
  <c r="FO37" i="491"/>
  <c r="FN37" i="491"/>
  <c r="FM37" i="491"/>
  <c r="FL37" i="491"/>
  <c r="FK37" i="491"/>
  <c r="FJ37" i="491"/>
  <c r="FI37" i="491"/>
  <c r="FH37" i="491"/>
  <c r="FG37" i="491"/>
  <c r="FF37" i="491"/>
  <c r="FE37" i="491"/>
  <c r="FD37" i="491"/>
  <c r="FC37" i="491"/>
  <c r="FB37" i="491"/>
  <c r="FA37" i="491"/>
  <c r="EZ37" i="491"/>
  <c r="EY37" i="491"/>
  <c r="EX37" i="491"/>
  <c r="EW37" i="491"/>
  <c r="EV37" i="491"/>
  <c r="EU37" i="491"/>
  <c r="ET37" i="491"/>
  <c r="ES37" i="491"/>
  <c r="ER37" i="491"/>
  <c r="EQ37" i="491"/>
  <c r="EP37" i="491"/>
  <c r="EO37" i="491"/>
  <c r="EN37" i="491"/>
  <c r="EM37" i="491"/>
  <c r="EL37" i="491"/>
  <c r="EK37" i="491"/>
  <c r="EJ37" i="491"/>
  <c r="EI37" i="491"/>
  <c r="EH37" i="491"/>
  <c r="EG37" i="491"/>
  <c r="EF37" i="491"/>
  <c r="EE37" i="491"/>
  <c r="ED37" i="491"/>
  <c r="EC37" i="491"/>
  <c r="EB37" i="491"/>
  <c r="EA37" i="491"/>
  <c r="DZ37" i="491"/>
  <c r="DY37" i="491"/>
  <c r="DX37" i="491"/>
  <c r="DW37" i="491"/>
  <c r="DT37" i="491"/>
  <c r="DS37" i="491"/>
  <c r="DR37" i="491"/>
  <c r="DQ37" i="491"/>
  <c r="DP37" i="491"/>
  <c r="DO37" i="491"/>
  <c r="DN37" i="491"/>
  <c r="DM37" i="491"/>
  <c r="DL37" i="491"/>
  <c r="DK37" i="491"/>
  <c r="DJ37" i="491"/>
  <c r="DI37" i="491"/>
  <c r="DH37" i="491"/>
  <c r="DG37" i="491"/>
  <c r="DF37" i="491"/>
  <c r="DE37" i="491"/>
  <c r="DD37" i="491"/>
  <c r="DC37" i="491"/>
  <c r="DB37" i="491"/>
  <c r="DA37" i="491"/>
  <c r="CZ37" i="491"/>
  <c r="CY37" i="491"/>
  <c r="CX37" i="491"/>
  <c r="CW37" i="491"/>
  <c r="CV37" i="491"/>
  <c r="CU37" i="491"/>
  <c r="CT37" i="491"/>
  <c r="CS37" i="491"/>
  <c r="CR37" i="491"/>
  <c r="CQ37" i="491"/>
  <c r="CP37" i="491"/>
  <c r="CO37" i="491"/>
  <c r="CN37" i="491"/>
  <c r="CM37" i="491"/>
  <c r="CL37" i="491"/>
  <c r="CK37" i="491"/>
  <c r="CJ37" i="491"/>
  <c r="CI37" i="491"/>
  <c r="CH37" i="491"/>
  <c r="CG37" i="491"/>
  <c r="CF37" i="491"/>
  <c r="CE37" i="491"/>
  <c r="CD37" i="491"/>
  <c r="CC37" i="491"/>
  <c r="CB37" i="491"/>
  <c r="CA37" i="491"/>
  <c r="BZ37" i="491"/>
  <c r="BY37" i="491"/>
  <c r="BX37" i="491"/>
  <c r="BW37" i="491"/>
  <c r="BV37" i="491"/>
  <c r="BU37" i="491"/>
  <c r="BT37" i="491"/>
  <c r="BS37" i="491"/>
  <c r="BR37" i="491"/>
  <c r="BQ37" i="491"/>
  <c r="BP37" i="491"/>
  <c r="BO37" i="491"/>
  <c r="BN37" i="491"/>
  <c r="BM37" i="491"/>
  <c r="BL37" i="491"/>
  <c r="BK37" i="491"/>
  <c r="BJ37" i="491"/>
  <c r="BI37" i="491"/>
  <c r="BH37" i="491"/>
  <c r="BG37" i="491"/>
  <c r="BF37" i="491"/>
  <c r="BE37" i="491"/>
  <c r="BD37" i="491"/>
  <c r="BC37" i="491"/>
  <c r="BB37" i="491"/>
  <c r="BA37" i="491"/>
  <c r="AZ37" i="491"/>
  <c r="AY37" i="491"/>
  <c r="AX37" i="491"/>
  <c r="AW37" i="491"/>
  <c r="AV37" i="491"/>
  <c r="AU37" i="491"/>
  <c r="AT37" i="491"/>
  <c r="AS37" i="491"/>
  <c r="AR37" i="491"/>
  <c r="AQ37" i="491"/>
  <c r="AP37" i="491"/>
  <c r="AO37" i="491"/>
  <c r="AN37" i="491"/>
  <c r="AM37" i="491"/>
  <c r="AL37" i="491"/>
  <c r="AK37" i="491"/>
  <c r="AJ37" i="491"/>
  <c r="AI37" i="491"/>
  <c r="AH37" i="491"/>
  <c r="AG37" i="491"/>
  <c r="AF37" i="491"/>
  <c r="AE37" i="491"/>
  <c r="AD37" i="491"/>
  <c r="AC37" i="491"/>
  <c r="AB37" i="491"/>
  <c r="AA37" i="491"/>
  <c r="Z37" i="491"/>
  <c r="Y37" i="491"/>
  <c r="T37" i="491"/>
  <c r="U37" i="491" s="1"/>
  <c r="R37" i="491"/>
  <c r="Q37" i="491"/>
  <c r="O37" i="491"/>
  <c r="N37" i="491"/>
  <c r="M37" i="491"/>
  <c r="G37" i="491"/>
  <c r="C37" i="491"/>
  <c r="HR36" i="491"/>
  <c r="HQ36" i="491"/>
  <c r="HP36" i="491"/>
  <c r="HO36" i="491"/>
  <c r="HN36" i="491"/>
  <c r="HM36" i="491"/>
  <c r="HL36" i="491"/>
  <c r="HK36" i="491"/>
  <c r="HJ36" i="491"/>
  <c r="HI36" i="491"/>
  <c r="HH36" i="491"/>
  <c r="HG36" i="491"/>
  <c r="HF36" i="491"/>
  <c r="HE36" i="491"/>
  <c r="HD36" i="491"/>
  <c r="HC36" i="491"/>
  <c r="HB36" i="491"/>
  <c r="HA36" i="491"/>
  <c r="GZ36" i="491"/>
  <c r="GY36" i="491"/>
  <c r="GX36" i="491"/>
  <c r="GW36" i="491"/>
  <c r="GV36" i="491"/>
  <c r="GU36" i="491"/>
  <c r="GT36" i="491"/>
  <c r="GS36" i="491"/>
  <c r="GR36" i="491"/>
  <c r="GQ36" i="491"/>
  <c r="GP36" i="491"/>
  <c r="GO36" i="491"/>
  <c r="GN36" i="491"/>
  <c r="GM36" i="491"/>
  <c r="GL36" i="491"/>
  <c r="GK36" i="491"/>
  <c r="GJ36" i="491"/>
  <c r="GI36" i="491"/>
  <c r="GH36" i="491"/>
  <c r="GG36" i="491"/>
  <c r="GF36" i="491"/>
  <c r="GE36" i="491"/>
  <c r="GD36" i="491"/>
  <c r="GC36" i="491"/>
  <c r="GB36" i="491"/>
  <c r="GA36" i="491"/>
  <c r="FZ36" i="491"/>
  <c r="FY36" i="491"/>
  <c r="FX36" i="491"/>
  <c r="FW36" i="491"/>
  <c r="FV36" i="491"/>
  <c r="FU36" i="491"/>
  <c r="FT36" i="491"/>
  <c r="FS36" i="491"/>
  <c r="FR36" i="491"/>
  <c r="FQ36" i="491"/>
  <c r="FP36" i="491"/>
  <c r="FO36" i="491"/>
  <c r="FN36" i="491"/>
  <c r="FM36" i="491"/>
  <c r="FL36" i="491"/>
  <c r="FK36" i="491"/>
  <c r="FJ36" i="491"/>
  <c r="FI36" i="491"/>
  <c r="FH36" i="491"/>
  <c r="FG36" i="491"/>
  <c r="FF36" i="491"/>
  <c r="FE36" i="491"/>
  <c r="FD36" i="491"/>
  <c r="FC36" i="491"/>
  <c r="FB36" i="491"/>
  <c r="FA36" i="491"/>
  <c r="EZ36" i="491"/>
  <c r="EY36" i="491"/>
  <c r="EX36" i="491"/>
  <c r="EW36" i="491"/>
  <c r="EV36" i="491"/>
  <c r="EU36" i="491"/>
  <c r="ET36" i="491"/>
  <c r="ES36" i="491"/>
  <c r="ER36" i="491"/>
  <c r="EQ36" i="491"/>
  <c r="EP36" i="491"/>
  <c r="EO36" i="491"/>
  <c r="EN36" i="491"/>
  <c r="EM36" i="491"/>
  <c r="EL36" i="491"/>
  <c r="EK36" i="491"/>
  <c r="EJ36" i="491"/>
  <c r="EI36" i="491"/>
  <c r="EH36" i="491"/>
  <c r="EG36" i="491"/>
  <c r="EF36" i="491"/>
  <c r="EE36" i="491"/>
  <c r="ED36" i="491"/>
  <c r="EC36" i="491"/>
  <c r="EB36" i="491"/>
  <c r="EA36" i="491"/>
  <c r="DZ36" i="491"/>
  <c r="DY36" i="491"/>
  <c r="DX36" i="491"/>
  <c r="DW36" i="491"/>
  <c r="DT36" i="491"/>
  <c r="DS36" i="491"/>
  <c r="DR36" i="491"/>
  <c r="DQ36" i="491"/>
  <c r="DP36" i="491"/>
  <c r="DO36" i="491"/>
  <c r="DN36" i="491"/>
  <c r="DM36" i="491"/>
  <c r="DL36" i="491"/>
  <c r="DK36" i="491"/>
  <c r="DJ36" i="491"/>
  <c r="DI36" i="491"/>
  <c r="DH36" i="491"/>
  <c r="DG36" i="491"/>
  <c r="DF36" i="491"/>
  <c r="DE36" i="491"/>
  <c r="DD36" i="491"/>
  <c r="DC36" i="491"/>
  <c r="DB36" i="491"/>
  <c r="DA36" i="491"/>
  <c r="CZ36" i="491"/>
  <c r="CY36" i="491"/>
  <c r="CX36" i="491"/>
  <c r="CW36" i="491"/>
  <c r="CV36" i="491"/>
  <c r="CU36" i="491"/>
  <c r="CT36" i="491"/>
  <c r="CS36" i="491"/>
  <c r="CR36" i="491"/>
  <c r="CQ36" i="491"/>
  <c r="CP36" i="491"/>
  <c r="CO36" i="491"/>
  <c r="CN36" i="491"/>
  <c r="CM36" i="491"/>
  <c r="CL36" i="491"/>
  <c r="CK36" i="491"/>
  <c r="CJ36" i="491"/>
  <c r="CI36" i="491"/>
  <c r="CH36" i="491"/>
  <c r="CG36" i="491"/>
  <c r="CF36" i="491"/>
  <c r="CE36" i="491"/>
  <c r="CD36" i="491"/>
  <c r="CC36" i="491"/>
  <c r="CB36" i="491"/>
  <c r="CA36" i="491"/>
  <c r="BZ36" i="491"/>
  <c r="BY36" i="491"/>
  <c r="BX36" i="491"/>
  <c r="BW36" i="491"/>
  <c r="BV36" i="491"/>
  <c r="BU36" i="491"/>
  <c r="BT36" i="491"/>
  <c r="BS36" i="491"/>
  <c r="BR36" i="491"/>
  <c r="BQ36" i="491"/>
  <c r="BP36" i="491"/>
  <c r="BO36" i="491"/>
  <c r="BN36" i="491"/>
  <c r="BM36" i="491"/>
  <c r="BL36" i="491"/>
  <c r="BK36" i="491"/>
  <c r="BJ36" i="491"/>
  <c r="BI36" i="491"/>
  <c r="BH36" i="491"/>
  <c r="BG36" i="491"/>
  <c r="BF36" i="491"/>
  <c r="BE36" i="491"/>
  <c r="BD36" i="491"/>
  <c r="BC36" i="491"/>
  <c r="BB36" i="491"/>
  <c r="BA36" i="491"/>
  <c r="AZ36" i="491"/>
  <c r="AY36" i="491"/>
  <c r="AX36" i="491"/>
  <c r="AW36" i="491"/>
  <c r="AV36" i="491"/>
  <c r="AU36" i="491"/>
  <c r="AT36" i="491"/>
  <c r="AS36" i="491"/>
  <c r="AR36" i="491"/>
  <c r="AQ36" i="491"/>
  <c r="AP36" i="491"/>
  <c r="AO36" i="491"/>
  <c r="AN36" i="491"/>
  <c r="AM36" i="491"/>
  <c r="AL36" i="491"/>
  <c r="AK36" i="491"/>
  <c r="AJ36" i="491"/>
  <c r="AI36" i="491"/>
  <c r="AH36" i="491"/>
  <c r="AG36" i="491"/>
  <c r="AF36" i="491"/>
  <c r="AE36" i="491"/>
  <c r="AD36" i="491"/>
  <c r="AC36" i="491"/>
  <c r="AB36" i="491"/>
  <c r="AA36" i="491"/>
  <c r="Z36" i="491"/>
  <c r="Y36" i="491"/>
  <c r="T36" i="491"/>
  <c r="U36" i="491" s="1"/>
  <c r="R36" i="491"/>
  <c r="Q36" i="491"/>
  <c r="O36" i="491"/>
  <c r="N36" i="491"/>
  <c r="M36" i="491"/>
  <c r="G36" i="491"/>
  <c r="C36" i="491"/>
  <c r="HR32" i="491"/>
  <c r="HQ32" i="491"/>
  <c r="HP32" i="491"/>
  <c r="HO32" i="491"/>
  <c r="HN32" i="491"/>
  <c r="HM32" i="491"/>
  <c r="HL32" i="491"/>
  <c r="HK32" i="491"/>
  <c r="HJ32" i="491"/>
  <c r="HI32" i="491"/>
  <c r="HH32" i="491"/>
  <c r="HG32" i="491"/>
  <c r="HF32" i="491"/>
  <c r="HE32" i="491"/>
  <c r="HD32" i="491"/>
  <c r="HC32" i="491"/>
  <c r="HB32" i="491"/>
  <c r="HA32" i="491"/>
  <c r="GZ32" i="491"/>
  <c r="GY32" i="491"/>
  <c r="GX32" i="491"/>
  <c r="GW32" i="491"/>
  <c r="GV32" i="491"/>
  <c r="GU32" i="491"/>
  <c r="GT32" i="491"/>
  <c r="GS32" i="491"/>
  <c r="GR32" i="491"/>
  <c r="GQ32" i="491"/>
  <c r="GP32" i="491"/>
  <c r="GO32" i="491"/>
  <c r="GN32" i="491"/>
  <c r="GM32" i="491"/>
  <c r="GL32" i="491"/>
  <c r="GK32" i="491"/>
  <c r="GJ32" i="491"/>
  <c r="GI32" i="491"/>
  <c r="GH32" i="491"/>
  <c r="GG32" i="491"/>
  <c r="GF32" i="491"/>
  <c r="GD32" i="491"/>
  <c r="GC32" i="491"/>
  <c r="GB32" i="491"/>
  <c r="GA32" i="491"/>
  <c r="FZ32" i="491"/>
  <c r="FY32" i="491"/>
  <c r="FX32" i="491"/>
  <c r="FW32" i="491"/>
  <c r="FV32" i="491"/>
  <c r="FU32" i="491"/>
  <c r="FT32" i="491"/>
  <c r="FS32" i="491"/>
  <c r="FR32" i="491"/>
  <c r="FQ32" i="491"/>
  <c r="FP32" i="491"/>
  <c r="FO32" i="491"/>
  <c r="FN32" i="491"/>
  <c r="FM32" i="491"/>
  <c r="FL32" i="491"/>
  <c r="FK32" i="491"/>
  <c r="FJ32" i="491"/>
  <c r="FI32" i="491"/>
  <c r="FH32" i="491"/>
  <c r="FG32" i="491"/>
  <c r="FF32" i="491"/>
  <c r="FE32" i="491"/>
  <c r="FD32" i="491"/>
  <c r="FC32" i="491"/>
  <c r="FB32" i="491"/>
  <c r="FA32" i="491"/>
  <c r="EZ32" i="491"/>
  <c r="EY32" i="491"/>
  <c r="EX32" i="491"/>
  <c r="EW32" i="491"/>
  <c r="EV32" i="491"/>
  <c r="EU32" i="491"/>
  <c r="ET32" i="491"/>
  <c r="ES32" i="491"/>
  <c r="ER32" i="491"/>
  <c r="EQ32" i="491"/>
  <c r="EP32" i="491"/>
  <c r="EO32" i="491"/>
  <c r="EN32" i="491"/>
  <c r="EM32" i="491"/>
  <c r="EL32" i="491"/>
  <c r="EK32" i="491"/>
  <c r="EJ32" i="491"/>
  <c r="EI32" i="491"/>
  <c r="EH32" i="491"/>
  <c r="EG32" i="491"/>
  <c r="EF32" i="491"/>
  <c r="EE32" i="491"/>
  <c r="ED32" i="491"/>
  <c r="EC32" i="491"/>
  <c r="EB32" i="491"/>
  <c r="EA32" i="491"/>
  <c r="DZ32" i="491"/>
  <c r="DY32" i="491"/>
  <c r="DX32" i="491"/>
  <c r="DT32" i="491"/>
  <c r="DS32" i="491"/>
  <c r="DR32" i="491"/>
  <c r="DQ32" i="491"/>
  <c r="DP32" i="491"/>
  <c r="DO32" i="491"/>
  <c r="DN32" i="491"/>
  <c r="DM32" i="491"/>
  <c r="DL32" i="491"/>
  <c r="DK32" i="491"/>
  <c r="DJ32" i="491"/>
  <c r="DI32" i="491"/>
  <c r="DH32" i="491"/>
  <c r="DG32" i="491"/>
  <c r="DF32" i="491"/>
  <c r="DE32" i="491"/>
  <c r="DD32" i="491"/>
  <c r="DC32" i="491"/>
  <c r="DB32" i="491"/>
  <c r="DA32" i="491"/>
  <c r="CZ32" i="491"/>
  <c r="CY32" i="491"/>
  <c r="CX32" i="491"/>
  <c r="CW32" i="491"/>
  <c r="CV32" i="491"/>
  <c r="CU32" i="491"/>
  <c r="CT32" i="491"/>
  <c r="CS32" i="491"/>
  <c r="CR32" i="491"/>
  <c r="CQ32" i="491"/>
  <c r="CP32" i="491"/>
  <c r="CO32" i="491"/>
  <c r="CN32" i="491"/>
  <c r="CM32" i="491"/>
  <c r="CL32" i="491"/>
  <c r="CK32" i="491"/>
  <c r="CJ32" i="491"/>
  <c r="CI32" i="491"/>
  <c r="CH32" i="491"/>
  <c r="CF32" i="491"/>
  <c r="CE32" i="491"/>
  <c r="CD32" i="491"/>
  <c r="CC32" i="491"/>
  <c r="CB32" i="491"/>
  <c r="CA32" i="491"/>
  <c r="BZ32" i="491"/>
  <c r="BY32" i="491"/>
  <c r="BX32" i="491"/>
  <c r="BW32" i="491"/>
  <c r="BV32" i="491"/>
  <c r="BU32" i="491"/>
  <c r="BT32" i="491"/>
  <c r="BS32" i="491"/>
  <c r="BR32" i="491"/>
  <c r="BQ32" i="491"/>
  <c r="BP32" i="491"/>
  <c r="BO32" i="491"/>
  <c r="BN32" i="491"/>
  <c r="BM32" i="491"/>
  <c r="BL32" i="491"/>
  <c r="BK32" i="491"/>
  <c r="BJ32" i="491"/>
  <c r="BI32" i="491"/>
  <c r="BH32" i="491"/>
  <c r="BG32" i="491"/>
  <c r="BF32" i="491"/>
  <c r="BE32" i="491"/>
  <c r="BD32" i="491"/>
  <c r="BC32" i="491"/>
  <c r="BB32" i="491"/>
  <c r="BA32" i="491"/>
  <c r="AZ32" i="491"/>
  <c r="AY32" i="491"/>
  <c r="AX32" i="491"/>
  <c r="AW32" i="491"/>
  <c r="AV32" i="491"/>
  <c r="AU32" i="491"/>
  <c r="AT32" i="491"/>
  <c r="AS32" i="491"/>
  <c r="AR32" i="491"/>
  <c r="AQ32" i="491"/>
  <c r="AP32" i="491"/>
  <c r="AO32" i="491"/>
  <c r="AN32" i="491"/>
  <c r="AM32" i="491"/>
  <c r="AL32" i="491"/>
  <c r="AK32" i="491"/>
  <c r="AJ32" i="491"/>
  <c r="AI32" i="491"/>
  <c r="AH32" i="491"/>
  <c r="AG32" i="491"/>
  <c r="AF32" i="491"/>
  <c r="AE32" i="491"/>
  <c r="AD32" i="491"/>
  <c r="AC32" i="491"/>
  <c r="AB32" i="491"/>
  <c r="AA32" i="491"/>
  <c r="Z32" i="491"/>
  <c r="Y32" i="491"/>
  <c r="T32" i="491"/>
  <c r="U32" i="491" s="1"/>
  <c r="CG32" i="491" s="1"/>
  <c r="R32" i="491"/>
  <c r="N32" i="491"/>
  <c r="M32" i="491"/>
  <c r="G32" i="491"/>
  <c r="C32" i="491"/>
  <c r="HR31" i="491"/>
  <c r="HQ31" i="491"/>
  <c r="HP31" i="491"/>
  <c r="HO31" i="491"/>
  <c r="HN31" i="491"/>
  <c r="HM31" i="491"/>
  <c r="HL31" i="491"/>
  <c r="HK31" i="491"/>
  <c r="HJ31" i="491"/>
  <c r="HI31" i="491"/>
  <c r="HH31" i="491"/>
  <c r="HG31" i="491"/>
  <c r="HF31" i="491"/>
  <c r="HE31" i="491"/>
  <c r="HD31" i="491"/>
  <c r="HC31" i="491"/>
  <c r="HB31" i="491"/>
  <c r="HA31" i="491"/>
  <c r="GZ31" i="491"/>
  <c r="GY31" i="491"/>
  <c r="GX31" i="491"/>
  <c r="GW31" i="491"/>
  <c r="GV31" i="491"/>
  <c r="GU31" i="491"/>
  <c r="GT31" i="491"/>
  <c r="GS31" i="491"/>
  <c r="GR31" i="491"/>
  <c r="GQ31" i="491"/>
  <c r="GP31" i="491"/>
  <c r="GO31" i="491"/>
  <c r="GN31" i="491"/>
  <c r="GM31" i="491"/>
  <c r="GL31" i="491"/>
  <c r="GK31" i="491"/>
  <c r="GJ31" i="491"/>
  <c r="GI31" i="491"/>
  <c r="GH31" i="491"/>
  <c r="GG31" i="491"/>
  <c r="GF31" i="491"/>
  <c r="GE31" i="491"/>
  <c r="GD31" i="491"/>
  <c r="GC31" i="491"/>
  <c r="GB31" i="491"/>
  <c r="GA31" i="491"/>
  <c r="FZ31" i="491"/>
  <c r="FY31" i="491"/>
  <c r="FX31" i="491"/>
  <c r="FW31" i="491"/>
  <c r="FV31" i="491"/>
  <c r="FU31" i="491"/>
  <c r="FT31" i="491"/>
  <c r="FS31" i="491"/>
  <c r="FR31" i="491"/>
  <c r="FQ31" i="491"/>
  <c r="FP31" i="491"/>
  <c r="FO31" i="491"/>
  <c r="FN31" i="491"/>
  <c r="FM31" i="491"/>
  <c r="FL31" i="491"/>
  <c r="FK31" i="491"/>
  <c r="FJ31" i="491"/>
  <c r="FI31" i="491"/>
  <c r="FH31" i="491"/>
  <c r="FG31" i="491"/>
  <c r="FF31" i="491"/>
  <c r="FE31" i="491"/>
  <c r="FD31" i="491"/>
  <c r="FC31" i="491"/>
  <c r="FB31" i="491"/>
  <c r="FA31" i="491"/>
  <c r="EZ31" i="491"/>
  <c r="EY31" i="491"/>
  <c r="EX31" i="491"/>
  <c r="EW31" i="491"/>
  <c r="EV31" i="491"/>
  <c r="EU31" i="491"/>
  <c r="ET31" i="491"/>
  <c r="ES31" i="491"/>
  <c r="ER31" i="491"/>
  <c r="EQ31" i="491"/>
  <c r="EP31" i="491"/>
  <c r="EO31" i="491"/>
  <c r="EN31" i="491"/>
  <c r="EM31" i="491"/>
  <c r="EL31" i="491"/>
  <c r="EK31" i="491"/>
  <c r="EJ31" i="491"/>
  <c r="EI31" i="491"/>
  <c r="EH31" i="491"/>
  <c r="EG31" i="491"/>
  <c r="EF31" i="491"/>
  <c r="EE31" i="491"/>
  <c r="ED31" i="491"/>
  <c r="EC31" i="491"/>
  <c r="EB31" i="491"/>
  <c r="EA31" i="491"/>
  <c r="DZ31" i="491"/>
  <c r="DY31" i="491"/>
  <c r="DX31" i="491"/>
  <c r="DT31" i="491"/>
  <c r="DS31" i="491"/>
  <c r="DR31" i="491"/>
  <c r="DQ31" i="491"/>
  <c r="DP31" i="491"/>
  <c r="DO31" i="491"/>
  <c r="DN31" i="491"/>
  <c r="DM31" i="491"/>
  <c r="DL31" i="491"/>
  <c r="DK31" i="491"/>
  <c r="DJ31" i="491"/>
  <c r="DI31" i="491"/>
  <c r="DH31" i="491"/>
  <c r="DG31" i="491"/>
  <c r="DF31" i="491"/>
  <c r="DE31" i="491"/>
  <c r="DD31" i="491"/>
  <c r="DC31" i="491"/>
  <c r="DB31" i="491"/>
  <c r="DA31" i="491"/>
  <c r="CZ31" i="491"/>
  <c r="CY31" i="491"/>
  <c r="CX31" i="491"/>
  <c r="CW31" i="491"/>
  <c r="CV31" i="491"/>
  <c r="CU31" i="491"/>
  <c r="CT31" i="491"/>
  <c r="CS31" i="491"/>
  <c r="CR31" i="491"/>
  <c r="CQ31" i="491"/>
  <c r="CP31" i="491"/>
  <c r="CO31" i="491"/>
  <c r="CN31" i="491"/>
  <c r="CM31" i="491"/>
  <c r="CL31" i="491"/>
  <c r="CK31" i="491"/>
  <c r="CJ31" i="491"/>
  <c r="CI31" i="491"/>
  <c r="CH31" i="491"/>
  <c r="CG31" i="491"/>
  <c r="CF31" i="491"/>
  <c r="CE31" i="491"/>
  <c r="CD31" i="491"/>
  <c r="CC31" i="491"/>
  <c r="CB31" i="491"/>
  <c r="CA31" i="491"/>
  <c r="BZ31" i="491"/>
  <c r="BY31" i="491"/>
  <c r="BX31" i="491"/>
  <c r="BW31" i="491"/>
  <c r="BV31" i="491"/>
  <c r="BU31" i="491"/>
  <c r="BT31" i="491"/>
  <c r="BS31" i="491"/>
  <c r="BR31" i="491"/>
  <c r="BQ31" i="491"/>
  <c r="BP31" i="491"/>
  <c r="BO31" i="491"/>
  <c r="BN31" i="491"/>
  <c r="BM31" i="491"/>
  <c r="BL31" i="491"/>
  <c r="BK31" i="491"/>
  <c r="BJ31" i="491"/>
  <c r="BI31" i="491"/>
  <c r="BH31" i="491"/>
  <c r="BG31" i="491"/>
  <c r="BF31" i="491"/>
  <c r="BE31" i="491"/>
  <c r="BD31" i="491"/>
  <c r="BC31" i="491"/>
  <c r="BB31" i="491"/>
  <c r="BA31" i="491"/>
  <c r="AZ31" i="491"/>
  <c r="AY31" i="491"/>
  <c r="AX31" i="491"/>
  <c r="AW31" i="491"/>
  <c r="AV31" i="491"/>
  <c r="AU31" i="491"/>
  <c r="AT31" i="491"/>
  <c r="AS31" i="491"/>
  <c r="AR31" i="491"/>
  <c r="AQ31" i="491"/>
  <c r="AP31" i="491"/>
  <c r="AO31" i="491"/>
  <c r="AN31" i="491"/>
  <c r="AM31" i="491"/>
  <c r="AL31" i="491"/>
  <c r="AK31" i="491"/>
  <c r="AJ31" i="491"/>
  <c r="AI31" i="491"/>
  <c r="AH31" i="491"/>
  <c r="AG31" i="491"/>
  <c r="AF31" i="491"/>
  <c r="AE31" i="491"/>
  <c r="AD31" i="491"/>
  <c r="AC31" i="491"/>
  <c r="AB31" i="491"/>
  <c r="AA31" i="491"/>
  <c r="Z31" i="491"/>
  <c r="T31" i="491"/>
  <c r="U31" i="491" s="1"/>
  <c r="Y31" i="491" s="1"/>
  <c r="R31" i="491"/>
  <c r="Q31" i="491"/>
  <c r="O31" i="491"/>
  <c r="DW31" i="491" s="1"/>
  <c r="N31" i="491"/>
  <c r="M31" i="491"/>
  <c r="G31" i="491"/>
  <c r="C31" i="491"/>
  <c r="HR30" i="491"/>
  <c r="HQ30" i="491"/>
  <c r="HP30" i="491"/>
  <c r="HO30" i="491"/>
  <c r="HN30" i="491"/>
  <c r="HM30" i="491"/>
  <c r="HL30" i="491"/>
  <c r="HK30" i="491"/>
  <c r="HJ30" i="491"/>
  <c r="HI30" i="491"/>
  <c r="HH30" i="491"/>
  <c r="HG30" i="491"/>
  <c r="HF30" i="491"/>
  <c r="HE30" i="491"/>
  <c r="HD30" i="491"/>
  <c r="HC30" i="491"/>
  <c r="HB30" i="491"/>
  <c r="HA30" i="491"/>
  <c r="GZ30" i="491"/>
  <c r="GY30" i="491"/>
  <c r="GX30" i="491"/>
  <c r="GW30" i="491"/>
  <c r="GV30" i="491"/>
  <c r="GU30" i="491"/>
  <c r="GT30" i="491"/>
  <c r="GS30" i="491"/>
  <c r="GR30" i="491"/>
  <c r="GQ30" i="491"/>
  <c r="GP30" i="491"/>
  <c r="GO30" i="491"/>
  <c r="GN30" i="491"/>
  <c r="GM30" i="491"/>
  <c r="GL30" i="491"/>
  <c r="GK30" i="491"/>
  <c r="GJ30" i="491"/>
  <c r="GI30" i="491"/>
  <c r="GH30" i="491"/>
  <c r="GG30" i="491"/>
  <c r="GF30" i="491"/>
  <c r="GD30" i="491"/>
  <c r="GC30" i="491"/>
  <c r="GB30" i="491"/>
  <c r="GA30" i="491"/>
  <c r="FZ30" i="491"/>
  <c r="FY30" i="491"/>
  <c r="FX30" i="491"/>
  <c r="FW30" i="491"/>
  <c r="FV30" i="491"/>
  <c r="FU30" i="491"/>
  <c r="FT30" i="491"/>
  <c r="FS30" i="491"/>
  <c r="FR30" i="491"/>
  <c r="FQ30" i="491"/>
  <c r="FP30" i="491"/>
  <c r="FO30" i="491"/>
  <c r="FN30" i="491"/>
  <c r="FM30" i="491"/>
  <c r="FL30" i="491"/>
  <c r="FK30" i="491"/>
  <c r="FJ30" i="491"/>
  <c r="FI30" i="491"/>
  <c r="FH30" i="491"/>
  <c r="FG30" i="491"/>
  <c r="FF30" i="491"/>
  <c r="FE30" i="491"/>
  <c r="FD30" i="491"/>
  <c r="FC30" i="491"/>
  <c r="FB30" i="491"/>
  <c r="FA30" i="491"/>
  <c r="EZ30" i="491"/>
  <c r="EY30" i="491"/>
  <c r="EX30" i="491"/>
  <c r="EW30" i="491"/>
  <c r="EV30" i="491"/>
  <c r="EU30" i="491"/>
  <c r="ET30" i="491"/>
  <c r="ES30" i="491"/>
  <c r="ER30" i="491"/>
  <c r="EQ30" i="491"/>
  <c r="EP30" i="491"/>
  <c r="EO30" i="491"/>
  <c r="EN30" i="491"/>
  <c r="EM30" i="491"/>
  <c r="EL30" i="491"/>
  <c r="EK30" i="491"/>
  <c r="EJ30" i="491"/>
  <c r="EI30" i="491"/>
  <c r="EH30" i="491"/>
  <c r="EG30" i="491"/>
  <c r="EF30" i="491"/>
  <c r="EE30" i="491"/>
  <c r="ED30" i="491"/>
  <c r="EC30" i="491"/>
  <c r="EB30" i="491"/>
  <c r="EA30" i="491"/>
  <c r="DZ30" i="491"/>
  <c r="DY30" i="491"/>
  <c r="DX30" i="491"/>
  <c r="DT30" i="491"/>
  <c r="DS30" i="491"/>
  <c r="DR30" i="491"/>
  <c r="DQ30" i="491"/>
  <c r="DP30" i="491"/>
  <c r="DO30" i="491"/>
  <c r="DN30" i="491"/>
  <c r="DM30" i="491"/>
  <c r="DL30" i="491"/>
  <c r="DK30" i="491"/>
  <c r="DJ30" i="491"/>
  <c r="DI30" i="491"/>
  <c r="DH30" i="491"/>
  <c r="DG30" i="491"/>
  <c r="DF30" i="491"/>
  <c r="DE30" i="491"/>
  <c r="DD30" i="491"/>
  <c r="DC30" i="491"/>
  <c r="DB30" i="491"/>
  <c r="DA30" i="491"/>
  <c r="CZ30" i="491"/>
  <c r="CY30" i="491"/>
  <c r="CX30" i="491"/>
  <c r="CW30" i="491"/>
  <c r="CV30" i="491"/>
  <c r="CU30" i="491"/>
  <c r="CT30" i="491"/>
  <c r="CS30" i="491"/>
  <c r="CR30" i="491"/>
  <c r="CQ30" i="491"/>
  <c r="CP30" i="491"/>
  <c r="CO30" i="491"/>
  <c r="CN30" i="491"/>
  <c r="CM30" i="491"/>
  <c r="CL30" i="491"/>
  <c r="CK30" i="491"/>
  <c r="CJ30" i="491"/>
  <c r="CI30" i="491"/>
  <c r="CH30" i="491"/>
  <c r="CF30" i="491"/>
  <c r="CE30" i="491"/>
  <c r="CD30" i="491"/>
  <c r="CC30" i="491"/>
  <c r="CB30" i="491"/>
  <c r="CA30" i="491"/>
  <c r="BZ30" i="491"/>
  <c r="BY30" i="491"/>
  <c r="BX30" i="491"/>
  <c r="BW30" i="491"/>
  <c r="BV30" i="491"/>
  <c r="BU30" i="491"/>
  <c r="BT30" i="491"/>
  <c r="BS30" i="491"/>
  <c r="BR30" i="491"/>
  <c r="BQ30" i="491"/>
  <c r="BP30" i="491"/>
  <c r="BO30" i="491"/>
  <c r="BN30" i="491"/>
  <c r="BM30" i="491"/>
  <c r="BL30" i="491"/>
  <c r="BK30" i="491"/>
  <c r="BJ30" i="491"/>
  <c r="BI30" i="491"/>
  <c r="BH30" i="491"/>
  <c r="BG30" i="491"/>
  <c r="BF30" i="491"/>
  <c r="BE30" i="491"/>
  <c r="BD30" i="491"/>
  <c r="BC30" i="491"/>
  <c r="BB30" i="491"/>
  <c r="BA30" i="491"/>
  <c r="AZ30" i="491"/>
  <c r="AY30" i="491"/>
  <c r="AX30" i="491"/>
  <c r="AW30" i="491"/>
  <c r="AV30" i="491"/>
  <c r="AU30" i="491"/>
  <c r="AT30" i="491"/>
  <c r="AS30" i="491"/>
  <c r="AR30" i="491"/>
  <c r="AQ30" i="491"/>
  <c r="AP30" i="491"/>
  <c r="AO30" i="491"/>
  <c r="AN30" i="491"/>
  <c r="AM30" i="491"/>
  <c r="AL30" i="491"/>
  <c r="AK30" i="491"/>
  <c r="AJ30" i="491"/>
  <c r="AI30" i="491"/>
  <c r="AH30" i="491"/>
  <c r="AG30" i="491"/>
  <c r="AF30" i="491"/>
  <c r="AE30" i="491"/>
  <c r="AD30" i="491"/>
  <c r="AC30" i="491"/>
  <c r="AB30" i="491"/>
  <c r="AA30" i="491"/>
  <c r="Z30" i="491"/>
  <c r="T30" i="491"/>
  <c r="U30" i="491" s="1"/>
  <c r="CG30" i="491" s="1"/>
  <c r="N30" i="491"/>
  <c r="M30" i="491"/>
  <c r="G30" i="491"/>
  <c r="C30" i="491"/>
  <c r="HR29" i="491"/>
  <c r="HQ29" i="491"/>
  <c r="HP29" i="491"/>
  <c r="HO29" i="491"/>
  <c r="HN29" i="491"/>
  <c r="HM29" i="491"/>
  <c r="HL29" i="491"/>
  <c r="HK29" i="491"/>
  <c r="HJ29" i="491"/>
  <c r="HI29" i="491"/>
  <c r="HH29" i="491"/>
  <c r="HG29" i="491"/>
  <c r="HF29" i="491"/>
  <c r="HE29" i="491"/>
  <c r="HD29" i="491"/>
  <c r="HC29" i="491"/>
  <c r="HB29" i="491"/>
  <c r="HA29" i="491"/>
  <c r="GZ29" i="491"/>
  <c r="GY29" i="491"/>
  <c r="GX29" i="491"/>
  <c r="GW29" i="491"/>
  <c r="GV29" i="491"/>
  <c r="GU29" i="491"/>
  <c r="GT29" i="491"/>
  <c r="GS29" i="491"/>
  <c r="GR29" i="491"/>
  <c r="GQ29" i="491"/>
  <c r="GP29" i="491"/>
  <c r="GO29" i="491"/>
  <c r="GN29" i="491"/>
  <c r="GM29" i="491"/>
  <c r="GL29" i="491"/>
  <c r="GK29" i="491"/>
  <c r="GJ29" i="491"/>
  <c r="GI29" i="491"/>
  <c r="GH29" i="491"/>
  <c r="GG29" i="491"/>
  <c r="GF29" i="491"/>
  <c r="GE29" i="491"/>
  <c r="GD29" i="491"/>
  <c r="GC29" i="491"/>
  <c r="GB29" i="491"/>
  <c r="GA29" i="491"/>
  <c r="FZ29" i="491"/>
  <c r="FY29" i="491"/>
  <c r="FX29" i="491"/>
  <c r="FW29" i="491"/>
  <c r="FV29" i="491"/>
  <c r="FU29" i="491"/>
  <c r="FT29" i="491"/>
  <c r="FS29" i="491"/>
  <c r="FR29" i="491"/>
  <c r="FQ29" i="491"/>
  <c r="FP29" i="491"/>
  <c r="FO29" i="491"/>
  <c r="FN29" i="491"/>
  <c r="FM29" i="491"/>
  <c r="FL29" i="491"/>
  <c r="FK29" i="491"/>
  <c r="FJ29" i="491"/>
  <c r="FI29" i="491"/>
  <c r="FH29" i="491"/>
  <c r="FG29" i="491"/>
  <c r="FF29" i="491"/>
  <c r="FE29" i="491"/>
  <c r="FD29" i="491"/>
  <c r="FC29" i="491"/>
  <c r="FB29" i="491"/>
  <c r="FA29" i="491"/>
  <c r="EZ29" i="491"/>
  <c r="EY29" i="491"/>
  <c r="EX29" i="491"/>
  <c r="EW29" i="491"/>
  <c r="EV29" i="491"/>
  <c r="EU29" i="491"/>
  <c r="ET29" i="491"/>
  <c r="ES29" i="491"/>
  <c r="ER29" i="491"/>
  <c r="EQ29" i="491"/>
  <c r="EP29" i="491"/>
  <c r="EO29" i="491"/>
  <c r="EN29" i="491"/>
  <c r="EM29" i="491"/>
  <c r="EL29" i="491"/>
  <c r="EK29" i="491"/>
  <c r="EJ29" i="491"/>
  <c r="EI29" i="491"/>
  <c r="EH29" i="491"/>
  <c r="EG29" i="491"/>
  <c r="EF29" i="491"/>
  <c r="EE29" i="491"/>
  <c r="ED29" i="491"/>
  <c r="EC29" i="491"/>
  <c r="EB29" i="491"/>
  <c r="EA29" i="491"/>
  <c r="DZ29" i="491"/>
  <c r="DY29" i="491"/>
  <c r="DX29" i="491"/>
  <c r="DW29" i="491"/>
  <c r="DT29" i="491"/>
  <c r="DS29" i="491"/>
  <c r="DR29" i="491"/>
  <c r="DQ29" i="491"/>
  <c r="DP29" i="491"/>
  <c r="DO29" i="491"/>
  <c r="DN29" i="491"/>
  <c r="DM29" i="491"/>
  <c r="DL29" i="491"/>
  <c r="DK29" i="491"/>
  <c r="DJ29" i="491"/>
  <c r="DI29" i="491"/>
  <c r="DH29" i="491"/>
  <c r="DG29" i="491"/>
  <c r="DF29" i="491"/>
  <c r="DE29" i="491"/>
  <c r="DD29" i="491"/>
  <c r="DC29" i="491"/>
  <c r="DB29" i="491"/>
  <c r="DA29" i="491"/>
  <c r="CZ29" i="491"/>
  <c r="CY29" i="491"/>
  <c r="CX29" i="491"/>
  <c r="CW29" i="491"/>
  <c r="CV29" i="491"/>
  <c r="CU29" i="491"/>
  <c r="CT29" i="491"/>
  <c r="CS29" i="491"/>
  <c r="CR29" i="491"/>
  <c r="CQ29" i="491"/>
  <c r="CP29" i="491"/>
  <c r="CO29" i="491"/>
  <c r="CN29" i="491"/>
  <c r="CM29" i="491"/>
  <c r="CL29" i="491"/>
  <c r="CK29" i="491"/>
  <c r="CJ29" i="491"/>
  <c r="CI29" i="491"/>
  <c r="CH29" i="491"/>
  <c r="CG29" i="491"/>
  <c r="CF29" i="491"/>
  <c r="CE29" i="491"/>
  <c r="CD29" i="491"/>
  <c r="CC29" i="491"/>
  <c r="CB29" i="491"/>
  <c r="CA29" i="491"/>
  <c r="BZ29" i="491"/>
  <c r="BY29" i="491"/>
  <c r="BX29" i="491"/>
  <c r="BW29" i="491"/>
  <c r="BV29" i="491"/>
  <c r="BU29" i="491"/>
  <c r="BT29" i="491"/>
  <c r="BS29" i="491"/>
  <c r="BR29" i="491"/>
  <c r="BQ29" i="491"/>
  <c r="BP29" i="491"/>
  <c r="BO29" i="491"/>
  <c r="BN29" i="491"/>
  <c r="BM29" i="491"/>
  <c r="BL29" i="491"/>
  <c r="BK29" i="491"/>
  <c r="BJ29" i="491"/>
  <c r="BI29" i="491"/>
  <c r="BH29" i="491"/>
  <c r="BG29" i="491"/>
  <c r="BF29" i="491"/>
  <c r="BE29" i="491"/>
  <c r="BD29" i="491"/>
  <c r="BC29" i="491"/>
  <c r="BB29" i="491"/>
  <c r="BA29" i="491"/>
  <c r="AZ29" i="491"/>
  <c r="AY29" i="491"/>
  <c r="AX29" i="491"/>
  <c r="AW29" i="491"/>
  <c r="AV29" i="491"/>
  <c r="AU29" i="491"/>
  <c r="AT29" i="491"/>
  <c r="AS29" i="491"/>
  <c r="AR29" i="491"/>
  <c r="AQ29" i="491"/>
  <c r="AP29" i="491"/>
  <c r="AO29" i="491"/>
  <c r="AN29" i="491"/>
  <c r="AM29" i="491"/>
  <c r="AL29" i="491"/>
  <c r="AK29" i="491"/>
  <c r="AJ29" i="491"/>
  <c r="AI29" i="491"/>
  <c r="AH29" i="491"/>
  <c r="AG29" i="491"/>
  <c r="AF29" i="491"/>
  <c r="AE29" i="491"/>
  <c r="AD29" i="491"/>
  <c r="AC29" i="491"/>
  <c r="AB29" i="491"/>
  <c r="AA29" i="491"/>
  <c r="Z29" i="491"/>
  <c r="Y29" i="491"/>
  <c r="T29" i="491"/>
  <c r="U29" i="491" s="1"/>
  <c r="R29" i="491"/>
  <c r="Q29" i="491"/>
  <c r="O29" i="491"/>
  <c r="N29" i="491"/>
  <c r="M29" i="491"/>
  <c r="G29" i="491"/>
  <c r="C29" i="491"/>
  <c r="HR28" i="491"/>
  <c r="HQ28" i="491"/>
  <c r="HP28" i="491"/>
  <c r="HO28" i="491"/>
  <c r="HN28" i="491"/>
  <c r="HM28" i="491"/>
  <c r="HL28" i="491"/>
  <c r="HK28" i="491"/>
  <c r="HJ28" i="491"/>
  <c r="HI28" i="491"/>
  <c r="HH28" i="491"/>
  <c r="HG28" i="491"/>
  <c r="HF28" i="491"/>
  <c r="HE28" i="491"/>
  <c r="HD28" i="491"/>
  <c r="HC28" i="491"/>
  <c r="HB28" i="491"/>
  <c r="HA28" i="491"/>
  <c r="GZ28" i="491"/>
  <c r="GY28" i="491"/>
  <c r="GX28" i="491"/>
  <c r="GW28" i="491"/>
  <c r="GV28" i="491"/>
  <c r="GU28" i="491"/>
  <c r="GT28" i="491"/>
  <c r="GS28" i="491"/>
  <c r="GR28" i="491"/>
  <c r="GQ28" i="491"/>
  <c r="GP28" i="491"/>
  <c r="GO28" i="491"/>
  <c r="GN28" i="491"/>
  <c r="GM28" i="491"/>
  <c r="GL28" i="491"/>
  <c r="GK28" i="491"/>
  <c r="GJ28" i="491"/>
  <c r="GI28" i="491"/>
  <c r="GH28" i="491"/>
  <c r="GG28" i="491"/>
  <c r="GF28" i="491"/>
  <c r="GE28" i="491"/>
  <c r="GC28" i="491"/>
  <c r="GB28" i="491"/>
  <c r="GA28" i="491"/>
  <c r="FZ28" i="491"/>
  <c r="FY28" i="491"/>
  <c r="FX28" i="491"/>
  <c r="FW28" i="491"/>
  <c r="FV28" i="491"/>
  <c r="FU28" i="491"/>
  <c r="FT28" i="491"/>
  <c r="FS28" i="491"/>
  <c r="FR28" i="491"/>
  <c r="FQ28" i="491"/>
  <c r="FP28" i="491"/>
  <c r="FO28" i="491"/>
  <c r="FN28" i="491"/>
  <c r="FM28" i="491"/>
  <c r="FL28" i="491"/>
  <c r="FK28" i="491"/>
  <c r="FJ28" i="491"/>
  <c r="FI28" i="491"/>
  <c r="FH28" i="491"/>
  <c r="FG28" i="491"/>
  <c r="FF28" i="491"/>
  <c r="FE28" i="491"/>
  <c r="FD28" i="491"/>
  <c r="FC28" i="491"/>
  <c r="FB28" i="491"/>
  <c r="FA28" i="491"/>
  <c r="EZ28" i="491"/>
  <c r="EY28" i="491"/>
  <c r="EX28" i="491"/>
  <c r="EW28" i="491"/>
  <c r="EV28" i="491"/>
  <c r="EU28" i="491"/>
  <c r="ET28" i="491"/>
  <c r="ES28" i="491"/>
  <c r="ER28" i="491"/>
  <c r="EQ28" i="491"/>
  <c r="EP28" i="491"/>
  <c r="EO28" i="491"/>
  <c r="EN28" i="491"/>
  <c r="EM28" i="491"/>
  <c r="EL28" i="491"/>
  <c r="EK28" i="491"/>
  <c r="EJ28" i="491"/>
  <c r="EI28" i="491"/>
  <c r="EH28" i="491"/>
  <c r="EG28" i="491"/>
  <c r="EF28" i="491"/>
  <c r="EE28" i="491"/>
  <c r="ED28" i="491"/>
  <c r="EC28" i="491"/>
  <c r="EB28" i="491"/>
  <c r="EA28" i="491"/>
  <c r="DZ28" i="491"/>
  <c r="DY28" i="491"/>
  <c r="DX28" i="491"/>
  <c r="DW28" i="491"/>
  <c r="DT28" i="491"/>
  <c r="DS28" i="491"/>
  <c r="DR28" i="491"/>
  <c r="DQ28" i="491"/>
  <c r="DP28" i="491"/>
  <c r="DO28" i="491"/>
  <c r="DN28" i="491"/>
  <c r="DM28" i="491"/>
  <c r="DL28" i="491"/>
  <c r="DK28" i="491"/>
  <c r="DJ28" i="491"/>
  <c r="DI28" i="491"/>
  <c r="DH28" i="491"/>
  <c r="DG28" i="491"/>
  <c r="DF28" i="491"/>
  <c r="DE28" i="491"/>
  <c r="DD28" i="491"/>
  <c r="DC28" i="491"/>
  <c r="DB28" i="491"/>
  <c r="DA28" i="491"/>
  <c r="CZ28" i="491"/>
  <c r="CY28" i="491"/>
  <c r="CX28" i="491"/>
  <c r="CW28" i="491"/>
  <c r="CV28" i="491"/>
  <c r="CU28" i="491"/>
  <c r="CT28" i="491"/>
  <c r="CS28" i="491"/>
  <c r="CR28" i="491"/>
  <c r="CQ28" i="491"/>
  <c r="CP28" i="491"/>
  <c r="CO28" i="491"/>
  <c r="CN28" i="491"/>
  <c r="CM28" i="491"/>
  <c r="CL28" i="491"/>
  <c r="CK28" i="491"/>
  <c r="CJ28" i="491"/>
  <c r="CI28" i="491"/>
  <c r="CH28" i="491"/>
  <c r="CG28" i="491"/>
  <c r="CE28" i="491"/>
  <c r="CD28" i="491"/>
  <c r="CC28" i="491"/>
  <c r="CB28" i="491"/>
  <c r="CA28" i="491"/>
  <c r="BZ28" i="491"/>
  <c r="BY28" i="491"/>
  <c r="BX28" i="491"/>
  <c r="BW28" i="491"/>
  <c r="BV28" i="491"/>
  <c r="BU28" i="491"/>
  <c r="BT28" i="491"/>
  <c r="BS28" i="491"/>
  <c r="BR28" i="491"/>
  <c r="BQ28" i="491"/>
  <c r="BP28" i="491"/>
  <c r="BO28" i="491"/>
  <c r="BN28" i="491"/>
  <c r="BM28" i="491"/>
  <c r="BL28" i="491"/>
  <c r="BK28" i="491"/>
  <c r="BJ28" i="491"/>
  <c r="BI28" i="491"/>
  <c r="BH28" i="491"/>
  <c r="BG28" i="491"/>
  <c r="BF28" i="491"/>
  <c r="BE28" i="491"/>
  <c r="BD28" i="491"/>
  <c r="BC28" i="491"/>
  <c r="BB28" i="491"/>
  <c r="BA28" i="491"/>
  <c r="AZ28" i="491"/>
  <c r="AY28" i="491"/>
  <c r="AX28" i="491"/>
  <c r="AW28" i="491"/>
  <c r="AV28" i="491"/>
  <c r="AU28" i="491"/>
  <c r="AT28" i="491"/>
  <c r="AS28" i="491"/>
  <c r="AR28" i="491"/>
  <c r="AQ28" i="491"/>
  <c r="AP28" i="491"/>
  <c r="AO28" i="491"/>
  <c r="AN28" i="491"/>
  <c r="AM28" i="491"/>
  <c r="AL28" i="491"/>
  <c r="AK28" i="491"/>
  <c r="AJ28" i="491"/>
  <c r="AI28" i="491"/>
  <c r="AH28" i="491"/>
  <c r="AG28" i="491"/>
  <c r="AF28" i="491"/>
  <c r="AE28" i="491"/>
  <c r="AD28" i="491"/>
  <c r="AC28" i="491"/>
  <c r="AB28" i="491"/>
  <c r="AA28" i="491"/>
  <c r="Z28" i="491"/>
  <c r="Y28" i="491"/>
  <c r="T28" i="491"/>
  <c r="U28" i="491" s="1"/>
  <c r="CF28" i="491" s="1"/>
  <c r="R28" i="491"/>
  <c r="N28" i="491"/>
  <c r="G28" i="491"/>
  <c r="C28" i="491"/>
  <c r="HR27" i="491"/>
  <c r="HQ27" i="491"/>
  <c r="HP27" i="491"/>
  <c r="HO27" i="491"/>
  <c r="HN27" i="491"/>
  <c r="HM27" i="491"/>
  <c r="HL27" i="491"/>
  <c r="HK27" i="491"/>
  <c r="HJ27" i="491"/>
  <c r="HI27" i="491"/>
  <c r="HH27" i="491"/>
  <c r="HG27" i="491"/>
  <c r="HF27" i="491"/>
  <c r="HE27" i="491"/>
  <c r="HD27" i="491"/>
  <c r="HC27" i="491"/>
  <c r="HB27" i="491"/>
  <c r="HA27" i="491"/>
  <c r="GZ27" i="491"/>
  <c r="GY27" i="491"/>
  <c r="GX27" i="491"/>
  <c r="GW27" i="491"/>
  <c r="GV27" i="491"/>
  <c r="GU27" i="491"/>
  <c r="GT27" i="491"/>
  <c r="GS27" i="491"/>
  <c r="GR27" i="491"/>
  <c r="GQ27" i="491"/>
  <c r="GP27" i="491"/>
  <c r="GO27" i="491"/>
  <c r="GN27" i="491"/>
  <c r="GM27" i="491"/>
  <c r="GL27" i="491"/>
  <c r="GK27" i="491"/>
  <c r="GJ27" i="491"/>
  <c r="GI27" i="491"/>
  <c r="GH27" i="491"/>
  <c r="GG27" i="491"/>
  <c r="GF27" i="491"/>
  <c r="GE27" i="491"/>
  <c r="GC27" i="491"/>
  <c r="GB27" i="491"/>
  <c r="GA27" i="491"/>
  <c r="FZ27" i="491"/>
  <c r="FY27" i="491"/>
  <c r="FX27" i="491"/>
  <c r="FW27" i="491"/>
  <c r="FV27" i="491"/>
  <c r="FU27" i="491"/>
  <c r="FT27" i="491"/>
  <c r="FS27" i="491"/>
  <c r="FR27" i="491"/>
  <c r="FQ27" i="491"/>
  <c r="FP27" i="491"/>
  <c r="FO27" i="491"/>
  <c r="FN27" i="491"/>
  <c r="FM27" i="491"/>
  <c r="FL27" i="491"/>
  <c r="FK27" i="491"/>
  <c r="FJ27" i="491"/>
  <c r="FI27" i="491"/>
  <c r="FH27" i="491"/>
  <c r="FG27" i="491"/>
  <c r="FF27" i="491"/>
  <c r="FE27" i="491"/>
  <c r="FD27" i="491"/>
  <c r="FC27" i="491"/>
  <c r="FB27" i="491"/>
  <c r="FA27" i="491"/>
  <c r="EZ27" i="491"/>
  <c r="EY27" i="491"/>
  <c r="EX27" i="491"/>
  <c r="EW27" i="491"/>
  <c r="EV27" i="491"/>
  <c r="EU27" i="491"/>
  <c r="ET27" i="491"/>
  <c r="ES27" i="491"/>
  <c r="ER27" i="491"/>
  <c r="EQ27" i="491"/>
  <c r="EP27" i="491"/>
  <c r="EO27" i="491"/>
  <c r="EN27" i="491"/>
  <c r="EM27" i="491"/>
  <c r="EL27" i="491"/>
  <c r="EK27" i="491"/>
  <c r="EJ27" i="491"/>
  <c r="EI27" i="491"/>
  <c r="EH27" i="491"/>
  <c r="EG27" i="491"/>
  <c r="EF27" i="491"/>
  <c r="EE27" i="491"/>
  <c r="ED27" i="491"/>
  <c r="EC27" i="491"/>
  <c r="EB27" i="491"/>
  <c r="EA27" i="491"/>
  <c r="DZ27" i="491"/>
  <c r="DY27" i="491"/>
  <c r="DX27" i="491"/>
  <c r="DW27" i="491"/>
  <c r="DT27" i="491"/>
  <c r="DS27" i="491"/>
  <c r="DR27" i="491"/>
  <c r="DQ27" i="491"/>
  <c r="DP27" i="491"/>
  <c r="DO27" i="491"/>
  <c r="DN27" i="491"/>
  <c r="DM27" i="491"/>
  <c r="DL27" i="491"/>
  <c r="DK27" i="491"/>
  <c r="DJ27" i="491"/>
  <c r="DI27" i="491"/>
  <c r="DH27" i="491"/>
  <c r="DG27" i="491"/>
  <c r="DF27" i="491"/>
  <c r="DE27" i="491"/>
  <c r="DD27" i="491"/>
  <c r="DC27" i="491"/>
  <c r="DB27" i="491"/>
  <c r="DA27" i="491"/>
  <c r="CZ27" i="491"/>
  <c r="CY27" i="491"/>
  <c r="CX27" i="491"/>
  <c r="CW27" i="491"/>
  <c r="CV27" i="491"/>
  <c r="CU27" i="491"/>
  <c r="CT27" i="491"/>
  <c r="CS27" i="491"/>
  <c r="CR27" i="491"/>
  <c r="CQ27" i="491"/>
  <c r="CP27" i="491"/>
  <c r="CO27" i="491"/>
  <c r="CN27" i="491"/>
  <c r="CM27" i="491"/>
  <c r="CL27" i="491"/>
  <c r="CK27" i="491"/>
  <c r="CJ27" i="491"/>
  <c r="CI27" i="491"/>
  <c r="CH27" i="491"/>
  <c r="CG27" i="491"/>
  <c r="CE27" i="491"/>
  <c r="CD27" i="491"/>
  <c r="CC27" i="491"/>
  <c r="CB27" i="491"/>
  <c r="CA27" i="491"/>
  <c r="BZ27" i="491"/>
  <c r="BY27" i="491"/>
  <c r="BX27" i="491"/>
  <c r="BW27" i="491"/>
  <c r="BV27" i="491"/>
  <c r="BU27" i="491"/>
  <c r="BT27" i="491"/>
  <c r="BS27" i="491"/>
  <c r="BR27" i="491"/>
  <c r="BQ27" i="491"/>
  <c r="BP27" i="491"/>
  <c r="BO27" i="491"/>
  <c r="BN27" i="491"/>
  <c r="BM27" i="491"/>
  <c r="BL27" i="491"/>
  <c r="BK27" i="491"/>
  <c r="BJ27" i="491"/>
  <c r="BI27" i="491"/>
  <c r="BH27" i="491"/>
  <c r="BG27" i="491"/>
  <c r="BF27" i="491"/>
  <c r="BE27" i="491"/>
  <c r="BD27" i="491"/>
  <c r="BC27" i="491"/>
  <c r="BB27" i="491"/>
  <c r="BA27" i="491"/>
  <c r="AZ27" i="491"/>
  <c r="AY27" i="491"/>
  <c r="AX27" i="491"/>
  <c r="AW27" i="491"/>
  <c r="AV27" i="491"/>
  <c r="AU27" i="491"/>
  <c r="AT27" i="491"/>
  <c r="AS27" i="491"/>
  <c r="AR27" i="491"/>
  <c r="AQ27" i="491"/>
  <c r="AP27" i="491"/>
  <c r="AO27" i="491"/>
  <c r="AN27" i="491"/>
  <c r="AM27" i="491"/>
  <c r="AL27" i="491"/>
  <c r="AK27" i="491"/>
  <c r="AJ27" i="491"/>
  <c r="AI27" i="491"/>
  <c r="AH27" i="491"/>
  <c r="AG27" i="491"/>
  <c r="AF27" i="491"/>
  <c r="AE27" i="491"/>
  <c r="AD27" i="491"/>
  <c r="AC27" i="491"/>
  <c r="AB27" i="491"/>
  <c r="AA27" i="491"/>
  <c r="Z27" i="491"/>
  <c r="Y27" i="491"/>
  <c r="T27" i="491"/>
  <c r="U27" i="491" s="1"/>
  <c r="CF27" i="491" s="1"/>
  <c r="Q27" i="491"/>
  <c r="O27" i="491"/>
  <c r="GD27" i="491" s="1"/>
  <c r="N27" i="491"/>
  <c r="M27" i="491"/>
  <c r="G27" i="491"/>
  <c r="C27" i="491"/>
  <c r="HR26" i="491"/>
  <c r="HQ26" i="491"/>
  <c r="HP26" i="491"/>
  <c r="HO26" i="491"/>
  <c r="HN26" i="491"/>
  <c r="HM26" i="491"/>
  <c r="HL26" i="491"/>
  <c r="HK26" i="491"/>
  <c r="HJ26" i="491"/>
  <c r="HI26" i="491"/>
  <c r="HH26" i="491"/>
  <c r="HG26" i="491"/>
  <c r="HF26" i="491"/>
  <c r="HE26" i="491"/>
  <c r="HD26" i="491"/>
  <c r="HC26" i="491"/>
  <c r="HB26" i="491"/>
  <c r="HA26" i="491"/>
  <c r="GZ26" i="491"/>
  <c r="GY26" i="491"/>
  <c r="GX26" i="491"/>
  <c r="GW26" i="491"/>
  <c r="GV26" i="491"/>
  <c r="GU26" i="491"/>
  <c r="GT26" i="491"/>
  <c r="GS26" i="491"/>
  <c r="GR26" i="491"/>
  <c r="GQ26" i="491"/>
  <c r="GP26" i="491"/>
  <c r="GO26" i="491"/>
  <c r="GN26" i="491"/>
  <c r="GM26" i="491"/>
  <c r="GL26" i="491"/>
  <c r="GK26" i="491"/>
  <c r="GJ26" i="491"/>
  <c r="GI26" i="491"/>
  <c r="GH26" i="491"/>
  <c r="GG26" i="491"/>
  <c r="GF26" i="491"/>
  <c r="GE26" i="491"/>
  <c r="GD26" i="491"/>
  <c r="GC26" i="491"/>
  <c r="GB26" i="491"/>
  <c r="GA26" i="491"/>
  <c r="FZ26" i="491"/>
  <c r="FY26" i="491"/>
  <c r="FX26" i="491"/>
  <c r="FW26" i="491"/>
  <c r="FV26" i="491"/>
  <c r="FU26" i="491"/>
  <c r="FT26" i="491"/>
  <c r="FS26" i="491"/>
  <c r="FR26" i="491"/>
  <c r="FQ26" i="491"/>
  <c r="FP26" i="491"/>
  <c r="FO26" i="491"/>
  <c r="FN26" i="491"/>
  <c r="FM26" i="491"/>
  <c r="FL26" i="491"/>
  <c r="FK26" i="491"/>
  <c r="FJ26" i="491"/>
  <c r="FI26" i="491"/>
  <c r="FH26" i="491"/>
  <c r="FG26" i="491"/>
  <c r="FF26" i="491"/>
  <c r="FE26" i="491"/>
  <c r="FD26" i="491"/>
  <c r="FC26" i="491"/>
  <c r="FB26" i="491"/>
  <c r="FA26" i="491"/>
  <c r="EZ26" i="491"/>
  <c r="EY26" i="491"/>
  <c r="EX26" i="491"/>
  <c r="EW26" i="491"/>
  <c r="EV26" i="491"/>
  <c r="EU26" i="491"/>
  <c r="ET26" i="491"/>
  <c r="ES26" i="491"/>
  <c r="ER26" i="491"/>
  <c r="EQ26" i="491"/>
  <c r="EP26" i="491"/>
  <c r="EO26" i="491"/>
  <c r="EN26" i="491"/>
  <c r="EM26" i="491"/>
  <c r="EL26" i="491"/>
  <c r="EK26" i="491"/>
  <c r="EJ26" i="491"/>
  <c r="EI26" i="491"/>
  <c r="EH26" i="491"/>
  <c r="EG26" i="491"/>
  <c r="EF26" i="491"/>
  <c r="EE26" i="491"/>
  <c r="ED26" i="491"/>
  <c r="EC26" i="491"/>
  <c r="EB26" i="491"/>
  <c r="EA26" i="491"/>
  <c r="DZ26" i="491"/>
  <c r="DY26" i="491"/>
  <c r="DX26" i="491"/>
  <c r="DW26" i="491"/>
  <c r="DT26" i="491"/>
  <c r="DS26" i="491"/>
  <c r="DR26" i="491"/>
  <c r="DQ26" i="491"/>
  <c r="DP26" i="491"/>
  <c r="DO26" i="491"/>
  <c r="DN26" i="491"/>
  <c r="DM26" i="491"/>
  <c r="DL26" i="491"/>
  <c r="DK26" i="491"/>
  <c r="DJ26" i="491"/>
  <c r="DI26" i="491"/>
  <c r="DH26" i="491"/>
  <c r="DG26" i="491"/>
  <c r="DF26" i="491"/>
  <c r="DE26" i="491"/>
  <c r="DD26" i="491"/>
  <c r="DC26" i="491"/>
  <c r="DB26" i="491"/>
  <c r="DA26" i="491"/>
  <c r="CZ26" i="491"/>
  <c r="CY26" i="491"/>
  <c r="CX26" i="491"/>
  <c r="CW26" i="491"/>
  <c r="CV26" i="491"/>
  <c r="CU26" i="491"/>
  <c r="CT26" i="491"/>
  <c r="CS26" i="491"/>
  <c r="CR26" i="491"/>
  <c r="CQ26" i="491"/>
  <c r="CP26" i="491"/>
  <c r="CO26" i="491"/>
  <c r="CN26" i="491"/>
  <c r="CM26" i="491"/>
  <c r="CL26" i="491"/>
  <c r="CK26" i="491"/>
  <c r="CJ26" i="491"/>
  <c r="CI26" i="491"/>
  <c r="CH26" i="491"/>
  <c r="CG26" i="491"/>
  <c r="CF26" i="491"/>
  <c r="CE26" i="491"/>
  <c r="CD26" i="491"/>
  <c r="CC26" i="491"/>
  <c r="CB26" i="491"/>
  <c r="CA26" i="491"/>
  <c r="BZ26" i="491"/>
  <c r="BY26" i="491"/>
  <c r="BX26" i="491"/>
  <c r="BW26" i="491"/>
  <c r="BV26" i="491"/>
  <c r="BU26" i="491"/>
  <c r="BT26" i="491"/>
  <c r="BS26" i="491"/>
  <c r="BR26" i="491"/>
  <c r="BQ26" i="491"/>
  <c r="BP26" i="491"/>
  <c r="BO26" i="491"/>
  <c r="BN26" i="491"/>
  <c r="BM26" i="491"/>
  <c r="BL26" i="491"/>
  <c r="BK26" i="491"/>
  <c r="BJ26" i="491"/>
  <c r="BI26" i="491"/>
  <c r="BH26" i="491"/>
  <c r="BG26" i="491"/>
  <c r="BF26" i="491"/>
  <c r="BE26" i="491"/>
  <c r="BD26" i="491"/>
  <c r="BC26" i="491"/>
  <c r="BB26" i="491"/>
  <c r="BA26" i="491"/>
  <c r="AZ26" i="491"/>
  <c r="AY26" i="491"/>
  <c r="AX26" i="491"/>
  <c r="AW26" i="491"/>
  <c r="AV26" i="491"/>
  <c r="AU26" i="491"/>
  <c r="AT26" i="491"/>
  <c r="AS26" i="491"/>
  <c r="AR26" i="491"/>
  <c r="AQ26" i="491"/>
  <c r="AP26" i="491"/>
  <c r="AO26" i="491"/>
  <c r="AN26" i="491"/>
  <c r="AM26" i="491"/>
  <c r="AL26" i="491"/>
  <c r="AK26" i="491"/>
  <c r="AJ26" i="491"/>
  <c r="AI26" i="491"/>
  <c r="AH26" i="491"/>
  <c r="AG26" i="491"/>
  <c r="AF26" i="491"/>
  <c r="AE26" i="491"/>
  <c r="AD26" i="491"/>
  <c r="AC26" i="491"/>
  <c r="AB26" i="491"/>
  <c r="AA26" i="491"/>
  <c r="Z26" i="491"/>
  <c r="Y26" i="491"/>
  <c r="T26" i="491"/>
  <c r="U26" i="491" s="1"/>
  <c r="R26" i="491"/>
  <c r="Q26" i="491"/>
  <c r="O26" i="491"/>
  <c r="N26" i="491"/>
  <c r="M26" i="491"/>
  <c r="G26" i="491"/>
  <c r="C26" i="491"/>
  <c r="HR20" i="491"/>
  <c r="HQ20" i="491"/>
  <c r="HP20" i="491"/>
  <c r="HO20" i="491"/>
  <c r="HN20" i="491"/>
  <c r="HM20" i="491"/>
  <c r="HL20" i="491"/>
  <c r="HK20" i="491"/>
  <c r="HJ20" i="491"/>
  <c r="HI20" i="491"/>
  <c r="HH20" i="491"/>
  <c r="HG20" i="491"/>
  <c r="HF20" i="491"/>
  <c r="HE20" i="491"/>
  <c r="HD20" i="491"/>
  <c r="HC20" i="491"/>
  <c r="HB20" i="491"/>
  <c r="HA20" i="491"/>
  <c r="GZ20" i="491"/>
  <c r="GY20" i="491"/>
  <c r="GX20" i="491"/>
  <c r="GW20" i="491"/>
  <c r="GV20" i="491"/>
  <c r="GU20" i="491"/>
  <c r="GT20" i="491"/>
  <c r="GS20" i="491"/>
  <c r="GR20" i="491"/>
  <c r="GQ20" i="491"/>
  <c r="GP20" i="491"/>
  <c r="GO20" i="491"/>
  <c r="GN20" i="491"/>
  <c r="GM20" i="491"/>
  <c r="GL20" i="491"/>
  <c r="GK20" i="491"/>
  <c r="GJ20" i="491"/>
  <c r="GI20" i="491"/>
  <c r="GH20" i="491"/>
  <c r="GG20" i="491"/>
  <c r="GF20" i="491"/>
  <c r="GE20" i="491"/>
  <c r="GD20" i="491"/>
  <c r="GC20" i="491"/>
  <c r="GB20" i="491"/>
  <c r="GA20" i="491"/>
  <c r="FZ20" i="491"/>
  <c r="FY20" i="491"/>
  <c r="FX20" i="491"/>
  <c r="FW20" i="491"/>
  <c r="FV20" i="491"/>
  <c r="FU20" i="491"/>
  <c r="FT20" i="491"/>
  <c r="FS20" i="491"/>
  <c r="FR20" i="491"/>
  <c r="FQ20" i="491"/>
  <c r="FP20" i="491"/>
  <c r="FO20" i="491"/>
  <c r="FN20" i="491"/>
  <c r="FM20" i="491"/>
  <c r="FL20" i="491"/>
  <c r="FK20" i="491"/>
  <c r="FJ20" i="491"/>
  <c r="FI20" i="491"/>
  <c r="FH20" i="491"/>
  <c r="FG20" i="491"/>
  <c r="FF20" i="491"/>
  <c r="FE20" i="491"/>
  <c r="FD20" i="491"/>
  <c r="FC20" i="491"/>
  <c r="FB20" i="491"/>
  <c r="FA20" i="491"/>
  <c r="EZ20" i="491"/>
  <c r="EY20" i="491"/>
  <c r="EX20" i="491"/>
  <c r="EW20" i="491"/>
  <c r="EV20" i="491"/>
  <c r="EU20" i="491"/>
  <c r="ET20" i="491"/>
  <c r="ES20" i="491"/>
  <c r="ER20" i="491"/>
  <c r="EQ20" i="491"/>
  <c r="EP20" i="491"/>
  <c r="EO20" i="491"/>
  <c r="EN20" i="491"/>
  <c r="EM20" i="491"/>
  <c r="EL20" i="491"/>
  <c r="EK20" i="491"/>
  <c r="EJ20" i="491"/>
  <c r="EI20" i="491"/>
  <c r="EH20" i="491"/>
  <c r="EG20" i="491"/>
  <c r="EF20" i="491"/>
  <c r="EE20" i="491"/>
  <c r="ED20" i="491"/>
  <c r="EC20" i="491"/>
  <c r="EB20" i="491"/>
  <c r="EA20" i="491"/>
  <c r="DZ20" i="491"/>
  <c r="DY20" i="491"/>
  <c r="DX20" i="491"/>
  <c r="DW20" i="491"/>
  <c r="DT20" i="491"/>
  <c r="DS20" i="491"/>
  <c r="DR20" i="491"/>
  <c r="DQ20" i="491"/>
  <c r="DP20" i="491"/>
  <c r="DO20" i="491"/>
  <c r="DN20" i="491"/>
  <c r="DM20" i="491"/>
  <c r="DL20" i="491"/>
  <c r="DK20" i="491"/>
  <c r="DJ20" i="491"/>
  <c r="DI20" i="491"/>
  <c r="DH20" i="491"/>
  <c r="DG20" i="491"/>
  <c r="DF20" i="491"/>
  <c r="DE20" i="491"/>
  <c r="DD20" i="491"/>
  <c r="DC20" i="491"/>
  <c r="DB20" i="491"/>
  <c r="DA20" i="491"/>
  <c r="CZ20" i="491"/>
  <c r="CY20" i="491"/>
  <c r="CX20" i="491"/>
  <c r="CW20" i="491"/>
  <c r="CV20" i="491"/>
  <c r="CU20" i="491"/>
  <c r="CT20" i="491"/>
  <c r="CS20" i="491"/>
  <c r="CR20" i="491"/>
  <c r="CQ20" i="491"/>
  <c r="CP20" i="491"/>
  <c r="CO20" i="491"/>
  <c r="CN20" i="491"/>
  <c r="CM20" i="491"/>
  <c r="CL20" i="491"/>
  <c r="CK20" i="491"/>
  <c r="CJ20" i="491"/>
  <c r="CI20" i="491"/>
  <c r="CH20" i="491"/>
  <c r="CG20" i="491"/>
  <c r="CF20" i="491"/>
  <c r="CE20" i="491"/>
  <c r="CD20" i="491"/>
  <c r="CC20" i="491"/>
  <c r="CB20" i="491"/>
  <c r="CA20" i="491"/>
  <c r="BZ20" i="491"/>
  <c r="BY20" i="491"/>
  <c r="BX20" i="491"/>
  <c r="BW20" i="491"/>
  <c r="BV20" i="491"/>
  <c r="BU20" i="491"/>
  <c r="BT20" i="491"/>
  <c r="BS20" i="491"/>
  <c r="BR20" i="491"/>
  <c r="BQ20" i="491"/>
  <c r="BP20" i="491"/>
  <c r="BO20" i="491"/>
  <c r="BN20" i="491"/>
  <c r="BM20" i="491"/>
  <c r="BL20" i="491"/>
  <c r="BK20" i="491"/>
  <c r="BJ20" i="491"/>
  <c r="BI20" i="491"/>
  <c r="BH20" i="491"/>
  <c r="BG20" i="491"/>
  <c r="BF20" i="491"/>
  <c r="BE20" i="491"/>
  <c r="BD20" i="491"/>
  <c r="BC20" i="491"/>
  <c r="BB20" i="491"/>
  <c r="BA20" i="491"/>
  <c r="AZ20" i="491"/>
  <c r="AY20" i="491"/>
  <c r="AX20" i="491"/>
  <c r="AW20" i="491"/>
  <c r="AV20" i="491"/>
  <c r="AU20" i="491"/>
  <c r="AT20" i="491"/>
  <c r="AS20" i="491"/>
  <c r="AR20" i="491"/>
  <c r="AQ20" i="491"/>
  <c r="AP20" i="491"/>
  <c r="AO20" i="491"/>
  <c r="AN20" i="491"/>
  <c r="AM20" i="491"/>
  <c r="AL20" i="491"/>
  <c r="AK20" i="491"/>
  <c r="AJ20" i="491"/>
  <c r="AI20" i="491"/>
  <c r="AH20" i="491"/>
  <c r="AG20" i="491"/>
  <c r="AF20" i="491"/>
  <c r="AE20" i="491"/>
  <c r="AD20" i="491"/>
  <c r="AC20" i="491"/>
  <c r="AB20" i="491"/>
  <c r="AA20" i="491"/>
  <c r="Z20" i="491"/>
  <c r="Y20" i="491"/>
  <c r="T20" i="491"/>
  <c r="U20" i="491" s="1"/>
  <c r="R20" i="491"/>
  <c r="Q20" i="491"/>
  <c r="O20" i="491"/>
  <c r="N20" i="491"/>
  <c r="M20" i="491"/>
  <c r="G20" i="491"/>
  <c r="C20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Y19" i="491"/>
  <c r="DX19" i="491"/>
  <c r="DW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AA19" i="491"/>
  <c r="Z19" i="491"/>
  <c r="Y19" i="491"/>
  <c r="T19" i="491"/>
  <c r="U19" i="491" s="1"/>
  <c r="R19" i="491"/>
  <c r="Q19" i="491"/>
  <c r="O19" i="491"/>
  <c r="N19" i="491"/>
  <c r="M19" i="491"/>
  <c r="G19" i="491"/>
  <c r="C19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Q15" i="491"/>
  <c r="O15" i="491"/>
  <c r="DW15" i="491" s="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D7" i="491"/>
  <c r="S6" i="491"/>
  <c r="R4" i="491"/>
  <c r="R3" i="491"/>
  <c r="O32" i="491" l="1"/>
  <c r="DW32" i="491" s="1"/>
  <c r="O30" i="491"/>
  <c r="GE30" i="491" s="1"/>
  <c r="Y30" i="491"/>
  <c r="DW30" i="491"/>
  <c r="CL13" i="49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A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AF13" i="491"/>
  <c r="EM13" i="491"/>
  <c r="HG13" i="491"/>
  <c r="FI13" i="491"/>
  <c r="DZ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DY13" i="491"/>
  <c r="HE13" i="491"/>
  <c r="FJ13" i="491"/>
  <c r="HF13" i="49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GE32" i="491" l="1"/>
  <c r="GE13" i="491" s="1"/>
  <c r="Q32" i="491" s="1"/>
  <c r="Q30" i="491"/>
  <c r="DX13" i="491"/>
  <c r="Y13" i="491"/>
  <c r="DW13" i="491" s="1"/>
  <c r="Z13" i="491"/>
  <c r="R15" i="491" l="1"/>
  <c r="Q22" i="491"/>
  <c r="M28" i="491" s="1"/>
  <c r="O28" i="491" s="1"/>
  <c r="GD28" i="491" s="1"/>
  <c r="GD13" i="491" s="1"/>
  <c r="Q28" i="491" s="1"/>
  <c r="R30" i="491" s="1"/>
  <c r="F44" i="491" l="1"/>
  <c r="M44" i="491"/>
  <c r="O44" i="491" s="1"/>
  <c r="GS44" i="491" s="1"/>
  <c r="GS13" i="491" s="1"/>
  <c r="Q44" i="491" s="1"/>
  <c r="Q51" i="491" s="1"/>
  <c r="R22" i="491"/>
  <c r="R27" i="491"/>
  <c r="R39" i="491" s="1"/>
  <c r="Q39" i="491"/>
  <c r="Q53" i="491" l="1"/>
</calcChain>
</file>

<file path=xl/sharedStrings.xml><?xml version="1.0" encoding="utf-8"?>
<sst xmlns="http://schemas.openxmlformats.org/spreadsheetml/2006/main" count="40" uniqueCount="33">
  <si>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</si>
  <si>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</si>
  <si>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</si>
  <si>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</si>
  <si>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</si>
  <si>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</si>
  <si>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</si>
  <si>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</si>
  <si>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</si>
  <si>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</si>
  <si>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</si>
  <si>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</si>
  <si>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</si>
  <si>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</si>
  <si>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</si>
  <si>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</si>
  <si>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</si>
  <si>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</si>
  <si>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</si>
  <si>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</si>
  <si>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</si>
  <si>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</si>
  <si>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</si>
  <si>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</si>
  <si>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</si>
  <si>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</si>
  <si>
    <t>ID-1025</t>
  </si>
  <si>
    <t>TLAJOMULCO</t>
  </si>
  <si>
    <t>22/06/26</t>
  </si>
  <si>
    <t>28/06/26</t>
  </si>
  <si>
    <t>destaj</t>
  </si>
  <si>
    <t>RESID</t>
  </si>
  <si>
    <t>lote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</si>
</sst>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20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sz val="8"/>
      <name val="Arial"/>
      <family val="2"/>
      <charset val="1"/>
    </font>
    <font>
      <b/>
      <sz val="22"/>
      <name val="Arial"/>
      <family val="2"/>
    </font>
    <font>
      <b/>
      <sz val="11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7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6" fillId="0" borderId="64" xfId="0" applyFont="1" applyBorder="1" applyProtection="1">
      <protection locked="0"/>
    </xf>
    <xf numFmtId="4" fontId="16" fillId="0" borderId="64" xfId="0" applyNumberFormat="1" applyFont="1" applyBorder="1" applyProtection="1">
      <protection locked="0"/>
    </xf>
    <xf numFmtId="0" fontId="7" fillId="0" borderId="63" xfId="0" applyFont="1" applyBorder="1" applyProtection="1">
      <protection locked="0"/>
    </xf>
    <xf numFmtId="0" fontId="6" fillId="0" borderId="0" xfId="0" applyFont="1"/>
    <xf numFmtId="0" fontId="19" fillId="2" borderId="25" xfId="0" applyFont="1" applyFill="1" applyBorder="1" applyAlignment="1" applyProtection="1">
      <alignment vertical="center"/>
      <protection locked="0"/>
    </xf>
    <xf numFmtId="0" fontId="19" fillId="2" borderId="26" xfId="0" applyFont="1" applyFill="1" applyBorder="1" applyAlignment="1" applyProtection="1">
      <alignment vertical="center"/>
      <protection locked="0"/>
    </xf>
    <xf numFmtId="0" fontId="7" fillId="0" borderId="64" xfId="0" applyFont="1" applyBorder="1" applyProtection="1">
      <protection locked="0"/>
    </xf>
    <xf numFmtId="0" fontId="18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7" fillId="3" borderId="4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586"/>
  <sheetViews>
    <sheetView tabSelected="1" topLeftCell="A3" zoomScaleNormal="100" workbookViewId="0">
      <selection activeCell="D15" sqref="D15:D1048576"/>
    </sheetView>
  </sheetViews>
  <sheetFormatPr baseColWidth="10" defaultColWidth="9.21875" defaultRowHeight="13.2" outlineLevelRow="1" x14ac:dyDescent="0.25"/>
  <cols>
    <col min="1" max="1" width="7.5546875" style="145" bestFit="1" customWidth="1"/>
    <col min="2" max="2" width="3.5546875" style="145" bestFit="1" customWidth="1"/>
    <col min="3" max="3" width="0.44140625" customWidth="1"/>
    <col min="4" max="4" width="2.44140625" style="145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8" bestFit="1" customWidth="1"/>
    <col min="20" max="22" width="9.21875" customWidth="1"/>
    <col min="23" max="23" width="2.77734375" bestFit="1" customWidth="1"/>
    <col min="24" max="24" width="2.5546875" bestFit="1" customWidth="1"/>
    <col min="25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35" width="1.5546875" bestFit="1" customWidth="1"/>
    <col min="136" max="185" width="2.33203125" bestFit="1" customWidth="1"/>
    <col min="186" max="186" width="3.5546875" bestFit="1" customWidth="1"/>
    <col min="187" max="187" width="7.109375" bestFit="1" customWidth="1"/>
    <col min="188" max="200" width="2.33203125" bestFit="1" customWidth="1"/>
    <col min="201" max="201" width="3.5546875" bestFit="1" customWidth="1"/>
    <col min="202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50" t="s">
        <v>0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2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53"/>
      <c r="B2" s="154"/>
      <c r="C2" s="155"/>
      <c r="D2" s="4"/>
      <c r="E2" s="156" t="s">
        <v>21</v>
      </c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8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6" t="s">
        <v>22</v>
      </c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8"/>
      <c r="R3" s="115" t="str">
        <f>LEFT(D6,2)</f>
        <v>ID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6" t="str">
        <f>RIGHT(D6,4)</f>
        <v>1025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59" t="s">
        <v>2</v>
      </c>
      <c r="B6" s="160"/>
      <c r="C6" s="161"/>
      <c r="D6" s="168" t="s">
        <v>26</v>
      </c>
      <c r="E6" s="168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70" t="s">
        <v>25</v>
      </c>
      <c r="Q6" s="171"/>
      <c r="R6" s="128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8.2" outlineLevel="1" x14ac:dyDescent="0.5">
      <c r="A7" s="162"/>
      <c r="B7" s="163"/>
      <c r="C7" s="164"/>
      <c r="D7" s="172" t="str">
        <f>VLOOKUP($D$6,[1]OB!$A$2:$I$5052,4,FALSE)</f>
        <v>LÍNEA 13 ELECTROLIT NAVE DE PRODUCCIÓN</v>
      </c>
      <c r="E7" s="173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5" t="s">
        <v>24</v>
      </c>
      <c r="Q7" s="176"/>
      <c r="R7" s="129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4.4" outlineLevel="1" thickBot="1" x14ac:dyDescent="0.3">
      <c r="A8" s="165"/>
      <c r="B8" s="166"/>
      <c r="C8" s="167"/>
      <c r="D8" s="149" t="s">
        <v>27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30"/>
      <c r="Q8" s="131"/>
      <c r="R8" s="132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3" t="s">
        <v>3</v>
      </c>
      <c r="B10" s="134">
        <v>25</v>
      </c>
      <c r="C10" s="134"/>
      <c r="D10" s="134"/>
      <c r="E10" s="135" t="s">
        <v>28</v>
      </c>
      <c r="F10" s="136" t="s">
        <v>29</v>
      </c>
      <c r="G10" s="137"/>
      <c r="H10" s="138"/>
      <c r="I10" s="138"/>
      <c r="J10" s="139"/>
      <c r="K10" s="138"/>
      <c r="L10" s="138"/>
      <c r="M10" s="138"/>
      <c r="N10" s="138"/>
      <c r="O10" s="138"/>
      <c r="P10" s="138"/>
      <c r="Q10" s="140"/>
      <c r="R10" s="141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7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8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8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>SUM(Y14:Y49)</f>
        <v>0</v>
      </c>
      <c r="Z13" s="57">
        <f>SUM(Z14:Z49)</f>
        <v>0</v>
      </c>
      <c r="AA13" s="57">
        <f>SUM(AA14:AA49)</f>
        <v>0</v>
      </c>
      <c r="AB13" s="57">
        <f>SUM(AB14:AB49)</f>
        <v>0</v>
      </c>
      <c r="AC13" s="57">
        <f>SUM(AC14:AC49)</f>
        <v>0</v>
      </c>
      <c r="AD13" s="57">
        <f>SUM(AD14:AD49)</f>
        <v>0</v>
      </c>
      <c r="AE13" s="57">
        <f>SUM(AE14:AE49)</f>
        <v>0</v>
      </c>
      <c r="AF13" s="57">
        <f>SUM(AF14:AF49)</f>
        <v>0</v>
      </c>
      <c r="AG13" s="57">
        <f>SUM(AG14:AG49)</f>
        <v>0</v>
      </c>
      <c r="AH13" s="57">
        <f>SUM(AH14:AH49)</f>
        <v>0</v>
      </c>
      <c r="AI13" s="57">
        <f>SUM(AI14:AI49)</f>
        <v>0</v>
      </c>
      <c r="AJ13" s="57">
        <f>SUM(AJ14:AJ49)</f>
        <v>0</v>
      </c>
      <c r="AK13" s="57">
        <f>SUM(AK14:AK49)</f>
        <v>0</v>
      </c>
      <c r="AL13" s="57">
        <f>SUM(AL14:AL49)</f>
        <v>0</v>
      </c>
      <c r="AM13" s="57">
        <f>SUM(AM14:AM49)</f>
        <v>0</v>
      </c>
      <c r="AN13" s="57">
        <f>SUM(AN14:AN49)</f>
        <v>0</v>
      </c>
      <c r="AO13" s="57">
        <f>SUM(AO14:AO49)</f>
        <v>0</v>
      </c>
      <c r="AP13" s="57">
        <f>SUM(AP14:AP49)</f>
        <v>0</v>
      </c>
      <c r="AQ13" s="57">
        <f>SUM(AQ14:AQ49)</f>
        <v>0</v>
      </c>
      <c r="AR13" s="57">
        <f>SUM(AR14:AR49)</f>
        <v>0</v>
      </c>
      <c r="AS13" s="57">
        <f>SUM(AS14:AS49)</f>
        <v>0</v>
      </c>
      <c r="AT13" s="57">
        <f>SUM(AT14:AT49)</f>
        <v>0</v>
      </c>
      <c r="AU13" s="57">
        <f>SUM(AU14:AU49)</f>
        <v>0</v>
      </c>
      <c r="AV13" s="57">
        <f>SUM(AV14:AV49)</f>
        <v>0</v>
      </c>
      <c r="AW13" s="57">
        <f>SUM(AW14:AW49)</f>
        <v>0</v>
      </c>
      <c r="AX13" s="57">
        <f>SUM(AX14:AX49)</f>
        <v>0</v>
      </c>
      <c r="AY13" s="57">
        <f>SUM(AY14:AY49)</f>
        <v>0</v>
      </c>
      <c r="AZ13" s="57">
        <f>SUM(AZ14:AZ49)</f>
        <v>0</v>
      </c>
      <c r="BA13" s="57">
        <f>SUM(BA14:BA49)</f>
        <v>0</v>
      </c>
      <c r="BB13" s="57">
        <f>SUM(BB14:BB49)</f>
        <v>0</v>
      </c>
      <c r="BC13" s="57">
        <f>SUM(BC14:BC49)</f>
        <v>0</v>
      </c>
      <c r="BD13" s="57">
        <f>SUM(BD14:BD49)</f>
        <v>0</v>
      </c>
      <c r="BE13" s="57">
        <f>SUM(BE14:BE49)</f>
        <v>0</v>
      </c>
      <c r="BF13" s="57">
        <f>SUM(BF14:BF49)</f>
        <v>0</v>
      </c>
      <c r="BG13" s="57">
        <f>SUM(BG14:BG49)</f>
        <v>0</v>
      </c>
      <c r="BH13" s="57">
        <f>SUM(BH14:BH49)</f>
        <v>0</v>
      </c>
      <c r="BI13" s="57">
        <f>SUM(BI14:BI49)</f>
        <v>0</v>
      </c>
      <c r="BJ13" s="57">
        <f>SUM(BJ14:BJ49)</f>
        <v>0</v>
      </c>
      <c r="BK13" s="57">
        <f>SUM(BK14:BK49)</f>
        <v>0</v>
      </c>
      <c r="BL13" s="57">
        <f>SUM(BL14:BL49)</f>
        <v>0</v>
      </c>
      <c r="BM13" s="57">
        <f>SUM(BM14:BM49)</f>
        <v>0</v>
      </c>
      <c r="BN13" s="57">
        <f>SUM(BN14:BN49)</f>
        <v>0</v>
      </c>
      <c r="BO13" s="57">
        <f>SUM(BO14:BO49)</f>
        <v>0</v>
      </c>
      <c r="BP13" s="57">
        <f>SUM(BP14:BP49)</f>
        <v>0</v>
      </c>
      <c r="BQ13" s="57">
        <f>SUM(BQ14:BQ49)</f>
        <v>0</v>
      </c>
      <c r="BR13" s="57">
        <f>SUM(BR14:BR49)</f>
        <v>0</v>
      </c>
      <c r="BS13" s="57">
        <f>SUM(BS14:BS49)</f>
        <v>0</v>
      </c>
      <c r="BT13" s="57">
        <f>SUM(BT14:BT49)</f>
        <v>0</v>
      </c>
      <c r="BU13" s="57">
        <f>SUM(BU14:BU49)</f>
        <v>0</v>
      </c>
      <c r="BV13" s="57">
        <f>SUM(BV14:BV49)</f>
        <v>0</v>
      </c>
      <c r="BW13" s="57">
        <f>SUM(BW14:BW49)</f>
        <v>0</v>
      </c>
      <c r="BX13" s="57">
        <f>SUM(BX14:BX49)</f>
        <v>0</v>
      </c>
      <c r="BY13" s="57">
        <f>SUM(BY14:BY49)</f>
        <v>0</v>
      </c>
      <c r="BZ13" s="57">
        <f>SUM(BZ14:BZ49)</f>
        <v>0</v>
      </c>
      <c r="CA13" s="57">
        <f>SUM(CA14:CA49)</f>
        <v>0</v>
      </c>
      <c r="CB13" s="57">
        <f>SUM(CB14:CB49)</f>
        <v>0</v>
      </c>
      <c r="CC13" s="57">
        <f>SUM(CC14:CC49)</f>
        <v>0</v>
      </c>
      <c r="CD13" s="57">
        <f>SUM(CD14:CD49)</f>
        <v>0</v>
      </c>
      <c r="CE13" s="57">
        <f>SUM(CE14:CE49)</f>
        <v>0</v>
      </c>
      <c r="CF13" s="57">
        <f>SUM(CF14:CF49)</f>
        <v>0</v>
      </c>
      <c r="CG13" s="57">
        <f>SUM(CG14:CG49)</f>
        <v>0</v>
      </c>
      <c r="CH13" s="57">
        <f>SUM(CH14:CH49)</f>
        <v>0</v>
      </c>
      <c r="CI13" s="57">
        <f>SUM(CI14:CI49)</f>
        <v>0</v>
      </c>
      <c r="CJ13" s="57">
        <f>SUM(CJ14:CJ49)</f>
        <v>0</v>
      </c>
      <c r="CK13" s="57">
        <f>SUM(CK14:CK49)</f>
        <v>0</v>
      </c>
      <c r="CL13" s="57">
        <f>SUM(CL14:CL49)</f>
        <v>0</v>
      </c>
      <c r="CM13" s="57">
        <f>SUM(CM14:CM49)</f>
        <v>0</v>
      </c>
      <c r="CN13" s="57">
        <f>SUM(CN14:CN49)</f>
        <v>0</v>
      </c>
      <c r="CO13" s="57">
        <f>SUM(CO14:CO49)</f>
        <v>0</v>
      </c>
      <c r="CP13" s="57">
        <f>SUM(CP14:CP49)</f>
        <v>0</v>
      </c>
      <c r="CQ13" s="57">
        <f>SUM(CQ14:CQ49)</f>
        <v>0</v>
      </c>
      <c r="CR13" s="57">
        <f>SUM(CR14:CR49)</f>
        <v>0</v>
      </c>
      <c r="CS13" s="57">
        <f>SUM(CS14:CS49)</f>
        <v>0</v>
      </c>
      <c r="CT13" s="57">
        <f>SUM(CT14:CT49)</f>
        <v>0</v>
      </c>
      <c r="CU13" s="57">
        <f>SUM(CU14:CU49)</f>
        <v>0</v>
      </c>
      <c r="CV13" s="57">
        <f>SUM(CV14:CV49)</f>
        <v>0</v>
      </c>
      <c r="CW13" s="57">
        <f>SUM(CW14:CW49)</f>
        <v>0</v>
      </c>
      <c r="CX13" s="57">
        <f>SUM(CX14:CX49)</f>
        <v>0</v>
      </c>
      <c r="CY13" s="57">
        <f>SUM(CY14:CY49)</f>
        <v>0</v>
      </c>
      <c r="CZ13" s="57">
        <f>SUM(CZ14:CZ49)</f>
        <v>0</v>
      </c>
      <c r="DA13" s="57">
        <f>SUM(DA14:DA49)</f>
        <v>0</v>
      </c>
      <c r="DB13" s="57">
        <f>SUM(DB14:DB49)</f>
        <v>0</v>
      </c>
      <c r="DC13" s="57">
        <f>SUM(DC14:DC49)</f>
        <v>0</v>
      </c>
      <c r="DD13" s="57">
        <f>SUM(DD14:DD49)</f>
        <v>0</v>
      </c>
      <c r="DE13" s="57">
        <f>SUM(DE14:DE49)</f>
        <v>0</v>
      </c>
      <c r="DF13" s="57">
        <f>SUM(DF14:DF49)</f>
        <v>0</v>
      </c>
      <c r="DG13" s="57">
        <f>SUM(DG14:DG49)</f>
        <v>0</v>
      </c>
      <c r="DH13" s="57">
        <f>SUM(DH14:DH49)</f>
        <v>0</v>
      </c>
      <c r="DI13" s="57">
        <f>SUM(DI14:DI49)</f>
        <v>0</v>
      </c>
      <c r="DJ13" s="57">
        <f>SUM(DJ14:DJ49)</f>
        <v>0</v>
      </c>
      <c r="DK13" s="57">
        <f>SUM(DK14:DK49)</f>
        <v>0</v>
      </c>
      <c r="DL13" s="57">
        <f>SUM(DL14:DL49)</f>
        <v>0</v>
      </c>
      <c r="DM13" s="57">
        <f>SUM(DM14:DM49)</f>
        <v>0</v>
      </c>
      <c r="DN13" s="57">
        <f>SUM(DN14:DN49)</f>
        <v>0</v>
      </c>
      <c r="DO13" s="57">
        <f>SUM(DO14:DO49)</f>
        <v>0</v>
      </c>
      <c r="DP13" s="57">
        <f>SUM(DP14:DP49)</f>
        <v>0</v>
      </c>
      <c r="DQ13" s="57">
        <f>SUM(DQ14:DQ49)</f>
        <v>0</v>
      </c>
      <c r="DR13" s="57">
        <f>SUM(DR14:DR49)</f>
        <v>0</v>
      </c>
      <c r="DS13" s="57">
        <f>SUM(DS14:DS49)</f>
        <v>0</v>
      </c>
      <c r="DT13" s="109">
        <f>SUM(DT14:DT49)</f>
        <v>0</v>
      </c>
      <c r="DU13" s="54"/>
      <c r="DV13" s="58" t="s">
        <v>16</v>
      </c>
      <c r="DW13" s="56">
        <f>SUM(DW14:DW49)</f>
        <v>0</v>
      </c>
      <c r="DX13" s="57">
        <f>SUM(DX14:DX49)</f>
        <v>0</v>
      </c>
      <c r="DY13" s="57">
        <f>SUM(DY14:DY49)</f>
        <v>0</v>
      </c>
      <c r="DZ13" s="57">
        <f>SUM(DZ14:DZ49)</f>
        <v>0</v>
      </c>
      <c r="EA13" s="57">
        <f>SUM(EA14:EA49)</f>
        <v>0</v>
      </c>
      <c r="EB13" s="57">
        <f>SUM(EB14:EB49)</f>
        <v>0</v>
      </c>
      <c r="EC13" s="57">
        <f>SUM(EC14:EC49)</f>
        <v>0</v>
      </c>
      <c r="ED13" s="57">
        <f>SUM(ED14:ED49)</f>
        <v>0</v>
      </c>
      <c r="EE13" s="57">
        <f>SUM(EE14:EE49)</f>
        <v>0</v>
      </c>
      <c r="EF13" s="57">
        <f>SUM(EF14:EF49)</f>
        <v>0</v>
      </c>
      <c r="EG13" s="57">
        <f>SUM(EG14:EG49)</f>
        <v>0</v>
      </c>
      <c r="EH13" s="57">
        <f>SUM(EH14:EH49)</f>
        <v>0</v>
      </c>
      <c r="EI13" s="57">
        <f>SUM(EI14:EI49)</f>
        <v>0</v>
      </c>
      <c r="EJ13" s="57">
        <f>SUM(EJ14:EJ49)</f>
        <v>0</v>
      </c>
      <c r="EK13" s="57">
        <f>SUM(EK14:EK49)</f>
        <v>0</v>
      </c>
      <c r="EL13" s="57">
        <f>SUM(EL14:EL49)</f>
        <v>0</v>
      </c>
      <c r="EM13" s="57">
        <f>SUM(EM14:EM49)</f>
        <v>0</v>
      </c>
      <c r="EN13" s="57">
        <f>SUM(EN14:EN49)</f>
        <v>0</v>
      </c>
      <c r="EO13" s="57">
        <f>SUM(EO14:EO49)</f>
        <v>0</v>
      </c>
      <c r="EP13" s="57">
        <f>SUM(EP14:EP49)</f>
        <v>0</v>
      </c>
      <c r="EQ13" s="57">
        <f>SUM(EQ14:EQ49)</f>
        <v>0</v>
      </c>
      <c r="ER13" s="57">
        <f>SUM(ER14:ER49)</f>
        <v>0</v>
      </c>
      <c r="ES13" s="57">
        <f>SUM(ES14:ES49)</f>
        <v>0</v>
      </c>
      <c r="ET13" s="57">
        <f>SUM(ET14:ET49)</f>
        <v>0</v>
      </c>
      <c r="EU13" s="57">
        <f>SUM(EU14:EU49)</f>
        <v>0</v>
      </c>
      <c r="EV13" s="57">
        <f>SUM(EV14:EV49)</f>
        <v>0</v>
      </c>
      <c r="EW13" s="57">
        <f>SUM(EW14:EW49)</f>
        <v>0</v>
      </c>
      <c r="EX13" s="57">
        <f>SUM(EX14:EX49)</f>
        <v>0</v>
      </c>
      <c r="EY13" s="57">
        <f>SUM(EY14:EY49)</f>
        <v>0</v>
      </c>
      <c r="EZ13" s="57">
        <f>SUM(EZ14:EZ49)</f>
        <v>0</v>
      </c>
      <c r="FA13" s="57">
        <f>SUM(FA14:FA49)</f>
        <v>0</v>
      </c>
      <c r="FB13" s="57">
        <f>SUM(FB14:FB49)</f>
        <v>0</v>
      </c>
      <c r="FC13" s="57">
        <f>SUM(FC14:FC49)</f>
        <v>0</v>
      </c>
      <c r="FD13" s="57">
        <f>SUM(FD14:FD49)</f>
        <v>0</v>
      </c>
      <c r="FE13" s="57">
        <f>SUM(FE14:FE49)</f>
        <v>0</v>
      </c>
      <c r="FF13" s="57">
        <f>SUM(FF14:FF49)</f>
        <v>0</v>
      </c>
      <c r="FG13" s="57">
        <f>SUM(FG14:FG49)</f>
        <v>0</v>
      </c>
      <c r="FH13" s="57">
        <f>SUM(FH14:FH49)</f>
        <v>0</v>
      </c>
      <c r="FI13" s="57">
        <f>SUM(FI14:FI49)</f>
        <v>0</v>
      </c>
      <c r="FJ13" s="57">
        <f>SUM(FJ14:FJ49)</f>
        <v>0</v>
      </c>
      <c r="FK13" s="57">
        <f>SUM(FK14:FK49)</f>
        <v>0</v>
      </c>
      <c r="FL13" s="57">
        <f>SUM(FL14:FL49)</f>
        <v>0</v>
      </c>
      <c r="FM13" s="57">
        <f>SUM(FM14:FM49)</f>
        <v>0</v>
      </c>
      <c r="FN13" s="57">
        <f>SUM(FN14:FN49)</f>
        <v>0</v>
      </c>
      <c r="FO13" s="57">
        <f>SUM(FO14:FO49)</f>
        <v>0</v>
      </c>
      <c r="FP13" s="57">
        <f>SUM(FP14:FP49)</f>
        <v>0</v>
      </c>
      <c r="FQ13" s="57">
        <f>SUM(FQ14:FQ49)</f>
        <v>0</v>
      </c>
      <c r="FR13" s="57">
        <f>SUM(FR14:FR49)</f>
        <v>0</v>
      </c>
      <c r="FS13" s="57">
        <f>SUM(FS14:FS49)</f>
        <v>0</v>
      </c>
      <c r="FT13" s="57">
        <f>SUM(FT14:FT49)</f>
        <v>0</v>
      </c>
      <c r="FU13" s="57">
        <f>SUM(FU14:FU49)</f>
        <v>0</v>
      </c>
      <c r="FV13" s="57">
        <f>SUM(FV14:FV49)</f>
        <v>0</v>
      </c>
      <c r="FW13" s="57">
        <f>SUM(FW14:FW49)</f>
        <v>0</v>
      </c>
      <c r="FX13" s="57">
        <f>SUM(FX14:FX49)</f>
        <v>0</v>
      </c>
      <c r="FY13" s="57">
        <f>SUM(FY14:FY49)</f>
        <v>0</v>
      </c>
      <c r="FZ13" s="57">
        <f>SUM(FZ14:FZ49)</f>
        <v>0</v>
      </c>
      <c r="GA13" s="57">
        <f>SUM(GA14:GA49)</f>
        <v>0</v>
      </c>
      <c r="GB13" s="57">
        <f>SUM(GB14:GB49)</f>
        <v>0</v>
      </c>
      <c r="GC13" s="57">
        <f>SUM(GC14:GC49)</f>
        <v>0</v>
      </c>
      <c r="GD13" s="57">
        <f>SUM(GD14:GD49)</f>
        <v>0</v>
      </c>
      <c r="GE13" s="57">
        <f>SUM(GE14:GE49)</f>
        <v>25427.665000000001</v>
      </c>
      <c r="GF13" s="57">
        <f>SUM(GF14:GF49)</f>
        <v>0</v>
      </c>
      <c r="GG13" s="57">
        <f>SUM(GG14:GG49)</f>
        <v>0</v>
      </c>
      <c r="GH13" s="57">
        <f>SUM(GH14:GH49)</f>
        <v>0</v>
      </c>
      <c r="GI13" s="57">
        <f>SUM(GI14:GI49)</f>
        <v>0</v>
      </c>
      <c r="GJ13" s="57">
        <f>SUM(GJ14:GJ49)</f>
        <v>0</v>
      </c>
      <c r="GK13" s="57">
        <f>SUM(GK14:GK49)</f>
        <v>0</v>
      </c>
      <c r="GL13" s="57">
        <f>SUM(GL14:GL49)</f>
        <v>0</v>
      </c>
      <c r="GM13" s="57">
        <f>SUM(GM14:GM49)</f>
        <v>0</v>
      </c>
      <c r="GN13" s="57">
        <f>SUM(GN14:GN49)</f>
        <v>0</v>
      </c>
      <c r="GO13" s="57">
        <f>SUM(GO14:GO49)</f>
        <v>0</v>
      </c>
      <c r="GP13" s="57">
        <f>SUM(GP14:GP49)</f>
        <v>0</v>
      </c>
      <c r="GQ13" s="57">
        <f>SUM(GQ14:GQ49)</f>
        <v>0</v>
      </c>
      <c r="GR13" s="57">
        <f>SUM(GR14:GR49)</f>
        <v>0</v>
      </c>
      <c r="GS13" s="57">
        <f>SUM(GS14:GS49)</f>
        <v>0</v>
      </c>
      <c r="GT13" s="57">
        <f>SUM(GT14:GT49)</f>
        <v>0</v>
      </c>
      <c r="GU13" s="57">
        <f>SUM(GU14:GU49)</f>
        <v>0</v>
      </c>
      <c r="GV13" s="57">
        <f>SUM(GV14:GV49)</f>
        <v>0</v>
      </c>
      <c r="GW13" s="57">
        <f>SUM(GW14:GW49)</f>
        <v>0</v>
      </c>
      <c r="GX13" s="57">
        <f>SUM(GX14:GX49)</f>
        <v>0</v>
      </c>
      <c r="GY13" s="57">
        <f>SUM(GY14:GY49)</f>
        <v>0</v>
      </c>
      <c r="GZ13" s="57">
        <f>SUM(GZ14:GZ49)</f>
        <v>0</v>
      </c>
      <c r="HA13" s="57">
        <f>SUM(HA14:HA49)</f>
        <v>0</v>
      </c>
      <c r="HB13" s="57">
        <f>SUM(HB14:HB49)</f>
        <v>0</v>
      </c>
      <c r="HC13" s="57">
        <f>SUM(HC14:HC49)</f>
        <v>0</v>
      </c>
      <c r="HD13" s="57">
        <f>SUM(HD14:HD49)</f>
        <v>0</v>
      </c>
      <c r="HE13" s="57">
        <f>SUM(HE14:HE49)</f>
        <v>0</v>
      </c>
      <c r="HF13" s="57">
        <f>SUM(HF14:HF49)</f>
        <v>0</v>
      </c>
      <c r="HG13" s="57">
        <f>SUM(HG14:HG49)</f>
        <v>0</v>
      </c>
      <c r="HH13" s="57">
        <f>SUM(HH14:HH49)</f>
        <v>0</v>
      </c>
      <c r="HI13" s="57">
        <f>SUM(HI14:HI49)</f>
        <v>0</v>
      </c>
      <c r="HJ13" s="57">
        <f>SUM(HJ14:HJ49)</f>
        <v>0</v>
      </c>
      <c r="HK13" s="57">
        <f>SUM(HK14:HK49)</f>
        <v>0</v>
      </c>
      <c r="HL13" s="57">
        <f>SUM(HL14:HL49)</f>
        <v>0</v>
      </c>
      <c r="HM13" s="57">
        <f>SUM(HM14:HM49)</f>
        <v>0</v>
      </c>
      <c r="HN13" s="57">
        <f>SUM(HN14:HN49)</f>
        <v>0</v>
      </c>
      <c r="HO13" s="57">
        <f>SUM(HO14:HO49)</f>
        <v>0</v>
      </c>
      <c r="HP13" s="57">
        <f>SUM(HP14:HP49)</f>
        <v>0</v>
      </c>
      <c r="HQ13" s="57">
        <f>SUM(HQ14:HQ49)</f>
        <v>0</v>
      </c>
      <c r="HR13" s="109">
        <f>SUM(HR14:HR49)</f>
        <v>0</v>
      </c>
    </row>
    <row r="14" spans="1:226" ht="11.1" customHeight="1" thickTop="1" x14ac:dyDescent="0.25">
      <c r="A14" s="80"/>
      <c r="B14" s="87"/>
      <c r="C14" s="120" t="str">
        <f>IF(A14=0,"",VLOOKUP(A14,[2]CO!$A$3:$F$5327,2,0))</f>
        <v/>
      </c>
      <c r="D14" s="121"/>
      <c r="E14" s="121"/>
      <c r="F14" s="121"/>
      <c r="G14" s="122" t="str">
        <f>IF(A14=0,"",VLOOKUP(A14,[2]CO!$A$3:$F$5327,3,0))</f>
        <v/>
      </c>
      <c r="H14" s="121"/>
      <c r="I14" s="123"/>
      <c r="J14" s="123"/>
      <c r="K14" s="123"/>
      <c r="L14" s="123"/>
      <c r="M14" s="124" t="str">
        <f t="shared" ref="M14:M20" si="0">IF(L14=0,"",PRODUCT(I14:L14))</f>
        <v/>
      </c>
      <c r="N14" s="124" t="str">
        <f>IF(B14=0,"",IF(H14="M",HLOOKUP(B14,$Y$12:$DT$13,2),IF(A14=0,"",VLOOKUP(A14,[2]CO!$A$3:$F$5327,4,0))))</f>
        <v/>
      </c>
      <c r="O14" s="124" t="str">
        <f>IF(L14=0,"",PRODUCT(M14:N14))</f>
        <v/>
      </c>
      <c r="P14" s="87"/>
      <c r="Q14" s="88" t="str">
        <f t="shared" ref="Q14:Q20" si="1">IF(P14=0,"",(HLOOKUP(P14,$DW$12:$HR$13,2)))</f>
        <v/>
      </c>
      <c r="R14" s="89" t="str">
        <f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RESIDENTE"),VLOOKUP(B14,P$14:Q$49,2),"")*S14)</f>
        <v/>
      </c>
      <c r="T14" s="53" t="str">
        <f>IF(A14=0,"",VLOOKUP(A14,[2]CO!$A$3:$F$5318,5,0))</f>
        <v/>
      </c>
      <c r="U14" s="54">
        <f t="shared" ref="U14:U20" si="2">IF(T14=1,O14*0.1,)</f>
        <v>0</v>
      </c>
      <c r="V14" s="24"/>
      <c r="Y14" s="62" t="str">
        <f t="shared" ref="Y14:CJ15" si="3">IF($B14=Y$12,$U14,"")</f>
        <v/>
      </c>
      <c r="Z14" s="63" t="str">
        <f t="shared" si="3"/>
        <v/>
      </c>
      <c r="AA14" s="63" t="str">
        <f t="shared" si="3"/>
        <v/>
      </c>
      <c r="AB14" s="63" t="str">
        <f t="shared" si="3"/>
        <v/>
      </c>
      <c r="AC14" s="63" t="str">
        <f t="shared" si="3"/>
        <v/>
      </c>
      <c r="AD14" s="63" t="str">
        <f t="shared" si="3"/>
        <v/>
      </c>
      <c r="AE14" s="63" t="str">
        <f t="shared" si="3"/>
        <v/>
      </c>
      <c r="AF14" s="63" t="str">
        <f t="shared" si="3"/>
        <v/>
      </c>
      <c r="AG14" s="63" t="str">
        <f t="shared" si="3"/>
        <v/>
      </c>
      <c r="AH14" s="63" t="str">
        <f t="shared" si="3"/>
        <v/>
      </c>
      <c r="AI14" s="63" t="str">
        <f t="shared" si="3"/>
        <v/>
      </c>
      <c r="AJ14" s="63" t="str">
        <f t="shared" si="3"/>
        <v/>
      </c>
      <c r="AK14" s="63" t="str">
        <f t="shared" si="3"/>
        <v/>
      </c>
      <c r="AL14" s="63" t="str">
        <f t="shared" si="3"/>
        <v/>
      </c>
      <c r="AM14" s="63" t="str">
        <f t="shared" si="3"/>
        <v/>
      </c>
      <c r="AN14" s="63" t="str">
        <f t="shared" si="3"/>
        <v/>
      </c>
      <c r="AO14" s="63" t="str">
        <f t="shared" si="3"/>
        <v/>
      </c>
      <c r="AP14" s="63" t="str">
        <f t="shared" si="3"/>
        <v/>
      </c>
      <c r="AQ14" s="63" t="str">
        <f t="shared" si="3"/>
        <v/>
      </c>
      <c r="AR14" s="63" t="str">
        <f t="shared" si="3"/>
        <v/>
      </c>
      <c r="AS14" s="63" t="str">
        <f t="shared" si="3"/>
        <v/>
      </c>
      <c r="AT14" s="63" t="str">
        <f t="shared" si="3"/>
        <v/>
      </c>
      <c r="AU14" s="63" t="str">
        <f t="shared" si="3"/>
        <v/>
      </c>
      <c r="AV14" s="63" t="str">
        <f t="shared" si="3"/>
        <v/>
      </c>
      <c r="AW14" s="63" t="str">
        <f t="shared" si="3"/>
        <v/>
      </c>
      <c r="AX14" s="63" t="str">
        <f t="shared" si="3"/>
        <v/>
      </c>
      <c r="AY14" s="63" t="str">
        <f t="shared" si="3"/>
        <v/>
      </c>
      <c r="AZ14" s="63" t="str">
        <f t="shared" si="3"/>
        <v/>
      </c>
      <c r="BA14" s="63" t="str">
        <f t="shared" si="3"/>
        <v/>
      </c>
      <c r="BB14" s="63" t="str">
        <f t="shared" si="3"/>
        <v/>
      </c>
      <c r="BC14" s="63" t="str">
        <f t="shared" si="3"/>
        <v/>
      </c>
      <c r="BD14" s="63" t="str">
        <f t="shared" si="3"/>
        <v/>
      </c>
      <c r="BE14" s="63" t="str">
        <f t="shared" si="3"/>
        <v/>
      </c>
      <c r="BF14" s="63" t="str">
        <f t="shared" si="3"/>
        <v/>
      </c>
      <c r="BG14" s="63" t="str">
        <f t="shared" si="3"/>
        <v/>
      </c>
      <c r="BH14" s="63" t="str">
        <f t="shared" si="3"/>
        <v/>
      </c>
      <c r="BI14" s="63" t="str">
        <f t="shared" si="3"/>
        <v/>
      </c>
      <c r="BJ14" s="63" t="str">
        <f t="shared" si="3"/>
        <v/>
      </c>
      <c r="BK14" s="63" t="str">
        <f t="shared" si="3"/>
        <v/>
      </c>
      <c r="BL14" s="63" t="str">
        <f t="shared" si="3"/>
        <v/>
      </c>
      <c r="BM14" s="63" t="str">
        <f t="shared" si="3"/>
        <v/>
      </c>
      <c r="BN14" s="63" t="str">
        <f t="shared" si="3"/>
        <v/>
      </c>
      <c r="BO14" s="63" t="str">
        <f t="shared" si="3"/>
        <v/>
      </c>
      <c r="BP14" s="63" t="str">
        <f t="shared" si="3"/>
        <v/>
      </c>
      <c r="BQ14" s="63" t="str">
        <f t="shared" si="3"/>
        <v/>
      </c>
      <c r="BR14" s="63" t="str">
        <f t="shared" si="3"/>
        <v/>
      </c>
      <c r="BS14" s="63" t="str">
        <f t="shared" si="3"/>
        <v/>
      </c>
      <c r="BT14" s="63" t="str">
        <f t="shared" si="3"/>
        <v/>
      </c>
      <c r="BU14" s="63" t="str">
        <f t="shared" si="3"/>
        <v/>
      </c>
      <c r="BV14" s="63" t="str">
        <f t="shared" si="3"/>
        <v/>
      </c>
      <c r="BW14" s="63" t="str">
        <f t="shared" si="3"/>
        <v/>
      </c>
      <c r="BX14" s="63" t="str">
        <f t="shared" si="3"/>
        <v/>
      </c>
      <c r="BY14" s="63" t="str">
        <f t="shared" si="3"/>
        <v/>
      </c>
      <c r="BZ14" s="63" t="str">
        <f t="shared" si="3"/>
        <v/>
      </c>
      <c r="CA14" s="63" t="str">
        <f t="shared" si="3"/>
        <v/>
      </c>
      <c r="CB14" s="63" t="str">
        <f t="shared" si="3"/>
        <v/>
      </c>
      <c r="CC14" s="63" t="str">
        <f t="shared" si="3"/>
        <v/>
      </c>
      <c r="CD14" s="63" t="str">
        <f t="shared" si="3"/>
        <v/>
      </c>
      <c r="CE14" s="63" t="str">
        <f t="shared" si="3"/>
        <v/>
      </c>
      <c r="CF14" s="63" t="str">
        <f t="shared" si="3"/>
        <v/>
      </c>
      <c r="CG14" s="63" t="str">
        <f t="shared" si="3"/>
        <v/>
      </c>
      <c r="CH14" s="63" t="str">
        <f t="shared" si="3"/>
        <v/>
      </c>
      <c r="CI14" s="63" t="str">
        <f t="shared" si="3"/>
        <v/>
      </c>
      <c r="CJ14" s="63" t="str">
        <f t="shared" si="3"/>
        <v/>
      </c>
      <c r="CK14" s="63" t="str">
        <f t="shared" ref="CK14:DT15" si="4">IF($B14=CK$12,$U14,"")</f>
        <v/>
      </c>
      <c r="CL14" s="63" t="str">
        <f t="shared" si="4"/>
        <v/>
      </c>
      <c r="CM14" s="63" t="str">
        <f t="shared" si="4"/>
        <v/>
      </c>
      <c r="CN14" s="63" t="str">
        <f t="shared" si="4"/>
        <v/>
      </c>
      <c r="CO14" s="63" t="str">
        <f t="shared" si="4"/>
        <v/>
      </c>
      <c r="CP14" s="63" t="str">
        <f t="shared" si="4"/>
        <v/>
      </c>
      <c r="CQ14" s="63" t="str">
        <f t="shared" si="4"/>
        <v/>
      </c>
      <c r="CR14" s="63" t="str">
        <f t="shared" si="4"/>
        <v/>
      </c>
      <c r="CS14" s="63" t="str">
        <f t="shared" si="4"/>
        <v/>
      </c>
      <c r="CT14" s="63" t="str">
        <f t="shared" si="4"/>
        <v/>
      </c>
      <c r="CU14" s="63" t="str">
        <f t="shared" si="4"/>
        <v/>
      </c>
      <c r="CV14" s="63" t="str">
        <f t="shared" si="4"/>
        <v/>
      </c>
      <c r="CW14" s="63" t="str">
        <f t="shared" si="4"/>
        <v/>
      </c>
      <c r="CX14" s="63" t="str">
        <f t="shared" si="4"/>
        <v/>
      </c>
      <c r="CY14" s="63" t="str">
        <f t="shared" si="4"/>
        <v/>
      </c>
      <c r="CZ14" s="63" t="str">
        <f t="shared" si="4"/>
        <v/>
      </c>
      <c r="DA14" s="63" t="str">
        <f t="shared" si="4"/>
        <v/>
      </c>
      <c r="DB14" s="63" t="str">
        <f t="shared" si="4"/>
        <v/>
      </c>
      <c r="DC14" s="63" t="str">
        <f t="shared" si="4"/>
        <v/>
      </c>
      <c r="DD14" s="63" t="str">
        <f t="shared" si="4"/>
        <v/>
      </c>
      <c r="DE14" s="63" t="str">
        <f t="shared" si="4"/>
        <v/>
      </c>
      <c r="DF14" s="63" t="str">
        <f t="shared" si="4"/>
        <v/>
      </c>
      <c r="DG14" s="63" t="str">
        <f t="shared" si="4"/>
        <v/>
      </c>
      <c r="DH14" s="63" t="str">
        <f t="shared" si="4"/>
        <v/>
      </c>
      <c r="DI14" s="63" t="str">
        <f t="shared" si="4"/>
        <v/>
      </c>
      <c r="DJ14" s="63" t="str">
        <f t="shared" si="4"/>
        <v/>
      </c>
      <c r="DK14" s="63" t="str">
        <f t="shared" si="4"/>
        <v/>
      </c>
      <c r="DL14" s="63" t="str">
        <f t="shared" si="4"/>
        <v/>
      </c>
      <c r="DM14" s="63" t="str">
        <f t="shared" si="4"/>
        <v/>
      </c>
      <c r="DN14" s="63" t="str">
        <f t="shared" si="4"/>
        <v/>
      </c>
      <c r="DO14" s="63" t="str">
        <f t="shared" si="4"/>
        <v/>
      </c>
      <c r="DP14" s="63" t="str">
        <f t="shared" si="4"/>
        <v/>
      </c>
      <c r="DQ14" s="63" t="str">
        <f t="shared" si="4"/>
        <v/>
      </c>
      <c r="DR14" s="63" t="str">
        <f t="shared" si="4"/>
        <v/>
      </c>
      <c r="DS14" s="63" t="str">
        <f t="shared" si="4"/>
        <v/>
      </c>
      <c r="DT14" s="110" t="str">
        <f t="shared" si="4"/>
        <v/>
      </c>
      <c r="DU14" s="54"/>
      <c r="DW14" s="59" t="str">
        <f t="shared" ref="DW14:GH15" si="5">IF($B14=DW$12,$O14,"")</f>
        <v/>
      </c>
      <c r="DX14" s="60" t="str">
        <f t="shared" si="5"/>
        <v/>
      </c>
      <c r="DY14" s="60" t="str">
        <f t="shared" si="5"/>
        <v/>
      </c>
      <c r="DZ14" s="60" t="str">
        <f t="shared" si="5"/>
        <v/>
      </c>
      <c r="EA14" s="60" t="str">
        <f t="shared" si="5"/>
        <v/>
      </c>
      <c r="EB14" s="60" t="str">
        <f t="shared" si="5"/>
        <v/>
      </c>
      <c r="EC14" s="60" t="str">
        <f t="shared" si="5"/>
        <v/>
      </c>
      <c r="ED14" s="60" t="str">
        <f t="shared" si="5"/>
        <v/>
      </c>
      <c r="EE14" s="60" t="str">
        <f t="shared" si="5"/>
        <v/>
      </c>
      <c r="EF14" s="60" t="str">
        <f t="shared" si="5"/>
        <v/>
      </c>
      <c r="EG14" s="60" t="str">
        <f t="shared" si="5"/>
        <v/>
      </c>
      <c r="EH14" s="60" t="str">
        <f t="shared" si="5"/>
        <v/>
      </c>
      <c r="EI14" s="60" t="str">
        <f t="shared" si="5"/>
        <v/>
      </c>
      <c r="EJ14" s="60" t="str">
        <f t="shared" si="5"/>
        <v/>
      </c>
      <c r="EK14" s="60" t="str">
        <f t="shared" si="5"/>
        <v/>
      </c>
      <c r="EL14" s="60" t="str">
        <f t="shared" si="5"/>
        <v/>
      </c>
      <c r="EM14" s="60" t="str">
        <f t="shared" si="5"/>
        <v/>
      </c>
      <c r="EN14" s="60" t="str">
        <f t="shared" si="5"/>
        <v/>
      </c>
      <c r="EO14" s="60" t="str">
        <f t="shared" si="5"/>
        <v/>
      </c>
      <c r="EP14" s="60" t="str">
        <f t="shared" si="5"/>
        <v/>
      </c>
      <c r="EQ14" s="60" t="str">
        <f t="shared" si="5"/>
        <v/>
      </c>
      <c r="ER14" s="60" t="str">
        <f t="shared" si="5"/>
        <v/>
      </c>
      <c r="ES14" s="60" t="str">
        <f t="shared" si="5"/>
        <v/>
      </c>
      <c r="ET14" s="60" t="str">
        <f t="shared" si="5"/>
        <v/>
      </c>
      <c r="EU14" s="60" t="str">
        <f t="shared" si="5"/>
        <v/>
      </c>
      <c r="EV14" s="60" t="str">
        <f t="shared" si="5"/>
        <v/>
      </c>
      <c r="EW14" s="60" t="str">
        <f t="shared" si="5"/>
        <v/>
      </c>
      <c r="EX14" s="60" t="str">
        <f t="shared" si="5"/>
        <v/>
      </c>
      <c r="EY14" s="60" t="str">
        <f t="shared" si="5"/>
        <v/>
      </c>
      <c r="EZ14" s="60" t="str">
        <f t="shared" si="5"/>
        <v/>
      </c>
      <c r="FA14" s="60" t="str">
        <f t="shared" si="5"/>
        <v/>
      </c>
      <c r="FB14" s="60" t="str">
        <f t="shared" si="5"/>
        <v/>
      </c>
      <c r="FC14" s="60" t="str">
        <f t="shared" si="5"/>
        <v/>
      </c>
      <c r="FD14" s="60" t="str">
        <f t="shared" si="5"/>
        <v/>
      </c>
      <c r="FE14" s="60" t="str">
        <f t="shared" si="5"/>
        <v/>
      </c>
      <c r="FF14" s="60" t="str">
        <f t="shared" si="5"/>
        <v/>
      </c>
      <c r="FG14" s="60" t="str">
        <f t="shared" si="5"/>
        <v/>
      </c>
      <c r="FH14" s="60" t="str">
        <f t="shared" si="5"/>
        <v/>
      </c>
      <c r="FI14" s="60" t="str">
        <f t="shared" si="5"/>
        <v/>
      </c>
      <c r="FJ14" s="60" t="str">
        <f t="shared" si="5"/>
        <v/>
      </c>
      <c r="FK14" s="60" t="str">
        <f t="shared" si="5"/>
        <v/>
      </c>
      <c r="FL14" s="60" t="str">
        <f t="shared" si="5"/>
        <v/>
      </c>
      <c r="FM14" s="60" t="str">
        <f t="shared" si="5"/>
        <v/>
      </c>
      <c r="FN14" s="60" t="str">
        <f t="shared" si="5"/>
        <v/>
      </c>
      <c r="FO14" s="60" t="str">
        <f t="shared" si="5"/>
        <v/>
      </c>
      <c r="FP14" s="60" t="str">
        <f t="shared" si="5"/>
        <v/>
      </c>
      <c r="FQ14" s="60" t="str">
        <f t="shared" si="5"/>
        <v/>
      </c>
      <c r="FR14" s="60" t="str">
        <f t="shared" si="5"/>
        <v/>
      </c>
      <c r="FS14" s="60" t="str">
        <f t="shared" si="5"/>
        <v/>
      </c>
      <c r="FT14" s="60" t="str">
        <f t="shared" si="5"/>
        <v/>
      </c>
      <c r="FU14" s="60" t="str">
        <f t="shared" si="5"/>
        <v/>
      </c>
      <c r="FV14" s="60" t="str">
        <f t="shared" si="5"/>
        <v/>
      </c>
      <c r="FW14" s="60" t="str">
        <f t="shared" si="5"/>
        <v/>
      </c>
      <c r="FX14" s="60" t="str">
        <f t="shared" si="5"/>
        <v/>
      </c>
      <c r="FY14" s="60" t="str">
        <f t="shared" si="5"/>
        <v/>
      </c>
      <c r="FZ14" s="60" t="str">
        <f t="shared" si="5"/>
        <v/>
      </c>
      <c r="GA14" s="60" t="str">
        <f t="shared" si="5"/>
        <v/>
      </c>
      <c r="GB14" s="60" t="str">
        <f t="shared" si="5"/>
        <v/>
      </c>
      <c r="GC14" s="60" t="str">
        <f t="shared" si="5"/>
        <v/>
      </c>
      <c r="GD14" s="60" t="str">
        <f t="shared" si="5"/>
        <v/>
      </c>
      <c r="GE14" s="60" t="str">
        <f t="shared" si="5"/>
        <v/>
      </c>
      <c r="GF14" s="60" t="str">
        <f t="shared" si="5"/>
        <v/>
      </c>
      <c r="GG14" s="60" t="str">
        <f t="shared" si="5"/>
        <v/>
      </c>
      <c r="GH14" s="60" t="str">
        <f t="shared" si="5"/>
        <v/>
      </c>
      <c r="GI14" s="60" t="str">
        <f t="shared" ref="GI14:HR15" si="6">IF($B14=GI$12,$O14,"")</f>
        <v/>
      </c>
      <c r="GJ14" s="60" t="str">
        <f t="shared" si="6"/>
        <v/>
      </c>
      <c r="GK14" s="60" t="str">
        <f t="shared" si="6"/>
        <v/>
      </c>
      <c r="GL14" s="60" t="str">
        <f t="shared" si="6"/>
        <v/>
      </c>
      <c r="GM14" s="60" t="str">
        <f t="shared" si="6"/>
        <v/>
      </c>
      <c r="GN14" s="60" t="str">
        <f t="shared" si="6"/>
        <v/>
      </c>
      <c r="GO14" s="60" t="str">
        <f t="shared" si="6"/>
        <v/>
      </c>
      <c r="GP14" s="60" t="str">
        <f t="shared" si="6"/>
        <v/>
      </c>
      <c r="GQ14" s="60" t="str">
        <f t="shared" si="6"/>
        <v/>
      </c>
      <c r="GR14" s="60" t="str">
        <f t="shared" si="6"/>
        <v/>
      </c>
      <c r="GS14" s="60" t="str">
        <f t="shared" si="6"/>
        <v/>
      </c>
      <c r="GT14" s="60" t="str">
        <f t="shared" si="6"/>
        <v/>
      </c>
      <c r="GU14" s="60" t="str">
        <f t="shared" si="6"/>
        <v/>
      </c>
      <c r="GV14" s="60" t="str">
        <f t="shared" si="6"/>
        <v/>
      </c>
      <c r="GW14" s="60" t="str">
        <f t="shared" si="6"/>
        <v/>
      </c>
      <c r="GX14" s="60" t="str">
        <f t="shared" si="6"/>
        <v/>
      </c>
      <c r="GY14" s="60" t="str">
        <f t="shared" si="6"/>
        <v/>
      </c>
      <c r="GZ14" s="60" t="str">
        <f t="shared" si="6"/>
        <v/>
      </c>
      <c r="HA14" s="60" t="str">
        <f t="shared" si="6"/>
        <v/>
      </c>
      <c r="HB14" s="60" t="str">
        <f t="shared" si="6"/>
        <v/>
      </c>
      <c r="HC14" s="60" t="str">
        <f t="shared" si="6"/>
        <v/>
      </c>
      <c r="HD14" s="60" t="str">
        <f t="shared" si="6"/>
        <v/>
      </c>
      <c r="HE14" s="60" t="str">
        <f t="shared" si="6"/>
        <v/>
      </c>
      <c r="HF14" s="60" t="str">
        <f t="shared" si="6"/>
        <v/>
      </c>
      <c r="HG14" s="60" t="str">
        <f t="shared" si="6"/>
        <v/>
      </c>
      <c r="HH14" s="60" t="str">
        <f t="shared" si="6"/>
        <v/>
      </c>
      <c r="HI14" s="60" t="str">
        <f t="shared" si="6"/>
        <v/>
      </c>
      <c r="HJ14" s="60" t="str">
        <f t="shared" si="6"/>
        <v/>
      </c>
      <c r="HK14" s="60" t="str">
        <f t="shared" si="6"/>
        <v/>
      </c>
      <c r="HL14" s="60" t="str">
        <f t="shared" si="6"/>
        <v/>
      </c>
      <c r="HM14" s="60" t="str">
        <f t="shared" si="6"/>
        <v/>
      </c>
      <c r="HN14" s="60" t="str">
        <f t="shared" si="6"/>
        <v/>
      </c>
      <c r="HO14" s="60" t="str">
        <f t="shared" si="6"/>
        <v/>
      </c>
      <c r="HP14" s="60" t="str">
        <f t="shared" si="6"/>
        <v/>
      </c>
      <c r="HQ14" s="60" t="str">
        <f t="shared" si="6"/>
        <v/>
      </c>
      <c r="HR14" s="114" t="str">
        <f t="shared" si="6"/>
        <v/>
      </c>
    </row>
    <row r="15" spans="1:226" ht="11.1" customHeight="1" x14ac:dyDescent="0.25">
      <c r="A15" s="26">
        <v>2835</v>
      </c>
      <c r="B15" s="144">
        <v>1</v>
      </c>
      <c r="C15" s="28" t="str">
        <f>IF(A15=0,"",VLOOKUP(A15,[2]CO!$A$3:$F$5327,2,0))</f>
        <v>ENRIQUEZ XILONZOCHILT JUAN</v>
      </c>
      <c r="D15" s="148"/>
      <c r="E15" s="29"/>
      <c r="F15" s="29"/>
      <c r="G15" s="30" t="str">
        <f>IF(A15=0,"",VLOOKUP(A15,[2]CO!$A$3:$F$5327,3,0))</f>
        <v>OF</v>
      </c>
      <c r="H15" s="142"/>
      <c r="I15" s="143"/>
      <c r="J15" s="143"/>
      <c r="K15" s="143"/>
      <c r="L15" s="143"/>
      <c r="M15" s="32" t="str">
        <f t="shared" si="0"/>
        <v/>
      </c>
      <c r="N15" s="32">
        <f>IF(B15=0,"",IF(H15="M",HLOOKUP(B15,$Y$12:$DT$13,2),IF(A15=0,"",VLOOKUP(A15,[2]CO!$A$3:$F$5327,4,0))))</f>
        <v>638.79999999999995</v>
      </c>
      <c r="O15" s="32" t="str">
        <f t="shared" ref="O15:O49" si="7">IF(L15=0,"",PRODUCT(M15:N15))</f>
        <v/>
      </c>
      <c r="P15" s="33"/>
      <c r="Q15" s="34" t="str">
        <f t="shared" si="1"/>
        <v/>
      </c>
      <c r="R15" s="35" t="e">
        <f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RESIDENTE"),VLOOKUP(B15,P$14:Q$49,2),"")*S15)</f>
        <v>#N/A</v>
      </c>
      <c r="S15" s="127">
        <v>1</v>
      </c>
      <c r="T15" s="53">
        <f>IF(A15=0,"",VLOOKUP(A15,[2]CO!$A$3:$F$5318,5,0))</f>
        <v>0</v>
      </c>
      <c r="U15" s="54">
        <f t="shared" si="2"/>
        <v>0</v>
      </c>
      <c r="V15" s="24"/>
      <c r="W15" s="25"/>
      <c r="X15" s="25"/>
      <c r="Y15" s="64">
        <f t="shared" si="3"/>
        <v>0</v>
      </c>
      <c r="Z15" s="55" t="str">
        <f t="shared" si="3"/>
        <v/>
      </c>
      <c r="AA15" s="55" t="str">
        <f t="shared" si="3"/>
        <v/>
      </c>
      <c r="AB15" s="55" t="str">
        <f t="shared" si="3"/>
        <v/>
      </c>
      <c r="AC15" s="55" t="str">
        <f t="shared" si="3"/>
        <v/>
      </c>
      <c r="AD15" s="55" t="str">
        <f t="shared" si="3"/>
        <v/>
      </c>
      <c r="AE15" s="55" t="str">
        <f t="shared" si="3"/>
        <v/>
      </c>
      <c r="AF15" s="55" t="str">
        <f t="shared" si="3"/>
        <v/>
      </c>
      <c r="AG15" s="55" t="str">
        <f t="shared" si="3"/>
        <v/>
      </c>
      <c r="AH15" s="55" t="str">
        <f t="shared" si="3"/>
        <v/>
      </c>
      <c r="AI15" s="55" t="str">
        <f t="shared" si="3"/>
        <v/>
      </c>
      <c r="AJ15" s="55" t="str">
        <f t="shared" si="3"/>
        <v/>
      </c>
      <c r="AK15" s="55" t="str">
        <f t="shared" si="3"/>
        <v/>
      </c>
      <c r="AL15" s="55" t="str">
        <f t="shared" si="3"/>
        <v/>
      </c>
      <c r="AM15" s="55" t="str">
        <f t="shared" si="3"/>
        <v/>
      </c>
      <c r="AN15" s="55" t="str">
        <f t="shared" si="3"/>
        <v/>
      </c>
      <c r="AO15" s="55" t="str">
        <f t="shared" si="3"/>
        <v/>
      </c>
      <c r="AP15" s="55" t="str">
        <f t="shared" si="3"/>
        <v/>
      </c>
      <c r="AQ15" s="55" t="str">
        <f t="shared" si="3"/>
        <v/>
      </c>
      <c r="AR15" s="55" t="str">
        <f t="shared" si="3"/>
        <v/>
      </c>
      <c r="AS15" s="55" t="str">
        <f t="shared" si="3"/>
        <v/>
      </c>
      <c r="AT15" s="55" t="str">
        <f t="shared" si="3"/>
        <v/>
      </c>
      <c r="AU15" s="55" t="str">
        <f t="shared" si="3"/>
        <v/>
      </c>
      <c r="AV15" s="55" t="str">
        <f t="shared" si="3"/>
        <v/>
      </c>
      <c r="AW15" s="55" t="str">
        <f t="shared" si="3"/>
        <v/>
      </c>
      <c r="AX15" s="55" t="str">
        <f t="shared" si="3"/>
        <v/>
      </c>
      <c r="AY15" s="55" t="str">
        <f t="shared" si="3"/>
        <v/>
      </c>
      <c r="AZ15" s="55" t="str">
        <f t="shared" si="3"/>
        <v/>
      </c>
      <c r="BA15" s="55" t="str">
        <f t="shared" si="3"/>
        <v/>
      </c>
      <c r="BB15" s="55" t="str">
        <f t="shared" si="3"/>
        <v/>
      </c>
      <c r="BC15" s="55" t="str">
        <f t="shared" si="3"/>
        <v/>
      </c>
      <c r="BD15" s="55" t="str">
        <f t="shared" si="3"/>
        <v/>
      </c>
      <c r="BE15" s="55" t="str">
        <f t="shared" si="3"/>
        <v/>
      </c>
      <c r="BF15" s="55" t="str">
        <f t="shared" si="3"/>
        <v/>
      </c>
      <c r="BG15" s="55" t="str">
        <f t="shared" si="3"/>
        <v/>
      </c>
      <c r="BH15" s="55" t="str">
        <f t="shared" si="3"/>
        <v/>
      </c>
      <c r="BI15" s="55" t="str">
        <f t="shared" si="3"/>
        <v/>
      </c>
      <c r="BJ15" s="55" t="str">
        <f t="shared" si="3"/>
        <v/>
      </c>
      <c r="BK15" s="55" t="str">
        <f t="shared" si="3"/>
        <v/>
      </c>
      <c r="BL15" s="55" t="str">
        <f t="shared" si="3"/>
        <v/>
      </c>
      <c r="BM15" s="55" t="str">
        <f t="shared" si="3"/>
        <v/>
      </c>
      <c r="BN15" s="55" t="str">
        <f t="shared" si="3"/>
        <v/>
      </c>
      <c r="BO15" s="55" t="str">
        <f t="shared" si="3"/>
        <v/>
      </c>
      <c r="BP15" s="55" t="str">
        <f t="shared" si="3"/>
        <v/>
      </c>
      <c r="BQ15" s="55" t="str">
        <f t="shared" si="3"/>
        <v/>
      </c>
      <c r="BR15" s="55" t="str">
        <f t="shared" si="3"/>
        <v/>
      </c>
      <c r="BS15" s="55" t="str">
        <f t="shared" si="3"/>
        <v/>
      </c>
      <c r="BT15" s="55" t="str">
        <f t="shared" si="3"/>
        <v/>
      </c>
      <c r="BU15" s="55" t="str">
        <f t="shared" si="3"/>
        <v/>
      </c>
      <c r="BV15" s="55" t="str">
        <f t="shared" si="3"/>
        <v/>
      </c>
      <c r="BW15" s="55" t="str">
        <f t="shared" si="3"/>
        <v/>
      </c>
      <c r="BX15" s="55" t="str">
        <f t="shared" si="3"/>
        <v/>
      </c>
      <c r="BY15" s="55" t="str">
        <f t="shared" si="3"/>
        <v/>
      </c>
      <c r="BZ15" s="55" t="str">
        <f t="shared" si="3"/>
        <v/>
      </c>
      <c r="CA15" s="55" t="str">
        <f t="shared" si="3"/>
        <v/>
      </c>
      <c r="CB15" s="55" t="str">
        <f t="shared" si="3"/>
        <v/>
      </c>
      <c r="CC15" s="55" t="str">
        <f t="shared" si="3"/>
        <v/>
      </c>
      <c r="CD15" s="55" t="str">
        <f t="shared" si="3"/>
        <v/>
      </c>
      <c r="CE15" s="55" t="str">
        <f t="shared" si="3"/>
        <v/>
      </c>
      <c r="CF15" s="55" t="str">
        <f t="shared" si="3"/>
        <v/>
      </c>
      <c r="CG15" s="55" t="str">
        <f t="shared" si="3"/>
        <v/>
      </c>
      <c r="CH15" s="55" t="str">
        <f t="shared" si="3"/>
        <v/>
      </c>
      <c r="CI15" s="55" t="str">
        <f t="shared" si="3"/>
        <v/>
      </c>
      <c r="CJ15" s="55" t="str">
        <f t="shared" si="3"/>
        <v/>
      </c>
      <c r="CK15" s="55" t="str">
        <f t="shared" si="4"/>
        <v/>
      </c>
      <c r="CL15" s="55" t="str">
        <f t="shared" si="4"/>
        <v/>
      </c>
      <c r="CM15" s="55" t="str">
        <f t="shared" si="4"/>
        <v/>
      </c>
      <c r="CN15" s="55" t="str">
        <f t="shared" si="4"/>
        <v/>
      </c>
      <c r="CO15" s="55" t="str">
        <f t="shared" si="4"/>
        <v/>
      </c>
      <c r="CP15" s="55" t="str">
        <f t="shared" si="4"/>
        <v/>
      </c>
      <c r="CQ15" s="55" t="str">
        <f t="shared" si="4"/>
        <v/>
      </c>
      <c r="CR15" s="55" t="str">
        <f t="shared" si="4"/>
        <v/>
      </c>
      <c r="CS15" s="55" t="str">
        <f t="shared" si="4"/>
        <v/>
      </c>
      <c r="CT15" s="55" t="str">
        <f t="shared" si="4"/>
        <v/>
      </c>
      <c r="CU15" s="55" t="str">
        <f t="shared" si="4"/>
        <v/>
      </c>
      <c r="CV15" s="55" t="str">
        <f t="shared" si="4"/>
        <v/>
      </c>
      <c r="CW15" s="55" t="str">
        <f t="shared" si="4"/>
        <v/>
      </c>
      <c r="CX15" s="55" t="str">
        <f t="shared" si="4"/>
        <v/>
      </c>
      <c r="CY15" s="55" t="str">
        <f t="shared" si="4"/>
        <v/>
      </c>
      <c r="CZ15" s="55" t="str">
        <f t="shared" si="4"/>
        <v/>
      </c>
      <c r="DA15" s="55" t="str">
        <f t="shared" si="4"/>
        <v/>
      </c>
      <c r="DB15" s="55" t="str">
        <f t="shared" si="4"/>
        <v/>
      </c>
      <c r="DC15" s="55" t="str">
        <f t="shared" si="4"/>
        <v/>
      </c>
      <c r="DD15" s="55" t="str">
        <f t="shared" si="4"/>
        <v/>
      </c>
      <c r="DE15" s="55" t="str">
        <f t="shared" si="4"/>
        <v/>
      </c>
      <c r="DF15" s="55" t="str">
        <f t="shared" si="4"/>
        <v/>
      </c>
      <c r="DG15" s="55" t="str">
        <f t="shared" si="4"/>
        <v/>
      </c>
      <c r="DH15" s="55" t="str">
        <f t="shared" si="4"/>
        <v/>
      </c>
      <c r="DI15" s="55" t="str">
        <f t="shared" si="4"/>
        <v/>
      </c>
      <c r="DJ15" s="55" t="str">
        <f t="shared" si="4"/>
        <v/>
      </c>
      <c r="DK15" s="55" t="str">
        <f t="shared" si="4"/>
        <v/>
      </c>
      <c r="DL15" s="55" t="str">
        <f t="shared" si="4"/>
        <v/>
      </c>
      <c r="DM15" s="55" t="str">
        <f t="shared" si="4"/>
        <v/>
      </c>
      <c r="DN15" s="55" t="str">
        <f t="shared" si="4"/>
        <v/>
      </c>
      <c r="DO15" s="55" t="str">
        <f t="shared" si="4"/>
        <v/>
      </c>
      <c r="DP15" s="55" t="str">
        <f t="shared" si="4"/>
        <v/>
      </c>
      <c r="DQ15" s="55" t="str">
        <f t="shared" si="4"/>
        <v/>
      </c>
      <c r="DR15" s="55" t="str">
        <f t="shared" si="4"/>
        <v/>
      </c>
      <c r="DS15" s="55" t="str">
        <f t="shared" si="4"/>
        <v/>
      </c>
      <c r="DT15" s="106" t="str">
        <f t="shared" si="4"/>
        <v/>
      </c>
      <c r="DU15" s="54"/>
      <c r="DV15" s="25"/>
      <c r="DW15" s="61" t="str">
        <f t="shared" si="5"/>
        <v/>
      </c>
      <c r="DX15" s="50" t="str">
        <f t="shared" si="5"/>
        <v/>
      </c>
      <c r="DY15" s="50" t="str">
        <f t="shared" si="5"/>
        <v/>
      </c>
      <c r="DZ15" s="50" t="str">
        <f t="shared" si="5"/>
        <v/>
      </c>
      <c r="EA15" s="50" t="str">
        <f t="shared" si="5"/>
        <v/>
      </c>
      <c r="EB15" s="50" t="str">
        <f t="shared" si="5"/>
        <v/>
      </c>
      <c r="EC15" s="50" t="str">
        <f t="shared" si="5"/>
        <v/>
      </c>
      <c r="ED15" s="50" t="str">
        <f t="shared" si="5"/>
        <v/>
      </c>
      <c r="EE15" s="50" t="str">
        <f t="shared" si="5"/>
        <v/>
      </c>
      <c r="EF15" s="50" t="str">
        <f t="shared" si="5"/>
        <v/>
      </c>
      <c r="EG15" s="50" t="str">
        <f t="shared" si="5"/>
        <v/>
      </c>
      <c r="EH15" s="50" t="str">
        <f t="shared" si="5"/>
        <v/>
      </c>
      <c r="EI15" s="50" t="str">
        <f t="shared" si="5"/>
        <v/>
      </c>
      <c r="EJ15" s="50" t="str">
        <f t="shared" si="5"/>
        <v/>
      </c>
      <c r="EK15" s="50" t="str">
        <f t="shared" si="5"/>
        <v/>
      </c>
      <c r="EL15" s="50" t="str">
        <f t="shared" si="5"/>
        <v/>
      </c>
      <c r="EM15" s="50" t="str">
        <f t="shared" si="5"/>
        <v/>
      </c>
      <c r="EN15" s="50" t="str">
        <f t="shared" si="5"/>
        <v/>
      </c>
      <c r="EO15" s="50" t="str">
        <f t="shared" si="5"/>
        <v/>
      </c>
      <c r="EP15" s="50" t="str">
        <f t="shared" si="5"/>
        <v/>
      </c>
      <c r="EQ15" s="50" t="str">
        <f t="shared" si="5"/>
        <v/>
      </c>
      <c r="ER15" s="50" t="str">
        <f t="shared" si="5"/>
        <v/>
      </c>
      <c r="ES15" s="50" t="str">
        <f t="shared" si="5"/>
        <v/>
      </c>
      <c r="ET15" s="50" t="str">
        <f t="shared" si="5"/>
        <v/>
      </c>
      <c r="EU15" s="50" t="str">
        <f t="shared" si="5"/>
        <v/>
      </c>
      <c r="EV15" s="50" t="str">
        <f t="shared" si="5"/>
        <v/>
      </c>
      <c r="EW15" s="50" t="str">
        <f t="shared" si="5"/>
        <v/>
      </c>
      <c r="EX15" s="50" t="str">
        <f t="shared" si="5"/>
        <v/>
      </c>
      <c r="EY15" s="50" t="str">
        <f t="shared" si="5"/>
        <v/>
      </c>
      <c r="EZ15" s="50" t="str">
        <f t="shared" si="5"/>
        <v/>
      </c>
      <c r="FA15" s="50" t="str">
        <f t="shared" si="5"/>
        <v/>
      </c>
      <c r="FB15" s="50" t="str">
        <f t="shared" si="5"/>
        <v/>
      </c>
      <c r="FC15" s="50" t="str">
        <f t="shared" si="5"/>
        <v/>
      </c>
      <c r="FD15" s="50" t="str">
        <f t="shared" si="5"/>
        <v/>
      </c>
      <c r="FE15" s="50" t="str">
        <f t="shared" si="5"/>
        <v/>
      </c>
      <c r="FF15" s="50" t="str">
        <f t="shared" si="5"/>
        <v/>
      </c>
      <c r="FG15" s="50" t="str">
        <f t="shared" si="5"/>
        <v/>
      </c>
      <c r="FH15" s="50" t="str">
        <f t="shared" si="5"/>
        <v/>
      </c>
      <c r="FI15" s="50" t="str">
        <f t="shared" si="5"/>
        <v/>
      </c>
      <c r="FJ15" s="50" t="str">
        <f t="shared" si="5"/>
        <v/>
      </c>
      <c r="FK15" s="50" t="str">
        <f t="shared" si="5"/>
        <v/>
      </c>
      <c r="FL15" s="50" t="str">
        <f t="shared" si="5"/>
        <v/>
      </c>
      <c r="FM15" s="50" t="str">
        <f t="shared" si="5"/>
        <v/>
      </c>
      <c r="FN15" s="50" t="str">
        <f t="shared" si="5"/>
        <v/>
      </c>
      <c r="FO15" s="50" t="str">
        <f t="shared" si="5"/>
        <v/>
      </c>
      <c r="FP15" s="50" t="str">
        <f t="shared" si="5"/>
        <v/>
      </c>
      <c r="FQ15" s="50" t="str">
        <f t="shared" si="5"/>
        <v/>
      </c>
      <c r="FR15" s="50" t="str">
        <f t="shared" si="5"/>
        <v/>
      </c>
      <c r="FS15" s="50" t="str">
        <f t="shared" si="5"/>
        <v/>
      </c>
      <c r="FT15" s="50" t="str">
        <f t="shared" si="5"/>
        <v/>
      </c>
      <c r="FU15" s="50" t="str">
        <f t="shared" si="5"/>
        <v/>
      </c>
      <c r="FV15" s="50" t="str">
        <f t="shared" si="5"/>
        <v/>
      </c>
      <c r="FW15" s="50" t="str">
        <f t="shared" si="5"/>
        <v/>
      </c>
      <c r="FX15" s="50" t="str">
        <f t="shared" si="5"/>
        <v/>
      </c>
      <c r="FY15" s="50" t="str">
        <f t="shared" si="5"/>
        <v/>
      </c>
      <c r="FZ15" s="50" t="str">
        <f t="shared" si="5"/>
        <v/>
      </c>
      <c r="GA15" s="50" t="str">
        <f t="shared" si="5"/>
        <v/>
      </c>
      <c r="GB15" s="50" t="str">
        <f t="shared" si="5"/>
        <v/>
      </c>
      <c r="GC15" s="50" t="str">
        <f t="shared" si="5"/>
        <v/>
      </c>
      <c r="GD15" s="50" t="str">
        <f t="shared" si="5"/>
        <v/>
      </c>
      <c r="GE15" s="50" t="str">
        <f t="shared" si="5"/>
        <v/>
      </c>
      <c r="GF15" s="50" t="str">
        <f t="shared" si="5"/>
        <v/>
      </c>
      <c r="GG15" s="50" t="str">
        <f t="shared" si="5"/>
        <v/>
      </c>
      <c r="GH15" s="50" t="str">
        <f t="shared" si="5"/>
        <v/>
      </c>
      <c r="GI15" s="50" t="str">
        <f t="shared" si="6"/>
        <v/>
      </c>
      <c r="GJ15" s="50" t="str">
        <f t="shared" si="6"/>
        <v/>
      </c>
      <c r="GK15" s="50" t="str">
        <f t="shared" si="6"/>
        <v/>
      </c>
      <c r="GL15" s="50" t="str">
        <f t="shared" si="6"/>
        <v/>
      </c>
      <c r="GM15" s="50" t="str">
        <f t="shared" si="6"/>
        <v/>
      </c>
      <c r="GN15" s="50" t="str">
        <f t="shared" si="6"/>
        <v/>
      </c>
      <c r="GO15" s="50" t="str">
        <f t="shared" si="6"/>
        <v/>
      </c>
      <c r="GP15" s="50" t="str">
        <f t="shared" si="6"/>
        <v/>
      </c>
      <c r="GQ15" s="50" t="str">
        <f t="shared" si="6"/>
        <v/>
      </c>
      <c r="GR15" s="50" t="str">
        <f t="shared" si="6"/>
        <v/>
      </c>
      <c r="GS15" s="50" t="str">
        <f t="shared" si="6"/>
        <v/>
      </c>
      <c r="GT15" s="50" t="str">
        <f t="shared" si="6"/>
        <v/>
      </c>
      <c r="GU15" s="50" t="str">
        <f t="shared" si="6"/>
        <v/>
      </c>
      <c r="GV15" s="50" t="str">
        <f t="shared" si="6"/>
        <v/>
      </c>
      <c r="GW15" s="50" t="str">
        <f t="shared" si="6"/>
        <v/>
      </c>
      <c r="GX15" s="50" t="str">
        <f t="shared" si="6"/>
        <v/>
      </c>
      <c r="GY15" s="50" t="str">
        <f t="shared" si="6"/>
        <v/>
      </c>
      <c r="GZ15" s="50" t="str">
        <f t="shared" si="6"/>
        <v/>
      </c>
      <c r="HA15" s="50" t="str">
        <f t="shared" si="6"/>
        <v/>
      </c>
      <c r="HB15" s="50" t="str">
        <f t="shared" si="6"/>
        <v/>
      </c>
      <c r="HC15" s="50" t="str">
        <f t="shared" si="6"/>
        <v/>
      </c>
      <c r="HD15" s="50" t="str">
        <f t="shared" si="6"/>
        <v/>
      </c>
      <c r="HE15" s="50" t="str">
        <f t="shared" si="6"/>
        <v/>
      </c>
      <c r="HF15" s="50" t="str">
        <f t="shared" si="6"/>
        <v/>
      </c>
      <c r="HG15" s="50" t="str">
        <f t="shared" si="6"/>
        <v/>
      </c>
      <c r="HH15" s="50" t="str">
        <f t="shared" si="6"/>
        <v/>
      </c>
      <c r="HI15" s="50" t="str">
        <f t="shared" si="6"/>
        <v/>
      </c>
      <c r="HJ15" s="50" t="str">
        <f t="shared" si="6"/>
        <v/>
      </c>
      <c r="HK15" s="50" t="str">
        <f t="shared" si="6"/>
        <v/>
      </c>
      <c r="HL15" s="50" t="str">
        <f t="shared" si="6"/>
        <v/>
      </c>
      <c r="HM15" s="50" t="str">
        <f t="shared" si="6"/>
        <v/>
      </c>
      <c r="HN15" s="50" t="str">
        <f t="shared" si="6"/>
        <v/>
      </c>
      <c r="HO15" s="50" t="str">
        <f t="shared" si="6"/>
        <v/>
      </c>
      <c r="HP15" s="50" t="str">
        <f t="shared" si="6"/>
        <v/>
      </c>
      <c r="HQ15" s="50" t="str">
        <f t="shared" si="6"/>
        <v/>
      </c>
      <c r="HR15" s="112" t="str">
        <f t="shared" si="6"/>
        <v/>
      </c>
    </row>
    <row r="16" spans="1:226" ht="11.1" customHeight="1" x14ac:dyDescent="0.25">
      <c r="A16" s="26"/>
      <c r="B16" s="27"/>
      <c r="C16" s="28" t="str">
        <f>IF(A16=0,"",VLOOKUP(A16,[2]CO!$A$3:$F$5327,2,0))</f>
        <v/>
      </c>
      <c r="D16" s="29"/>
      <c r="E16" s="29"/>
      <c r="F16" s="29"/>
      <c r="G16" s="30" t="str">
        <f>IF(A16=0,"",VLOOKUP(A16,[2]CO!$A$3:$F$5327,3,0))</f>
        <v/>
      </c>
      <c r="H16" s="29"/>
      <c r="I16" s="31"/>
      <c r="J16" s="31"/>
      <c r="K16" s="31"/>
      <c r="L16" s="31"/>
      <c r="M16" s="32" t="str">
        <f t="shared" ref="M16:M18" si="8">IF(L16=0,"",PRODUCT(I16:L16))</f>
        <v/>
      </c>
      <c r="N16" s="32" t="str">
        <f>IF(B16=0,"",IF(H16="M",HLOOKUP(B16,$Y$12:$DT$13,2),IF(A16=0,"",VLOOKUP(A16,[2]CO!$A$3:$F$5327,4,0))))</f>
        <v/>
      </c>
      <c r="O16" s="32" t="str">
        <f t="shared" ref="O16:O18" si="9">IF(L16=0,"",PRODUCT(M16:N16))</f>
        <v/>
      </c>
      <c r="P16" s="33"/>
      <c r="Q16" s="34" t="str">
        <f t="shared" ref="Q16:Q18" si="10">IF(P16=0,"",(HLOOKUP(P16,$DW$12:$HR$13,2)))</f>
        <v/>
      </c>
      <c r="R16" s="35" t="str">
        <f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RESIDENTE"),VLOOKUP(B16,P$14:Q$49,2),"")*S16)</f>
        <v/>
      </c>
      <c r="T16" s="53" t="str">
        <f>IF(A16=0,"",VLOOKUP(A16,[2]CO!$A$3:$F$5318,5,0))</f>
        <v/>
      </c>
      <c r="U16" s="54">
        <f t="shared" ref="U16:U18" si="11">IF(T16=1,O16*0.1,)</f>
        <v>0</v>
      </c>
      <c r="V16" s="24"/>
      <c r="W16" s="25"/>
      <c r="X16" s="25"/>
      <c r="Y16" s="64" t="str">
        <f t="shared" ref="Y16:AA16" si="12">IF($B16=Y$12,$U16,"")</f>
        <v/>
      </c>
      <c r="Z16" s="55" t="str">
        <f t="shared" si="12"/>
        <v/>
      </c>
      <c r="AA16" s="55" t="str">
        <f t="shared" si="12"/>
        <v/>
      </c>
      <c r="AB16" s="55" t="str">
        <f t="shared" ref="AB16:CI16" si="13">IF($B16=AB$12,$U16,"")</f>
        <v/>
      </c>
      <c r="AC16" s="55" t="str">
        <f t="shared" si="13"/>
        <v/>
      </c>
      <c r="AD16" s="55" t="str">
        <f t="shared" si="13"/>
        <v/>
      </c>
      <c r="AE16" s="55" t="str">
        <f t="shared" si="13"/>
        <v/>
      </c>
      <c r="AF16" s="55" t="str">
        <f t="shared" si="13"/>
        <v/>
      </c>
      <c r="AG16" s="55" t="str">
        <f t="shared" si="13"/>
        <v/>
      </c>
      <c r="AH16" s="55" t="str">
        <f t="shared" si="13"/>
        <v/>
      </c>
      <c r="AI16" s="55" t="str">
        <f t="shared" si="13"/>
        <v/>
      </c>
      <c r="AJ16" s="55" t="str">
        <f t="shared" si="13"/>
        <v/>
      </c>
      <c r="AK16" s="55" t="str">
        <f t="shared" si="13"/>
        <v/>
      </c>
      <c r="AL16" s="55" t="str">
        <f t="shared" si="13"/>
        <v/>
      </c>
      <c r="AM16" s="55" t="str">
        <f t="shared" si="13"/>
        <v/>
      </c>
      <c r="AN16" s="55" t="str">
        <f t="shared" si="13"/>
        <v/>
      </c>
      <c r="AO16" s="55" t="str">
        <f t="shared" si="13"/>
        <v/>
      </c>
      <c r="AP16" s="55" t="str">
        <f t="shared" si="13"/>
        <v/>
      </c>
      <c r="AQ16" s="55" t="str">
        <f t="shared" si="13"/>
        <v/>
      </c>
      <c r="AR16" s="55" t="str">
        <f t="shared" si="13"/>
        <v/>
      </c>
      <c r="AS16" s="55" t="str">
        <f t="shared" si="13"/>
        <v/>
      </c>
      <c r="AT16" s="55" t="str">
        <f t="shared" si="13"/>
        <v/>
      </c>
      <c r="AU16" s="55" t="str">
        <f t="shared" si="13"/>
        <v/>
      </c>
      <c r="AV16" s="55" t="str">
        <f t="shared" si="13"/>
        <v/>
      </c>
      <c r="AW16" s="55" t="str">
        <f t="shared" si="13"/>
        <v/>
      </c>
      <c r="AX16" s="55" t="str">
        <f t="shared" si="13"/>
        <v/>
      </c>
      <c r="AY16" s="55" t="str">
        <f t="shared" si="13"/>
        <v/>
      </c>
      <c r="AZ16" s="55" t="str">
        <f t="shared" si="13"/>
        <v/>
      </c>
      <c r="BA16" s="55" t="str">
        <f t="shared" si="13"/>
        <v/>
      </c>
      <c r="BB16" s="55" t="str">
        <f t="shared" si="13"/>
        <v/>
      </c>
      <c r="BC16" s="55" t="str">
        <f t="shared" si="13"/>
        <v/>
      </c>
      <c r="BD16" s="55" t="str">
        <f t="shared" si="13"/>
        <v/>
      </c>
      <c r="BE16" s="55" t="str">
        <f t="shared" si="13"/>
        <v/>
      </c>
      <c r="BF16" s="55" t="str">
        <f t="shared" si="13"/>
        <v/>
      </c>
      <c r="BG16" s="55" t="str">
        <f t="shared" si="13"/>
        <v/>
      </c>
      <c r="BH16" s="55" t="str">
        <f t="shared" si="13"/>
        <v/>
      </c>
      <c r="BI16" s="55" t="str">
        <f t="shared" si="13"/>
        <v/>
      </c>
      <c r="BJ16" s="55" t="str">
        <f t="shared" si="13"/>
        <v/>
      </c>
      <c r="BK16" s="55" t="str">
        <f t="shared" si="13"/>
        <v/>
      </c>
      <c r="BL16" s="55" t="str">
        <f t="shared" si="13"/>
        <v/>
      </c>
      <c r="BM16" s="55" t="str">
        <f t="shared" si="13"/>
        <v/>
      </c>
      <c r="BN16" s="55" t="str">
        <f t="shared" si="13"/>
        <v/>
      </c>
      <c r="BO16" s="55" t="str">
        <f t="shared" si="13"/>
        <v/>
      </c>
      <c r="BP16" s="55" t="str">
        <f t="shared" si="13"/>
        <v/>
      </c>
      <c r="BQ16" s="55" t="str">
        <f t="shared" si="13"/>
        <v/>
      </c>
      <c r="BR16" s="55" t="str">
        <f t="shared" si="13"/>
        <v/>
      </c>
      <c r="BS16" s="55" t="str">
        <f t="shared" si="13"/>
        <v/>
      </c>
      <c r="BT16" s="55" t="str">
        <f t="shared" si="13"/>
        <v/>
      </c>
      <c r="BU16" s="55" t="str">
        <f t="shared" si="13"/>
        <v/>
      </c>
      <c r="BV16" s="55" t="str">
        <f t="shared" si="13"/>
        <v/>
      </c>
      <c r="BW16" s="55" t="str">
        <f t="shared" si="13"/>
        <v/>
      </c>
      <c r="BX16" s="55" t="str">
        <f t="shared" si="13"/>
        <v/>
      </c>
      <c r="BY16" s="55" t="str">
        <f t="shared" si="13"/>
        <v/>
      </c>
      <c r="BZ16" s="55" t="str">
        <f t="shared" si="13"/>
        <v/>
      </c>
      <c r="CA16" s="55" t="str">
        <f t="shared" si="13"/>
        <v/>
      </c>
      <c r="CB16" s="55" t="str">
        <f t="shared" si="13"/>
        <v/>
      </c>
      <c r="CC16" s="55" t="str">
        <f t="shared" si="13"/>
        <v/>
      </c>
      <c r="CD16" s="55" t="str">
        <f t="shared" si="13"/>
        <v/>
      </c>
      <c r="CE16" s="55" t="str">
        <f t="shared" si="13"/>
        <v/>
      </c>
      <c r="CF16" s="55" t="str">
        <f t="shared" si="13"/>
        <v/>
      </c>
      <c r="CG16" s="55" t="str">
        <f t="shared" si="13"/>
        <v/>
      </c>
      <c r="CH16" s="55" t="str">
        <f t="shared" si="13"/>
        <v/>
      </c>
      <c r="CI16" s="55" t="str">
        <f t="shared" si="13"/>
        <v/>
      </c>
      <c r="CJ16" s="55" t="str">
        <f t="shared" ref="CJ16:CY18" si="14">IF($B16=CJ$12,$U16,"")</f>
        <v/>
      </c>
      <c r="CK16" s="55" t="str">
        <f t="shared" si="14"/>
        <v/>
      </c>
      <c r="CL16" s="55" t="str">
        <f t="shared" si="14"/>
        <v/>
      </c>
      <c r="CM16" s="55" t="str">
        <f t="shared" si="14"/>
        <v/>
      </c>
      <c r="CN16" s="55" t="str">
        <f t="shared" ref="CN16:CY17" si="15">IF($B16=CN$12,$U16,"")</f>
        <v/>
      </c>
      <c r="CO16" s="55" t="str">
        <f t="shared" si="15"/>
        <v/>
      </c>
      <c r="CP16" s="55" t="str">
        <f t="shared" si="15"/>
        <v/>
      </c>
      <c r="CQ16" s="55" t="str">
        <f t="shared" si="15"/>
        <v/>
      </c>
      <c r="CR16" s="55" t="str">
        <f t="shared" si="15"/>
        <v/>
      </c>
      <c r="CS16" s="55" t="str">
        <f t="shared" si="15"/>
        <v/>
      </c>
      <c r="CT16" s="55" t="str">
        <f t="shared" si="15"/>
        <v/>
      </c>
      <c r="CU16" s="55" t="str">
        <f t="shared" si="15"/>
        <v/>
      </c>
      <c r="CV16" s="55" t="str">
        <f t="shared" si="15"/>
        <v/>
      </c>
      <c r="CW16" s="55" t="str">
        <f t="shared" si="15"/>
        <v/>
      </c>
      <c r="CX16" s="55" t="str">
        <f t="shared" si="15"/>
        <v/>
      </c>
      <c r="CY16" s="55" t="str">
        <f t="shared" si="15"/>
        <v/>
      </c>
      <c r="CZ16" s="55" t="str">
        <f t="shared" ref="CZ16:DN18" si="16">IF($B16=CZ$12,$U16,"")</f>
        <v/>
      </c>
      <c r="DA16" s="55" t="str">
        <f t="shared" si="16"/>
        <v/>
      </c>
      <c r="DB16" s="55" t="str">
        <f t="shared" si="16"/>
        <v/>
      </c>
      <c r="DC16" s="55" t="str">
        <f t="shared" si="16"/>
        <v/>
      </c>
      <c r="DD16" s="55" t="str">
        <f t="shared" si="16"/>
        <v/>
      </c>
      <c r="DE16" s="55" t="str">
        <f t="shared" si="16"/>
        <v/>
      </c>
      <c r="DF16" s="55" t="str">
        <f t="shared" si="16"/>
        <v/>
      </c>
      <c r="DG16" s="55" t="str">
        <f t="shared" si="16"/>
        <v/>
      </c>
      <c r="DH16" s="55" t="str">
        <f t="shared" si="16"/>
        <v/>
      </c>
      <c r="DI16" s="55" t="str">
        <f t="shared" si="16"/>
        <v/>
      </c>
      <c r="DJ16" s="55" t="str">
        <f t="shared" si="16"/>
        <v/>
      </c>
      <c r="DK16" s="55" t="str">
        <f t="shared" si="16"/>
        <v/>
      </c>
      <c r="DL16" s="55" t="str">
        <f t="shared" si="16"/>
        <v/>
      </c>
      <c r="DM16" s="55" t="str">
        <f t="shared" si="16"/>
        <v/>
      </c>
      <c r="DN16" s="55" t="str">
        <f t="shared" si="16"/>
        <v/>
      </c>
      <c r="DO16" s="55" t="str">
        <f t="shared" ref="DO16:DT18" si="17">IF($B16=DO$12,$U16,"")</f>
        <v/>
      </c>
      <c r="DP16" s="55" t="str">
        <f t="shared" si="17"/>
        <v/>
      </c>
      <c r="DQ16" s="55" t="str">
        <f t="shared" si="17"/>
        <v/>
      </c>
      <c r="DR16" s="55" t="str">
        <f t="shared" si="17"/>
        <v/>
      </c>
      <c r="DS16" s="55" t="str">
        <f t="shared" si="17"/>
        <v/>
      </c>
      <c r="DT16" s="106" t="str">
        <f t="shared" si="17"/>
        <v/>
      </c>
      <c r="DU16" s="54"/>
      <c r="DV16" s="25"/>
      <c r="DW16" s="61" t="str">
        <f t="shared" ref="DW16:DY16" si="18">IF($B16=DW$12,$O16,"")</f>
        <v/>
      </c>
      <c r="DX16" s="50" t="str">
        <f t="shared" si="18"/>
        <v/>
      </c>
      <c r="DY16" s="50" t="str">
        <f t="shared" si="18"/>
        <v/>
      </c>
      <c r="DZ16" s="50" t="str">
        <f t="shared" ref="DZ16:GG16" si="19">IF($B16=DZ$12,$O16,"")</f>
        <v/>
      </c>
      <c r="EA16" s="50" t="str">
        <f t="shared" si="19"/>
        <v/>
      </c>
      <c r="EB16" s="50" t="str">
        <f t="shared" si="19"/>
        <v/>
      </c>
      <c r="EC16" s="50" t="str">
        <f t="shared" si="19"/>
        <v/>
      </c>
      <c r="ED16" s="50" t="str">
        <f t="shared" si="19"/>
        <v/>
      </c>
      <c r="EE16" s="50" t="str">
        <f t="shared" si="19"/>
        <v/>
      </c>
      <c r="EF16" s="50" t="str">
        <f t="shared" si="19"/>
        <v/>
      </c>
      <c r="EG16" s="50" t="str">
        <f t="shared" si="19"/>
        <v/>
      </c>
      <c r="EH16" s="50" t="str">
        <f t="shared" si="19"/>
        <v/>
      </c>
      <c r="EI16" s="50" t="str">
        <f t="shared" si="19"/>
        <v/>
      </c>
      <c r="EJ16" s="50" t="str">
        <f t="shared" si="19"/>
        <v/>
      </c>
      <c r="EK16" s="50" t="str">
        <f t="shared" si="19"/>
        <v/>
      </c>
      <c r="EL16" s="50" t="str">
        <f t="shared" si="19"/>
        <v/>
      </c>
      <c r="EM16" s="50" t="str">
        <f t="shared" si="19"/>
        <v/>
      </c>
      <c r="EN16" s="50" t="str">
        <f t="shared" si="19"/>
        <v/>
      </c>
      <c r="EO16" s="50" t="str">
        <f t="shared" si="19"/>
        <v/>
      </c>
      <c r="EP16" s="50" t="str">
        <f t="shared" si="19"/>
        <v/>
      </c>
      <c r="EQ16" s="50" t="str">
        <f t="shared" si="19"/>
        <v/>
      </c>
      <c r="ER16" s="50" t="str">
        <f t="shared" si="19"/>
        <v/>
      </c>
      <c r="ES16" s="50" t="str">
        <f t="shared" si="19"/>
        <v/>
      </c>
      <c r="ET16" s="50" t="str">
        <f t="shared" si="19"/>
        <v/>
      </c>
      <c r="EU16" s="50" t="str">
        <f t="shared" si="19"/>
        <v/>
      </c>
      <c r="EV16" s="50" t="str">
        <f t="shared" si="19"/>
        <v/>
      </c>
      <c r="EW16" s="50" t="str">
        <f t="shared" si="19"/>
        <v/>
      </c>
      <c r="EX16" s="50" t="str">
        <f t="shared" si="19"/>
        <v/>
      </c>
      <c r="EY16" s="50" t="str">
        <f t="shared" si="19"/>
        <v/>
      </c>
      <c r="EZ16" s="50" t="str">
        <f t="shared" si="19"/>
        <v/>
      </c>
      <c r="FA16" s="50" t="str">
        <f t="shared" si="19"/>
        <v/>
      </c>
      <c r="FB16" s="50" t="str">
        <f t="shared" si="19"/>
        <v/>
      </c>
      <c r="FC16" s="50" t="str">
        <f t="shared" si="19"/>
        <v/>
      </c>
      <c r="FD16" s="50" t="str">
        <f t="shared" si="19"/>
        <v/>
      </c>
      <c r="FE16" s="50" t="str">
        <f t="shared" si="19"/>
        <v/>
      </c>
      <c r="FF16" s="50" t="str">
        <f t="shared" si="19"/>
        <v/>
      </c>
      <c r="FG16" s="50" t="str">
        <f t="shared" si="19"/>
        <v/>
      </c>
      <c r="FH16" s="50" t="str">
        <f t="shared" si="19"/>
        <v/>
      </c>
      <c r="FI16" s="50" t="str">
        <f t="shared" si="19"/>
        <v/>
      </c>
      <c r="FJ16" s="50" t="str">
        <f t="shared" si="19"/>
        <v/>
      </c>
      <c r="FK16" s="50" t="str">
        <f t="shared" si="19"/>
        <v/>
      </c>
      <c r="FL16" s="50" t="str">
        <f t="shared" si="19"/>
        <v/>
      </c>
      <c r="FM16" s="50" t="str">
        <f t="shared" si="19"/>
        <v/>
      </c>
      <c r="FN16" s="50" t="str">
        <f t="shared" si="19"/>
        <v/>
      </c>
      <c r="FO16" s="50" t="str">
        <f t="shared" si="19"/>
        <v/>
      </c>
      <c r="FP16" s="50" t="str">
        <f t="shared" si="19"/>
        <v/>
      </c>
      <c r="FQ16" s="50" t="str">
        <f t="shared" si="19"/>
        <v/>
      </c>
      <c r="FR16" s="50" t="str">
        <f t="shared" si="19"/>
        <v/>
      </c>
      <c r="FS16" s="50" t="str">
        <f t="shared" si="19"/>
        <v/>
      </c>
      <c r="FT16" s="50" t="str">
        <f t="shared" si="19"/>
        <v/>
      </c>
      <c r="FU16" s="50" t="str">
        <f t="shared" si="19"/>
        <v/>
      </c>
      <c r="FV16" s="50" t="str">
        <f t="shared" si="19"/>
        <v/>
      </c>
      <c r="FW16" s="50" t="str">
        <f t="shared" si="19"/>
        <v/>
      </c>
      <c r="FX16" s="50" t="str">
        <f t="shared" si="19"/>
        <v/>
      </c>
      <c r="FY16" s="50" t="str">
        <f t="shared" si="19"/>
        <v/>
      </c>
      <c r="FZ16" s="50" t="str">
        <f t="shared" si="19"/>
        <v/>
      </c>
      <c r="GA16" s="50" t="str">
        <f t="shared" si="19"/>
        <v/>
      </c>
      <c r="GB16" s="50" t="str">
        <f t="shared" si="19"/>
        <v/>
      </c>
      <c r="GC16" s="50" t="str">
        <f t="shared" si="19"/>
        <v/>
      </c>
      <c r="GD16" s="50" t="str">
        <f t="shared" si="19"/>
        <v/>
      </c>
      <c r="GE16" s="50" t="str">
        <f t="shared" si="19"/>
        <v/>
      </c>
      <c r="GF16" s="50" t="str">
        <f t="shared" si="19"/>
        <v/>
      </c>
      <c r="GG16" s="50" t="str">
        <f t="shared" si="19"/>
        <v/>
      </c>
      <c r="GH16" s="50" t="str">
        <f t="shared" ref="GH16:GW18" si="20">IF($B16=GH$12,$O16,"")</f>
        <v/>
      </c>
      <c r="GI16" s="50" t="str">
        <f t="shared" si="20"/>
        <v/>
      </c>
      <c r="GJ16" s="50" t="str">
        <f t="shared" si="20"/>
        <v/>
      </c>
      <c r="GK16" s="50" t="str">
        <f t="shared" si="20"/>
        <v/>
      </c>
      <c r="GL16" s="50" t="str">
        <f t="shared" ref="GL16:GW17" si="21">IF($B16=GL$12,$O16,"")</f>
        <v/>
      </c>
      <c r="GM16" s="50" t="str">
        <f t="shared" si="21"/>
        <v/>
      </c>
      <c r="GN16" s="50" t="str">
        <f t="shared" si="21"/>
        <v/>
      </c>
      <c r="GO16" s="50" t="str">
        <f t="shared" si="21"/>
        <v/>
      </c>
      <c r="GP16" s="50" t="str">
        <f t="shared" si="21"/>
        <v/>
      </c>
      <c r="GQ16" s="50" t="str">
        <f t="shared" si="21"/>
        <v/>
      </c>
      <c r="GR16" s="50" t="str">
        <f t="shared" si="21"/>
        <v/>
      </c>
      <c r="GS16" s="50" t="str">
        <f t="shared" si="21"/>
        <v/>
      </c>
      <c r="GT16" s="50" t="str">
        <f t="shared" si="21"/>
        <v/>
      </c>
      <c r="GU16" s="50" t="str">
        <f t="shared" si="21"/>
        <v/>
      </c>
      <c r="GV16" s="50" t="str">
        <f t="shared" si="21"/>
        <v/>
      </c>
      <c r="GW16" s="50" t="str">
        <f t="shared" si="21"/>
        <v/>
      </c>
      <c r="GX16" s="50" t="str">
        <f t="shared" ref="GX16:HL18" si="22">IF($B16=GX$12,$O16,"")</f>
        <v/>
      </c>
      <c r="GY16" s="50" t="str">
        <f t="shared" si="22"/>
        <v/>
      </c>
      <c r="GZ16" s="50" t="str">
        <f t="shared" si="22"/>
        <v/>
      </c>
      <c r="HA16" s="50" t="str">
        <f t="shared" si="22"/>
        <v/>
      </c>
      <c r="HB16" s="50" t="str">
        <f t="shared" si="22"/>
        <v/>
      </c>
      <c r="HC16" s="50" t="str">
        <f t="shared" si="22"/>
        <v/>
      </c>
      <c r="HD16" s="50" t="str">
        <f t="shared" si="22"/>
        <v/>
      </c>
      <c r="HE16" s="50" t="str">
        <f t="shared" si="22"/>
        <v/>
      </c>
      <c r="HF16" s="50" t="str">
        <f t="shared" si="22"/>
        <v/>
      </c>
      <c r="HG16" s="50" t="str">
        <f t="shared" si="22"/>
        <v/>
      </c>
      <c r="HH16" s="50" t="str">
        <f t="shared" si="22"/>
        <v/>
      </c>
      <c r="HI16" s="50" t="str">
        <f t="shared" si="22"/>
        <v/>
      </c>
      <c r="HJ16" s="50" t="str">
        <f t="shared" si="22"/>
        <v/>
      </c>
      <c r="HK16" s="50" t="str">
        <f t="shared" si="22"/>
        <v/>
      </c>
      <c r="HL16" s="50" t="str">
        <f t="shared" si="22"/>
        <v/>
      </c>
      <c r="HM16" s="50" t="str">
        <f t="shared" ref="HM16:HR18" si="23">IF($B16=HM$12,$O16,"")</f>
        <v/>
      </c>
      <c r="HN16" s="50" t="str">
        <f t="shared" si="23"/>
        <v/>
      </c>
      <c r="HO16" s="50" t="str">
        <f t="shared" si="23"/>
        <v/>
      </c>
      <c r="HP16" s="50" t="str">
        <f t="shared" si="23"/>
        <v/>
      </c>
      <c r="HQ16" s="50" t="str">
        <f t="shared" si="23"/>
        <v/>
      </c>
      <c r="HR16" s="112" t="str">
        <f t="shared" si="23"/>
        <v/>
      </c>
    </row>
    <row r="17" spans="1:226" ht="11.1" customHeight="1" x14ac:dyDescent="0.25">
      <c r="A17" s="26"/>
      <c r="B17" s="27"/>
      <c r="C17" s="28" t="str">
        <f>IF(A17=0,"",VLOOKUP(A17,[2]CO!$A$3:$F$5327,2,0))</f>
        <v/>
      </c>
      <c r="D17" s="29"/>
      <c r="E17" s="29"/>
      <c r="F17" s="29"/>
      <c r="G17" s="30" t="str">
        <f>IF(A17=0,"",VLOOKUP(A17,[2]CO!$A$3:$F$5327,3,0))</f>
        <v/>
      </c>
      <c r="H17" s="29"/>
      <c r="I17" s="31"/>
      <c r="J17" s="31"/>
      <c r="K17" s="31"/>
      <c r="L17" s="31"/>
      <c r="M17" s="32" t="str">
        <f t="shared" si="8"/>
        <v/>
      </c>
      <c r="N17" s="32" t="str">
        <f>IF(B17=0,"",IF(H17="M",HLOOKUP(B17,$Y$12:$DT$13,2),IF(A17=0,"",VLOOKUP(A17,[2]CO!$A$3:$F$5327,4,0))))</f>
        <v/>
      </c>
      <c r="O17" s="32" t="str">
        <f t="shared" si="9"/>
        <v/>
      </c>
      <c r="P17" s="33"/>
      <c r="Q17" s="34" t="str">
        <f t="shared" si="10"/>
        <v/>
      </c>
      <c r="R17" s="35" t="str">
        <f>IF(S17=0,"",IF(OR(G17="PEON",G17="OF",G17="JARD",G17="CARP",G17="MAESTRO",G17="SOLD",G17="BGRO",G17="CHOFER",G17="AYTE",G17="S.INTTE.",G17="ASEO",G17="P.PISOS",G17="VELADOR",G17="RESID",G17="PINTOR",G17="ELECT",G17="AZULE",G17="AUX CONT.",G17="SECRETARIA",G17="AUXILIAR ADMTVO.",G17="ARQUITECTO",G17="DIBUJANTE",G17="AUX. DE RESIDENTE"),VLOOKUP(B17,P$14:Q$49,2),"")*S17)</f>
        <v/>
      </c>
      <c r="T17" s="53" t="str">
        <f>IF(A17=0,"",VLOOKUP(A17,[2]CO!$A$3:$F$5318,5,0))</f>
        <v/>
      </c>
      <c r="U17" s="54">
        <f t="shared" si="11"/>
        <v>0</v>
      </c>
      <c r="V17" s="24"/>
      <c r="W17" s="25"/>
      <c r="X17" s="25"/>
      <c r="Y17" s="64" t="str">
        <f t="shared" ref="Y17:CI18" si="24">IF($B17=Y$12,$U17,"")</f>
        <v/>
      </c>
      <c r="Z17" s="55" t="str">
        <f t="shared" si="24"/>
        <v/>
      </c>
      <c r="AA17" s="55" t="str">
        <f t="shared" si="24"/>
        <v/>
      </c>
      <c r="AB17" s="55" t="str">
        <f t="shared" si="24"/>
        <v/>
      </c>
      <c r="AC17" s="55" t="str">
        <f t="shared" si="24"/>
        <v/>
      </c>
      <c r="AD17" s="55" t="str">
        <f t="shared" si="24"/>
        <v/>
      </c>
      <c r="AE17" s="55" t="str">
        <f t="shared" si="24"/>
        <v/>
      </c>
      <c r="AF17" s="55" t="str">
        <f t="shared" si="24"/>
        <v/>
      </c>
      <c r="AG17" s="55" t="str">
        <f t="shared" si="24"/>
        <v/>
      </c>
      <c r="AH17" s="55" t="str">
        <f t="shared" si="24"/>
        <v/>
      </c>
      <c r="AI17" s="55" t="str">
        <f t="shared" si="24"/>
        <v/>
      </c>
      <c r="AJ17" s="55" t="str">
        <f t="shared" si="24"/>
        <v/>
      </c>
      <c r="AK17" s="55" t="str">
        <f t="shared" si="24"/>
        <v/>
      </c>
      <c r="AL17" s="55" t="str">
        <f t="shared" si="24"/>
        <v/>
      </c>
      <c r="AM17" s="55" t="str">
        <f t="shared" si="24"/>
        <v/>
      </c>
      <c r="AN17" s="55" t="str">
        <f t="shared" si="24"/>
        <v/>
      </c>
      <c r="AO17" s="55" t="str">
        <f t="shared" si="24"/>
        <v/>
      </c>
      <c r="AP17" s="55" t="str">
        <f t="shared" si="24"/>
        <v/>
      </c>
      <c r="AQ17" s="55" t="str">
        <f t="shared" si="24"/>
        <v/>
      </c>
      <c r="AR17" s="55" t="str">
        <f t="shared" si="24"/>
        <v/>
      </c>
      <c r="AS17" s="55" t="str">
        <f t="shared" si="24"/>
        <v/>
      </c>
      <c r="AT17" s="55" t="str">
        <f t="shared" si="24"/>
        <v/>
      </c>
      <c r="AU17" s="55" t="str">
        <f t="shared" si="24"/>
        <v/>
      </c>
      <c r="AV17" s="55" t="str">
        <f t="shared" si="24"/>
        <v/>
      </c>
      <c r="AW17" s="55" t="str">
        <f t="shared" si="24"/>
        <v/>
      </c>
      <c r="AX17" s="55" t="str">
        <f t="shared" si="24"/>
        <v/>
      </c>
      <c r="AY17" s="55" t="str">
        <f t="shared" si="24"/>
        <v/>
      </c>
      <c r="AZ17" s="55" t="str">
        <f t="shared" si="24"/>
        <v/>
      </c>
      <c r="BA17" s="55" t="str">
        <f t="shared" si="24"/>
        <v/>
      </c>
      <c r="BB17" s="55" t="str">
        <f t="shared" si="24"/>
        <v/>
      </c>
      <c r="BC17" s="55" t="str">
        <f t="shared" si="24"/>
        <v/>
      </c>
      <c r="BD17" s="55" t="str">
        <f t="shared" si="24"/>
        <v/>
      </c>
      <c r="BE17" s="55" t="str">
        <f t="shared" si="24"/>
        <v/>
      </c>
      <c r="BF17" s="55" t="str">
        <f t="shared" si="24"/>
        <v/>
      </c>
      <c r="BG17" s="55" t="str">
        <f t="shared" si="24"/>
        <v/>
      </c>
      <c r="BH17" s="55" t="str">
        <f t="shared" si="24"/>
        <v/>
      </c>
      <c r="BI17" s="55" t="str">
        <f t="shared" si="24"/>
        <v/>
      </c>
      <c r="BJ17" s="55" t="str">
        <f t="shared" si="24"/>
        <v/>
      </c>
      <c r="BK17" s="55" t="str">
        <f t="shared" si="24"/>
        <v/>
      </c>
      <c r="BL17" s="55" t="str">
        <f t="shared" si="24"/>
        <v/>
      </c>
      <c r="BM17" s="55" t="str">
        <f t="shared" si="24"/>
        <v/>
      </c>
      <c r="BN17" s="55" t="str">
        <f t="shared" si="24"/>
        <v/>
      </c>
      <c r="BO17" s="55" t="str">
        <f t="shared" si="24"/>
        <v/>
      </c>
      <c r="BP17" s="55" t="str">
        <f t="shared" si="24"/>
        <v/>
      </c>
      <c r="BQ17" s="55" t="str">
        <f t="shared" si="24"/>
        <v/>
      </c>
      <c r="BR17" s="55" t="str">
        <f t="shared" si="24"/>
        <v/>
      </c>
      <c r="BS17" s="55" t="str">
        <f t="shared" si="24"/>
        <v/>
      </c>
      <c r="BT17" s="55" t="str">
        <f t="shared" si="24"/>
        <v/>
      </c>
      <c r="BU17" s="55" t="str">
        <f t="shared" si="24"/>
        <v/>
      </c>
      <c r="BV17" s="55" t="str">
        <f t="shared" si="24"/>
        <v/>
      </c>
      <c r="BW17" s="55" t="str">
        <f t="shared" si="24"/>
        <v/>
      </c>
      <c r="BX17" s="55" t="str">
        <f t="shared" si="24"/>
        <v/>
      </c>
      <c r="BY17" s="55" t="str">
        <f t="shared" si="24"/>
        <v/>
      </c>
      <c r="BZ17" s="55" t="str">
        <f t="shared" si="24"/>
        <v/>
      </c>
      <c r="CA17" s="55" t="str">
        <f t="shared" si="24"/>
        <v/>
      </c>
      <c r="CB17" s="55" t="str">
        <f t="shared" si="24"/>
        <v/>
      </c>
      <c r="CC17" s="55" t="str">
        <f t="shared" si="24"/>
        <v/>
      </c>
      <c r="CD17" s="55" t="str">
        <f t="shared" si="24"/>
        <v/>
      </c>
      <c r="CE17" s="55" t="str">
        <f t="shared" si="24"/>
        <v/>
      </c>
      <c r="CF17" s="55" t="str">
        <f t="shared" si="24"/>
        <v/>
      </c>
      <c r="CG17" s="55" t="str">
        <f t="shared" si="24"/>
        <v/>
      </c>
      <c r="CH17" s="55" t="str">
        <f t="shared" si="24"/>
        <v/>
      </c>
      <c r="CI17" s="55" t="str">
        <f t="shared" si="24"/>
        <v/>
      </c>
      <c r="CJ17" s="55" t="str">
        <f t="shared" si="14"/>
        <v/>
      </c>
      <c r="CK17" s="55" t="str">
        <f t="shared" si="14"/>
        <v/>
      </c>
      <c r="CL17" s="55" t="str">
        <f t="shared" si="14"/>
        <v/>
      </c>
      <c r="CM17" s="55" t="str">
        <f t="shared" si="14"/>
        <v/>
      </c>
      <c r="CN17" s="55" t="str">
        <f t="shared" si="15"/>
        <v/>
      </c>
      <c r="CO17" s="55" t="str">
        <f t="shared" si="15"/>
        <v/>
      </c>
      <c r="CP17" s="55" t="str">
        <f t="shared" si="15"/>
        <v/>
      </c>
      <c r="CQ17" s="55" t="str">
        <f t="shared" si="15"/>
        <v/>
      </c>
      <c r="CR17" s="55" t="str">
        <f t="shared" si="15"/>
        <v/>
      </c>
      <c r="CS17" s="55" t="str">
        <f t="shared" si="15"/>
        <v/>
      </c>
      <c r="CT17" s="55" t="str">
        <f t="shared" si="15"/>
        <v/>
      </c>
      <c r="CU17" s="55" t="str">
        <f t="shared" si="15"/>
        <v/>
      </c>
      <c r="CV17" s="55" t="str">
        <f t="shared" si="15"/>
        <v/>
      </c>
      <c r="CW17" s="55" t="str">
        <f t="shared" si="15"/>
        <v/>
      </c>
      <c r="CX17" s="55" t="str">
        <f t="shared" si="15"/>
        <v/>
      </c>
      <c r="CY17" s="55" t="str">
        <f t="shared" si="15"/>
        <v/>
      </c>
      <c r="CZ17" s="55" t="str">
        <f t="shared" si="16"/>
        <v/>
      </c>
      <c r="DA17" s="55" t="str">
        <f t="shared" si="16"/>
        <v/>
      </c>
      <c r="DB17" s="55" t="str">
        <f t="shared" si="16"/>
        <v/>
      </c>
      <c r="DC17" s="55" t="str">
        <f t="shared" si="16"/>
        <v/>
      </c>
      <c r="DD17" s="55" t="str">
        <f t="shared" si="16"/>
        <v/>
      </c>
      <c r="DE17" s="55" t="str">
        <f t="shared" si="16"/>
        <v/>
      </c>
      <c r="DF17" s="55" t="str">
        <f t="shared" si="16"/>
        <v/>
      </c>
      <c r="DG17" s="55" t="str">
        <f t="shared" si="16"/>
        <v/>
      </c>
      <c r="DH17" s="55" t="str">
        <f t="shared" si="16"/>
        <v/>
      </c>
      <c r="DI17" s="55" t="str">
        <f t="shared" si="16"/>
        <v/>
      </c>
      <c r="DJ17" s="55" t="str">
        <f t="shared" si="16"/>
        <v/>
      </c>
      <c r="DK17" s="55" t="str">
        <f t="shared" si="16"/>
        <v/>
      </c>
      <c r="DL17" s="55" t="str">
        <f t="shared" si="16"/>
        <v/>
      </c>
      <c r="DM17" s="55" t="str">
        <f t="shared" si="16"/>
        <v/>
      </c>
      <c r="DN17" s="55" t="str">
        <f t="shared" si="16"/>
        <v/>
      </c>
      <c r="DO17" s="55" t="str">
        <f t="shared" si="17"/>
        <v/>
      </c>
      <c r="DP17" s="55" t="str">
        <f t="shared" si="17"/>
        <v/>
      </c>
      <c r="DQ17" s="55" t="str">
        <f t="shared" si="17"/>
        <v/>
      </c>
      <c r="DR17" s="55" t="str">
        <f t="shared" si="17"/>
        <v/>
      </c>
      <c r="DS17" s="55" t="str">
        <f t="shared" si="17"/>
        <v/>
      </c>
      <c r="DT17" s="106" t="str">
        <f t="shared" si="17"/>
        <v/>
      </c>
      <c r="DU17" s="54"/>
      <c r="DV17" s="25"/>
      <c r="DW17" s="61" t="str">
        <f t="shared" ref="DW17:GG18" si="25">IF($B17=DW$12,$O17,"")</f>
        <v/>
      </c>
      <c r="DX17" s="50" t="str">
        <f t="shared" si="25"/>
        <v/>
      </c>
      <c r="DY17" s="50" t="str">
        <f t="shared" si="25"/>
        <v/>
      </c>
      <c r="DZ17" s="50" t="str">
        <f t="shared" si="25"/>
        <v/>
      </c>
      <c r="EA17" s="50" t="str">
        <f t="shared" si="25"/>
        <v/>
      </c>
      <c r="EB17" s="50" t="str">
        <f t="shared" si="25"/>
        <v/>
      </c>
      <c r="EC17" s="50" t="str">
        <f t="shared" si="25"/>
        <v/>
      </c>
      <c r="ED17" s="50" t="str">
        <f t="shared" si="25"/>
        <v/>
      </c>
      <c r="EE17" s="50" t="str">
        <f t="shared" si="25"/>
        <v/>
      </c>
      <c r="EF17" s="50" t="str">
        <f t="shared" si="25"/>
        <v/>
      </c>
      <c r="EG17" s="50" t="str">
        <f t="shared" si="25"/>
        <v/>
      </c>
      <c r="EH17" s="50" t="str">
        <f t="shared" si="25"/>
        <v/>
      </c>
      <c r="EI17" s="50" t="str">
        <f t="shared" si="25"/>
        <v/>
      </c>
      <c r="EJ17" s="50" t="str">
        <f t="shared" si="25"/>
        <v/>
      </c>
      <c r="EK17" s="50" t="str">
        <f t="shared" si="25"/>
        <v/>
      </c>
      <c r="EL17" s="50" t="str">
        <f t="shared" si="25"/>
        <v/>
      </c>
      <c r="EM17" s="50" t="str">
        <f t="shared" si="25"/>
        <v/>
      </c>
      <c r="EN17" s="50" t="str">
        <f t="shared" si="25"/>
        <v/>
      </c>
      <c r="EO17" s="50" t="str">
        <f t="shared" si="25"/>
        <v/>
      </c>
      <c r="EP17" s="50" t="str">
        <f t="shared" si="25"/>
        <v/>
      </c>
      <c r="EQ17" s="50" t="str">
        <f t="shared" si="25"/>
        <v/>
      </c>
      <c r="ER17" s="50" t="str">
        <f t="shared" si="25"/>
        <v/>
      </c>
      <c r="ES17" s="50" t="str">
        <f t="shared" si="25"/>
        <v/>
      </c>
      <c r="ET17" s="50" t="str">
        <f t="shared" si="25"/>
        <v/>
      </c>
      <c r="EU17" s="50" t="str">
        <f t="shared" si="25"/>
        <v/>
      </c>
      <c r="EV17" s="50" t="str">
        <f t="shared" si="25"/>
        <v/>
      </c>
      <c r="EW17" s="50" t="str">
        <f t="shared" si="25"/>
        <v/>
      </c>
      <c r="EX17" s="50" t="str">
        <f t="shared" si="25"/>
        <v/>
      </c>
      <c r="EY17" s="50" t="str">
        <f t="shared" si="25"/>
        <v/>
      </c>
      <c r="EZ17" s="50" t="str">
        <f t="shared" si="25"/>
        <v/>
      </c>
      <c r="FA17" s="50" t="str">
        <f t="shared" si="25"/>
        <v/>
      </c>
      <c r="FB17" s="50" t="str">
        <f t="shared" si="25"/>
        <v/>
      </c>
      <c r="FC17" s="50" t="str">
        <f t="shared" si="25"/>
        <v/>
      </c>
      <c r="FD17" s="50" t="str">
        <f t="shared" si="25"/>
        <v/>
      </c>
      <c r="FE17" s="50" t="str">
        <f t="shared" si="25"/>
        <v/>
      </c>
      <c r="FF17" s="50" t="str">
        <f t="shared" si="25"/>
        <v/>
      </c>
      <c r="FG17" s="50" t="str">
        <f t="shared" si="25"/>
        <v/>
      </c>
      <c r="FH17" s="50" t="str">
        <f t="shared" si="25"/>
        <v/>
      </c>
      <c r="FI17" s="50" t="str">
        <f t="shared" si="25"/>
        <v/>
      </c>
      <c r="FJ17" s="50" t="str">
        <f t="shared" si="25"/>
        <v/>
      </c>
      <c r="FK17" s="50" t="str">
        <f t="shared" si="25"/>
        <v/>
      </c>
      <c r="FL17" s="50" t="str">
        <f t="shared" si="25"/>
        <v/>
      </c>
      <c r="FM17" s="50" t="str">
        <f t="shared" si="25"/>
        <v/>
      </c>
      <c r="FN17" s="50" t="str">
        <f t="shared" si="25"/>
        <v/>
      </c>
      <c r="FO17" s="50" t="str">
        <f t="shared" si="25"/>
        <v/>
      </c>
      <c r="FP17" s="50" t="str">
        <f t="shared" si="25"/>
        <v/>
      </c>
      <c r="FQ17" s="50" t="str">
        <f t="shared" si="25"/>
        <v/>
      </c>
      <c r="FR17" s="50" t="str">
        <f t="shared" si="25"/>
        <v/>
      </c>
      <c r="FS17" s="50" t="str">
        <f t="shared" si="25"/>
        <v/>
      </c>
      <c r="FT17" s="50" t="str">
        <f t="shared" si="25"/>
        <v/>
      </c>
      <c r="FU17" s="50" t="str">
        <f t="shared" si="25"/>
        <v/>
      </c>
      <c r="FV17" s="50" t="str">
        <f t="shared" si="25"/>
        <v/>
      </c>
      <c r="FW17" s="50" t="str">
        <f t="shared" si="25"/>
        <v/>
      </c>
      <c r="FX17" s="50" t="str">
        <f t="shared" si="25"/>
        <v/>
      </c>
      <c r="FY17" s="50" t="str">
        <f t="shared" si="25"/>
        <v/>
      </c>
      <c r="FZ17" s="50" t="str">
        <f t="shared" si="25"/>
        <v/>
      </c>
      <c r="GA17" s="50" t="str">
        <f t="shared" si="25"/>
        <v/>
      </c>
      <c r="GB17" s="50" t="str">
        <f t="shared" si="25"/>
        <v/>
      </c>
      <c r="GC17" s="50" t="str">
        <f t="shared" si="25"/>
        <v/>
      </c>
      <c r="GD17" s="50" t="str">
        <f t="shared" si="25"/>
        <v/>
      </c>
      <c r="GE17" s="50" t="str">
        <f t="shared" si="25"/>
        <v/>
      </c>
      <c r="GF17" s="50" t="str">
        <f t="shared" si="25"/>
        <v/>
      </c>
      <c r="GG17" s="50" t="str">
        <f t="shared" si="25"/>
        <v/>
      </c>
      <c r="GH17" s="50" t="str">
        <f t="shared" si="20"/>
        <v/>
      </c>
      <c r="GI17" s="50" t="str">
        <f t="shared" si="20"/>
        <v/>
      </c>
      <c r="GJ17" s="50" t="str">
        <f t="shared" si="20"/>
        <v/>
      </c>
      <c r="GK17" s="50" t="str">
        <f t="shared" si="20"/>
        <v/>
      </c>
      <c r="GL17" s="50" t="str">
        <f t="shared" si="21"/>
        <v/>
      </c>
      <c r="GM17" s="50" t="str">
        <f t="shared" si="21"/>
        <v/>
      </c>
      <c r="GN17" s="50" t="str">
        <f t="shared" si="21"/>
        <v/>
      </c>
      <c r="GO17" s="50" t="str">
        <f t="shared" si="21"/>
        <v/>
      </c>
      <c r="GP17" s="50" t="str">
        <f t="shared" si="21"/>
        <v/>
      </c>
      <c r="GQ17" s="50" t="str">
        <f t="shared" si="21"/>
        <v/>
      </c>
      <c r="GR17" s="50" t="str">
        <f t="shared" si="21"/>
        <v/>
      </c>
      <c r="GS17" s="50" t="str">
        <f t="shared" si="21"/>
        <v/>
      </c>
      <c r="GT17" s="50" t="str">
        <f t="shared" si="21"/>
        <v/>
      </c>
      <c r="GU17" s="50" t="str">
        <f t="shared" si="21"/>
        <v/>
      </c>
      <c r="GV17" s="50" t="str">
        <f t="shared" si="21"/>
        <v/>
      </c>
      <c r="GW17" s="50" t="str">
        <f t="shared" si="21"/>
        <v/>
      </c>
      <c r="GX17" s="50" t="str">
        <f t="shared" si="22"/>
        <v/>
      </c>
      <c r="GY17" s="50" t="str">
        <f t="shared" si="22"/>
        <v/>
      </c>
      <c r="GZ17" s="50" t="str">
        <f t="shared" si="22"/>
        <v/>
      </c>
      <c r="HA17" s="50" t="str">
        <f t="shared" si="22"/>
        <v/>
      </c>
      <c r="HB17" s="50" t="str">
        <f t="shared" si="22"/>
        <v/>
      </c>
      <c r="HC17" s="50" t="str">
        <f t="shared" si="22"/>
        <v/>
      </c>
      <c r="HD17" s="50" t="str">
        <f t="shared" si="22"/>
        <v/>
      </c>
      <c r="HE17" s="50" t="str">
        <f t="shared" si="22"/>
        <v/>
      </c>
      <c r="HF17" s="50" t="str">
        <f t="shared" si="22"/>
        <v/>
      </c>
      <c r="HG17" s="50" t="str">
        <f t="shared" si="22"/>
        <v/>
      </c>
      <c r="HH17" s="50" t="str">
        <f t="shared" si="22"/>
        <v/>
      </c>
      <c r="HI17" s="50" t="str">
        <f t="shared" si="22"/>
        <v/>
      </c>
      <c r="HJ17" s="50" t="str">
        <f t="shared" si="22"/>
        <v/>
      </c>
      <c r="HK17" s="50" t="str">
        <f t="shared" si="22"/>
        <v/>
      </c>
      <c r="HL17" s="50" t="str">
        <f t="shared" si="22"/>
        <v/>
      </c>
      <c r="HM17" s="50" t="str">
        <f t="shared" si="23"/>
        <v/>
      </c>
      <c r="HN17" s="50" t="str">
        <f t="shared" si="23"/>
        <v/>
      </c>
      <c r="HO17" s="50" t="str">
        <f t="shared" si="23"/>
        <v/>
      </c>
      <c r="HP17" s="50" t="str">
        <f t="shared" si="23"/>
        <v/>
      </c>
      <c r="HQ17" s="50" t="str">
        <f t="shared" si="23"/>
        <v/>
      </c>
      <c r="HR17" s="112" t="str">
        <f t="shared" si="23"/>
        <v/>
      </c>
    </row>
    <row r="18" spans="1:226" ht="11.1" customHeight="1" x14ac:dyDescent="0.25">
      <c r="A18" s="26"/>
      <c r="B18" s="27"/>
      <c r="C18" s="28" t="str">
        <f>IF(A18=0,"",VLOOKUP(A18,[2]CO!$A$3:$F$5327,2,0))</f>
        <v/>
      </c>
      <c r="D18" s="29"/>
      <c r="E18" s="29"/>
      <c r="F18" s="29"/>
      <c r="G18" s="30" t="str">
        <f>IF(A18=0,"",VLOOKUP(A18,[2]CO!$A$3:$F$5327,3,0))</f>
        <v/>
      </c>
      <c r="H18" s="29"/>
      <c r="I18" s="31"/>
      <c r="J18" s="31"/>
      <c r="K18" s="31"/>
      <c r="L18" s="31"/>
      <c r="M18" s="32" t="str">
        <f t="shared" si="8"/>
        <v/>
      </c>
      <c r="N18" s="32" t="str">
        <f>IF(B18=0,"",IF(H18="M",HLOOKUP(B18,$Y$12:$DT$13,2),IF(A18=0,"",VLOOKUP(A18,[2]CO!$A$3:$F$5327,4,0))))</f>
        <v/>
      </c>
      <c r="O18" s="32" t="str">
        <f t="shared" si="9"/>
        <v/>
      </c>
      <c r="P18" s="33"/>
      <c r="Q18" s="34" t="str">
        <f t="shared" si="10"/>
        <v/>
      </c>
      <c r="R18" s="35" t="str">
        <f>IF(S18=0,"",IF(OR(G18="PEON",G18="OF",G18="JARD",G18="CARP",G18="MAESTRO",G18="SOLD",G18="BGRO",G18="CHOFER",G18="AYTE",G18="S.INTTE.",G18="ASEO",G18="P.PISOS",G18="VELADOR",G18="RESID",G18="PINTOR",G18="ELECT",G18="AZULE",G18="AUX CONT.",G18="SECRETARIA",G18="AUXILIAR ADMTVO.",G18="ARQUITECTO",G18="DIBUJANTE",G18="AUX. DE RESIDENTE"),VLOOKUP(B18,P$14:Q$49,2),"")*S18)</f>
        <v/>
      </c>
      <c r="T18" s="53" t="str">
        <f>IF(A18=0,"",VLOOKUP(A18,[2]CO!$A$3:$F$5318,5,0))</f>
        <v/>
      </c>
      <c r="U18" s="54">
        <f t="shared" si="11"/>
        <v>0</v>
      </c>
      <c r="V18" s="24"/>
      <c r="W18" s="25"/>
      <c r="X18" s="25"/>
      <c r="Y18" s="64" t="str">
        <f t="shared" si="24"/>
        <v/>
      </c>
      <c r="Z18" s="55" t="str">
        <f t="shared" si="24"/>
        <v/>
      </c>
      <c r="AA18" s="55" t="str">
        <f t="shared" si="24"/>
        <v/>
      </c>
      <c r="AB18" s="55" t="str">
        <f t="shared" si="24"/>
        <v/>
      </c>
      <c r="AC18" s="55" t="str">
        <f t="shared" si="24"/>
        <v/>
      </c>
      <c r="AD18" s="55" t="str">
        <f t="shared" si="24"/>
        <v/>
      </c>
      <c r="AE18" s="55" t="str">
        <f t="shared" si="24"/>
        <v/>
      </c>
      <c r="AF18" s="55" t="str">
        <f t="shared" si="24"/>
        <v/>
      </c>
      <c r="AG18" s="55" t="str">
        <f t="shared" si="24"/>
        <v/>
      </c>
      <c r="AH18" s="55" t="str">
        <f t="shared" si="24"/>
        <v/>
      </c>
      <c r="AI18" s="55" t="str">
        <f t="shared" si="24"/>
        <v/>
      </c>
      <c r="AJ18" s="55" t="str">
        <f t="shared" si="24"/>
        <v/>
      </c>
      <c r="AK18" s="55" t="str">
        <f t="shared" si="24"/>
        <v/>
      </c>
      <c r="AL18" s="55" t="str">
        <f t="shared" si="24"/>
        <v/>
      </c>
      <c r="AM18" s="55" t="str">
        <f t="shared" si="24"/>
        <v/>
      </c>
      <c r="AN18" s="55" t="str">
        <f t="shared" si="24"/>
        <v/>
      </c>
      <c r="AO18" s="55" t="str">
        <f t="shared" si="24"/>
        <v/>
      </c>
      <c r="AP18" s="55" t="str">
        <f t="shared" si="24"/>
        <v/>
      </c>
      <c r="AQ18" s="55" t="str">
        <f t="shared" si="24"/>
        <v/>
      </c>
      <c r="AR18" s="55" t="str">
        <f t="shared" si="24"/>
        <v/>
      </c>
      <c r="AS18" s="55" t="str">
        <f t="shared" si="24"/>
        <v/>
      </c>
      <c r="AT18" s="55" t="str">
        <f t="shared" si="24"/>
        <v/>
      </c>
      <c r="AU18" s="55" t="str">
        <f t="shared" si="24"/>
        <v/>
      </c>
      <c r="AV18" s="55" t="str">
        <f t="shared" si="24"/>
        <v/>
      </c>
      <c r="AW18" s="55" t="str">
        <f t="shared" si="24"/>
        <v/>
      </c>
      <c r="AX18" s="55" t="str">
        <f t="shared" si="24"/>
        <v/>
      </c>
      <c r="AY18" s="55" t="str">
        <f t="shared" si="24"/>
        <v/>
      </c>
      <c r="AZ18" s="55" t="str">
        <f t="shared" si="24"/>
        <v/>
      </c>
      <c r="BA18" s="55" t="str">
        <f t="shared" si="24"/>
        <v/>
      </c>
      <c r="BB18" s="55" t="str">
        <f t="shared" si="24"/>
        <v/>
      </c>
      <c r="BC18" s="55" t="str">
        <f t="shared" si="24"/>
        <v/>
      </c>
      <c r="BD18" s="55" t="str">
        <f t="shared" si="24"/>
        <v/>
      </c>
      <c r="BE18" s="55" t="str">
        <f t="shared" si="24"/>
        <v/>
      </c>
      <c r="BF18" s="55" t="str">
        <f t="shared" si="24"/>
        <v/>
      </c>
      <c r="BG18" s="55" t="str">
        <f t="shared" si="24"/>
        <v/>
      </c>
      <c r="BH18" s="55" t="str">
        <f t="shared" si="24"/>
        <v/>
      </c>
      <c r="BI18" s="55" t="str">
        <f t="shared" si="24"/>
        <v/>
      </c>
      <c r="BJ18" s="55" t="str">
        <f t="shared" si="24"/>
        <v/>
      </c>
      <c r="BK18" s="55" t="str">
        <f t="shared" si="24"/>
        <v/>
      </c>
      <c r="BL18" s="55" t="str">
        <f t="shared" si="24"/>
        <v/>
      </c>
      <c r="BM18" s="55" t="str">
        <f t="shared" si="24"/>
        <v/>
      </c>
      <c r="BN18" s="55" t="str">
        <f t="shared" si="24"/>
        <v/>
      </c>
      <c r="BO18" s="55" t="str">
        <f t="shared" si="24"/>
        <v/>
      </c>
      <c r="BP18" s="55" t="str">
        <f t="shared" si="24"/>
        <v/>
      </c>
      <c r="BQ18" s="55" t="str">
        <f t="shared" si="24"/>
        <v/>
      </c>
      <c r="BR18" s="55" t="str">
        <f t="shared" si="24"/>
        <v/>
      </c>
      <c r="BS18" s="55" t="str">
        <f t="shared" si="24"/>
        <v/>
      </c>
      <c r="BT18" s="55" t="str">
        <f t="shared" si="24"/>
        <v/>
      </c>
      <c r="BU18" s="55" t="str">
        <f t="shared" si="24"/>
        <v/>
      </c>
      <c r="BV18" s="55" t="str">
        <f t="shared" si="24"/>
        <v/>
      </c>
      <c r="BW18" s="55" t="str">
        <f t="shared" si="24"/>
        <v/>
      </c>
      <c r="BX18" s="55" t="str">
        <f t="shared" si="24"/>
        <v/>
      </c>
      <c r="BY18" s="55" t="str">
        <f t="shared" si="24"/>
        <v/>
      </c>
      <c r="BZ18" s="55" t="str">
        <f t="shared" si="24"/>
        <v/>
      </c>
      <c r="CA18" s="55" t="str">
        <f t="shared" si="24"/>
        <v/>
      </c>
      <c r="CB18" s="55" t="str">
        <f t="shared" si="24"/>
        <v/>
      </c>
      <c r="CC18" s="55" t="str">
        <f t="shared" si="24"/>
        <v/>
      </c>
      <c r="CD18" s="55" t="str">
        <f t="shared" si="24"/>
        <v/>
      </c>
      <c r="CE18" s="55" t="str">
        <f t="shared" si="24"/>
        <v/>
      </c>
      <c r="CF18" s="55" t="str">
        <f t="shared" si="24"/>
        <v/>
      </c>
      <c r="CG18" s="55" t="str">
        <f t="shared" si="24"/>
        <v/>
      </c>
      <c r="CH18" s="55" t="str">
        <f t="shared" si="24"/>
        <v/>
      </c>
      <c r="CI18" s="55" t="str">
        <f t="shared" si="24"/>
        <v/>
      </c>
      <c r="CJ18" s="55" t="str">
        <f t="shared" si="14"/>
        <v/>
      </c>
      <c r="CK18" s="55" t="str">
        <f t="shared" si="14"/>
        <v/>
      </c>
      <c r="CL18" s="55" t="str">
        <f t="shared" si="14"/>
        <v/>
      </c>
      <c r="CM18" s="55" t="str">
        <f t="shared" si="14"/>
        <v/>
      </c>
      <c r="CN18" s="55" t="str">
        <f t="shared" si="14"/>
        <v/>
      </c>
      <c r="CO18" s="55" t="str">
        <f t="shared" si="14"/>
        <v/>
      </c>
      <c r="CP18" s="55" t="str">
        <f t="shared" si="14"/>
        <v/>
      </c>
      <c r="CQ18" s="55" t="str">
        <f t="shared" si="14"/>
        <v/>
      </c>
      <c r="CR18" s="55" t="str">
        <f t="shared" si="14"/>
        <v/>
      </c>
      <c r="CS18" s="55" t="str">
        <f t="shared" si="14"/>
        <v/>
      </c>
      <c r="CT18" s="55" t="str">
        <f t="shared" si="14"/>
        <v/>
      </c>
      <c r="CU18" s="55" t="str">
        <f t="shared" si="14"/>
        <v/>
      </c>
      <c r="CV18" s="55" t="str">
        <f t="shared" si="14"/>
        <v/>
      </c>
      <c r="CW18" s="55" t="str">
        <f t="shared" si="14"/>
        <v/>
      </c>
      <c r="CX18" s="55" t="str">
        <f t="shared" si="14"/>
        <v/>
      </c>
      <c r="CY18" s="55" t="str">
        <f t="shared" si="14"/>
        <v/>
      </c>
      <c r="CZ18" s="55" t="str">
        <f t="shared" si="16"/>
        <v/>
      </c>
      <c r="DA18" s="55" t="str">
        <f t="shared" si="16"/>
        <v/>
      </c>
      <c r="DB18" s="55" t="str">
        <f t="shared" si="16"/>
        <v/>
      </c>
      <c r="DC18" s="55" t="str">
        <f t="shared" si="16"/>
        <v/>
      </c>
      <c r="DD18" s="55" t="str">
        <f t="shared" si="16"/>
        <v/>
      </c>
      <c r="DE18" s="55" t="str">
        <f t="shared" si="16"/>
        <v/>
      </c>
      <c r="DF18" s="55" t="str">
        <f t="shared" si="16"/>
        <v/>
      </c>
      <c r="DG18" s="55" t="str">
        <f t="shared" si="16"/>
        <v/>
      </c>
      <c r="DH18" s="55" t="str">
        <f t="shared" si="16"/>
        <v/>
      </c>
      <c r="DI18" s="55" t="str">
        <f t="shared" si="16"/>
        <v/>
      </c>
      <c r="DJ18" s="55" t="str">
        <f t="shared" si="16"/>
        <v/>
      </c>
      <c r="DK18" s="55" t="str">
        <f t="shared" si="16"/>
        <v/>
      </c>
      <c r="DL18" s="55" t="str">
        <f t="shared" si="16"/>
        <v/>
      </c>
      <c r="DM18" s="55" t="str">
        <f t="shared" si="16"/>
        <v/>
      </c>
      <c r="DN18" s="55" t="str">
        <f t="shared" si="16"/>
        <v/>
      </c>
      <c r="DO18" s="55" t="str">
        <f t="shared" si="17"/>
        <v/>
      </c>
      <c r="DP18" s="55" t="str">
        <f t="shared" si="17"/>
        <v/>
      </c>
      <c r="DQ18" s="55" t="str">
        <f t="shared" si="17"/>
        <v/>
      </c>
      <c r="DR18" s="55" t="str">
        <f t="shared" si="17"/>
        <v/>
      </c>
      <c r="DS18" s="55" t="str">
        <f t="shared" si="17"/>
        <v/>
      </c>
      <c r="DT18" s="106" t="str">
        <f t="shared" si="17"/>
        <v/>
      </c>
      <c r="DU18" s="54"/>
      <c r="DV18" s="25"/>
      <c r="DW18" s="61" t="str">
        <f t="shared" si="25"/>
        <v/>
      </c>
      <c r="DX18" s="50" t="str">
        <f t="shared" si="25"/>
        <v/>
      </c>
      <c r="DY18" s="50" t="str">
        <f t="shared" si="25"/>
        <v/>
      </c>
      <c r="DZ18" s="50" t="str">
        <f t="shared" si="25"/>
        <v/>
      </c>
      <c r="EA18" s="50" t="str">
        <f t="shared" si="25"/>
        <v/>
      </c>
      <c r="EB18" s="50" t="str">
        <f t="shared" si="25"/>
        <v/>
      </c>
      <c r="EC18" s="50" t="str">
        <f t="shared" si="25"/>
        <v/>
      </c>
      <c r="ED18" s="50" t="str">
        <f t="shared" si="25"/>
        <v/>
      </c>
      <c r="EE18" s="50" t="str">
        <f t="shared" si="25"/>
        <v/>
      </c>
      <c r="EF18" s="50" t="str">
        <f t="shared" si="25"/>
        <v/>
      </c>
      <c r="EG18" s="50" t="str">
        <f t="shared" si="25"/>
        <v/>
      </c>
      <c r="EH18" s="50" t="str">
        <f t="shared" si="25"/>
        <v/>
      </c>
      <c r="EI18" s="50" t="str">
        <f t="shared" si="25"/>
        <v/>
      </c>
      <c r="EJ18" s="50" t="str">
        <f t="shared" si="25"/>
        <v/>
      </c>
      <c r="EK18" s="50" t="str">
        <f t="shared" si="25"/>
        <v/>
      </c>
      <c r="EL18" s="50" t="str">
        <f t="shared" si="25"/>
        <v/>
      </c>
      <c r="EM18" s="50" t="str">
        <f t="shared" si="25"/>
        <v/>
      </c>
      <c r="EN18" s="50" t="str">
        <f t="shared" si="25"/>
        <v/>
      </c>
      <c r="EO18" s="50" t="str">
        <f t="shared" si="25"/>
        <v/>
      </c>
      <c r="EP18" s="50" t="str">
        <f t="shared" si="25"/>
        <v/>
      </c>
      <c r="EQ18" s="50" t="str">
        <f t="shared" si="25"/>
        <v/>
      </c>
      <c r="ER18" s="50" t="str">
        <f t="shared" si="25"/>
        <v/>
      </c>
      <c r="ES18" s="50" t="str">
        <f t="shared" si="25"/>
        <v/>
      </c>
      <c r="ET18" s="50" t="str">
        <f t="shared" si="25"/>
        <v/>
      </c>
      <c r="EU18" s="50" t="str">
        <f t="shared" si="25"/>
        <v/>
      </c>
      <c r="EV18" s="50" t="str">
        <f t="shared" si="25"/>
        <v/>
      </c>
      <c r="EW18" s="50" t="str">
        <f t="shared" si="25"/>
        <v/>
      </c>
      <c r="EX18" s="50" t="str">
        <f t="shared" si="25"/>
        <v/>
      </c>
      <c r="EY18" s="50" t="str">
        <f t="shared" si="25"/>
        <v/>
      </c>
      <c r="EZ18" s="50" t="str">
        <f t="shared" si="25"/>
        <v/>
      </c>
      <c r="FA18" s="50" t="str">
        <f t="shared" si="25"/>
        <v/>
      </c>
      <c r="FB18" s="50" t="str">
        <f t="shared" si="25"/>
        <v/>
      </c>
      <c r="FC18" s="50" t="str">
        <f t="shared" si="25"/>
        <v/>
      </c>
      <c r="FD18" s="50" t="str">
        <f t="shared" si="25"/>
        <v/>
      </c>
      <c r="FE18" s="50" t="str">
        <f t="shared" si="25"/>
        <v/>
      </c>
      <c r="FF18" s="50" t="str">
        <f t="shared" si="25"/>
        <v/>
      </c>
      <c r="FG18" s="50" t="str">
        <f t="shared" si="25"/>
        <v/>
      </c>
      <c r="FH18" s="50" t="str">
        <f t="shared" si="25"/>
        <v/>
      </c>
      <c r="FI18" s="50" t="str">
        <f t="shared" si="25"/>
        <v/>
      </c>
      <c r="FJ18" s="50" t="str">
        <f t="shared" si="25"/>
        <v/>
      </c>
      <c r="FK18" s="50" t="str">
        <f t="shared" si="25"/>
        <v/>
      </c>
      <c r="FL18" s="50" t="str">
        <f t="shared" si="25"/>
        <v/>
      </c>
      <c r="FM18" s="50" t="str">
        <f t="shared" si="25"/>
        <v/>
      </c>
      <c r="FN18" s="50" t="str">
        <f t="shared" si="25"/>
        <v/>
      </c>
      <c r="FO18" s="50" t="str">
        <f t="shared" si="25"/>
        <v/>
      </c>
      <c r="FP18" s="50" t="str">
        <f t="shared" si="25"/>
        <v/>
      </c>
      <c r="FQ18" s="50" t="str">
        <f t="shared" si="25"/>
        <v/>
      </c>
      <c r="FR18" s="50" t="str">
        <f t="shared" si="25"/>
        <v/>
      </c>
      <c r="FS18" s="50" t="str">
        <f t="shared" si="25"/>
        <v/>
      </c>
      <c r="FT18" s="50" t="str">
        <f t="shared" si="25"/>
        <v/>
      </c>
      <c r="FU18" s="50" t="str">
        <f t="shared" si="25"/>
        <v/>
      </c>
      <c r="FV18" s="50" t="str">
        <f t="shared" si="25"/>
        <v/>
      </c>
      <c r="FW18" s="50" t="str">
        <f t="shared" si="25"/>
        <v/>
      </c>
      <c r="FX18" s="50" t="str">
        <f t="shared" si="25"/>
        <v/>
      </c>
      <c r="FY18" s="50" t="str">
        <f t="shared" si="25"/>
        <v/>
      </c>
      <c r="FZ18" s="50" t="str">
        <f t="shared" si="25"/>
        <v/>
      </c>
      <c r="GA18" s="50" t="str">
        <f t="shared" si="25"/>
        <v/>
      </c>
      <c r="GB18" s="50" t="str">
        <f t="shared" si="25"/>
        <v/>
      </c>
      <c r="GC18" s="50" t="str">
        <f t="shared" si="25"/>
        <v/>
      </c>
      <c r="GD18" s="50" t="str">
        <f t="shared" si="25"/>
        <v/>
      </c>
      <c r="GE18" s="50" t="str">
        <f t="shared" si="25"/>
        <v/>
      </c>
      <c r="GF18" s="50" t="str">
        <f t="shared" si="25"/>
        <v/>
      </c>
      <c r="GG18" s="50" t="str">
        <f t="shared" si="25"/>
        <v/>
      </c>
      <c r="GH18" s="50" t="str">
        <f t="shared" si="20"/>
        <v/>
      </c>
      <c r="GI18" s="50" t="str">
        <f t="shared" si="20"/>
        <v/>
      </c>
      <c r="GJ18" s="50" t="str">
        <f t="shared" si="20"/>
        <v/>
      </c>
      <c r="GK18" s="50" t="str">
        <f t="shared" si="20"/>
        <v/>
      </c>
      <c r="GL18" s="50" t="str">
        <f t="shared" si="20"/>
        <v/>
      </c>
      <c r="GM18" s="50" t="str">
        <f t="shared" si="20"/>
        <v/>
      </c>
      <c r="GN18" s="50" t="str">
        <f t="shared" si="20"/>
        <v/>
      </c>
      <c r="GO18" s="50" t="str">
        <f t="shared" si="20"/>
        <v/>
      </c>
      <c r="GP18" s="50" t="str">
        <f t="shared" si="20"/>
        <v/>
      </c>
      <c r="GQ18" s="50" t="str">
        <f t="shared" si="20"/>
        <v/>
      </c>
      <c r="GR18" s="50" t="str">
        <f t="shared" si="20"/>
        <v/>
      </c>
      <c r="GS18" s="50" t="str">
        <f t="shared" si="20"/>
        <v/>
      </c>
      <c r="GT18" s="50" t="str">
        <f t="shared" si="20"/>
        <v/>
      </c>
      <c r="GU18" s="50" t="str">
        <f t="shared" si="20"/>
        <v/>
      </c>
      <c r="GV18" s="50" t="str">
        <f t="shared" si="20"/>
        <v/>
      </c>
      <c r="GW18" s="50" t="str">
        <f t="shared" si="20"/>
        <v/>
      </c>
      <c r="GX18" s="50" t="str">
        <f t="shared" si="22"/>
        <v/>
      </c>
      <c r="GY18" s="50" t="str">
        <f t="shared" si="22"/>
        <v/>
      </c>
      <c r="GZ18" s="50" t="str">
        <f t="shared" si="22"/>
        <v/>
      </c>
      <c r="HA18" s="50" t="str">
        <f t="shared" si="22"/>
        <v/>
      </c>
      <c r="HB18" s="50" t="str">
        <f t="shared" si="22"/>
        <v/>
      </c>
      <c r="HC18" s="50" t="str">
        <f t="shared" si="22"/>
        <v/>
      </c>
      <c r="HD18" s="50" t="str">
        <f t="shared" si="22"/>
        <v/>
      </c>
      <c r="HE18" s="50" t="str">
        <f t="shared" si="22"/>
        <v/>
      </c>
      <c r="HF18" s="50" t="str">
        <f t="shared" si="22"/>
        <v/>
      </c>
      <c r="HG18" s="50" t="str">
        <f t="shared" si="22"/>
        <v/>
      </c>
      <c r="HH18" s="50" t="str">
        <f t="shared" si="22"/>
        <v/>
      </c>
      <c r="HI18" s="50" t="str">
        <f t="shared" si="22"/>
        <v/>
      </c>
      <c r="HJ18" s="50" t="str">
        <f t="shared" si="22"/>
        <v/>
      </c>
      <c r="HK18" s="50" t="str">
        <f t="shared" si="22"/>
        <v/>
      </c>
      <c r="HL18" s="50" t="str">
        <f t="shared" si="22"/>
        <v/>
      </c>
      <c r="HM18" s="50" t="str">
        <f t="shared" si="23"/>
        <v/>
      </c>
      <c r="HN18" s="50" t="str">
        <f t="shared" si="23"/>
        <v/>
      </c>
      <c r="HO18" s="50" t="str">
        <f t="shared" si="23"/>
        <v/>
      </c>
      <c r="HP18" s="50" t="str">
        <f t="shared" si="23"/>
        <v/>
      </c>
      <c r="HQ18" s="50" t="str">
        <f t="shared" si="23"/>
        <v/>
      </c>
      <c r="HR18" s="112" t="str">
        <f t="shared" si="23"/>
        <v/>
      </c>
    </row>
    <row r="19" spans="1:226" ht="11.1" customHeight="1" x14ac:dyDescent="0.25">
      <c r="A19" s="26"/>
      <c r="B19" s="27"/>
      <c r="C19" s="28" t="str">
        <f>IF(A19=0,"",VLOOKUP(A19,[2]CO!$A$3:$F$5327,2,0))</f>
        <v/>
      </c>
      <c r="D19" s="29"/>
      <c r="E19" s="29"/>
      <c r="F19" s="29"/>
      <c r="G19" s="30" t="str">
        <f>IF(A19=0,"",VLOOKUP(A19,[2]CO!$A$3:$F$5327,3,0))</f>
        <v/>
      </c>
      <c r="H19" s="29"/>
      <c r="I19" s="31"/>
      <c r="J19" s="31"/>
      <c r="K19" s="31"/>
      <c r="L19" s="31"/>
      <c r="M19" s="32" t="str">
        <f t="shared" si="0"/>
        <v/>
      </c>
      <c r="N19" s="32" t="str">
        <f>IF(B19=0,"",IF(H19="M",HLOOKUP(B19,$Y$12:$DT$13,2),IF(A19=0,"",VLOOKUP(A19,[2]CO!$A$3:$F$5327,4,0))))</f>
        <v/>
      </c>
      <c r="O19" s="32" t="str">
        <f t="shared" si="7"/>
        <v/>
      </c>
      <c r="P19" s="33"/>
      <c r="Q19" s="34" t="str">
        <f t="shared" si="1"/>
        <v/>
      </c>
      <c r="R19" s="35" t="str">
        <f>IF(S19=0,"",IF(OR(G19="PEON",G19="OF",G19="JARD",G19="CARP",G19="MAESTRO",G19="SOLD",G19="BGRO",G19="CHOFER",G19="AYTE",G19="S.INTTE.",G19="ASEO",G19="P.PISOS",G19="VELADOR",G19="RESID",G19="PINTOR",G19="ELECT",G19="AZULE",G19="AUX CONT.",G19="SECRETARIA",G19="AUXILIAR ADMTVO.",G19="ARQUITECTO",G19="DIBUJANTE",G19="AUX. DE RESIDENTE"),VLOOKUP(B19,P$14:Q$49,2),"")*S19)</f>
        <v/>
      </c>
      <c r="T19" s="53" t="str">
        <f>IF(A19=0,"",VLOOKUP(A19,[2]CO!$A$3:$F$5318,5,0))</f>
        <v/>
      </c>
      <c r="U19" s="54">
        <f t="shared" si="2"/>
        <v>0</v>
      </c>
      <c r="V19" s="24"/>
      <c r="W19" s="25"/>
      <c r="X19" s="25"/>
      <c r="Y19" s="64" t="str">
        <f t="shared" ref="Y19:CI20" si="26">IF($B19=Y$12,$U19,"")</f>
        <v/>
      </c>
      <c r="Z19" s="55" t="str">
        <f t="shared" si="26"/>
        <v/>
      </c>
      <c r="AA19" s="55" t="str">
        <f t="shared" si="26"/>
        <v/>
      </c>
      <c r="AB19" s="55" t="str">
        <f t="shared" si="26"/>
        <v/>
      </c>
      <c r="AC19" s="55" t="str">
        <f t="shared" si="26"/>
        <v/>
      </c>
      <c r="AD19" s="55" t="str">
        <f t="shared" si="26"/>
        <v/>
      </c>
      <c r="AE19" s="55" t="str">
        <f t="shared" si="26"/>
        <v/>
      </c>
      <c r="AF19" s="55" t="str">
        <f t="shared" si="26"/>
        <v/>
      </c>
      <c r="AG19" s="55" t="str">
        <f t="shared" si="26"/>
        <v/>
      </c>
      <c r="AH19" s="55" t="str">
        <f t="shared" si="26"/>
        <v/>
      </c>
      <c r="AI19" s="55" t="str">
        <f t="shared" si="26"/>
        <v/>
      </c>
      <c r="AJ19" s="55" t="str">
        <f t="shared" si="26"/>
        <v/>
      </c>
      <c r="AK19" s="55" t="str">
        <f t="shared" si="26"/>
        <v/>
      </c>
      <c r="AL19" s="55" t="str">
        <f t="shared" si="26"/>
        <v/>
      </c>
      <c r="AM19" s="55" t="str">
        <f t="shared" si="26"/>
        <v/>
      </c>
      <c r="AN19" s="55" t="str">
        <f t="shared" si="26"/>
        <v/>
      </c>
      <c r="AO19" s="55" t="str">
        <f t="shared" si="26"/>
        <v/>
      </c>
      <c r="AP19" s="55" t="str">
        <f t="shared" si="26"/>
        <v/>
      </c>
      <c r="AQ19" s="55" t="str">
        <f t="shared" si="26"/>
        <v/>
      </c>
      <c r="AR19" s="55" t="str">
        <f t="shared" si="26"/>
        <v/>
      </c>
      <c r="AS19" s="55" t="str">
        <f t="shared" si="26"/>
        <v/>
      </c>
      <c r="AT19" s="55" t="str">
        <f t="shared" si="26"/>
        <v/>
      </c>
      <c r="AU19" s="55" t="str">
        <f t="shared" si="26"/>
        <v/>
      </c>
      <c r="AV19" s="55" t="str">
        <f t="shared" si="26"/>
        <v/>
      </c>
      <c r="AW19" s="55" t="str">
        <f t="shared" si="26"/>
        <v/>
      </c>
      <c r="AX19" s="55" t="str">
        <f t="shared" si="26"/>
        <v/>
      </c>
      <c r="AY19" s="55" t="str">
        <f t="shared" si="26"/>
        <v/>
      </c>
      <c r="AZ19" s="55" t="str">
        <f t="shared" si="26"/>
        <v/>
      </c>
      <c r="BA19" s="55" t="str">
        <f t="shared" si="26"/>
        <v/>
      </c>
      <c r="BB19" s="55" t="str">
        <f t="shared" si="26"/>
        <v/>
      </c>
      <c r="BC19" s="55" t="str">
        <f t="shared" si="26"/>
        <v/>
      </c>
      <c r="BD19" s="55" t="str">
        <f t="shared" si="26"/>
        <v/>
      </c>
      <c r="BE19" s="55" t="str">
        <f t="shared" si="26"/>
        <v/>
      </c>
      <c r="BF19" s="55" t="str">
        <f t="shared" si="26"/>
        <v/>
      </c>
      <c r="BG19" s="55" t="str">
        <f t="shared" si="26"/>
        <v/>
      </c>
      <c r="BH19" s="55" t="str">
        <f t="shared" si="26"/>
        <v/>
      </c>
      <c r="BI19" s="55" t="str">
        <f t="shared" si="26"/>
        <v/>
      </c>
      <c r="BJ19" s="55" t="str">
        <f t="shared" si="26"/>
        <v/>
      </c>
      <c r="BK19" s="55" t="str">
        <f t="shared" si="26"/>
        <v/>
      </c>
      <c r="BL19" s="55" t="str">
        <f t="shared" si="26"/>
        <v/>
      </c>
      <c r="BM19" s="55" t="str">
        <f t="shared" si="26"/>
        <v/>
      </c>
      <c r="BN19" s="55" t="str">
        <f t="shared" si="26"/>
        <v/>
      </c>
      <c r="BO19" s="55" t="str">
        <f t="shared" si="26"/>
        <v/>
      </c>
      <c r="BP19" s="55" t="str">
        <f t="shared" si="26"/>
        <v/>
      </c>
      <c r="BQ19" s="55" t="str">
        <f t="shared" si="26"/>
        <v/>
      </c>
      <c r="BR19" s="55" t="str">
        <f t="shared" si="26"/>
        <v/>
      </c>
      <c r="BS19" s="55" t="str">
        <f t="shared" si="26"/>
        <v/>
      </c>
      <c r="BT19" s="55" t="str">
        <f t="shared" si="26"/>
        <v/>
      </c>
      <c r="BU19" s="55" t="str">
        <f t="shared" si="26"/>
        <v/>
      </c>
      <c r="BV19" s="55" t="str">
        <f t="shared" si="26"/>
        <v/>
      </c>
      <c r="BW19" s="55" t="str">
        <f t="shared" si="26"/>
        <v/>
      </c>
      <c r="BX19" s="55" t="str">
        <f t="shared" si="26"/>
        <v/>
      </c>
      <c r="BY19" s="55" t="str">
        <f t="shared" si="26"/>
        <v/>
      </c>
      <c r="BZ19" s="55" t="str">
        <f t="shared" si="26"/>
        <v/>
      </c>
      <c r="CA19" s="55" t="str">
        <f t="shared" si="26"/>
        <v/>
      </c>
      <c r="CB19" s="55" t="str">
        <f t="shared" si="26"/>
        <v/>
      </c>
      <c r="CC19" s="55" t="str">
        <f t="shared" si="26"/>
        <v/>
      </c>
      <c r="CD19" s="55" t="str">
        <f t="shared" si="26"/>
        <v/>
      </c>
      <c r="CE19" s="55" t="str">
        <f t="shared" si="26"/>
        <v/>
      </c>
      <c r="CF19" s="55" t="str">
        <f t="shared" si="26"/>
        <v/>
      </c>
      <c r="CG19" s="55" t="str">
        <f t="shared" si="26"/>
        <v/>
      </c>
      <c r="CH19" s="55" t="str">
        <f t="shared" si="26"/>
        <v/>
      </c>
      <c r="CI19" s="55" t="str">
        <f t="shared" si="26"/>
        <v/>
      </c>
      <c r="CJ19" s="55" t="str">
        <f t="shared" ref="CJ19:CY20" si="27">IF($B19=CJ$12,$U19,"")</f>
        <v/>
      </c>
      <c r="CK19" s="55" t="str">
        <f t="shared" si="27"/>
        <v/>
      </c>
      <c r="CL19" s="55" t="str">
        <f t="shared" si="27"/>
        <v/>
      </c>
      <c r="CM19" s="55" t="str">
        <f t="shared" si="27"/>
        <v/>
      </c>
      <c r="CN19" s="55" t="str">
        <f t="shared" si="27"/>
        <v/>
      </c>
      <c r="CO19" s="55" t="str">
        <f t="shared" si="27"/>
        <v/>
      </c>
      <c r="CP19" s="55" t="str">
        <f t="shared" si="27"/>
        <v/>
      </c>
      <c r="CQ19" s="55" t="str">
        <f t="shared" si="27"/>
        <v/>
      </c>
      <c r="CR19" s="55" t="str">
        <f t="shared" si="27"/>
        <v/>
      </c>
      <c r="CS19" s="55" t="str">
        <f t="shared" si="27"/>
        <v/>
      </c>
      <c r="CT19" s="55" t="str">
        <f t="shared" si="27"/>
        <v/>
      </c>
      <c r="CU19" s="55" t="str">
        <f t="shared" si="27"/>
        <v/>
      </c>
      <c r="CV19" s="55" t="str">
        <f t="shared" si="27"/>
        <v/>
      </c>
      <c r="CW19" s="55" t="str">
        <f t="shared" si="27"/>
        <v/>
      </c>
      <c r="CX19" s="55" t="str">
        <f t="shared" si="27"/>
        <v/>
      </c>
      <c r="CY19" s="55" t="str">
        <f t="shared" si="27"/>
        <v/>
      </c>
      <c r="CZ19" s="55" t="str">
        <f t="shared" ref="CZ19:DO20" si="28">IF($B19=CZ$12,$U19,"")</f>
        <v/>
      </c>
      <c r="DA19" s="55" t="str">
        <f t="shared" si="28"/>
        <v/>
      </c>
      <c r="DB19" s="55" t="str">
        <f t="shared" si="28"/>
        <v/>
      </c>
      <c r="DC19" s="55" t="str">
        <f t="shared" si="28"/>
        <v/>
      </c>
      <c r="DD19" s="55" t="str">
        <f t="shared" si="28"/>
        <v/>
      </c>
      <c r="DE19" s="55" t="str">
        <f t="shared" si="28"/>
        <v/>
      </c>
      <c r="DF19" s="55" t="str">
        <f t="shared" si="28"/>
        <v/>
      </c>
      <c r="DG19" s="55" t="str">
        <f t="shared" si="28"/>
        <v/>
      </c>
      <c r="DH19" s="55" t="str">
        <f t="shared" si="28"/>
        <v/>
      </c>
      <c r="DI19" s="55" t="str">
        <f t="shared" si="28"/>
        <v/>
      </c>
      <c r="DJ19" s="55" t="str">
        <f t="shared" si="28"/>
        <v/>
      </c>
      <c r="DK19" s="55" t="str">
        <f t="shared" si="28"/>
        <v/>
      </c>
      <c r="DL19" s="55" t="str">
        <f t="shared" si="28"/>
        <v/>
      </c>
      <c r="DM19" s="55" t="str">
        <f t="shared" si="28"/>
        <v/>
      </c>
      <c r="DN19" s="55" t="str">
        <f t="shared" si="28"/>
        <v/>
      </c>
      <c r="DO19" s="55" t="str">
        <f t="shared" ref="DO19:DT20" si="29">IF($B19=DO$12,$U19,"")</f>
        <v/>
      </c>
      <c r="DP19" s="55" t="str">
        <f t="shared" si="29"/>
        <v/>
      </c>
      <c r="DQ19" s="55" t="str">
        <f t="shared" si="29"/>
        <v/>
      </c>
      <c r="DR19" s="55" t="str">
        <f t="shared" si="29"/>
        <v/>
      </c>
      <c r="DS19" s="55" t="str">
        <f t="shared" si="29"/>
        <v/>
      </c>
      <c r="DT19" s="106" t="str">
        <f t="shared" si="29"/>
        <v/>
      </c>
      <c r="DU19" s="54"/>
      <c r="DV19" s="25"/>
      <c r="DW19" s="61" t="str">
        <f t="shared" ref="DW19:GG20" si="30">IF($B19=DW$12,$O19,"")</f>
        <v/>
      </c>
      <c r="DX19" s="50" t="str">
        <f t="shared" si="30"/>
        <v/>
      </c>
      <c r="DY19" s="50" t="str">
        <f t="shared" si="30"/>
        <v/>
      </c>
      <c r="DZ19" s="50" t="str">
        <f t="shared" si="30"/>
        <v/>
      </c>
      <c r="EA19" s="50" t="str">
        <f t="shared" si="30"/>
        <v/>
      </c>
      <c r="EB19" s="50" t="str">
        <f t="shared" si="30"/>
        <v/>
      </c>
      <c r="EC19" s="50" t="str">
        <f t="shared" si="30"/>
        <v/>
      </c>
      <c r="ED19" s="50" t="str">
        <f t="shared" si="30"/>
        <v/>
      </c>
      <c r="EE19" s="50" t="str">
        <f t="shared" si="30"/>
        <v/>
      </c>
      <c r="EF19" s="50" t="str">
        <f t="shared" si="30"/>
        <v/>
      </c>
      <c r="EG19" s="50" t="str">
        <f t="shared" si="30"/>
        <v/>
      </c>
      <c r="EH19" s="50" t="str">
        <f t="shared" si="30"/>
        <v/>
      </c>
      <c r="EI19" s="50" t="str">
        <f t="shared" si="30"/>
        <v/>
      </c>
      <c r="EJ19" s="50" t="str">
        <f t="shared" si="30"/>
        <v/>
      </c>
      <c r="EK19" s="50" t="str">
        <f t="shared" si="30"/>
        <v/>
      </c>
      <c r="EL19" s="50" t="str">
        <f t="shared" si="30"/>
        <v/>
      </c>
      <c r="EM19" s="50" t="str">
        <f t="shared" si="30"/>
        <v/>
      </c>
      <c r="EN19" s="50" t="str">
        <f t="shared" si="30"/>
        <v/>
      </c>
      <c r="EO19" s="50" t="str">
        <f t="shared" si="30"/>
        <v/>
      </c>
      <c r="EP19" s="50" t="str">
        <f t="shared" si="30"/>
        <v/>
      </c>
      <c r="EQ19" s="50" t="str">
        <f t="shared" si="30"/>
        <v/>
      </c>
      <c r="ER19" s="50" t="str">
        <f t="shared" si="30"/>
        <v/>
      </c>
      <c r="ES19" s="50" t="str">
        <f t="shared" si="30"/>
        <v/>
      </c>
      <c r="ET19" s="50" t="str">
        <f t="shared" si="30"/>
        <v/>
      </c>
      <c r="EU19" s="50" t="str">
        <f t="shared" si="30"/>
        <v/>
      </c>
      <c r="EV19" s="50" t="str">
        <f t="shared" si="30"/>
        <v/>
      </c>
      <c r="EW19" s="50" t="str">
        <f t="shared" si="30"/>
        <v/>
      </c>
      <c r="EX19" s="50" t="str">
        <f t="shared" si="30"/>
        <v/>
      </c>
      <c r="EY19" s="50" t="str">
        <f t="shared" si="30"/>
        <v/>
      </c>
      <c r="EZ19" s="50" t="str">
        <f t="shared" si="30"/>
        <v/>
      </c>
      <c r="FA19" s="50" t="str">
        <f t="shared" si="30"/>
        <v/>
      </c>
      <c r="FB19" s="50" t="str">
        <f t="shared" si="30"/>
        <v/>
      </c>
      <c r="FC19" s="50" t="str">
        <f t="shared" si="30"/>
        <v/>
      </c>
      <c r="FD19" s="50" t="str">
        <f t="shared" si="30"/>
        <v/>
      </c>
      <c r="FE19" s="50" t="str">
        <f t="shared" si="30"/>
        <v/>
      </c>
      <c r="FF19" s="50" t="str">
        <f t="shared" si="30"/>
        <v/>
      </c>
      <c r="FG19" s="50" t="str">
        <f t="shared" si="30"/>
        <v/>
      </c>
      <c r="FH19" s="50" t="str">
        <f t="shared" si="30"/>
        <v/>
      </c>
      <c r="FI19" s="50" t="str">
        <f t="shared" si="30"/>
        <v/>
      </c>
      <c r="FJ19" s="50" t="str">
        <f t="shared" si="30"/>
        <v/>
      </c>
      <c r="FK19" s="50" t="str">
        <f t="shared" si="30"/>
        <v/>
      </c>
      <c r="FL19" s="50" t="str">
        <f t="shared" si="30"/>
        <v/>
      </c>
      <c r="FM19" s="50" t="str">
        <f t="shared" si="30"/>
        <v/>
      </c>
      <c r="FN19" s="50" t="str">
        <f t="shared" si="30"/>
        <v/>
      </c>
      <c r="FO19" s="50" t="str">
        <f t="shared" si="30"/>
        <v/>
      </c>
      <c r="FP19" s="50" t="str">
        <f t="shared" si="30"/>
        <v/>
      </c>
      <c r="FQ19" s="50" t="str">
        <f t="shared" si="30"/>
        <v/>
      </c>
      <c r="FR19" s="50" t="str">
        <f t="shared" si="30"/>
        <v/>
      </c>
      <c r="FS19" s="50" t="str">
        <f t="shared" si="30"/>
        <v/>
      </c>
      <c r="FT19" s="50" t="str">
        <f t="shared" si="30"/>
        <v/>
      </c>
      <c r="FU19" s="50" t="str">
        <f t="shared" si="30"/>
        <v/>
      </c>
      <c r="FV19" s="50" t="str">
        <f t="shared" si="30"/>
        <v/>
      </c>
      <c r="FW19" s="50" t="str">
        <f t="shared" si="30"/>
        <v/>
      </c>
      <c r="FX19" s="50" t="str">
        <f t="shared" si="30"/>
        <v/>
      </c>
      <c r="FY19" s="50" t="str">
        <f t="shared" si="30"/>
        <v/>
      </c>
      <c r="FZ19" s="50" t="str">
        <f t="shared" si="30"/>
        <v/>
      </c>
      <c r="GA19" s="50" t="str">
        <f t="shared" si="30"/>
        <v/>
      </c>
      <c r="GB19" s="50" t="str">
        <f t="shared" si="30"/>
        <v/>
      </c>
      <c r="GC19" s="50" t="str">
        <f t="shared" si="30"/>
        <v/>
      </c>
      <c r="GD19" s="50" t="str">
        <f t="shared" si="30"/>
        <v/>
      </c>
      <c r="GE19" s="50" t="str">
        <f t="shared" si="30"/>
        <v/>
      </c>
      <c r="GF19" s="50" t="str">
        <f t="shared" si="30"/>
        <v/>
      </c>
      <c r="GG19" s="50" t="str">
        <f t="shared" si="30"/>
        <v/>
      </c>
      <c r="GH19" s="50" t="str">
        <f t="shared" ref="GH19:GW20" si="31">IF($B19=GH$12,$O19,"")</f>
        <v/>
      </c>
      <c r="GI19" s="50" t="str">
        <f t="shared" si="31"/>
        <v/>
      </c>
      <c r="GJ19" s="50" t="str">
        <f t="shared" si="31"/>
        <v/>
      </c>
      <c r="GK19" s="50" t="str">
        <f t="shared" si="31"/>
        <v/>
      </c>
      <c r="GL19" s="50" t="str">
        <f t="shared" si="31"/>
        <v/>
      </c>
      <c r="GM19" s="50" t="str">
        <f t="shared" si="31"/>
        <v/>
      </c>
      <c r="GN19" s="50" t="str">
        <f t="shared" si="31"/>
        <v/>
      </c>
      <c r="GO19" s="50" t="str">
        <f t="shared" si="31"/>
        <v/>
      </c>
      <c r="GP19" s="50" t="str">
        <f t="shared" si="31"/>
        <v/>
      </c>
      <c r="GQ19" s="50" t="str">
        <f t="shared" si="31"/>
        <v/>
      </c>
      <c r="GR19" s="50" t="str">
        <f t="shared" si="31"/>
        <v/>
      </c>
      <c r="GS19" s="50" t="str">
        <f t="shared" si="31"/>
        <v/>
      </c>
      <c r="GT19" s="50" t="str">
        <f t="shared" si="31"/>
        <v/>
      </c>
      <c r="GU19" s="50" t="str">
        <f t="shared" si="31"/>
        <v/>
      </c>
      <c r="GV19" s="50" t="str">
        <f t="shared" si="31"/>
        <v/>
      </c>
      <c r="GW19" s="50" t="str">
        <f t="shared" si="31"/>
        <v/>
      </c>
      <c r="GX19" s="50" t="str">
        <f t="shared" ref="GX19:HM20" si="32">IF($B19=GX$12,$O19,"")</f>
        <v/>
      </c>
      <c r="GY19" s="50" t="str">
        <f t="shared" si="32"/>
        <v/>
      </c>
      <c r="GZ19" s="50" t="str">
        <f t="shared" si="32"/>
        <v/>
      </c>
      <c r="HA19" s="50" t="str">
        <f t="shared" si="32"/>
        <v/>
      </c>
      <c r="HB19" s="50" t="str">
        <f t="shared" si="32"/>
        <v/>
      </c>
      <c r="HC19" s="50" t="str">
        <f t="shared" si="32"/>
        <v/>
      </c>
      <c r="HD19" s="50" t="str">
        <f t="shared" si="32"/>
        <v/>
      </c>
      <c r="HE19" s="50" t="str">
        <f t="shared" si="32"/>
        <v/>
      </c>
      <c r="HF19" s="50" t="str">
        <f t="shared" si="32"/>
        <v/>
      </c>
      <c r="HG19" s="50" t="str">
        <f t="shared" si="32"/>
        <v/>
      </c>
      <c r="HH19" s="50" t="str">
        <f t="shared" si="32"/>
        <v/>
      </c>
      <c r="HI19" s="50" t="str">
        <f t="shared" si="32"/>
        <v/>
      </c>
      <c r="HJ19" s="50" t="str">
        <f t="shared" si="32"/>
        <v/>
      </c>
      <c r="HK19" s="50" t="str">
        <f t="shared" si="32"/>
        <v/>
      </c>
      <c r="HL19" s="50" t="str">
        <f t="shared" si="32"/>
        <v/>
      </c>
      <c r="HM19" s="50" t="str">
        <f t="shared" ref="HM19:HR20" si="33">IF($B19=HM$12,$O19,"")</f>
        <v/>
      </c>
      <c r="HN19" s="50" t="str">
        <f t="shared" si="33"/>
        <v/>
      </c>
      <c r="HO19" s="50" t="str">
        <f t="shared" si="33"/>
        <v/>
      </c>
      <c r="HP19" s="50" t="str">
        <f t="shared" si="33"/>
        <v/>
      </c>
      <c r="HQ19" s="50" t="str">
        <f t="shared" si="33"/>
        <v/>
      </c>
      <c r="HR19" s="112" t="str">
        <f t="shared" si="33"/>
        <v/>
      </c>
    </row>
    <row r="20" spans="1:226" ht="11.1" customHeight="1" thickBot="1" x14ac:dyDescent="0.3">
      <c r="A20" s="66"/>
      <c r="B20" s="67"/>
      <c r="C20" s="68" t="str">
        <f>IF(A20=0,"",VLOOKUP(A20,[2]CO!$A$3:$F$5311,2,0))</f>
        <v/>
      </c>
      <c r="D20" s="69"/>
      <c r="E20" s="69"/>
      <c r="F20" s="69"/>
      <c r="G20" s="70" t="str">
        <f>IF(A20=0,"",VLOOKUP(A20,[2]CO!$A$3:$F$5327,3,0))</f>
        <v/>
      </c>
      <c r="H20" s="69"/>
      <c r="I20" s="71"/>
      <c r="J20" s="71"/>
      <c r="K20" s="71"/>
      <c r="L20" s="71"/>
      <c r="M20" s="72" t="str">
        <f t="shared" si="0"/>
        <v/>
      </c>
      <c r="N20" s="72" t="str">
        <f>IF(B20=0,"",IF(H20="M",HLOOKUP(B20,$Y$12:$DT$13,2),IF(A20=0,"",VLOOKUP(A20,[2]CO!$A$3:$F$5327,4,0))))</f>
        <v/>
      </c>
      <c r="O20" s="72" t="str">
        <f t="shared" si="7"/>
        <v/>
      </c>
      <c r="P20" s="73"/>
      <c r="Q20" s="74" t="str">
        <f t="shared" si="1"/>
        <v/>
      </c>
      <c r="R20" s="75" t="str">
        <f>IF(S20=0,"",IF(OR(G20="PEON",G20="OF",G20="JARD",G20="CARP",G20="MAESTRO",G20="SOLD",G20="BGRO",G20="CHOFER",G20="AYTE",G20="S.INTTE.",G20="ASEO",G20="P.PISOS",G20="VELADOR",G20="RESID",G20="PINTOR",G20="ELECT",G20="AZULE",G20="AUX CONT.",G20="SECRETARIA",G20="AUXILIAR ADMTVO.",G20="ARQUITECTO",G20="DIBUJANTE",G20="AUX. DE RESIDENTE"),VLOOKUP(B20,P$14:Q$49,2),"")*S20)</f>
        <v/>
      </c>
      <c r="T20" s="53" t="str">
        <f>IF(A20=0,"",VLOOKUP(A20,[2]CO!$A$3:$F$5318,5,0))</f>
        <v/>
      </c>
      <c r="U20" s="54">
        <f t="shared" si="2"/>
        <v>0</v>
      </c>
      <c r="V20" s="24"/>
      <c r="W20" s="25"/>
      <c r="X20" s="25"/>
      <c r="Y20" s="76" t="str">
        <f t="shared" si="26"/>
        <v/>
      </c>
      <c r="Z20" s="77" t="str">
        <f t="shared" si="26"/>
        <v/>
      </c>
      <c r="AA20" s="77" t="str">
        <f t="shared" si="26"/>
        <v/>
      </c>
      <c r="AB20" s="77" t="str">
        <f t="shared" ref="AB20:CI20" si="34">IF($B20=AB$12,$U20,"")</f>
        <v/>
      </c>
      <c r="AC20" s="77" t="str">
        <f t="shared" si="34"/>
        <v/>
      </c>
      <c r="AD20" s="77" t="str">
        <f t="shared" si="34"/>
        <v/>
      </c>
      <c r="AE20" s="77" t="str">
        <f t="shared" si="34"/>
        <v/>
      </c>
      <c r="AF20" s="77" t="str">
        <f t="shared" si="34"/>
        <v/>
      </c>
      <c r="AG20" s="77" t="str">
        <f t="shared" si="34"/>
        <v/>
      </c>
      <c r="AH20" s="77" t="str">
        <f t="shared" si="34"/>
        <v/>
      </c>
      <c r="AI20" s="77" t="str">
        <f t="shared" si="34"/>
        <v/>
      </c>
      <c r="AJ20" s="77" t="str">
        <f t="shared" si="34"/>
        <v/>
      </c>
      <c r="AK20" s="77" t="str">
        <f t="shared" si="34"/>
        <v/>
      </c>
      <c r="AL20" s="77" t="str">
        <f t="shared" si="34"/>
        <v/>
      </c>
      <c r="AM20" s="77" t="str">
        <f t="shared" si="34"/>
        <v/>
      </c>
      <c r="AN20" s="77" t="str">
        <f t="shared" si="34"/>
        <v/>
      </c>
      <c r="AO20" s="77" t="str">
        <f t="shared" si="34"/>
        <v/>
      </c>
      <c r="AP20" s="77" t="str">
        <f t="shared" si="34"/>
        <v/>
      </c>
      <c r="AQ20" s="77" t="str">
        <f t="shared" si="34"/>
        <v/>
      </c>
      <c r="AR20" s="77" t="str">
        <f t="shared" si="34"/>
        <v/>
      </c>
      <c r="AS20" s="77" t="str">
        <f t="shared" si="34"/>
        <v/>
      </c>
      <c r="AT20" s="77" t="str">
        <f t="shared" si="34"/>
        <v/>
      </c>
      <c r="AU20" s="77" t="str">
        <f t="shared" si="34"/>
        <v/>
      </c>
      <c r="AV20" s="77" t="str">
        <f t="shared" si="34"/>
        <v/>
      </c>
      <c r="AW20" s="77" t="str">
        <f t="shared" si="34"/>
        <v/>
      </c>
      <c r="AX20" s="77" t="str">
        <f t="shared" si="34"/>
        <v/>
      </c>
      <c r="AY20" s="77" t="str">
        <f t="shared" si="34"/>
        <v/>
      </c>
      <c r="AZ20" s="77" t="str">
        <f t="shared" si="34"/>
        <v/>
      </c>
      <c r="BA20" s="77" t="str">
        <f t="shared" si="34"/>
        <v/>
      </c>
      <c r="BB20" s="77" t="str">
        <f t="shared" si="34"/>
        <v/>
      </c>
      <c r="BC20" s="77" t="str">
        <f t="shared" si="34"/>
        <v/>
      </c>
      <c r="BD20" s="77" t="str">
        <f t="shared" si="34"/>
        <v/>
      </c>
      <c r="BE20" s="77" t="str">
        <f t="shared" si="34"/>
        <v/>
      </c>
      <c r="BF20" s="77" t="str">
        <f t="shared" si="34"/>
        <v/>
      </c>
      <c r="BG20" s="77" t="str">
        <f t="shared" si="34"/>
        <v/>
      </c>
      <c r="BH20" s="77" t="str">
        <f t="shared" si="34"/>
        <v/>
      </c>
      <c r="BI20" s="77" t="str">
        <f t="shared" si="34"/>
        <v/>
      </c>
      <c r="BJ20" s="77" t="str">
        <f t="shared" si="34"/>
        <v/>
      </c>
      <c r="BK20" s="77" t="str">
        <f t="shared" si="34"/>
        <v/>
      </c>
      <c r="BL20" s="77" t="str">
        <f t="shared" si="34"/>
        <v/>
      </c>
      <c r="BM20" s="77" t="str">
        <f t="shared" si="34"/>
        <v/>
      </c>
      <c r="BN20" s="77" t="str">
        <f t="shared" si="34"/>
        <v/>
      </c>
      <c r="BO20" s="77" t="str">
        <f t="shared" si="34"/>
        <v/>
      </c>
      <c r="BP20" s="77" t="str">
        <f t="shared" si="34"/>
        <v/>
      </c>
      <c r="BQ20" s="77" t="str">
        <f t="shared" si="34"/>
        <v/>
      </c>
      <c r="BR20" s="77" t="str">
        <f t="shared" si="34"/>
        <v/>
      </c>
      <c r="BS20" s="77" t="str">
        <f t="shared" si="34"/>
        <v/>
      </c>
      <c r="BT20" s="77" t="str">
        <f t="shared" si="34"/>
        <v/>
      </c>
      <c r="BU20" s="77" t="str">
        <f t="shared" si="34"/>
        <v/>
      </c>
      <c r="BV20" s="77" t="str">
        <f t="shared" si="34"/>
        <v/>
      </c>
      <c r="BW20" s="77" t="str">
        <f t="shared" si="34"/>
        <v/>
      </c>
      <c r="BX20" s="77" t="str">
        <f t="shared" si="34"/>
        <v/>
      </c>
      <c r="BY20" s="77" t="str">
        <f t="shared" si="34"/>
        <v/>
      </c>
      <c r="BZ20" s="77" t="str">
        <f t="shared" si="34"/>
        <v/>
      </c>
      <c r="CA20" s="77" t="str">
        <f t="shared" si="34"/>
        <v/>
      </c>
      <c r="CB20" s="77" t="str">
        <f t="shared" si="34"/>
        <v/>
      </c>
      <c r="CC20" s="77" t="str">
        <f t="shared" si="34"/>
        <v/>
      </c>
      <c r="CD20" s="77" t="str">
        <f t="shared" si="34"/>
        <v/>
      </c>
      <c r="CE20" s="77" t="str">
        <f t="shared" si="34"/>
        <v/>
      </c>
      <c r="CF20" s="77" t="str">
        <f t="shared" si="34"/>
        <v/>
      </c>
      <c r="CG20" s="77" t="str">
        <f t="shared" si="34"/>
        <v/>
      </c>
      <c r="CH20" s="77" t="str">
        <f t="shared" si="34"/>
        <v/>
      </c>
      <c r="CI20" s="77" t="str">
        <f t="shared" si="34"/>
        <v/>
      </c>
      <c r="CJ20" s="77" t="str">
        <f t="shared" si="27"/>
        <v/>
      </c>
      <c r="CK20" s="77" t="str">
        <f t="shared" si="27"/>
        <v/>
      </c>
      <c r="CL20" s="77" t="str">
        <f t="shared" si="27"/>
        <v/>
      </c>
      <c r="CM20" s="77" t="str">
        <f t="shared" si="27"/>
        <v/>
      </c>
      <c r="CN20" s="77" t="str">
        <f t="shared" si="27"/>
        <v/>
      </c>
      <c r="CO20" s="77" t="str">
        <f t="shared" si="27"/>
        <v/>
      </c>
      <c r="CP20" s="77" t="str">
        <f t="shared" si="27"/>
        <v/>
      </c>
      <c r="CQ20" s="77" t="str">
        <f t="shared" si="27"/>
        <v/>
      </c>
      <c r="CR20" s="77" t="str">
        <f t="shared" si="27"/>
        <v/>
      </c>
      <c r="CS20" s="77" t="str">
        <f t="shared" si="27"/>
        <v/>
      </c>
      <c r="CT20" s="77" t="str">
        <f t="shared" si="27"/>
        <v/>
      </c>
      <c r="CU20" s="77" t="str">
        <f t="shared" si="27"/>
        <v/>
      </c>
      <c r="CV20" s="77" t="str">
        <f t="shared" si="27"/>
        <v/>
      </c>
      <c r="CW20" s="77" t="str">
        <f t="shared" si="27"/>
        <v/>
      </c>
      <c r="CX20" s="77" t="str">
        <f t="shared" si="27"/>
        <v/>
      </c>
      <c r="CY20" s="77" t="str">
        <f t="shared" si="27"/>
        <v/>
      </c>
      <c r="CZ20" s="77" t="str">
        <f t="shared" si="28"/>
        <v/>
      </c>
      <c r="DA20" s="77" t="str">
        <f t="shared" si="28"/>
        <v/>
      </c>
      <c r="DB20" s="77" t="str">
        <f t="shared" si="28"/>
        <v/>
      </c>
      <c r="DC20" s="77" t="str">
        <f t="shared" si="28"/>
        <v/>
      </c>
      <c r="DD20" s="77" t="str">
        <f t="shared" si="28"/>
        <v/>
      </c>
      <c r="DE20" s="77" t="str">
        <f t="shared" si="28"/>
        <v/>
      </c>
      <c r="DF20" s="77" t="str">
        <f t="shared" si="28"/>
        <v/>
      </c>
      <c r="DG20" s="77" t="str">
        <f t="shared" si="28"/>
        <v/>
      </c>
      <c r="DH20" s="77" t="str">
        <f t="shared" si="28"/>
        <v/>
      </c>
      <c r="DI20" s="77" t="str">
        <f t="shared" si="28"/>
        <v/>
      </c>
      <c r="DJ20" s="77" t="str">
        <f t="shared" si="28"/>
        <v/>
      </c>
      <c r="DK20" s="77" t="str">
        <f t="shared" si="28"/>
        <v/>
      </c>
      <c r="DL20" s="77" t="str">
        <f t="shared" si="28"/>
        <v/>
      </c>
      <c r="DM20" s="77" t="str">
        <f t="shared" si="28"/>
        <v/>
      </c>
      <c r="DN20" s="77" t="str">
        <f t="shared" si="28"/>
        <v/>
      </c>
      <c r="DO20" s="77" t="str">
        <f t="shared" si="28"/>
        <v/>
      </c>
      <c r="DP20" s="77" t="str">
        <f t="shared" si="29"/>
        <v/>
      </c>
      <c r="DQ20" s="77" t="str">
        <f t="shared" si="29"/>
        <v/>
      </c>
      <c r="DR20" s="77" t="str">
        <f t="shared" si="29"/>
        <v/>
      </c>
      <c r="DS20" s="77" t="str">
        <f t="shared" si="29"/>
        <v/>
      </c>
      <c r="DT20" s="107" t="str">
        <f t="shared" si="29"/>
        <v/>
      </c>
      <c r="DU20" s="54"/>
      <c r="DV20" s="25"/>
      <c r="DW20" s="78" t="str">
        <f t="shared" si="30"/>
        <v/>
      </c>
      <c r="DX20" s="79" t="str">
        <f t="shared" si="30"/>
        <v/>
      </c>
      <c r="DY20" s="79" t="str">
        <f t="shared" si="30"/>
        <v/>
      </c>
      <c r="DZ20" s="79" t="str">
        <f t="shared" ref="DZ20:GG20" si="35">IF($B20=DZ$12,$O20,"")</f>
        <v/>
      </c>
      <c r="EA20" s="79" t="str">
        <f t="shared" si="35"/>
        <v/>
      </c>
      <c r="EB20" s="79" t="str">
        <f t="shared" si="35"/>
        <v/>
      </c>
      <c r="EC20" s="79" t="str">
        <f t="shared" si="35"/>
        <v/>
      </c>
      <c r="ED20" s="79" t="str">
        <f t="shared" si="35"/>
        <v/>
      </c>
      <c r="EE20" s="79" t="str">
        <f t="shared" si="35"/>
        <v/>
      </c>
      <c r="EF20" s="79" t="str">
        <f t="shared" si="35"/>
        <v/>
      </c>
      <c r="EG20" s="79" t="str">
        <f t="shared" si="35"/>
        <v/>
      </c>
      <c r="EH20" s="79" t="str">
        <f t="shared" si="35"/>
        <v/>
      </c>
      <c r="EI20" s="79" t="str">
        <f t="shared" si="35"/>
        <v/>
      </c>
      <c r="EJ20" s="79" t="str">
        <f t="shared" si="35"/>
        <v/>
      </c>
      <c r="EK20" s="79" t="str">
        <f t="shared" si="35"/>
        <v/>
      </c>
      <c r="EL20" s="79" t="str">
        <f t="shared" si="35"/>
        <v/>
      </c>
      <c r="EM20" s="79" t="str">
        <f t="shared" si="35"/>
        <v/>
      </c>
      <c r="EN20" s="79" t="str">
        <f t="shared" si="35"/>
        <v/>
      </c>
      <c r="EO20" s="79" t="str">
        <f t="shared" si="35"/>
        <v/>
      </c>
      <c r="EP20" s="79" t="str">
        <f t="shared" si="35"/>
        <v/>
      </c>
      <c r="EQ20" s="79" t="str">
        <f t="shared" si="35"/>
        <v/>
      </c>
      <c r="ER20" s="79" t="str">
        <f t="shared" si="35"/>
        <v/>
      </c>
      <c r="ES20" s="79" t="str">
        <f t="shared" si="35"/>
        <v/>
      </c>
      <c r="ET20" s="79" t="str">
        <f t="shared" si="35"/>
        <v/>
      </c>
      <c r="EU20" s="79" t="str">
        <f t="shared" si="35"/>
        <v/>
      </c>
      <c r="EV20" s="79" t="str">
        <f t="shared" si="35"/>
        <v/>
      </c>
      <c r="EW20" s="79" t="str">
        <f t="shared" si="35"/>
        <v/>
      </c>
      <c r="EX20" s="79" t="str">
        <f t="shared" si="35"/>
        <v/>
      </c>
      <c r="EY20" s="79" t="str">
        <f t="shared" si="35"/>
        <v/>
      </c>
      <c r="EZ20" s="79" t="str">
        <f t="shared" si="35"/>
        <v/>
      </c>
      <c r="FA20" s="79" t="str">
        <f t="shared" si="35"/>
        <v/>
      </c>
      <c r="FB20" s="79" t="str">
        <f t="shared" si="35"/>
        <v/>
      </c>
      <c r="FC20" s="79" t="str">
        <f t="shared" si="35"/>
        <v/>
      </c>
      <c r="FD20" s="79" t="str">
        <f t="shared" si="35"/>
        <v/>
      </c>
      <c r="FE20" s="79" t="str">
        <f t="shared" si="35"/>
        <v/>
      </c>
      <c r="FF20" s="79" t="str">
        <f t="shared" si="35"/>
        <v/>
      </c>
      <c r="FG20" s="79" t="str">
        <f t="shared" si="35"/>
        <v/>
      </c>
      <c r="FH20" s="79" t="str">
        <f t="shared" si="35"/>
        <v/>
      </c>
      <c r="FI20" s="79" t="str">
        <f t="shared" si="35"/>
        <v/>
      </c>
      <c r="FJ20" s="79" t="str">
        <f t="shared" si="35"/>
        <v/>
      </c>
      <c r="FK20" s="79" t="str">
        <f t="shared" si="35"/>
        <v/>
      </c>
      <c r="FL20" s="79" t="str">
        <f t="shared" si="35"/>
        <v/>
      </c>
      <c r="FM20" s="79" t="str">
        <f t="shared" si="35"/>
        <v/>
      </c>
      <c r="FN20" s="79" t="str">
        <f t="shared" si="35"/>
        <v/>
      </c>
      <c r="FO20" s="79" t="str">
        <f t="shared" si="35"/>
        <v/>
      </c>
      <c r="FP20" s="79" t="str">
        <f t="shared" si="35"/>
        <v/>
      </c>
      <c r="FQ20" s="79" t="str">
        <f t="shared" si="35"/>
        <v/>
      </c>
      <c r="FR20" s="79" t="str">
        <f t="shared" si="35"/>
        <v/>
      </c>
      <c r="FS20" s="79" t="str">
        <f t="shared" si="35"/>
        <v/>
      </c>
      <c r="FT20" s="79" t="str">
        <f t="shared" si="35"/>
        <v/>
      </c>
      <c r="FU20" s="79" t="str">
        <f t="shared" si="35"/>
        <v/>
      </c>
      <c r="FV20" s="79" t="str">
        <f t="shared" si="35"/>
        <v/>
      </c>
      <c r="FW20" s="79" t="str">
        <f t="shared" si="35"/>
        <v/>
      </c>
      <c r="FX20" s="79" t="str">
        <f t="shared" si="35"/>
        <v/>
      </c>
      <c r="FY20" s="79" t="str">
        <f t="shared" si="35"/>
        <v/>
      </c>
      <c r="FZ20" s="79" t="str">
        <f t="shared" si="35"/>
        <v/>
      </c>
      <c r="GA20" s="79" t="str">
        <f t="shared" si="35"/>
        <v/>
      </c>
      <c r="GB20" s="79" t="str">
        <f t="shared" si="35"/>
        <v/>
      </c>
      <c r="GC20" s="79" t="str">
        <f t="shared" si="35"/>
        <v/>
      </c>
      <c r="GD20" s="79" t="str">
        <f t="shared" si="35"/>
        <v/>
      </c>
      <c r="GE20" s="79" t="str">
        <f t="shared" si="35"/>
        <v/>
      </c>
      <c r="GF20" s="79" t="str">
        <f t="shared" si="35"/>
        <v/>
      </c>
      <c r="GG20" s="79" t="str">
        <f t="shared" si="35"/>
        <v/>
      </c>
      <c r="GH20" s="79" t="str">
        <f t="shared" si="31"/>
        <v/>
      </c>
      <c r="GI20" s="79" t="str">
        <f t="shared" si="31"/>
        <v/>
      </c>
      <c r="GJ20" s="79" t="str">
        <f t="shared" si="31"/>
        <v/>
      </c>
      <c r="GK20" s="79" t="str">
        <f t="shared" si="31"/>
        <v/>
      </c>
      <c r="GL20" s="79" t="str">
        <f t="shared" si="31"/>
        <v/>
      </c>
      <c r="GM20" s="79" t="str">
        <f t="shared" si="31"/>
        <v/>
      </c>
      <c r="GN20" s="79" t="str">
        <f t="shared" si="31"/>
        <v/>
      </c>
      <c r="GO20" s="79" t="str">
        <f t="shared" si="31"/>
        <v/>
      </c>
      <c r="GP20" s="79" t="str">
        <f t="shared" si="31"/>
        <v/>
      </c>
      <c r="GQ20" s="79" t="str">
        <f t="shared" si="31"/>
        <v/>
      </c>
      <c r="GR20" s="79" t="str">
        <f t="shared" si="31"/>
        <v/>
      </c>
      <c r="GS20" s="79" t="str">
        <f t="shared" si="31"/>
        <v/>
      </c>
      <c r="GT20" s="79" t="str">
        <f t="shared" si="31"/>
        <v/>
      </c>
      <c r="GU20" s="79" t="str">
        <f t="shared" si="31"/>
        <v/>
      </c>
      <c r="GV20" s="79" t="str">
        <f t="shared" si="31"/>
        <v/>
      </c>
      <c r="GW20" s="79" t="str">
        <f t="shared" si="31"/>
        <v/>
      </c>
      <c r="GX20" s="79" t="str">
        <f t="shared" si="32"/>
        <v/>
      </c>
      <c r="GY20" s="79" t="str">
        <f t="shared" si="32"/>
        <v/>
      </c>
      <c r="GZ20" s="79" t="str">
        <f t="shared" si="32"/>
        <v/>
      </c>
      <c r="HA20" s="79" t="str">
        <f t="shared" si="32"/>
        <v/>
      </c>
      <c r="HB20" s="79" t="str">
        <f t="shared" si="32"/>
        <v/>
      </c>
      <c r="HC20" s="79" t="str">
        <f t="shared" si="32"/>
        <v/>
      </c>
      <c r="HD20" s="79" t="str">
        <f t="shared" si="32"/>
        <v/>
      </c>
      <c r="HE20" s="79" t="str">
        <f t="shared" si="32"/>
        <v/>
      </c>
      <c r="HF20" s="79" t="str">
        <f t="shared" si="32"/>
        <v/>
      </c>
      <c r="HG20" s="79" t="str">
        <f t="shared" si="32"/>
        <v/>
      </c>
      <c r="HH20" s="79" t="str">
        <f t="shared" si="32"/>
        <v/>
      </c>
      <c r="HI20" s="79" t="str">
        <f t="shared" si="32"/>
        <v/>
      </c>
      <c r="HJ20" s="79" t="str">
        <f t="shared" si="32"/>
        <v/>
      </c>
      <c r="HK20" s="79" t="str">
        <f t="shared" si="32"/>
        <v/>
      </c>
      <c r="HL20" s="79" t="str">
        <f t="shared" si="32"/>
        <v/>
      </c>
      <c r="HM20" s="79" t="str">
        <f t="shared" si="32"/>
        <v/>
      </c>
      <c r="HN20" s="79" t="str">
        <f t="shared" si="33"/>
        <v/>
      </c>
      <c r="HO20" s="79" t="str">
        <f t="shared" si="33"/>
        <v/>
      </c>
      <c r="HP20" s="79" t="str">
        <f t="shared" si="33"/>
        <v/>
      </c>
      <c r="HQ20" s="79" t="str">
        <f t="shared" si="33"/>
        <v/>
      </c>
      <c r="HR20" s="113" t="str">
        <f t="shared" si="33"/>
        <v/>
      </c>
    </row>
    <row r="21" spans="1:226" ht="11.1" customHeight="1" thickTop="1" x14ac:dyDescent="0.25"/>
    <row r="22" spans="1:226" x14ac:dyDescent="0.25">
      <c r="O22" s="48" t="s">
        <v>17</v>
      </c>
      <c r="P22" s="49"/>
      <c r="Q22" s="104">
        <f>SUM(Q14:Q20)</f>
        <v>0</v>
      </c>
      <c r="R22" s="104" t="e">
        <f>SUM(R14:R20)</f>
        <v>#N/A</v>
      </c>
    </row>
    <row r="23" spans="1:226" ht="11.1" customHeight="1" thickBot="1" x14ac:dyDescent="0.3"/>
    <row r="24" spans="1:226" ht="16.2" thickBot="1" x14ac:dyDescent="0.3">
      <c r="A24" s="146"/>
      <c r="B24" s="147"/>
      <c r="C24" s="99"/>
      <c r="D24" s="147"/>
      <c r="E24" s="99"/>
      <c r="F24" s="99"/>
      <c r="G24" s="99" t="s">
        <v>20</v>
      </c>
      <c r="H24" s="99"/>
      <c r="I24" s="99"/>
      <c r="J24" s="125"/>
      <c r="K24" s="99"/>
      <c r="L24" s="99"/>
      <c r="M24" s="99"/>
      <c r="N24" s="99"/>
      <c r="O24" s="99"/>
      <c r="P24" s="99"/>
      <c r="Q24" s="99"/>
      <c r="R24" s="100"/>
    </row>
    <row r="25" spans="1:226" ht="11.1" customHeight="1" thickBot="1" x14ac:dyDescent="0.3"/>
    <row r="26" spans="1:226" ht="11.1" customHeight="1" thickTop="1" x14ac:dyDescent="0.25">
      <c r="A26" s="80"/>
      <c r="B26" s="81"/>
      <c r="C26" s="82" t="str">
        <f>IF(A26=0,"",VLOOKUP(A26,[2]CO!$A$3:$F$5327,2,0))</f>
        <v/>
      </c>
      <c r="D26" s="83"/>
      <c r="E26" s="83"/>
      <c r="F26" s="83"/>
      <c r="G26" s="84" t="str">
        <f>IF(A26=0,"",VLOOKUP(A26,[2]CO!$A$3:$F$5327,3,0))</f>
        <v/>
      </c>
      <c r="H26" s="94"/>
      <c r="I26" s="85"/>
      <c r="J26" s="85"/>
      <c r="K26" s="85"/>
      <c r="L26" s="85"/>
      <c r="M26" s="86" t="str">
        <f t="shared" ref="M26:M37" si="36">IF(H26&gt;0,H26*Q$22/N26,IF(AND(L26&gt;0,I26&gt;0),L26*I26,IF(L26&gt;0,L26,"")))</f>
        <v/>
      </c>
      <c r="N26" s="86" t="str">
        <f>IF(B26=0,"",IF(H26="M",HLOOKUP(B26,$Y$12:$DT$13,2),IF(A26=0,"",VLOOKUP(A26,[2]CO!$A$3:$F$5327,4,0))))</f>
        <v/>
      </c>
      <c r="O26" s="86" t="str">
        <f t="shared" si="7"/>
        <v/>
      </c>
      <c r="P26" s="87"/>
      <c r="Q26" s="88" t="str">
        <f t="shared" ref="Q26:Q37" si="37">IF(P26=0,"",(HLOOKUP(P26,$DW$12:$HR$13,2)))</f>
        <v/>
      </c>
      <c r="R26" s="89" t="str">
        <f>IF(S26=0,"",IF(OR(G26="PEON",G26="OF",G26="JARD",G26="CARP",G26="MAESTRO",G26="SOLD",G26="BGRO",G26="CHOFER",G26="AYTE",G26="S.INTTE.",G26="ASEO",G26="P.PISOS",G26="VELADOR",G26="RESID",G26="PINTOR",G26="ELECT",G26="AZULE",G26="AUX CONT.",G26="SECRETARIA",G26="AUXILIAR ADMTVO.",G26="ARQUITECTO",G26="DIBUJANTE",G26="AUX. DE RESIDENTE",G26="TOPOGRAFIA"),VLOOKUP(B26,P$14:Q$56,2),"")*S26)</f>
        <v/>
      </c>
      <c r="T26" s="53" t="str">
        <f>IF(A26=0,"",VLOOKUP(A26,[2]CO!$A$3:$F$5318,5,0))</f>
        <v/>
      </c>
      <c r="U26" s="54">
        <f t="shared" ref="U26:U49" si="38">IF(T26=1,O26*0.1,)</f>
        <v>0</v>
      </c>
      <c r="V26" s="24"/>
      <c r="W26" s="25"/>
      <c r="X26" s="25"/>
      <c r="Y26" s="90" t="str">
        <f t="shared" ref="Y26:AN37" si="39">IF($B26=Y$12,$U26,"")</f>
        <v/>
      </c>
      <c r="Z26" s="91" t="str">
        <f t="shared" si="39"/>
        <v/>
      </c>
      <c r="AA26" s="91" t="str">
        <f t="shared" si="39"/>
        <v/>
      </c>
      <c r="AB26" s="91" t="str">
        <f t="shared" si="39"/>
        <v/>
      </c>
      <c r="AC26" s="91" t="str">
        <f t="shared" si="39"/>
        <v/>
      </c>
      <c r="AD26" s="91" t="str">
        <f t="shared" si="39"/>
        <v/>
      </c>
      <c r="AE26" s="91" t="str">
        <f t="shared" si="39"/>
        <v/>
      </c>
      <c r="AF26" s="91" t="str">
        <f t="shared" si="39"/>
        <v/>
      </c>
      <c r="AG26" s="91" t="str">
        <f t="shared" si="39"/>
        <v/>
      </c>
      <c r="AH26" s="91" t="str">
        <f t="shared" si="39"/>
        <v/>
      </c>
      <c r="AI26" s="91" t="str">
        <f t="shared" si="39"/>
        <v/>
      </c>
      <c r="AJ26" s="91" t="str">
        <f t="shared" si="39"/>
        <v/>
      </c>
      <c r="AK26" s="91" t="str">
        <f t="shared" si="39"/>
        <v/>
      </c>
      <c r="AL26" s="91" t="str">
        <f t="shared" si="39"/>
        <v/>
      </c>
      <c r="AM26" s="91" t="str">
        <f t="shared" si="39"/>
        <v/>
      </c>
      <c r="AN26" s="91" t="str">
        <f t="shared" si="39"/>
        <v/>
      </c>
      <c r="AO26" s="91" t="str">
        <f t="shared" ref="AO26:CZ29" si="40">IF($B26=AO$12,$U26,"")</f>
        <v/>
      </c>
      <c r="AP26" s="91" t="str">
        <f t="shared" si="40"/>
        <v/>
      </c>
      <c r="AQ26" s="91" t="str">
        <f t="shared" si="40"/>
        <v/>
      </c>
      <c r="AR26" s="91" t="str">
        <f t="shared" si="40"/>
        <v/>
      </c>
      <c r="AS26" s="91" t="str">
        <f t="shared" si="40"/>
        <v/>
      </c>
      <c r="AT26" s="91" t="str">
        <f t="shared" si="40"/>
        <v/>
      </c>
      <c r="AU26" s="91" t="str">
        <f t="shared" si="40"/>
        <v/>
      </c>
      <c r="AV26" s="91" t="str">
        <f t="shared" si="40"/>
        <v/>
      </c>
      <c r="AW26" s="91" t="str">
        <f t="shared" si="40"/>
        <v/>
      </c>
      <c r="AX26" s="91" t="str">
        <f t="shared" si="40"/>
        <v/>
      </c>
      <c r="AY26" s="91" t="str">
        <f t="shared" si="40"/>
        <v/>
      </c>
      <c r="AZ26" s="91" t="str">
        <f t="shared" si="40"/>
        <v/>
      </c>
      <c r="BA26" s="91" t="str">
        <f t="shared" si="40"/>
        <v/>
      </c>
      <c r="BB26" s="91" t="str">
        <f t="shared" si="40"/>
        <v/>
      </c>
      <c r="BC26" s="91" t="str">
        <f t="shared" si="40"/>
        <v/>
      </c>
      <c r="BD26" s="91" t="str">
        <f t="shared" si="40"/>
        <v/>
      </c>
      <c r="BE26" s="91" t="str">
        <f t="shared" si="40"/>
        <v/>
      </c>
      <c r="BF26" s="91" t="str">
        <f t="shared" si="40"/>
        <v/>
      </c>
      <c r="BG26" s="91" t="str">
        <f t="shared" si="40"/>
        <v/>
      </c>
      <c r="BH26" s="91" t="str">
        <f t="shared" si="40"/>
        <v/>
      </c>
      <c r="BI26" s="91" t="str">
        <f t="shared" si="40"/>
        <v/>
      </c>
      <c r="BJ26" s="91" t="str">
        <f t="shared" si="40"/>
        <v/>
      </c>
      <c r="BK26" s="91" t="str">
        <f t="shared" si="40"/>
        <v/>
      </c>
      <c r="BL26" s="91" t="str">
        <f t="shared" si="40"/>
        <v/>
      </c>
      <c r="BM26" s="91" t="str">
        <f t="shared" si="40"/>
        <v/>
      </c>
      <c r="BN26" s="91" t="str">
        <f t="shared" si="40"/>
        <v/>
      </c>
      <c r="BO26" s="91" t="str">
        <f t="shared" si="40"/>
        <v/>
      </c>
      <c r="BP26" s="91" t="str">
        <f t="shared" si="40"/>
        <v/>
      </c>
      <c r="BQ26" s="91" t="str">
        <f t="shared" si="40"/>
        <v/>
      </c>
      <c r="BR26" s="91" t="str">
        <f t="shared" si="40"/>
        <v/>
      </c>
      <c r="BS26" s="91" t="str">
        <f t="shared" si="40"/>
        <v/>
      </c>
      <c r="BT26" s="91" t="str">
        <f t="shared" si="40"/>
        <v/>
      </c>
      <c r="BU26" s="91" t="str">
        <f t="shared" si="40"/>
        <v/>
      </c>
      <c r="BV26" s="91" t="str">
        <f t="shared" si="40"/>
        <v/>
      </c>
      <c r="BW26" s="91" t="str">
        <f t="shared" si="40"/>
        <v/>
      </c>
      <c r="BX26" s="91" t="str">
        <f t="shared" si="40"/>
        <v/>
      </c>
      <c r="BY26" s="91" t="str">
        <f t="shared" si="40"/>
        <v/>
      </c>
      <c r="BZ26" s="91" t="str">
        <f t="shared" si="40"/>
        <v/>
      </c>
      <c r="CA26" s="91" t="str">
        <f t="shared" si="40"/>
        <v/>
      </c>
      <c r="CB26" s="91" t="str">
        <f t="shared" si="40"/>
        <v/>
      </c>
      <c r="CC26" s="91" t="str">
        <f t="shared" si="40"/>
        <v/>
      </c>
      <c r="CD26" s="91" t="str">
        <f t="shared" si="40"/>
        <v/>
      </c>
      <c r="CE26" s="91" t="str">
        <f t="shared" si="40"/>
        <v/>
      </c>
      <c r="CF26" s="91" t="str">
        <f t="shared" si="40"/>
        <v/>
      </c>
      <c r="CG26" s="91" t="str">
        <f t="shared" si="40"/>
        <v/>
      </c>
      <c r="CH26" s="91" t="str">
        <f t="shared" si="40"/>
        <v/>
      </c>
      <c r="CI26" s="91" t="str">
        <f t="shared" si="40"/>
        <v/>
      </c>
      <c r="CJ26" s="91" t="str">
        <f t="shared" si="40"/>
        <v/>
      </c>
      <c r="CK26" s="91" t="str">
        <f t="shared" si="40"/>
        <v/>
      </c>
      <c r="CL26" s="91" t="str">
        <f t="shared" si="40"/>
        <v/>
      </c>
      <c r="CM26" s="91" t="str">
        <f t="shared" si="40"/>
        <v/>
      </c>
      <c r="CN26" s="91" t="str">
        <f t="shared" si="40"/>
        <v/>
      </c>
      <c r="CO26" s="91" t="str">
        <f t="shared" si="40"/>
        <v/>
      </c>
      <c r="CP26" s="91" t="str">
        <f t="shared" si="40"/>
        <v/>
      </c>
      <c r="CQ26" s="91" t="str">
        <f t="shared" si="40"/>
        <v/>
      </c>
      <c r="CR26" s="91" t="str">
        <f t="shared" si="40"/>
        <v/>
      </c>
      <c r="CS26" s="91" t="str">
        <f t="shared" si="40"/>
        <v/>
      </c>
      <c r="CT26" s="91" t="str">
        <f t="shared" si="40"/>
        <v/>
      </c>
      <c r="CU26" s="91" t="str">
        <f t="shared" si="40"/>
        <v/>
      </c>
      <c r="CV26" s="91" t="str">
        <f t="shared" si="40"/>
        <v/>
      </c>
      <c r="CW26" s="91" t="str">
        <f t="shared" si="40"/>
        <v/>
      </c>
      <c r="CX26" s="91" t="str">
        <f t="shared" si="40"/>
        <v/>
      </c>
      <c r="CY26" s="91" t="str">
        <f t="shared" si="40"/>
        <v/>
      </c>
      <c r="CZ26" s="91" t="str">
        <f t="shared" si="40"/>
        <v/>
      </c>
      <c r="DA26" s="91" t="str">
        <f t="shared" ref="DA26:DP37" si="41">IF($B26=DA$12,$U26,"")</f>
        <v/>
      </c>
      <c r="DB26" s="91" t="str">
        <f t="shared" si="41"/>
        <v/>
      </c>
      <c r="DC26" s="91" t="str">
        <f t="shared" si="41"/>
        <v/>
      </c>
      <c r="DD26" s="91" t="str">
        <f t="shared" si="41"/>
        <v/>
      </c>
      <c r="DE26" s="91" t="str">
        <f t="shared" si="41"/>
        <v/>
      </c>
      <c r="DF26" s="91" t="str">
        <f t="shared" si="41"/>
        <v/>
      </c>
      <c r="DG26" s="91" t="str">
        <f t="shared" si="41"/>
        <v/>
      </c>
      <c r="DH26" s="91" t="str">
        <f t="shared" si="41"/>
        <v/>
      </c>
      <c r="DI26" s="91" t="str">
        <f t="shared" si="41"/>
        <v/>
      </c>
      <c r="DJ26" s="91" t="str">
        <f t="shared" si="41"/>
        <v/>
      </c>
      <c r="DK26" s="91" t="str">
        <f t="shared" si="41"/>
        <v/>
      </c>
      <c r="DL26" s="91" t="str">
        <f t="shared" si="41"/>
        <v/>
      </c>
      <c r="DM26" s="91" t="str">
        <f t="shared" si="41"/>
        <v/>
      </c>
      <c r="DN26" s="91" t="str">
        <f t="shared" si="41"/>
        <v/>
      </c>
      <c r="DO26" s="91" t="str">
        <f t="shared" si="41"/>
        <v/>
      </c>
      <c r="DP26" s="91" t="str">
        <f t="shared" si="41"/>
        <v/>
      </c>
      <c r="DQ26" s="91" t="str">
        <f t="shared" ref="DQ26:DT37" si="42">IF($B26=DQ$12,$U26,"")</f>
        <v/>
      </c>
      <c r="DR26" s="91" t="str">
        <f t="shared" si="42"/>
        <v/>
      </c>
      <c r="DS26" s="91" t="str">
        <f t="shared" si="42"/>
        <v/>
      </c>
      <c r="DT26" s="105" t="str">
        <f t="shared" si="42"/>
        <v/>
      </c>
      <c r="DU26" s="54"/>
      <c r="DV26" s="25"/>
      <c r="DW26" s="92" t="str">
        <f t="shared" ref="DW26:EL37" si="43">IF($B26=DW$12,$O26,"")</f>
        <v/>
      </c>
      <c r="DX26" s="93" t="str">
        <f t="shared" si="43"/>
        <v/>
      </c>
      <c r="DY26" s="93" t="str">
        <f t="shared" si="43"/>
        <v/>
      </c>
      <c r="DZ26" s="93" t="str">
        <f t="shared" si="43"/>
        <v/>
      </c>
      <c r="EA26" s="93" t="str">
        <f t="shared" si="43"/>
        <v/>
      </c>
      <c r="EB26" s="93" t="str">
        <f t="shared" si="43"/>
        <v/>
      </c>
      <c r="EC26" s="93" t="str">
        <f t="shared" si="43"/>
        <v/>
      </c>
      <c r="ED26" s="93" t="str">
        <f t="shared" si="43"/>
        <v/>
      </c>
      <c r="EE26" s="93" t="str">
        <f t="shared" si="43"/>
        <v/>
      </c>
      <c r="EF26" s="93" t="str">
        <f t="shared" si="43"/>
        <v/>
      </c>
      <c r="EG26" s="93" t="str">
        <f t="shared" si="43"/>
        <v/>
      </c>
      <c r="EH26" s="93" t="str">
        <f t="shared" si="43"/>
        <v/>
      </c>
      <c r="EI26" s="93" t="str">
        <f t="shared" si="43"/>
        <v/>
      </c>
      <c r="EJ26" s="93" t="str">
        <f t="shared" si="43"/>
        <v/>
      </c>
      <c r="EK26" s="93" t="str">
        <f t="shared" si="43"/>
        <v/>
      </c>
      <c r="EL26" s="93" t="str">
        <f t="shared" si="43"/>
        <v/>
      </c>
      <c r="EM26" s="93" t="str">
        <f t="shared" ref="EM26:GX29" si="44">IF($B26=EM$12,$O26,"")</f>
        <v/>
      </c>
      <c r="EN26" s="93" t="str">
        <f t="shared" si="44"/>
        <v/>
      </c>
      <c r="EO26" s="93" t="str">
        <f t="shared" si="44"/>
        <v/>
      </c>
      <c r="EP26" s="93" t="str">
        <f t="shared" si="44"/>
        <v/>
      </c>
      <c r="EQ26" s="93" t="str">
        <f t="shared" si="44"/>
        <v/>
      </c>
      <c r="ER26" s="93" t="str">
        <f t="shared" si="44"/>
        <v/>
      </c>
      <c r="ES26" s="93" t="str">
        <f t="shared" si="44"/>
        <v/>
      </c>
      <c r="ET26" s="93" t="str">
        <f t="shared" si="44"/>
        <v/>
      </c>
      <c r="EU26" s="93" t="str">
        <f t="shared" si="44"/>
        <v/>
      </c>
      <c r="EV26" s="93" t="str">
        <f t="shared" si="44"/>
        <v/>
      </c>
      <c r="EW26" s="93" t="str">
        <f t="shared" si="44"/>
        <v/>
      </c>
      <c r="EX26" s="93" t="str">
        <f t="shared" si="44"/>
        <v/>
      </c>
      <c r="EY26" s="93" t="str">
        <f t="shared" si="44"/>
        <v/>
      </c>
      <c r="EZ26" s="93" t="str">
        <f t="shared" si="44"/>
        <v/>
      </c>
      <c r="FA26" s="93" t="str">
        <f t="shared" si="44"/>
        <v/>
      </c>
      <c r="FB26" s="93" t="str">
        <f t="shared" si="44"/>
        <v/>
      </c>
      <c r="FC26" s="93" t="str">
        <f t="shared" si="44"/>
        <v/>
      </c>
      <c r="FD26" s="93" t="str">
        <f t="shared" si="44"/>
        <v/>
      </c>
      <c r="FE26" s="93" t="str">
        <f t="shared" si="44"/>
        <v/>
      </c>
      <c r="FF26" s="93" t="str">
        <f t="shared" si="44"/>
        <v/>
      </c>
      <c r="FG26" s="93" t="str">
        <f t="shared" si="44"/>
        <v/>
      </c>
      <c r="FH26" s="93" t="str">
        <f t="shared" si="44"/>
        <v/>
      </c>
      <c r="FI26" s="93" t="str">
        <f t="shared" si="44"/>
        <v/>
      </c>
      <c r="FJ26" s="93" t="str">
        <f t="shared" si="44"/>
        <v/>
      </c>
      <c r="FK26" s="93" t="str">
        <f t="shared" si="44"/>
        <v/>
      </c>
      <c r="FL26" s="93" t="str">
        <f t="shared" si="44"/>
        <v/>
      </c>
      <c r="FM26" s="93" t="str">
        <f t="shared" si="44"/>
        <v/>
      </c>
      <c r="FN26" s="93" t="str">
        <f t="shared" si="44"/>
        <v/>
      </c>
      <c r="FO26" s="93" t="str">
        <f t="shared" si="44"/>
        <v/>
      </c>
      <c r="FP26" s="93" t="str">
        <f t="shared" si="44"/>
        <v/>
      </c>
      <c r="FQ26" s="93" t="str">
        <f t="shared" si="44"/>
        <v/>
      </c>
      <c r="FR26" s="93" t="str">
        <f t="shared" si="44"/>
        <v/>
      </c>
      <c r="FS26" s="93" t="str">
        <f t="shared" si="44"/>
        <v/>
      </c>
      <c r="FT26" s="93" t="str">
        <f t="shared" si="44"/>
        <v/>
      </c>
      <c r="FU26" s="93" t="str">
        <f t="shared" si="44"/>
        <v/>
      </c>
      <c r="FV26" s="93" t="str">
        <f t="shared" si="44"/>
        <v/>
      </c>
      <c r="FW26" s="93" t="str">
        <f t="shared" si="44"/>
        <v/>
      </c>
      <c r="FX26" s="93" t="str">
        <f t="shared" si="44"/>
        <v/>
      </c>
      <c r="FY26" s="93" t="str">
        <f t="shared" si="44"/>
        <v/>
      </c>
      <c r="FZ26" s="93" t="str">
        <f t="shared" si="44"/>
        <v/>
      </c>
      <c r="GA26" s="93" t="str">
        <f t="shared" si="44"/>
        <v/>
      </c>
      <c r="GB26" s="93" t="str">
        <f t="shared" si="44"/>
        <v/>
      </c>
      <c r="GC26" s="93" t="str">
        <f t="shared" si="44"/>
        <v/>
      </c>
      <c r="GD26" s="93" t="str">
        <f t="shared" si="44"/>
        <v/>
      </c>
      <c r="GE26" s="93" t="str">
        <f t="shared" si="44"/>
        <v/>
      </c>
      <c r="GF26" s="93" t="str">
        <f t="shared" si="44"/>
        <v/>
      </c>
      <c r="GG26" s="93" t="str">
        <f t="shared" si="44"/>
        <v/>
      </c>
      <c r="GH26" s="93" t="str">
        <f t="shared" si="44"/>
        <v/>
      </c>
      <c r="GI26" s="93" t="str">
        <f t="shared" si="44"/>
        <v/>
      </c>
      <c r="GJ26" s="93" t="str">
        <f t="shared" si="44"/>
        <v/>
      </c>
      <c r="GK26" s="93" t="str">
        <f t="shared" si="44"/>
        <v/>
      </c>
      <c r="GL26" s="93" t="str">
        <f t="shared" si="44"/>
        <v/>
      </c>
      <c r="GM26" s="93" t="str">
        <f t="shared" si="44"/>
        <v/>
      </c>
      <c r="GN26" s="93" t="str">
        <f t="shared" si="44"/>
        <v/>
      </c>
      <c r="GO26" s="93" t="str">
        <f t="shared" si="44"/>
        <v/>
      </c>
      <c r="GP26" s="93" t="str">
        <f t="shared" si="44"/>
        <v/>
      </c>
      <c r="GQ26" s="93" t="str">
        <f t="shared" si="44"/>
        <v/>
      </c>
      <c r="GR26" s="93" t="str">
        <f t="shared" si="44"/>
        <v/>
      </c>
      <c r="GS26" s="93" t="str">
        <f t="shared" si="44"/>
        <v/>
      </c>
      <c r="GT26" s="93" t="str">
        <f t="shared" si="44"/>
        <v/>
      </c>
      <c r="GU26" s="93" t="str">
        <f t="shared" si="44"/>
        <v/>
      </c>
      <c r="GV26" s="93" t="str">
        <f t="shared" si="44"/>
        <v/>
      </c>
      <c r="GW26" s="93" t="str">
        <f t="shared" si="44"/>
        <v/>
      </c>
      <c r="GX26" s="93" t="str">
        <f t="shared" si="44"/>
        <v/>
      </c>
      <c r="GY26" s="93" t="str">
        <f t="shared" ref="GY26:HN28" si="45">IF($B26=GY$12,$O26,"")</f>
        <v/>
      </c>
      <c r="GZ26" s="93" t="str">
        <f t="shared" si="45"/>
        <v/>
      </c>
      <c r="HA26" s="93" t="str">
        <f t="shared" si="45"/>
        <v/>
      </c>
      <c r="HB26" s="93" t="str">
        <f t="shared" si="45"/>
        <v/>
      </c>
      <c r="HC26" s="93" t="str">
        <f t="shared" si="45"/>
        <v/>
      </c>
      <c r="HD26" s="93" t="str">
        <f t="shared" si="45"/>
        <v/>
      </c>
      <c r="HE26" s="93" t="str">
        <f t="shared" si="45"/>
        <v/>
      </c>
      <c r="HF26" s="93" t="str">
        <f t="shared" si="45"/>
        <v/>
      </c>
      <c r="HG26" s="93" t="str">
        <f t="shared" si="45"/>
        <v/>
      </c>
      <c r="HH26" s="93" t="str">
        <f t="shared" si="45"/>
        <v/>
      </c>
      <c r="HI26" s="93" t="str">
        <f t="shared" si="45"/>
        <v/>
      </c>
      <c r="HJ26" s="93" t="str">
        <f t="shared" si="45"/>
        <v/>
      </c>
      <c r="HK26" s="93" t="str">
        <f t="shared" si="45"/>
        <v/>
      </c>
      <c r="HL26" s="93" t="str">
        <f t="shared" si="45"/>
        <v/>
      </c>
      <c r="HM26" s="93" t="str">
        <f t="shared" si="45"/>
        <v/>
      </c>
      <c r="HN26" s="93" t="str">
        <f t="shared" si="45"/>
        <v/>
      </c>
      <c r="HO26" s="93" t="str">
        <f t="shared" ref="HI26:HR37" si="46">IF($B26=HO$12,$O26,"")</f>
        <v/>
      </c>
      <c r="HP26" s="93" t="str">
        <f t="shared" si="46"/>
        <v/>
      </c>
      <c r="HQ26" s="93" t="str">
        <f t="shared" si="46"/>
        <v/>
      </c>
      <c r="HR26" s="111" t="str">
        <f t="shared" si="46"/>
        <v/>
      </c>
    </row>
    <row r="27" spans="1:226" ht="11.1" customHeight="1" x14ac:dyDescent="0.25">
      <c r="A27" s="26">
        <v>34</v>
      </c>
      <c r="B27" s="27">
        <v>60</v>
      </c>
      <c r="C27" s="28" t="str">
        <f>IF(A27=0,"",VLOOKUP(A27,[2]CO!$A$3:$F$5327,2,0))</f>
        <v>VIDAL OCHOA ROBERTO ENRIQUE</v>
      </c>
      <c r="D27" s="29"/>
      <c r="E27" s="29"/>
      <c r="F27" s="29"/>
      <c r="G27" s="30" t="str">
        <f>IF(A27=0,"",VLOOKUP(A27,[2]CO!$A$3:$F$5327,3,0))</f>
        <v>DESTAJOS</v>
      </c>
      <c r="H27" s="95"/>
      <c r="I27" s="31"/>
      <c r="J27" s="31"/>
      <c r="K27" s="31"/>
      <c r="L27" s="31"/>
      <c r="M27" s="32" t="str">
        <f t="shared" si="36"/>
        <v/>
      </c>
      <c r="N27" s="32">
        <f>IF(B27=0,"",IF(H27="M",HLOOKUP(B27,$Y$12:$DT$13,2),IF(A27=0,"",VLOOKUP(A27,[2]CO!$A$3:$F$5327,4,0))))</f>
        <v>0</v>
      </c>
      <c r="O27" s="32" t="str">
        <f t="shared" si="7"/>
        <v/>
      </c>
      <c r="P27" s="33"/>
      <c r="Q27" s="34" t="str">
        <f t="shared" si="37"/>
        <v/>
      </c>
      <c r="R27" s="35">
        <f>IF(S27=0,"",IF(OR(G27="PEON",G27="OF",G27="JARD",G27="CARP",G27="MAESTRO",G27="SOLD",G27="BGRO",G27="CHOFER",G27="AYTE",G27="S.INTTE.",G27="ASEO",G27="P.PISOS",G27="VELADOR",G27="RESID",G27="PINTOR",G27="ELECT",G27="AZULE",G27="AUX CONT.",G27="SECRETARIA",G27="AUXILIAR ADMTVO.",G27="ARQUITECTO",G27="DIBUJANTE",G27="AUX. DE RESIDENTE",G27="TOPOGRAFIA",G27="DESTAJOS"),VLOOKUP(B27,P$14:Q$49,2),"")*S27)</f>
        <v>0</v>
      </c>
      <c r="S27" s="118">
        <v>1</v>
      </c>
      <c r="T27" s="53">
        <f>IF(A27=0,"",VLOOKUP(A27,[2]CO!$A$3:$F$5318,5,0))</f>
        <v>0</v>
      </c>
      <c r="U27" s="54">
        <f t="shared" si="38"/>
        <v>0</v>
      </c>
      <c r="V27" s="24"/>
      <c r="W27" s="25"/>
      <c r="X27" s="25"/>
      <c r="Y27" s="64" t="str">
        <f t="shared" si="39"/>
        <v/>
      </c>
      <c r="Z27" s="55" t="str">
        <f t="shared" si="39"/>
        <v/>
      </c>
      <c r="AA27" s="55" t="str">
        <f t="shared" si="39"/>
        <v/>
      </c>
      <c r="AB27" s="55" t="str">
        <f t="shared" si="39"/>
        <v/>
      </c>
      <c r="AC27" s="55" t="str">
        <f t="shared" si="39"/>
        <v/>
      </c>
      <c r="AD27" s="55" t="str">
        <f t="shared" si="39"/>
        <v/>
      </c>
      <c r="AE27" s="55" t="str">
        <f t="shared" si="39"/>
        <v/>
      </c>
      <c r="AF27" s="55" t="str">
        <f t="shared" si="39"/>
        <v/>
      </c>
      <c r="AG27" s="55" t="str">
        <f t="shared" si="39"/>
        <v/>
      </c>
      <c r="AH27" s="55" t="str">
        <f t="shared" si="39"/>
        <v/>
      </c>
      <c r="AI27" s="55" t="str">
        <f t="shared" si="39"/>
        <v/>
      </c>
      <c r="AJ27" s="55" t="str">
        <f t="shared" si="39"/>
        <v/>
      </c>
      <c r="AK27" s="55" t="str">
        <f t="shared" si="39"/>
        <v/>
      </c>
      <c r="AL27" s="55" t="str">
        <f t="shared" si="39"/>
        <v/>
      </c>
      <c r="AM27" s="55" t="str">
        <f t="shared" si="39"/>
        <v/>
      </c>
      <c r="AN27" s="55" t="str">
        <f t="shared" si="39"/>
        <v/>
      </c>
      <c r="AO27" s="55" t="str">
        <f t="shared" si="40"/>
        <v/>
      </c>
      <c r="AP27" s="55" t="str">
        <f t="shared" si="40"/>
        <v/>
      </c>
      <c r="AQ27" s="55" t="str">
        <f t="shared" si="40"/>
        <v/>
      </c>
      <c r="AR27" s="55" t="str">
        <f t="shared" si="40"/>
        <v/>
      </c>
      <c r="AS27" s="55" t="str">
        <f t="shared" si="40"/>
        <v/>
      </c>
      <c r="AT27" s="55" t="str">
        <f t="shared" si="40"/>
        <v/>
      </c>
      <c r="AU27" s="55" t="str">
        <f t="shared" si="40"/>
        <v/>
      </c>
      <c r="AV27" s="55" t="str">
        <f t="shared" si="40"/>
        <v/>
      </c>
      <c r="AW27" s="55" t="str">
        <f t="shared" si="40"/>
        <v/>
      </c>
      <c r="AX27" s="55" t="str">
        <f t="shared" si="40"/>
        <v/>
      </c>
      <c r="AY27" s="55" t="str">
        <f t="shared" si="40"/>
        <v/>
      </c>
      <c r="AZ27" s="55" t="str">
        <f t="shared" si="40"/>
        <v/>
      </c>
      <c r="BA27" s="55" t="str">
        <f t="shared" si="40"/>
        <v/>
      </c>
      <c r="BB27" s="55" t="str">
        <f t="shared" si="40"/>
        <v/>
      </c>
      <c r="BC27" s="55" t="str">
        <f t="shared" si="40"/>
        <v/>
      </c>
      <c r="BD27" s="55" t="str">
        <f t="shared" si="40"/>
        <v/>
      </c>
      <c r="BE27" s="55" t="str">
        <f t="shared" si="40"/>
        <v/>
      </c>
      <c r="BF27" s="55" t="str">
        <f t="shared" si="40"/>
        <v/>
      </c>
      <c r="BG27" s="55" t="str">
        <f t="shared" si="40"/>
        <v/>
      </c>
      <c r="BH27" s="55" t="str">
        <f t="shared" si="40"/>
        <v/>
      </c>
      <c r="BI27" s="55" t="str">
        <f t="shared" si="40"/>
        <v/>
      </c>
      <c r="BJ27" s="55" t="str">
        <f t="shared" si="40"/>
        <v/>
      </c>
      <c r="BK27" s="55" t="str">
        <f t="shared" si="40"/>
        <v/>
      </c>
      <c r="BL27" s="55" t="str">
        <f t="shared" si="40"/>
        <v/>
      </c>
      <c r="BM27" s="55" t="str">
        <f t="shared" si="40"/>
        <v/>
      </c>
      <c r="BN27" s="55" t="str">
        <f t="shared" si="40"/>
        <v/>
      </c>
      <c r="BO27" s="55" t="str">
        <f t="shared" si="40"/>
        <v/>
      </c>
      <c r="BP27" s="55" t="str">
        <f t="shared" si="40"/>
        <v/>
      </c>
      <c r="BQ27" s="55" t="str">
        <f t="shared" si="40"/>
        <v/>
      </c>
      <c r="BR27" s="55" t="str">
        <f t="shared" si="40"/>
        <v/>
      </c>
      <c r="BS27" s="55" t="str">
        <f t="shared" si="40"/>
        <v/>
      </c>
      <c r="BT27" s="55" t="str">
        <f t="shared" si="40"/>
        <v/>
      </c>
      <c r="BU27" s="55" t="str">
        <f t="shared" si="40"/>
        <v/>
      </c>
      <c r="BV27" s="55" t="str">
        <f t="shared" si="40"/>
        <v/>
      </c>
      <c r="BW27" s="55" t="str">
        <f t="shared" si="40"/>
        <v/>
      </c>
      <c r="BX27" s="55" t="str">
        <f t="shared" si="40"/>
        <v/>
      </c>
      <c r="BY27" s="55" t="str">
        <f t="shared" si="40"/>
        <v/>
      </c>
      <c r="BZ27" s="55" t="str">
        <f t="shared" si="40"/>
        <v/>
      </c>
      <c r="CA27" s="55" t="str">
        <f t="shared" si="40"/>
        <v/>
      </c>
      <c r="CB27" s="55" t="str">
        <f t="shared" si="40"/>
        <v/>
      </c>
      <c r="CC27" s="55" t="str">
        <f t="shared" si="40"/>
        <v/>
      </c>
      <c r="CD27" s="55" t="str">
        <f t="shared" si="40"/>
        <v/>
      </c>
      <c r="CE27" s="55" t="str">
        <f t="shared" si="40"/>
        <v/>
      </c>
      <c r="CF27" s="55">
        <f t="shared" si="40"/>
        <v>0</v>
      </c>
      <c r="CG27" s="55" t="str">
        <f t="shared" si="40"/>
        <v/>
      </c>
      <c r="CH27" s="55" t="str">
        <f t="shared" si="40"/>
        <v/>
      </c>
      <c r="CI27" s="55" t="str">
        <f t="shared" si="40"/>
        <v/>
      </c>
      <c r="CJ27" s="55" t="str">
        <f t="shared" si="40"/>
        <v/>
      </c>
      <c r="CK27" s="55" t="str">
        <f t="shared" si="40"/>
        <v/>
      </c>
      <c r="CL27" s="55" t="str">
        <f t="shared" si="40"/>
        <v/>
      </c>
      <c r="CM27" s="55" t="str">
        <f t="shared" si="40"/>
        <v/>
      </c>
      <c r="CN27" s="55" t="str">
        <f t="shared" si="40"/>
        <v/>
      </c>
      <c r="CO27" s="55" t="str">
        <f t="shared" si="40"/>
        <v/>
      </c>
      <c r="CP27" s="55" t="str">
        <f t="shared" si="40"/>
        <v/>
      </c>
      <c r="CQ27" s="55" t="str">
        <f t="shared" si="40"/>
        <v/>
      </c>
      <c r="CR27" s="55" t="str">
        <f t="shared" si="40"/>
        <v/>
      </c>
      <c r="CS27" s="55" t="str">
        <f t="shared" si="40"/>
        <v/>
      </c>
      <c r="CT27" s="55" t="str">
        <f t="shared" si="40"/>
        <v/>
      </c>
      <c r="CU27" s="55" t="str">
        <f t="shared" si="40"/>
        <v/>
      </c>
      <c r="CV27" s="55" t="str">
        <f t="shared" si="40"/>
        <v/>
      </c>
      <c r="CW27" s="55" t="str">
        <f t="shared" si="40"/>
        <v/>
      </c>
      <c r="CX27" s="55" t="str">
        <f t="shared" si="40"/>
        <v/>
      </c>
      <c r="CY27" s="55" t="str">
        <f t="shared" si="40"/>
        <v/>
      </c>
      <c r="CZ27" s="55" t="str">
        <f t="shared" si="40"/>
        <v/>
      </c>
      <c r="DA27" s="55" t="str">
        <f t="shared" si="41"/>
        <v/>
      </c>
      <c r="DB27" s="55" t="str">
        <f t="shared" si="41"/>
        <v/>
      </c>
      <c r="DC27" s="55" t="str">
        <f t="shared" si="41"/>
        <v/>
      </c>
      <c r="DD27" s="55" t="str">
        <f t="shared" si="41"/>
        <v/>
      </c>
      <c r="DE27" s="55" t="str">
        <f t="shared" si="41"/>
        <v/>
      </c>
      <c r="DF27" s="55" t="str">
        <f t="shared" si="41"/>
        <v/>
      </c>
      <c r="DG27" s="55" t="str">
        <f t="shared" si="41"/>
        <v/>
      </c>
      <c r="DH27" s="55" t="str">
        <f t="shared" si="41"/>
        <v/>
      </c>
      <c r="DI27" s="55" t="str">
        <f t="shared" si="41"/>
        <v/>
      </c>
      <c r="DJ27" s="55" t="str">
        <f t="shared" si="41"/>
        <v/>
      </c>
      <c r="DK27" s="55" t="str">
        <f t="shared" si="41"/>
        <v/>
      </c>
      <c r="DL27" s="55" t="str">
        <f t="shared" si="41"/>
        <v/>
      </c>
      <c r="DM27" s="55" t="str">
        <f t="shared" si="41"/>
        <v/>
      </c>
      <c r="DN27" s="55" t="str">
        <f t="shared" si="41"/>
        <v/>
      </c>
      <c r="DO27" s="55" t="str">
        <f t="shared" si="41"/>
        <v/>
      </c>
      <c r="DP27" s="55" t="str">
        <f t="shared" si="41"/>
        <v/>
      </c>
      <c r="DQ27" s="55" t="str">
        <f t="shared" si="42"/>
        <v/>
      </c>
      <c r="DR27" s="55" t="str">
        <f t="shared" si="42"/>
        <v/>
      </c>
      <c r="DS27" s="55" t="str">
        <f t="shared" si="42"/>
        <v/>
      </c>
      <c r="DT27" s="106" t="str">
        <f t="shared" si="42"/>
        <v/>
      </c>
      <c r="DU27" s="54"/>
      <c r="DV27" s="25"/>
      <c r="DW27" s="61" t="str">
        <f t="shared" si="43"/>
        <v/>
      </c>
      <c r="DX27" s="50" t="str">
        <f t="shared" si="43"/>
        <v/>
      </c>
      <c r="DY27" s="50" t="str">
        <f t="shared" si="43"/>
        <v/>
      </c>
      <c r="DZ27" s="50" t="str">
        <f t="shared" si="43"/>
        <v/>
      </c>
      <c r="EA27" s="50" t="str">
        <f t="shared" si="43"/>
        <v/>
      </c>
      <c r="EB27" s="50" t="str">
        <f t="shared" si="43"/>
        <v/>
      </c>
      <c r="EC27" s="50" t="str">
        <f t="shared" si="43"/>
        <v/>
      </c>
      <c r="ED27" s="50" t="str">
        <f t="shared" si="43"/>
        <v/>
      </c>
      <c r="EE27" s="50" t="str">
        <f t="shared" si="43"/>
        <v/>
      </c>
      <c r="EF27" s="50" t="str">
        <f t="shared" si="43"/>
        <v/>
      </c>
      <c r="EG27" s="50" t="str">
        <f t="shared" si="43"/>
        <v/>
      </c>
      <c r="EH27" s="50" t="str">
        <f t="shared" si="43"/>
        <v/>
      </c>
      <c r="EI27" s="50" t="str">
        <f t="shared" si="43"/>
        <v/>
      </c>
      <c r="EJ27" s="50" t="str">
        <f t="shared" si="43"/>
        <v/>
      </c>
      <c r="EK27" s="50" t="str">
        <f t="shared" si="43"/>
        <v/>
      </c>
      <c r="EL27" s="50" t="str">
        <f t="shared" si="43"/>
        <v/>
      </c>
      <c r="EM27" s="50" t="str">
        <f t="shared" si="44"/>
        <v/>
      </c>
      <c r="EN27" s="50" t="str">
        <f t="shared" si="44"/>
        <v/>
      </c>
      <c r="EO27" s="50" t="str">
        <f t="shared" si="44"/>
        <v/>
      </c>
      <c r="EP27" s="50" t="str">
        <f t="shared" si="44"/>
        <v/>
      </c>
      <c r="EQ27" s="50" t="str">
        <f t="shared" si="44"/>
        <v/>
      </c>
      <c r="ER27" s="50" t="str">
        <f t="shared" si="44"/>
        <v/>
      </c>
      <c r="ES27" s="50" t="str">
        <f t="shared" si="44"/>
        <v/>
      </c>
      <c r="ET27" s="50" t="str">
        <f t="shared" si="44"/>
        <v/>
      </c>
      <c r="EU27" s="50" t="str">
        <f t="shared" si="44"/>
        <v/>
      </c>
      <c r="EV27" s="50" t="str">
        <f t="shared" si="44"/>
        <v/>
      </c>
      <c r="EW27" s="50" t="str">
        <f t="shared" si="44"/>
        <v/>
      </c>
      <c r="EX27" s="50" t="str">
        <f t="shared" si="44"/>
        <v/>
      </c>
      <c r="EY27" s="50" t="str">
        <f t="shared" si="44"/>
        <v/>
      </c>
      <c r="EZ27" s="50" t="str">
        <f t="shared" si="44"/>
        <v/>
      </c>
      <c r="FA27" s="50" t="str">
        <f t="shared" si="44"/>
        <v/>
      </c>
      <c r="FB27" s="50" t="str">
        <f t="shared" si="44"/>
        <v/>
      </c>
      <c r="FC27" s="50" t="str">
        <f t="shared" si="44"/>
        <v/>
      </c>
      <c r="FD27" s="50" t="str">
        <f t="shared" si="44"/>
        <v/>
      </c>
      <c r="FE27" s="50" t="str">
        <f t="shared" si="44"/>
        <v/>
      </c>
      <c r="FF27" s="50" t="str">
        <f t="shared" si="44"/>
        <v/>
      </c>
      <c r="FG27" s="50" t="str">
        <f t="shared" si="44"/>
        <v/>
      </c>
      <c r="FH27" s="50" t="str">
        <f t="shared" si="44"/>
        <v/>
      </c>
      <c r="FI27" s="50" t="str">
        <f t="shared" si="44"/>
        <v/>
      </c>
      <c r="FJ27" s="50" t="str">
        <f t="shared" si="44"/>
        <v/>
      </c>
      <c r="FK27" s="50" t="str">
        <f t="shared" si="44"/>
        <v/>
      </c>
      <c r="FL27" s="50" t="str">
        <f t="shared" si="44"/>
        <v/>
      </c>
      <c r="FM27" s="50" t="str">
        <f t="shared" si="44"/>
        <v/>
      </c>
      <c r="FN27" s="50" t="str">
        <f t="shared" si="44"/>
        <v/>
      </c>
      <c r="FO27" s="50" t="str">
        <f t="shared" si="44"/>
        <v/>
      </c>
      <c r="FP27" s="50" t="str">
        <f t="shared" si="44"/>
        <v/>
      </c>
      <c r="FQ27" s="50" t="str">
        <f t="shared" si="44"/>
        <v/>
      </c>
      <c r="FR27" s="50" t="str">
        <f t="shared" si="44"/>
        <v/>
      </c>
      <c r="FS27" s="50" t="str">
        <f t="shared" si="44"/>
        <v/>
      </c>
      <c r="FT27" s="50" t="str">
        <f t="shared" si="44"/>
        <v/>
      </c>
      <c r="FU27" s="50" t="str">
        <f t="shared" si="44"/>
        <v/>
      </c>
      <c r="FV27" s="50" t="str">
        <f t="shared" si="44"/>
        <v/>
      </c>
      <c r="FW27" s="50" t="str">
        <f t="shared" si="44"/>
        <v/>
      </c>
      <c r="FX27" s="50" t="str">
        <f t="shared" si="44"/>
        <v/>
      </c>
      <c r="FY27" s="50" t="str">
        <f t="shared" si="44"/>
        <v/>
      </c>
      <c r="FZ27" s="50" t="str">
        <f t="shared" si="44"/>
        <v/>
      </c>
      <c r="GA27" s="50" t="str">
        <f t="shared" si="44"/>
        <v/>
      </c>
      <c r="GB27" s="50" t="str">
        <f t="shared" si="44"/>
        <v/>
      </c>
      <c r="GC27" s="50" t="str">
        <f t="shared" si="44"/>
        <v/>
      </c>
      <c r="GD27" s="50" t="str">
        <f t="shared" si="44"/>
        <v/>
      </c>
      <c r="GE27" s="50" t="str">
        <f t="shared" si="44"/>
        <v/>
      </c>
      <c r="GF27" s="50" t="str">
        <f t="shared" si="44"/>
        <v/>
      </c>
      <c r="GG27" s="50" t="str">
        <f t="shared" si="44"/>
        <v/>
      </c>
      <c r="GH27" s="50" t="str">
        <f t="shared" si="44"/>
        <v/>
      </c>
      <c r="GI27" s="50" t="str">
        <f t="shared" si="44"/>
        <v/>
      </c>
      <c r="GJ27" s="50" t="str">
        <f t="shared" si="44"/>
        <v/>
      </c>
      <c r="GK27" s="50" t="str">
        <f t="shared" si="44"/>
        <v/>
      </c>
      <c r="GL27" s="50" t="str">
        <f t="shared" si="44"/>
        <v/>
      </c>
      <c r="GM27" s="50" t="str">
        <f t="shared" si="44"/>
        <v/>
      </c>
      <c r="GN27" s="50" t="str">
        <f t="shared" si="44"/>
        <v/>
      </c>
      <c r="GO27" s="50" t="str">
        <f t="shared" si="44"/>
        <v/>
      </c>
      <c r="GP27" s="50" t="str">
        <f t="shared" si="44"/>
        <v/>
      </c>
      <c r="GQ27" s="50" t="str">
        <f t="shared" si="44"/>
        <v/>
      </c>
      <c r="GR27" s="50" t="str">
        <f t="shared" si="44"/>
        <v/>
      </c>
      <c r="GS27" s="50" t="str">
        <f t="shared" si="44"/>
        <v/>
      </c>
      <c r="GT27" s="50" t="str">
        <f t="shared" si="44"/>
        <v/>
      </c>
      <c r="GU27" s="50" t="str">
        <f t="shared" si="44"/>
        <v/>
      </c>
      <c r="GV27" s="50" t="str">
        <f t="shared" si="44"/>
        <v/>
      </c>
      <c r="GW27" s="50" t="str">
        <f t="shared" si="44"/>
        <v/>
      </c>
      <c r="GX27" s="50" t="str">
        <f t="shared" si="44"/>
        <v/>
      </c>
      <c r="GY27" s="50" t="str">
        <f t="shared" si="45"/>
        <v/>
      </c>
      <c r="GZ27" s="50" t="str">
        <f t="shared" si="45"/>
        <v/>
      </c>
      <c r="HA27" s="50" t="str">
        <f t="shared" si="45"/>
        <v/>
      </c>
      <c r="HB27" s="50" t="str">
        <f t="shared" si="45"/>
        <v/>
      </c>
      <c r="HC27" s="50" t="str">
        <f t="shared" si="45"/>
        <v/>
      </c>
      <c r="HD27" s="50" t="str">
        <f t="shared" si="45"/>
        <v/>
      </c>
      <c r="HE27" s="50" t="str">
        <f t="shared" si="45"/>
        <v/>
      </c>
      <c r="HF27" s="50" t="str">
        <f t="shared" si="45"/>
        <v/>
      </c>
      <c r="HG27" s="50" t="str">
        <f t="shared" si="45"/>
        <v/>
      </c>
      <c r="HH27" s="50" t="str">
        <f t="shared" si="45"/>
        <v/>
      </c>
      <c r="HI27" s="50" t="str">
        <f t="shared" si="46"/>
        <v/>
      </c>
      <c r="HJ27" s="50" t="str">
        <f t="shared" si="46"/>
        <v/>
      </c>
      <c r="HK27" s="50" t="str">
        <f t="shared" si="46"/>
        <v/>
      </c>
      <c r="HL27" s="50" t="str">
        <f t="shared" si="46"/>
        <v/>
      </c>
      <c r="HM27" s="50" t="str">
        <f t="shared" si="46"/>
        <v/>
      </c>
      <c r="HN27" s="50" t="str">
        <f t="shared" si="46"/>
        <v/>
      </c>
      <c r="HO27" s="50" t="str">
        <f t="shared" si="46"/>
        <v/>
      </c>
      <c r="HP27" s="50" t="str">
        <f t="shared" si="46"/>
        <v/>
      </c>
      <c r="HQ27" s="50" t="str">
        <f t="shared" si="46"/>
        <v/>
      </c>
      <c r="HR27" s="112" t="str">
        <f t="shared" si="46"/>
        <v/>
      </c>
    </row>
    <row r="28" spans="1:226" ht="11.1" customHeight="1" x14ac:dyDescent="0.25">
      <c r="A28" s="26" t="s">
        <v>30</v>
      </c>
      <c r="B28" s="27">
        <v>60</v>
      </c>
      <c r="C28" s="28" t="str">
        <f>IF(A28=0,"",VLOOKUP(A28,[2]CO!$A$3:$F$5327,2,0))</f>
        <v>Destajos y nominas</v>
      </c>
      <c r="D28" s="29"/>
      <c r="E28" s="29"/>
      <c r="F28" s="29"/>
      <c r="G28" s="30" t="str">
        <f>IF(A28=0,"",VLOOKUP(A28,[2]CO!$A$3:$F$5327,3,0))</f>
        <v>LOTE</v>
      </c>
      <c r="H28" s="126">
        <v>0.04</v>
      </c>
      <c r="I28" s="31"/>
      <c r="J28" s="31"/>
      <c r="K28" s="31"/>
      <c r="L28" s="31">
        <v>1</v>
      </c>
      <c r="M28" s="32">
        <f t="shared" si="36"/>
        <v>0</v>
      </c>
      <c r="N28" s="32">
        <f>IF(B28=0,"",IF(H28="M",HLOOKUP(B28,$Y$12:$DT$13,2),IF(A28=0,"",VLOOKUP(A28,[2]CO!$A$3:$F$5327,4,0))))</f>
        <v>100</v>
      </c>
      <c r="O28" s="32">
        <f t="shared" si="7"/>
        <v>0</v>
      </c>
      <c r="P28" s="33">
        <v>60</v>
      </c>
      <c r="Q28" s="34">
        <f t="shared" si="37"/>
        <v>0</v>
      </c>
      <c r="R28" s="35" t="str">
        <f>IF(S28=0,"",IF(OR(G28="PEON",G28="OF",G28="JARD",G28="CARP",G28="MAESTRO",G28="SOLD",G28="BGRO",G28="CHOFER",G28="AYTE",G28="S.INTTE.",G28="ASEO",G28="P.PISOS",G28="VELADOR",G28="RESID",G28="PINTOR",G28="ELECT",G28="AZULE",G28="AUX CONT.",G28="SECRETARIA",G28="AUXILIAR ADMTVO.",G28="ARQUITECTO",G28="DIBUJANTE",G28="AUX. DE RESIDENTE",G28="TOPOGRAFIA"),VLOOKUP(B28,P$14:Q$56,2),"")*S28)</f>
        <v/>
      </c>
      <c r="T28" s="53">
        <f>IF(A28=0,"",VLOOKUP(A28,[2]CO!$A$3:$F$5318,5,0))</f>
        <v>0</v>
      </c>
      <c r="U28" s="54">
        <f t="shared" si="38"/>
        <v>0</v>
      </c>
      <c r="V28" s="24"/>
      <c r="W28" s="25"/>
      <c r="X28" s="25"/>
      <c r="Y28" s="64" t="str">
        <f t="shared" si="39"/>
        <v/>
      </c>
      <c r="Z28" s="55" t="str">
        <f t="shared" si="39"/>
        <v/>
      </c>
      <c r="AA28" s="55" t="str">
        <f t="shared" si="39"/>
        <v/>
      </c>
      <c r="AB28" s="55" t="str">
        <f t="shared" si="39"/>
        <v/>
      </c>
      <c r="AC28" s="55" t="str">
        <f t="shared" si="39"/>
        <v/>
      </c>
      <c r="AD28" s="55" t="str">
        <f t="shared" si="39"/>
        <v/>
      </c>
      <c r="AE28" s="55" t="str">
        <f t="shared" si="39"/>
        <v/>
      </c>
      <c r="AF28" s="55" t="str">
        <f t="shared" si="39"/>
        <v/>
      </c>
      <c r="AG28" s="55" t="str">
        <f t="shared" si="39"/>
        <v/>
      </c>
      <c r="AH28" s="55" t="str">
        <f t="shared" si="39"/>
        <v/>
      </c>
      <c r="AI28" s="55" t="str">
        <f t="shared" si="39"/>
        <v/>
      </c>
      <c r="AJ28" s="55" t="str">
        <f t="shared" si="39"/>
        <v/>
      </c>
      <c r="AK28" s="55" t="str">
        <f t="shared" si="39"/>
        <v/>
      </c>
      <c r="AL28" s="55" t="str">
        <f t="shared" si="39"/>
        <v/>
      </c>
      <c r="AM28" s="55" t="str">
        <f t="shared" si="39"/>
        <v/>
      </c>
      <c r="AN28" s="55" t="str">
        <f t="shared" si="39"/>
        <v/>
      </c>
      <c r="AO28" s="55" t="str">
        <f t="shared" si="40"/>
        <v/>
      </c>
      <c r="AP28" s="55" t="str">
        <f t="shared" si="40"/>
        <v/>
      </c>
      <c r="AQ28" s="55" t="str">
        <f t="shared" si="40"/>
        <v/>
      </c>
      <c r="AR28" s="55" t="str">
        <f t="shared" si="40"/>
        <v/>
      </c>
      <c r="AS28" s="55" t="str">
        <f t="shared" si="40"/>
        <v/>
      </c>
      <c r="AT28" s="55" t="str">
        <f t="shared" si="40"/>
        <v/>
      </c>
      <c r="AU28" s="55" t="str">
        <f t="shared" si="40"/>
        <v/>
      </c>
      <c r="AV28" s="55" t="str">
        <f t="shared" si="40"/>
        <v/>
      </c>
      <c r="AW28" s="55" t="str">
        <f t="shared" si="40"/>
        <v/>
      </c>
      <c r="AX28" s="55" t="str">
        <f t="shared" si="40"/>
        <v/>
      </c>
      <c r="AY28" s="55" t="str">
        <f t="shared" si="40"/>
        <v/>
      </c>
      <c r="AZ28" s="55" t="str">
        <f t="shared" si="40"/>
        <v/>
      </c>
      <c r="BA28" s="55" t="str">
        <f t="shared" si="40"/>
        <v/>
      </c>
      <c r="BB28" s="55" t="str">
        <f t="shared" si="40"/>
        <v/>
      </c>
      <c r="BC28" s="55" t="str">
        <f t="shared" si="40"/>
        <v/>
      </c>
      <c r="BD28" s="55" t="str">
        <f t="shared" si="40"/>
        <v/>
      </c>
      <c r="BE28" s="55" t="str">
        <f t="shared" si="40"/>
        <v/>
      </c>
      <c r="BF28" s="55" t="str">
        <f t="shared" si="40"/>
        <v/>
      </c>
      <c r="BG28" s="55" t="str">
        <f t="shared" si="40"/>
        <v/>
      </c>
      <c r="BH28" s="55" t="str">
        <f t="shared" si="40"/>
        <v/>
      </c>
      <c r="BI28" s="55" t="str">
        <f t="shared" si="40"/>
        <v/>
      </c>
      <c r="BJ28" s="55" t="str">
        <f t="shared" si="40"/>
        <v/>
      </c>
      <c r="BK28" s="55" t="str">
        <f t="shared" si="40"/>
        <v/>
      </c>
      <c r="BL28" s="55" t="str">
        <f t="shared" si="40"/>
        <v/>
      </c>
      <c r="BM28" s="55" t="str">
        <f t="shared" si="40"/>
        <v/>
      </c>
      <c r="BN28" s="55" t="str">
        <f t="shared" si="40"/>
        <v/>
      </c>
      <c r="BO28" s="55" t="str">
        <f t="shared" si="40"/>
        <v/>
      </c>
      <c r="BP28" s="55" t="str">
        <f t="shared" si="40"/>
        <v/>
      </c>
      <c r="BQ28" s="55" t="str">
        <f t="shared" si="40"/>
        <v/>
      </c>
      <c r="BR28" s="55" t="str">
        <f t="shared" si="40"/>
        <v/>
      </c>
      <c r="BS28" s="55" t="str">
        <f t="shared" si="40"/>
        <v/>
      </c>
      <c r="BT28" s="55" t="str">
        <f t="shared" si="40"/>
        <v/>
      </c>
      <c r="BU28" s="55" t="str">
        <f t="shared" si="40"/>
        <v/>
      </c>
      <c r="BV28" s="55" t="str">
        <f t="shared" si="40"/>
        <v/>
      </c>
      <c r="BW28" s="55" t="str">
        <f t="shared" si="40"/>
        <v/>
      </c>
      <c r="BX28" s="55" t="str">
        <f t="shared" si="40"/>
        <v/>
      </c>
      <c r="BY28" s="55" t="str">
        <f t="shared" si="40"/>
        <v/>
      </c>
      <c r="BZ28" s="55" t="str">
        <f t="shared" si="40"/>
        <v/>
      </c>
      <c r="CA28" s="55" t="str">
        <f t="shared" si="40"/>
        <v/>
      </c>
      <c r="CB28" s="55" t="str">
        <f t="shared" si="40"/>
        <v/>
      </c>
      <c r="CC28" s="55" t="str">
        <f t="shared" si="40"/>
        <v/>
      </c>
      <c r="CD28" s="55" t="str">
        <f t="shared" si="40"/>
        <v/>
      </c>
      <c r="CE28" s="55" t="str">
        <f t="shared" si="40"/>
        <v/>
      </c>
      <c r="CF28" s="55">
        <f t="shared" si="40"/>
        <v>0</v>
      </c>
      <c r="CG28" s="55" t="str">
        <f t="shared" si="40"/>
        <v/>
      </c>
      <c r="CH28" s="55" t="str">
        <f t="shared" si="40"/>
        <v/>
      </c>
      <c r="CI28" s="55" t="str">
        <f t="shared" si="40"/>
        <v/>
      </c>
      <c r="CJ28" s="55" t="str">
        <f t="shared" si="40"/>
        <v/>
      </c>
      <c r="CK28" s="55" t="str">
        <f t="shared" si="40"/>
        <v/>
      </c>
      <c r="CL28" s="55" t="str">
        <f t="shared" si="40"/>
        <v/>
      </c>
      <c r="CM28" s="55" t="str">
        <f t="shared" si="40"/>
        <v/>
      </c>
      <c r="CN28" s="55" t="str">
        <f t="shared" si="40"/>
        <v/>
      </c>
      <c r="CO28" s="55" t="str">
        <f t="shared" si="40"/>
        <v/>
      </c>
      <c r="CP28" s="55" t="str">
        <f t="shared" si="40"/>
        <v/>
      </c>
      <c r="CQ28" s="55" t="str">
        <f t="shared" si="40"/>
        <v/>
      </c>
      <c r="CR28" s="55" t="str">
        <f t="shared" si="40"/>
        <v/>
      </c>
      <c r="CS28" s="55" t="str">
        <f t="shared" si="40"/>
        <v/>
      </c>
      <c r="CT28" s="55" t="str">
        <f t="shared" si="40"/>
        <v/>
      </c>
      <c r="CU28" s="55" t="str">
        <f t="shared" si="40"/>
        <v/>
      </c>
      <c r="CV28" s="55" t="str">
        <f t="shared" si="40"/>
        <v/>
      </c>
      <c r="CW28" s="55" t="str">
        <f t="shared" si="40"/>
        <v/>
      </c>
      <c r="CX28" s="55" t="str">
        <f t="shared" si="40"/>
        <v/>
      </c>
      <c r="CY28" s="55" t="str">
        <f t="shared" si="40"/>
        <v/>
      </c>
      <c r="CZ28" s="55" t="str">
        <f t="shared" si="40"/>
        <v/>
      </c>
      <c r="DA28" s="55" t="str">
        <f t="shared" si="41"/>
        <v/>
      </c>
      <c r="DB28" s="55" t="str">
        <f t="shared" si="41"/>
        <v/>
      </c>
      <c r="DC28" s="55" t="str">
        <f t="shared" si="41"/>
        <v/>
      </c>
      <c r="DD28" s="55" t="str">
        <f t="shared" si="41"/>
        <v/>
      </c>
      <c r="DE28" s="55" t="str">
        <f t="shared" si="41"/>
        <v/>
      </c>
      <c r="DF28" s="55" t="str">
        <f t="shared" si="41"/>
        <v/>
      </c>
      <c r="DG28" s="55" t="str">
        <f t="shared" si="41"/>
        <v/>
      </c>
      <c r="DH28" s="55" t="str">
        <f t="shared" si="41"/>
        <v/>
      </c>
      <c r="DI28" s="55" t="str">
        <f t="shared" si="41"/>
        <v/>
      </c>
      <c r="DJ28" s="55" t="str">
        <f t="shared" si="41"/>
        <v/>
      </c>
      <c r="DK28" s="55" t="str">
        <f t="shared" si="41"/>
        <v/>
      </c>
      <c r="DL28" s="55" t="str">
        <f t="shared" si="41"/>
        <v/>
      </c>
      <c r="DM28" s="55" t="str">
        <f t="shared" si="41"/>
        <v/>
      </c>
      <c r="DN28" s="55" t="str">
        <f t="shared" si="41"/>
        <v/>
      </c>
      <c r="DO28" s="55" t="str">
        <f t="shared" si="41"/>
        <v/>
      </c>
      <c r="DP28" s="55" t="str">
        <f t="shared" si="41"/>
        <v/>
      </c>
      <c r="DQ28" s="55" t="str">
        <f t="shared" si="42"/>
        <v/>
      </c>
      <c r="DR28" s="55" t="str">
        <f t="shared" si="42"/>
        <v/>
      </c>
      <c r="DS28" s="55" t="str">
        <f t="shared" si="42"/>
        <v/>
      </c>
      <c r="DT28" s="106" t="str">
        <f t="shared" si="42"/>
        <v/>
      </c>
      <c r="DU28" s="54"/>
      <c r="DV28" s="25"/>
      <c r="DW28" s="61" t="str">
        <f t="shared" si="43"/>
        <v/>
      </c>
      <c r="DX28" s="50" t="str">
        <f t="shared" si="43"/>
        <v/>
      </c>
      <c r="DY28" s="50" t="str">
        <f t="shared" si="43"/>
        <v/>
      </c>
      <c r="DZ28" s="50" t="str">
        <f t="shared" si="43"/>
        <v/>
      </c>
      <c r="EA28" s="50" t="str">
        <f t="shared" si="43"/>
        <v/>
      </c>
      <c r="EB28" s="50" t="str">
        <f t="shared" si="43"/>
        <v/>
      </c>
      <c r="EC28" s="50" t="str">
        <f t="shared" si="43"/>
        <v/>
      </c>
      <c r="ED28" s="50" t="str">
        <f t="shared" si="43"/>
        <v/>
      </c>
      <c r="EE28" s="50" t="str">
        <f t="shared" si="43"/>
        <v/>
      </c>
      <c r="EF28" s="50" t="str">
        <f t="shared" si="43"/>
        <v/>
      </c>
      <c r="EG28" s="50" t="str">
        <f t="shared" si="43"/>
        <v/>
      </c>
      <c r="EH28" s="50" t="str">
        <f t="shared" si="43"/>
        <v/>
      </c>
      <c r="EI28" s="50" t="str">
        <f t="shared" si="43"/>
        <v/>
      </c>
      <c r="EJ28" s="50" t="str">
        <f t="shared" si="43"/>
        <v/>
      </c>
      <c r="EK28" s="50" t="str">
        <f t="shared" si="43"/>
        <v/>
      </c>
      <c r="EL28" s="50" t="str">
        <f t="shared" si="43"/>
        <v/>
      </c>
      <c r="EM28" s="50" t="str">
        <f t="shared" si="44"/>
        <v/>
      </c>
      <c r="EN28" s="50" t="str">
        <f t="shared" si="44"/>
        <v/>
      </c>
      <c r="EO28" s="50" t="str">
        <f t="shared" si="44"/>
        <v/>
      </c>
      <c r="EP28" s="50" t="str">
        <f t="shared" si="44"/>
        <v/>
      </c>
      <c r="EQ28" s="50" t="str">
        <f t="shared" si="44"/>
        <v/>
      </c>
      <c r="ER28" s="50" t="str">
        <f t="shared" si="44"/>
        <v/>
      </c>
      <c r="ES28" s="50" t="str">
        <f t="shared" si="44"/>
        <v/>
      </c>
      <c r="ET28" s="50" t="str">
        <f t="shared" si="44"/>
        <v/>
      </c>
      <c r="EU28" s="50" t="str">
        <f t="shared" si="44"/>
        <v/>
      </c>
      <c r="EV28" s="50" t="str">
        <f t="shared" si="44"/>
        <v/>
      </c>
      <c r="EW28" s="50" t="str">
        <f t="shared" si="44"/>
        <v/>
      </c>
      <c r="EX28" s="50" t="str">
        <f t="shared" si="44"/>
        <v/>
      </c>
      <c r="EY28" s="50" t="str">
        <f t="shared" si="44"/>
        <v/>
      </c>
      <c r="EZ28" s="50" t="str">
        <f t="shared" si="44"/>
        <v/>
      </c>
      <c r="FA28" s="50" t="str">
        <f t="shared" si="44"/>
        <v/>
      </c>
      <c r="FB28" s="50" t="str">
        <f t="shared" si="44"/>
        <v/>
      </c>
      <c r="FC28" s="50" t="str">
        <f t="shared" si="44"/>
        <v/>
      </c>
      <c r="FD28" s="50" t="str">
        <f t="shared" si="44"/>
        <v/>
      </c>
      <c r="FE28" s="50" t="str">
        <f t="shared" si="44"/>
        <v/>
      </c>
      <c r="FF28" s="50" t="str">
        <f t="shared" si="44"/>
        <v/>
      </c>
      <c r="FG28" s="50" t="str">
        <f t="shared" si="44"/>
        <v/>
      </c>
      <c r="FH28" s="50" t="str">
        <f t="shared" si="44"/>
        <v/>
      </c>
      <c r="FI28" s="50" t="str">
        <f t="shared" si="44"/>
        <v/>
      </c>
      <c r="FJ28" s="50" t="str">
        <f t="shared" si="44"/>
        <v/>
      </c>
      <c r="FK28" s="50" t="str">
        <f t="shared" si="44"/>
        <v/>
      </c>
      <c r="FL28" s="50" t="str">
        <f t="shared" si="44"/>
        <v/>
      </c>
      <c r="FM28" s="50" t="str">
        <f t="shared" si="44"/>
        <v/>
      </c>
      <c r="FN28" s="50" t="str">
        <f t="shared" si="44"/>
        <v/>
      </c>
      <c r="FO28" s="50" t="str">
        <f t="shared" si="44"/>
        <v/>
      </c>
      <c r="FP28" s="50" t="str">
        <f t="shared" si="44"/>
        <v/>
      </c>
      <c r="FQ28" s="50" t="str">
        <f t="shared" si="44"/>
        <v/>
      </c>
      <c r="FR28" s="50" t="str">
        <f t="shared" si="44"/>
        <v/>
      </c>
      <c r="FS28" s="50" t="str">
        <f t="shared" si="44"/>
        <v/>
      </c>
      <c r="FT28" s="50" t="str">
        <f t="shared" si="44"/>
        <v/>
      </c>
      <c r="FU28" s="50" t="str">
        <f t="shared" si="44"/>
        <v/>
      </c>
      <c r="FV28" s="50" t="str">
        <f t="shared" si="44"/>
        <v/>
      </c>
      <c r="FW28" s="50" t="str">
        <f t="shared" si="44"/>
        <v/>
      </c>
      <c r="FX28" s="50" t="str">
        <f t="shared" si="44"/>
        <v/>
      </c>
      <c r="FY28" s="50" t="str">
        <f t="shared" si="44"/>
        <v/>
      </c>
      <c r="FZ28" s="50" t="str">
        <f t="shared" si="44"/>
        <v/>
      </c>
      <c r="GA28" s="50" t="str">
        <f t="shared" si="44"/>
        <v/>
      </c>
      <c r="GB28" s="50" t="str">
        <f t="shared" si="44"/>
        <v/>
      </c>
      <c r="GC28" s="50" t="str">
        <f t="shared" si="44"/>
        <v/>
      </c>
      <c r="GD28" s="50">
        <f t="shared" si="44"/>
        <v>0</v>
      </c>
      <c r="GE28" s="50" t="str">
        <f t="shared" si="44"/>
        <v/>
      </c>
      <c r="GF28" s="50" t="str">
        <f t="shared" si="44"/>
        <v/>
      </c>
      <c r="GG28" s="50" t="str">
        <f t="shared" si="44"/>
        <v/>
      </c>
      <c r="GH28" s="50" t="str">
        <f t="shared" si="44"/>
        <v/>
      </c>
      <c r="GI28" s="50" t="str">
        <f t="shared" si="44"/>
        <v/>
      </c>
      <c r="GJ28" s="50" t="str">
        <f t="shared" si="44"/>
        <v/>
      </c>
      <c r="GK28" s="50" t="str">
        <f t="shared" si="44"/>
        <v/>
      </c>
      <c r="GL28" s="50" t="str">
        <f t="shared" si="44"/>
        <v/>
      </c>
      <c r="GM28" s="50" t="str">
        <f t="shared" si="44"/>
        <v/>
      </c>
      <c r="GN28" s="50" t="str">
        <f t="shared" si="44"/>
        <v/>
      </c>
      <c r="GO28" s="50" t="str">
        <f t="shared" si="44"/>
        <v/>
      </c>
      <c r="GP28" s="50" t="str">
        <f t="shared" si="44"/>
        <v/>
      </c>
      <c r="GQ28" s="50" t="str">
        <f t="shared" si="44"/>
        <v/>
      </c>
      <c r="GR28" s="50" t="str">
        <f t="shared" si="44"/>
        <v/>
      </c>
      <c r="GS28" s="50" t="str">
        <f t="shared" si="44"/>
        <v/>
      </c>
      <c r="GT28" s="50" t="str">
        <f t="shared" si="44"/>
        <v/>
      </c>
      <c r="GU28" s="50" t="str">
        <f t="shared" si="44"/>
        <v/>
      </c>
      <c r="GV28" s="50" t="str">
        <f t="shared" si="44"/>
        <v/>
      </c>
      <c r="GW28" s="50" t="str">
        <f t="shared" si="44"/>
        <v/>
      </c>
      <c r="GX28" s="50" t="str">
        <f t="shared" si="44"/>
        <v/>
      </c>
      <c r="GY28" s="50" t="str">
        <f t="shared" si="45"/>
        <v/>
      </c>
      <c r="GZ28" s="50" t="str">
        <f t="shared" si="45"/>
        <v/>
      </c>
      <c r="HA28" s="50" t="str">
        <f t="shared" si="45"/>
        <v/>
      </c>
      <c r="HB28" s="50" t="str">
        <f t="shared" si="45"/>
        <v/>
      </c>
      <c r="HC28" s="50" t="str">
        <f t="shared" si="45"/>
        <v/>
      </c>
      <c r="HD28" s="50" t="str">
        <f t="shared" si="45"/>
        <v/>
      </c>
      <c r="HE28" s="50" t="str">
        <f t="shared" si="45"/>
        <v/>
      </c>
      <c r="HF28" s="50" t="str">
        <f t="shared" si="45"/>
        <v/>
      </c>
      <c r="HG28" s="50" t="str">
        <f t="shared" si="45"/>
        <v/>
      </c>
      <c r="HH28" s="50" t="str">
        <f t="shared" si="45"/>
        <v/>
      </c>
      <c r="HI28" s="50" t="str">
        <f t="shared" si="46"/>
        <v/>
      </c>
      <c r="HJ28" s="50" t="str">
        <f t="shared" si="46"/>
        <v/>
      </c>
      <c r="HK28" s="50" t="str">
        <f t="shared" si="46"/>
        <v/>
      </c>
      <c r="HL28" s="50" t="str">
        <f t="shared" si="46"/>
        <v/>
      </c>
      <c r="HM28" s="50" t="str">
        <f t="shared" si="46"/>
        <v/>
      </c>
      <c r="HN28" s="50" t="str">
        <f t="shared" si="46"/>
        <v/>
      </c>
      <c r="HO28" s="50" t="str">
        <f t="shared" si="46"/>
        <v/>
      </c>
      <c r="HP28" s="50" t="str">
        <f t="shared" si="46"/>
        <v/>
      </c>
      <c r="HQ28" s="50" t="str">
        <f t="shared" si="46"/>
        <v/>
      </c>
      <c r="HR28" s="112" t="str">
        <f t="shared" si="46"/>
        <v/>
      </c>
    </row>
    <row r="29" spans="1:226" ht="11.1" customHeight="1" x14ac:dyDescent="0.25">
      <c r="A29" s="26"/>
      <c r="B29" s="27"/>
      <c r="C29" s="28" t="str">
        <f>IF(A29=0,"",VLOOKUP(A29,[2]CO!$A$3:$F$5327,2,0))</f>
        <v/>
      </c>
      <c r="D29" s="29"/>
      <c r="E29" s="29"/>
      <c r="F29" s="29"/>
      <c r="G29" s="30" t="str">
        <f>IF(A29=0,"",VLOOKUP(A29,[2]CO!$A$3:$F$5327,3,0))</f>
        <v/>
      </c>
      <c r="H29" s="95"/>
      <c r="I29" s="31"/>
      <c r="J29" s="31"/>
      <c r="K29" s="31"/>
      <c r="L29" s="31"/>
      <c r="M29" s="32" t="str">
        <f t="shared" si="36"/>
        <v/>
      </c>
      <c r="N29" s="32" t="str">
        <f>IF(B29=0,"",IF(H29="M",HLOOKUP(B29,$Y$12:$DT$13,2),IF(A29=0,"",VLOOKUP(A29,[2]CO!$A$3:$F$5327,4,0))))</f>
        <v/>
      </c>
      <c r="O29" s="32" t="str">
        <f t="shared" si="7"/>
        <v/>
      </c>
      <c r="P29" s="33"/>
      <c r="Q29" s="34" t="str">
        <f t="shared" si="37"/>
        <v/>
      </c>
      <c r="R29" s="35" t="str">
        <f>IF(S29=0,"",IF(OR(G29="PEON",G29="OF",G29="JARD",G29="CARP",G29="MAESTRO",G29="SOLD",G29="BGRO",G29="CHOFER",G29="AYTE",G29="S.INTTE.",G29="ASEO",G29="P.PISOS",G29="VELADOR",G29="RESID",G29="PINTOR",G29="ELECT",G29="AZULE",G29="AUX CONT.",G29="SECRETARIA",G29="AUXILIAR ADMTVO.",G29="ARQUITECTO",G29="DIBUJANTE",G29="AUX. DE RESIDENTE",G29="TOPOGRAFIA"),VLOOKUP(B29,P$14:Q$56,2),"")*S29)</f>
        <v/>
      </c>
      <c r="T29" s="53" t="str">
        <f>IF(A29=0,"",VLOOKUP(A29,[2]CO!$A$3:$F$5318,5,0))</f>
        <v/>
      </c>
      <c r="U29" s="54">
        <f t="shared" si="38"/>
        <v>0</v>
      </c>
      <c r="V29" s="24"/>
      <c r="W29" s="25"/>
      <c r="X29" s="25"/>
      <c r="Y29" s="64" t="str">
        <f t="shared" si="39"/>
        <v/>
      </c>
      <c r="Z29" s="55" t="str">
        <f t="shared" si="39"/>
        <v/>
      </c>
      <c r="AA29" s="55" t="str">
        <f t="shared" si="39"/>
        <v/>
      </c>
      <c r="AB29" s="55" t="str">
        <f t="shared" si="39"/>
        <v/>
      </c>
      <c r="AC29" s="55" t="str">
        <f t="shared" si="39"/>
        <v/>
      </c>
      <c r="AD29" s="55" t="str">
        <f t="shared" si="39"/>
        <v/>
      </c>
      <c r="AE29" s="55" t="str">
        <f t="shared" si="39"/>
        <v/>
      </c>
      <c r="AF29" s="55" t="str">
        <f t="shared" si="39"/>
        <v/>
      </c>
      <c r="AG29" s="55" t="str">
        <f t="shared" si="39"/>
        <v/>
      </c>
      <c r="AH29" s="55" t="str">
        <f t="shared" si="39"/>
        <v/>
      </c>
      <c r="AI29" s="55" t="str">
        <f t="shared" si="39"/>
        <v/>
      </c>
      <c r="AJ29" s="55" t="str">
        <f t="shared" si="39"/>
        <v/>
      </c>
      <c r="AK29" s="55" t="str">
        <f t="shared" si="39"/>
        <v/>
      </c>
      <c r="AL29" s="55" t="str">
        <f t="shared" si="39"/>
        <v/>
      </c>
      <c r="AM29" s="55" t="str">
        <f t="shared" si="39"/>
        <v/>
      </c>
      <c r="AN29" s="55" t="str">
        <f t="shared" si="39"/>
        <v/>
      </c>
      <c r="AO29" s="55" t="str">
        <f t="shared" si="40"/>
        <v/>
      </c>
      <c r="AP29" s="55" t="str">
        <f t="shared" si="40"/>
        <v/>
      </c>
      <c r="AQ29" s="55" t="str">
        <f t="shared" si="40"/>
        <v/>
      </c>
      <c r="AR29" s="55" t="str">
        <f t="shared" si="40"/>
        <v/>
      </c>
      <c r="AS29" s="55" t="str">
        <f t="shared" si="40"/>
        <v/>
      </c>
      <c r="AT29" s="55" t="str">
        <f t="shared" si="40"/>
        <v/>
      </c>
      <c r="AU29" s="55" t="str">
        <f t="shared" si="40"/>
        <v/>
      </c>
      <c r="AV29" s="55" t="str">
        <f t="shared" si="40"/>
        <v/>
      </c>
      <c r="AW29" s="55" t="str">
        <f t="shared" si="40"/>
        <v/>
      </c>
      <c r="AX29" s="55" t="str">
        <f t="shared" si="40"/>
        <v/>
      </c>
      <c r="AY29" s="55" t="str">
        <f t="shared" si="40"/>
        <v/>
      </c>
      <c r="AZ29" s="55" t="str">
        <f t="shared" si="40"/>
        <v/>
      </c>
      <c r="BA29" s="55" t="str">
        <f t="shared" si="40"/>
        <v/>
      </c>
      <c r="BB29" s="55" t="str">
        <f t="shared" si="40"/>
        <v/>
      </c>
      <c r="BC29" s="55" t="str">
        <f t="shared" si="40"/>
        <v/>
      </c>
      <c r="BD29" s="55" t="str">
        <f t="shared" si="40"/>
        <v/>
      </c>
      <c r="BE29" s="55" t="str">
        <f t="shared" si="40"/>
        <v/>
      </c>
      <c r="BF29" s="55" t="str">
        <f t="shared" si="40"/>
        <v/>
      </c>
      <c r="BG29" s="55" t="str">
        <f t="shared" si="40"/>
        <v/>
      </c>
      <c r="BH29" s="55" t="str">
        <f t="shared" si="40"/>
        <v/>
      </c>
      <c r="BI29" s="55" t="str">
        <f t="shared" si="40"/>
        <v/>
      </c>
      <c r="BJ29" s="55" t="str">
        <f t="shared" si="40"/>
        <v/>
      </c>
      <c r="BK29" s="55" t="str">
        <f t="shared" si="40"/>
        <v/>
      </c>
      <c r="BL29" s="55" t="str">
        <f t="shared" si="40"/>
        <v/>
      </c>
      <c r="BM29" s="55" t="str">
        <f t="shared" si="40"/>
        <v/>
      </c>
      <c r="BN29" s="55" t="str">
        <f t="shared" si="40"/>
        <v/>
      </c>
      <c r="BO29" s="55" t="str">
        <f t="shared" si="40"/>
        <v/>
      </c>
      <c r="BP29" s="55" t="str">
        <f t="shared" si="40"/>
        <v/>
      </c>
      <c r="BQ29" s="55" t="str">
        <f t="shared" si="40"/>
        <v/>
      </c>
      <c r="BR29" s="55" t="str">
        <f t="shared" si="40"/>
        <v/>
      </c>
      <c r="BS29" s="55" t="str">
        <f t="shared" si="40"/>
        <v/>
      </c>
      <c r="BT29" s="55" t="str">
        <f t="shared" si="40"/>
        <v/>
      </c>
      <c r="BU29" s="55" t="str">
        <f t="shared" si="40"/>
        <v/>
      </c>
      <c r="BV29" s="55" t="str">
        <f t="shared" si="40"/>
        <v/>
      </c>
      <c r="BW29" s="55" t="str">
        <f t="shared" si="40"/>
        <v/>
      </c>
      <c r="BX29" s="55" t="str">
        <f t="shared" si="40"/>
        <v/>
      </c>
      <c r="BY29" s="55" t="str">
        <f t="shared" si="40"/>
        <v/>
      </c>
      <c r="BZ29" s="55" t="str">
        <f t="shared" si="40"/>
        <v/>
      </c>
      <c r="CA29" s="55" t="str">
        <f t="shared" si="40"/>
        <v/>
      </c>
      <c r="CB29" s="55" t="str">
        <f t="shared" si="40"/>
        <v/>
      </c>
      <c r="CC29" s="55" t="str">
        <f t="shared" si="40"/>
        <v/>
      </c>
      <c r="CD29" s="55" t="str">
        <f t="shared" si="40"/>
        <v/>
      </c>
      <c r="CE29" s="55" t="str">
        <f t="shared" si="40"/>
        <v/>
      </c>
      <c r="CF29" s="55" t="str">
        <f t="shared" si="40"/>
        <v/>
      </c>
      <c r="CG29" s="55" t="str">
        <f t="shared" si="40"/>
        <v/>
      </c>
      <c r="CH29" s="55" t="str">
        <f t="shared" si="40"/>
        <v/>
      </c>
      <c r="CI29" s="55" t="str">
        <f t="shared" si="40"/>
        <v/>
      </c>
      <c r="CJ29" s="55" t="str">
        <f t="shared" si="40"/>
        <v/>
      </c>
      <c r="CK29" s="55" t="str">
        <f t="shared" si="40"/>
        <v/>
      </c>
      <c r="CL29" s="55" t="str">
        <f t="shared" si="40"/>
        <v/>
      </c>
      <c r="CM29" s="55" t="str">
        <f t="shared" si="40"/>
        <v/>
      </c>
      <c r="CN29" s="55" t="str">
        <f t="shared" si="40"/>
        <v/>
      </c>
      <c r="CO29" s="55" t="str">
        <f t="shared" si="40"/>
        <v/>
      </c>
      <c r="CP29" s="55" t="str">
        <f t="shared" si="40"/>
        <v/>
      </c>
      <c r="CQ29" s="55" t="str">
        <f t="shared" si="40"/>
        <v/>
      </c>
      <c r="CR29" s="55" t="str">
        <f t="shared" si="40"/>
        <v/>
      </c>
      <c r="CS29" s="55" t="str">
        <f t="shared" si="40"/>
        <v/>
      </c>
      <c r="CT29" s="55" t="str">
        <f t="shared" si="40"/>
        <v/>
      </c>
      <c r="CU29" s="55" t="str">
        <f t="shared" si="40"/>
        <v/>
      </c>
      <c r="CV29" s="55" t="str">
        <f t="shared" si="40"/>
        <v/>
      </c>
      <c r="CW29" s="55" t="str">
        <f t="shared" si="40"/>
        <v/>
      </c>
      <c r="CX29" s="55" t="str">
        <f t="shared" si="40"/>
        <v/>
      </c>
      <c r="CY29" s="55" t="str">
        <f t="shared" si="40"/>
        <v/>
      </c>
      <c r="CZ29" s="55" t="str">
        <f t="shared" ref="CZ29:DJ37" si="47">IF($B29=CZ$12,$U29,"")</f>
        <v/>
      </c>
      <c r="DA29" s="55" t="str">
        <f t="shared" si="47"/>
        <v/>
      </c>
      <c r="DB29" s="55" t="str">
        <f t="shared" si="47"/>
        <v/>
      </c>
      <c r="DC29" s="55" t="str">
        <f t="shared" si="47"/>
        <v/>
      </c>
      <c r="DD29" s="55" t="str">
        <f t="shared" si="47"/>
        <v/>
      </c>
      <c r="DE29" s="55" t="str">
        <f t="shared" si="47"/>
        <v/>
      </c>
      <c r="DF29" s="55" t="str">
        <f t="shared" si="47"/>
        <v/>
      </c>
      <c r="DG29" s="55" t="str">
        <f t="shared" si="47"/>
        <v/>
      </c>
      <c r="DH29" s="55" t="str">
        <f t="shared" si="47"/>
        <v/>
      </c>
      <c r="DI29" s="55" t="str">
        <f t="shared" si="47"/>
        <v/>
      </c>
      <c r="DJ29" s="55" t="str">
        <f t="shared" si="47"/>
        <v/>
      </c>
      <c r="DK29" s="55" t="str">
        <f t="shared" si="41"/>
        <v/>
      </c>
      <c r="DL29" s="55" t="str">
        <f t="shared" si="41"/>
        <v/>
      </c>
      <c r="DM29" s="55" t="str">
        <f t="shared" si="41"/>
        <v/>
      </c>
      <c r="DN29" s="55" t="str">
        <f t="shared" si="41"/>
        <v/>
      </c>
      <c r="DO29" s="55" t="str">
        <f t="shared" si="41"/>
        <v/>
      </c>
      <c r="DP29" s="55" t="str">
        <f t="shared" si="41"/>
        <v/>
      </c>
      <c r="DQ29" s="55" t="str">
        <f t="shared" si="42"/>
        <v/>
      </c>
      <c r="DR29" s="55" t="str">
        <f t="shared" si="42"/>
        <v/>
      </c>
      <c r="DS29" s="55" t="str">
        <f t="shared" si="42"/>
        <v/>
      </c>
      <c r="DT29" s="106" t="str">
        <f t="shared" si="42"/>
        <v/>
      </c>
      <c r="DU29" s="54"/>
      <c r="DV29" s="25"/>
      <c r="DW29" s="61" t="str">
        <f t="shared" si="43"/>
        <v/>
      </c>
      <c r="DX29" s="50" t="str">
        <f t="shared" si="43"/>
        <v/>
      </c>
      <c r="DY29" s="50" t="str">
        <f t="shared" si="43"/>
        <v/>
      </c>
      <c r="DZ29" s="50" t="str">
        <f t="shared" si="43"/>
        <v/>
      </c>
      <c r="EA29" s="50" t="str">
        <f t="shared" si="43"/>
        <v/>
      </c>
      <c r="EB29" s="50" t="str">
        <f t="shared" si="43"/>
        <v/>
      </c>
      <c r="EC29" s="50" t="str">
        <f t="shared" si="43"/>
        <v/>
      </c>
      <c r="ED29" s="50" t="str">
        <f t="shared" si="43"/>
        <v/>
      </c>
      <c r="EE29" s="50" t="str">
        <f t="shared" si="43"/>
        <v/>
      </c>
      <c r="EF29" s="50" t="str">
        <f t="shared" si="43"/>
        <v/>
      </c>
      <c r="EG29" s="50" t="str">
        <f t="shared" si="43"/>
        <v/>
      </c>
      <c r="EH29" s="50" t="str">
        <f t="shared" si="43"/>
        <v/>
      </c>
      <c r="EI29" s="50" t="str">
        <f t="shared" si="43"/>
        <v/>
      </c>
      <c r="EJ29" s="50" t="str">
        <f t="shared" si="43"/>
        <v/>
      </c>
      <c r="EK29" s="50" t="str">
        <f t="shared" si="43"/>
        <v/>
      </c>
      <c r="EL29" s="50" t="str">
        <f t="shared" si="43"/>
        <v/>
      </c>
      <c r="EM29" s="50" t="str">
        <f t="shared" si="44"/>
        <v/>
      </c>
      <c r="EN29" s="50" t="str">
        <f t="shared" si="44"/>
        <v/>
      </c>
      <c r="EO29" s="50" t="str">
        <f t="shared" si="44"/>
        <v/>
      </c>
      <c r="EP29" s="50" t="str">
        <f t="shared" si="44"/>
        <v/>
      </c>
      <c r="EQ29" s="50" t="str">
        <f t="shared" si="44"/>
        <v/>
      </c>
      <c r="ER29" s="50" t="str">
        <f t="shared" si="44"/>
        <v/>
      </c>
      <c r="ES29" s="50" t="str">
        <f t="shared" si="44"/>
        <v/>
      </c>
      <c r="ET29" s="50" t="str">
        <f t="shared" si="44"/>
        <v/>
      </c>
      <c r="EU29" s="50" t="str">
        <f t="shared" si="44"/>
        <v/>
      </c>
      <c r="EV29" s="50" t="str">
        <f t="shared" si="44"/>
        <v/>
      </c>
      <c r="EW29" s="50" t="str">
        <f t="shared" si="44"/>
        <v/>
      </c>
      <c r="EX29" s="50" t="str">
        <f t="shared" si="44"/>
        <v/>
      </c>
      <c r="EY29" s="50" t="str">
        <f t="shared" si="44"/>
        <v/>
      </c>
      <c r="EZ29" s="50" t="str">
        <f t="shared" si="44"/>
        <v/>
      </c>
      <c r="FA29" s="50" t="str">
        <f t="shared" si="44"/>
        <v/>
      </c>
      <c r="FB29" s="50" t="str">
        <f t="shared" si="44"/>
        <v/>
      </c>
      <c r="FC29" s="50" t="str">
        <f t="shared" si="44"/>
        <v/>
      </c>
      <c r="FD29" s="50" t="str">
        <f t="shared" si="44"/>
        <v/>
      </c>
      <c r="FE29" s="50" t="str">
        <f t="shared" si="44"/>
        <v/>
      </c>
      <c r="FF29" s="50" t="str">
        <f t="shared" si="44"/>
        <v/>
      </c>
      <c r="FG29" s="50" t="str">
        <f t="shared" si="44"/>
        <v/>
      </c>
      <c r="FH29" s="50" t="str">
        <f t="shared" si="44"/>
        <v/>
      </c>
      <c r="FI29" s="50" t="str">
        <f t="shared" si="44"/>
        <v/>
      </c>
      <c r="FJ29" s="50" t="str">
        <f t="shared" si="44"/>
        <v/>
      </c>
      <c r="FK29" s="50" t="str">
        <f t="shared" si="44"/>
        <v/>
      </c>
      <c r="FL29" s="50" t="str">
        <f t="shared" si="44"/>
        <v/>
      </c>
      <c r="FM29" s="50" t="str">
        <f t="shared" si="44"/>
        <v/>
      </c>
      <c r="FN29" s="50" t="str">
        <f t="shared" si="44"/>
        <v/>
      </c>
      <c r="FO29" s="50" t="str">
        <f t="shared" si="44"/>
        <v/>
      </c>
      <c r="FP29" s="50" t="str">
        <f t="shared" si="44"/>
        <v/>
      </c>
      <c r="FQ29" s="50" t="str">
        <f t="shared" si="44"/>
        <v/>
      </c>
      <c r="FR29" s="50" t="str">
        <f t="shared" si="44"/>
        <v/>
      </c>
      <c r="FS29" s="50" t="str">
        <f t="shared" si="44"/>
        <v/>
      </c>
      <c r="FT29" s="50" t="str">
        <f t="shared" si="44"/>
        <v/>
      </c>
      <c r="FU29" s="50" t="str">
        <f t="shared" si="44"/>
        <v/>
      </c>
      <c r="FV29" s="50" t="str">
        <f t="shared" si="44"/>
        <v/>
      </c>
      <c r="FW29" s="50" t="str">
        <f t="shared" si="44"/>
        <v/>
      </c>
      <c r="FX29" s="50" t="str">
        <f t="shared" si="44"/>
        <v/>
      </c>
      <c r="FY29" s="50" t="str">
        <f t="shared" si="44"/>
        <v/>
      </c>
      <c r="FZ29" s="50" t="str">
        <f t="shared" si="44"/>
        <v/>
      </c>
      <c r="GA29" s="50" t="str">
        <f t="shared" si="44"/>
        <v/>
      </c>
      <c r="GB29" s="50" t="str">
        <f t="shared" si="44"/>
        <v/>
      </c>
      <c r="GC29" s="50" t="str">
        <f t="shared" si="44"/>
        <v/>
      </c>
      <c r="GD29" s="50" t="str">
        <f t="shared" si="44"/>
        <v/>
      </c>
      <c r="GE29" s="50" t="str">
        <f t="shared" si="44"/>
        <v/>
      </c>
      <c r="GF29" s="50" t="str">
        <f t="shared" si="44"/>
        <v/>
      </c>
      <c r="GG29" s="50" t="str">
        <f t="shared" si="44"/>
        <v/>
      </c>
      <c r="GH29" s="50" t="str">
        <f t="shared" si="44"/>
        <v/>
      </c>
      <c r="GI29" s="50" t="str">
        <f t="shared" si="44"/>
        <v/>
      </c>
      <c r="GJ29" s="50" t="str">
        <f t="shared" si="44"/>
        <v/>
      </c>
      <c r="GK29" s="50" t="str">
        <f t="shared" si="44"/>
        <v/>
      </c>
      <c r="GL29" s="50" t="str">
        <f t="shared" si="44"/>
        <v/>
      </c>
      <c r="GM29" s="50" t="str">
        <f t="shared" si="44"/>
        <v/>
      </c>
      <c r="GN29" s="50" t="str">
        <f t="shared" si="44"/>
        <v/>
      </c>
      <c r="GO29" s="50" t="str">
        <f t="shared" si="44"/>
        <v/>
      </c>
      <c r="GP29" s="50" t="str">
        <f t="shared" si="44"/>
        <v/>
      </c>
      <c r="GQ29" s="50" t="str">
        <f t="shared" si="44"/>
        <v/>
      </c>
      <c r="GR29" s="50" t="str">
        <f t="shared" si="44"/>
        <v/>
      </c>
      <c r="GS29" s="50" t="str">
        <f t="shared" si="44"/>
        <v/>
      </c>
      <c r="GT29" s="50" t="str">
        <f t="shared" si="44"/>
        <v/>
      </c>
      <c r="GU29" s="50" t="str">
        <f t="shared" si="44"/>
        <v/>
      </c>
      <c r="GV29" s="50" t="str">
        <f t="shared" si="44"/>
        <v/>
      </c>
      <c r="GW29" s="50" t="str">
        <f t="shared" si="44"/>
        <v/>
      </c>
      <c r="GX29" s="50" t="str">
        <f t="shared" ref="GX29:HM37" si="48">IF($B29=GX$12,$O29,"")</f>
        <v/>
      </c>
      <c r="GY29" s="50" t="str">
        <f t="shared" si="48"/>
        <v/>
      </c>
      <c r="GZ29" s="50" t="str">
        <f t="shared" si="48"/>
        <v/>
      </c>
      <c r="HA29" s="50" t="str">
        <f t="shared" si="48"/>
        <v/>
      </c>
      <c r="HB29" s="50" t="str">
        <f t="shared" si="48"/>
        <v/>
      </c>
      <c r="HC29" s="50" t="str">
        <f t="shared" si="48"/>
        <v/>
      </c>
      <c r="HD29" s="50" t="str">
        <f t="shared" si="48"/>
        <v/>
      </c>
      <c r="HE29" s="50" t="str">
        <f t="shared" si="48"/>
        <v/>
      </c>
      <c r="HF29" s="50" t="str">
        <f t="shared" si="48"/>
        <v/>
      </c>
      <c r="HG29" s="50" t="str">
        <f t="shared" si="48"/>
        <v/>
      </c>
      <c r="HH29" s="50" t="str">
        <f t="shared" si="48"/>
        <v/>
      </c>
      <c r="HI29" s="50" t="str">
        <f t="shared" si="48"/>
        <v/>
      </c>
      <c r="HJ29" s="50" t="str">
        <f t="shared" si="48"/>
        <v/>
      </c>
      <c r="HK29" s="50" t="str">
        <f t="shared" si="48"/>
        <v/>
      </c>
      <c r="HL29" s="50" t="str">
        <f t="shared" si="48"/>
        <v/>
      </c>
      <c r="HM29" s="50" t="str">
        <f t="shared" si="48"/>
        <v/>
      </c>
      <c r="HN29" s="50" t="str">
        <f t="shared" si="46"/>
        <v/>
      </c>
      <c r="HO29" s="50" t="str">
        <f t="shared" si="46"/>
        <v/>
      </c>
      <c r="HP29" s="50" t="str">
        <f t="shared" si="46"/>
        <v/>
      </c>
      <c r="HQ29" s="50" t="str">
        <f t="shared" si="46"/>
        <v/>
      </c>
      <c r="HR29" s="112" t="str">
        <f t="shared" si="46"/>
        <v/>
      </c>
    </row>
    <row r="30" spans="1:226" ht="11.1" customHeight="1" x14ac:dyDescent="0.25">
      <c r="A30" s="26">
        <v>67</v>
      </c>
      <c r="B30" s="27">
        <v>61</v>
      </c>
      <c r="C30" s="28" t="str">
        <f>IF(A30=0,"",VLOOKUP(A30,[2]CO!$A$3:$F$5327,2,0))</f>
        <v>CERRILLOS LARA JOSÉ</v>
      </c>
      <c r="D30" s="29"/>
      <c r="E30" s="29"/>
      <c r="F30" s="29"/>
      <c r="G30" s="30" t="str">
        <f>IF(A30=0,"",VLOOKUP(A30,[2]CO!$A$3:$F$5327,3,0))</f>
        <v>RESID</v>
      </c>
      <c r="H30" s="95"/>
      <c r="I30" s="31"/>
      <c r="J30" s="31"/>
      <c r="K30" s="31"/>
      <c r="L30" s="31">
        <v>7</v>
      </c>
      <c r="M30" s="32">
        <f t="shared" si="36"/>
        <v>7</v>
      </c>
      <c r="N30" s="32">
        <f>IF(B30=0,"",IF(H30="M",HLOOKUP(B30,$Y$12:$DT$13,2),IF(A30=0,"",VLOOKUP(A30,[2]CO!$A$3:$F$5327,4,0))))</f>
        <v>2991.49</v>
      </c>
      <c r="O30" s="32">
        <f t="shared" si="7"/>
        <v>20940.43</v>
      </c>
      <c r="P30" s="33"/>
      <c r="Q30" s="34" t="str">
        <f t="shared" si="37"/>
        <v/>
      </c>
      <c r="R30" s="35">
        <f>IF(S30=0,"",IF(OR(G30="PEON",G30="OF",G30="JARD",G30="CARP",G30="MAESTRO",G30="SOLD",G30="BGRO",G30="CHOFER",G30="AYTE",G30="S.INTTE.",G30="ASEO",G30="P.PISOS",G30="VELADOR",G30="RESID",G30="PINTOR",G30="ELECT",G30="AZULE",G30="AUX CONT.",G30="SECRETARIA",G30="AUXILIAR ADMTVO.",G30="ARQUITECTO",G30="DIBUJANTE",G30="AUX. DE RESIDENTE",G30="TOPOGRAFIA"),VLOOKUP(B30,P$14:Q$56,2),"")*S30)</f>
        <v>25427.665000000001</v>
      </c>
      <c r="S30" s="118">
        <v>1</v>
      </c>
      <c r="T30" s="53">
        <f>IF(A30=0,"",VLOOKUP(A30,[2]CO!$A$3:$F$5318,5,0))</f>
        <v>0</v>
      </c>
      <c r="U30" s="54">
        <f t="shared" si="38"/>
        <v>0</v>
      </c>
      <c r="V30" s="24"/>
      <c r="W30" s="25"/>
      <c r="X30" s="25"/>
      <c r="Y30" s="64" t="str">
        <f t="shared" si="39"/>
        <v/>
      </c>
      <c r="Z30" s="55" t="str">
        <f t="shared" si="39"/>
        <v/>
      </c>
      <c r="AA30" s="55" t="str">
        <f t="shared" si="39"/>
        <v/>
      </c>
      <c r="AB30" s="55" t="str">
        <f t="shared" si="39"/>
        <v/>
      </c>
      <c r="AC30" s="55" t="str">
        <f t="shared" si="39"/>
        <v/>
      </c>
      <c r="AD30" s="55" t="str">
        <f t="shared" si="39"/>
        <v/>
      </c>
      <c r="AE30" s="55" t="str">
        <f t="shared" si="39"/>
        <v/>
      </c>
      <c r="AF30" s="55" t="str">
        <f t="shared" si="39"/>
        <v/>
      </c>
      <c r="AG30" s="55" t="str">
        <f t="shared" si="39"/>
        <v/>
      </c>
      <c r="AH30" s="55" t="str">
        <f t="shared" si="39"/>
        <v/>
      </c>
      <c r="AI30" s="55" t="str">
        <f t="shared" si="39"/>
        <v/>
      </c>
      <c r="AJ30" s="55" t="str">
        <f t="shared" si="39"/>
        <v/>
      </c>
      <c r="AK30" s="55" t="str">
        <f t="shared" si="39"/>
        <v/>
      </c>
      <c r="AL30" s="55" t="str">
        <f t="shared" si="39"/>
        <v/>
      </c>
      <c r="AM30" s="55" t="str">
        <f t="shared" si="39"/>
        <v/>
      </c>
      <c r="AN30" s="55" t="str">
        <f t="shared" si="39"/>
        <v/>
      </c>
      <c r="AO30" s="55" t="str">
        <f t="shared" ref="AO30:BD37" si="49">IF($B30=AO$12,$U30,"")</f>
        <v/>
      </c>
      <c r="AP30" s="55" t="str">
        <f t="shared" si="49"/>
        <v/>
      </c>
      <c r="AQ30" s="55" t="str">
        <f t="shared" si="49"/>
        <v/>
      </c>
      <c r="AR30" s="55" t="str">
        <f t="shared" si="49"/>
        <v/>
      </c>
      <c r="AS30" s="55" t="str">
        <f t="shared" si="49"/>
        <v/>
      </c>
      <c r="AT30" s="55" t="str">
        <f t="shared" si="49"/>
        <v/>
      </c>
      <c r="AU30" s="55" t="str">
        <f t="shared" si="49"/>
        <v/>
      </c>
      <c r="AV30" s="55" t="str">
        <f t="shared" si="49"/>
        <v/>
      </c>
      <c r="AW30" s="55" t="str">
        <f t="shared" si="49"/>
        <v/>
      </c>
      <c r="AX30" s="55" t="str">
        <f t="shared" si="49"/>
        <v/>
      </c>
      <c r="AY30" s="55" t="str">
        <f t="shared" si="49"/>
        <v/>
      </c>
      <c r="AZ30" s="55" t="str">
        <f t="shared" si="49"/>
        <v/>
      </c>
      <c r="BA30" s="55" t="str">
        <f t="shared" si="49"/>
        <v/>
      </c>
      <c r="BB30" s="55" t="str">
        <f t="shared" si="49"/>
        <v/>
      </c>
      <c r="BC30" s="55" t="str">
        <f t="shared" si="49"/>
        <v/>
      </c>
      <c r="BD30" s="55" t="str">
        <f t="shared" si="49"/>
        <v/>
      </c>
      <c r="BE30" s="55" t="str">
        <f t="shared" ref="BE30:CY37" si="50">IF($B30=BE$12,$U30,"")</f>
        <v/>
      </c>
      <c r="BF30" s="55" t="str">
        <f t="shared" si="50"/>
        <v/>
      </c>
      <c r="BG30" s="55" t="str">
        <f t="shared" si="50"/>
        <v/>
      </c>
      <c r="BH30" s="55" t="str">
        <f t="shared" si="50"/>
        <v/>
      </c>
      <c r="BI30" s="55" t="str">
        <f t="shared" si="50"/>
        <v/>
      </c>
      <c r="BJ30" s="55" t="str">
        <f t="shared" si="50"/>
        <v/>
      </c>
      <c r="BK30" s="55" t="str">
        <f t="shared" si="50"/>
        <v/>
      </c>
      <c r="BL30" s="55" t="str">
        <f t="shared" si="50"/>
        <v/>
      </c>
      <c r="BM30" s="55" t="str">
        <f t="shared" si="50"/>
        <v/>
      </c>
      <c r="BN30" s="55" t="str">
        <f t="shared" si="50"/>
        <v/>
      </c>
      <c r="BO30" s="55" t="str">
        <f t="shared" si="50"/>
        <v/>
      </c>
      <c r="BP30" s="55" t="str">
        <f t="shared" si="50"/>
        <v/>
      </c>
      <c r="BQ30" s="55" t="str">
        <f t="shared" si="50"/>
        <v/>
      </c>
      <c r="BR30" s="55" t="str">
        <f t="shared" si="50"/>
        <v/>
      </c>
      <c r="BS30" s="55" t="str">
        <f t="shared" si="50"/>
        <v/>
      </c>
      <c r="BT30" s="55" t="str">
        <f t="shared" si="50"/>
        <v/>
      </c>
      <c r="BU30" s="55" t="str">
        <f t="shared" si="50"/>
        <v/>
      </c>
      <c r="BV30" s="55" t="str">
        <f t="shared" si="50"/>
        <v/>
      </c>
      <c r="BW30" s="55" t="str">
        <f t="shared" si="50"/>
        <v/>
      </c>
      <c r="BX30" s="55" t="str">
        <f t="shared" si="50"/>
        <v/>
      </c>
      <c r="BY30" s="55" t="str">
        <f t="shared" si="50"/>
        <v/>
      </c>
      <c r="BZ30" s="55" t="str">
        <f t="shared" si="50"/>
        <v/>
      </c>
      <c r="CA30" s="55" t="str">
        <f t="shared" si="50"/>
        <v/>
      </c>
      <c r="CB30" s="55" t="str">
        <f t="shared" si="50"/>
        <v/>
      </c>
      <c r="CC30" s="55" t="str">
        <f t="shared" si="50"/>
        <v/>
      </c>
      <c r="CD30" s="55" t="str">
        <f t="shared" si="50"/>
        <v/>
      </c>
      <c r="CE30" s="55" t="str">
        <f t="shared" si="50"/>
        <v/>
      </c>
      <c r="CF30" s="55" t="str">
        <f t="shared" si="50"/>
        <v/>
      </c>
      <c r="CG30" s="55">
        <f t="shared" si="50"/>
        <v>0</v>
      </c>
      <c r="CH30" s="55" t="str">
        <f t="shared" si="50"/>
        <v/>
      </c>
      <c r="CI30" s="55" t="str">
        <f t="shared" si="50"/>
        <v/>
      </c>
      <c r="CJ30" s="55" t="str">
        <f t="shared" si="50"/>
        <v/>
      </c>
      <c r="CK30" s="55" t="str">
        <f t="shared" si="50"/>
        <v/>
      </c>
      <c r="CL30" s="55" t="str">
        <f t="shared" si="50"/>
        <v/>
      </c>
      <c r="CM30" s="55" t="str">
        <f t="shared" si="50"/>
        <v/>
      </c>
      <c r="CN30" s="55" t="str">
        <f t="shared" si="50"/>
        <v/>
      </c>
      <c r="CO30" s="55" t="str">
        <f t="shared" si="50"/>
        <v/>
      </c>
      <c r="CP30" s="55" t="str">
        <f t="shared" si="50"/>
        <v/>
      </c>
      <c r="CQ30" s="55" t="str">
        <f t="shared" si="50"/>
        <v/>
      </c>
      <c r="CR30" s="55" t="str">
        <f t="shared" si="50"/>
        <v/>
      </c>
      <c r="CS30" s="55" t="str">
        <f t="shared" si="50"/>
        <v/>
      </c>
      <c r="CT30" s="55" t="str">
        <f t="shared" si="50"/>
        <v/>
      </c>
      <c r="CU30" s="55" t="str">
        <f t="shared" si="50"/>
        <v/>
      </c>
      <c r="CV30" s="55" t="str">
        <f t="shared" si="50"/>
        <v/>
      </c>
      <c r="CW30" s="55" t="str">
        <f t="shared" si="50"/>
        <v/>
      </c>
      <c r="CX30" s="55" t="str">
        <f t="shared" si="50"/>
        <v/>
      </c>
      <c r="CY30" s="55" t="str">
        <f t="shared" si="50"/>
        <v/>
      </c>
      <c r="CZ30" s="55" t="str">
        <f t="shared" si="47"/>
        <v/>
      </c>
      <c r="DA30" s="55" t="str">
        <f t="shared" si="47"/>
        <v/>
      </c>
      <c r="DB30" s="55" t="str">
        <f t="shared" si="47"/>
        <v/>
      </c>
      <c r="DC30" s="55" t="str">
        <f t="shared" si="47"/>
        <v/>
      </c>
      <c r="DD30" s="55" t="str">
        <f t="shared" si="47"/>
        <v/>
      </c>
      <c r="DE30" s="55" t="str">
        <f t="shared" si="47"/>
        <v/>
      </c>
      <c r="DF30" s="55" t="str">
        <f t="shared" si="47"/>
        <v/>
      </c>
      <c r="DG30" s="55" t="str">
        <f t="shared" si="47"/>
        <v/>
      </c>
      <c r="DH30" s="55" t="str">
        <f t="shared" si="47"/>
        <v/>
      </c>
      <c r="DI30" s="55" t="str">
        <f t="shared" si="47"/>
        <v/>
      </c>
      <c r="DJ30" s="55" t="str">
        <f t="shared" si="47"/>
        <v/>
      </c>
      <c r="DK30" s="55" t="str">
        <f t="shared" si="41"/>
        <v/>
      </c>
      <c r="DL30" s="55" t="str">
        <f t="shared" si="41"/>
        <v/>
      </c>
      <c r="DM30" s="55" t="str">
        <f t="shared" si="41"/>
        <v/>
      </c>
      <c r="DN30" s="55" t="str">
        <f t="shared" si="41"/>
        <v/>
      </c>
      <c r="DO30" s="55" t="str">
        <f t="shared" si="41"/>
        <v/>
      </c>
      <c r="DP30" s="55" t="str">
        <f t="shared" si="41"/>
        <v/>
      </c>
      <c r="DQ30" s="55" t="str">
        <f t="shared" si="42"/>
        <v/>
      </c>
      <c r="DR30" s="55" t="str">
        <f t="shared" si="42"/>
        <v/>
      </c>
      <c r="DS30" s="55" t="str">
        <f t="shared" si="42"/>
        <v/>
      </c>
      <c r="DT30" s="106" t="str">
        <f t="shared" si="42"/>
        <v/>
      </c>
      <c r="DU30" s="54"/>
      <c r="DV30" s="25"/>
      <c r="DW30" s="61" t="str">
        <f t="shared" si="43"/>
        <v/>
      </c>
      <c r="DX30" s="50" t="str">
        <f t="shared" si="43"/>
        <v/>
      </c>
      <c r="DY30" s="50" t="str">
        <f t="shared" si="43"/>
        <v/>
      </c>
      <c r="DZ30" s="50" t="str">
        <f t="shared" si="43"/>
        <v/>
      </c>
      <c r="EA30" s="50" t="str">
        <f t="shared" si="43"/>
        <v/>
      </c>
      <c r="EB30" s="50" t="str">
        <f t="shared" si="43"/>
        <v/>
      </c>
      <c r="EC30" s="50" t="str">
        <f t="shared" si="43"/>
        <v/>
      </c>
      <c r="ED30" s="50" t="str">
        <f t="shared" si="43"/>
        <v/>
      </c>
      <c r="EE30" s="50" t="str">
        <f t="shared" si="43"/>
        <v/>
      </c>
      <c r="EF30" s="50" t="str">
        <f t="shared" si="43"/>
        <v/>
      </c>
      <c r="EG30" s="50" t="str">
        <f t="shared" si="43"/>
        <v/>
      </c>
      <c r="EH30" s="50" t="str">
        <f t="shared" si="43"/>
        <v/>
      </c>
      <c r="EI30" s="50" t="str">
        <f t="shared" si="43"/>
        <v/>
      </c>
      <c r="EJ30" s="50" t="str">
        <f t="shared" si="43"/>
        <v/>
      </c>
      <c r="EK30" s="50" t="str">
        <f t="shared" si="43"/>
        <v/>
      </c>
      <c r="EL30" s="50" t="str">
        <f t="shared" si="43"/>
        <v/>
      </c>
      <c r="EM30" s="50" t="str">
        <f t="shared" ref="EM30:FB37" si="51">IF($B30=EM$12,$O30,"")</f>
        <v/>
      </c>
      <c r="EN30" s="50" t="str">
        <f t="shared" si="51"/>
        <v/>
      </c>
      <c r="EO30" s="50" t="str">
        <f t="shared" si="51"/>
        <v/>
      </c>
      <c r="EP30" s="50" t="str">
        <f t="shared" si="51"/>
        <v/>
      </c>
      <c r="EQ30" s="50" t="str">
        <f t="shared" si="51"/>
        <v/>
      </c>
      <c r="ER30" s="50" t="str">
        <f t="shared" si="51"/>
        <v/>
      </c>
      <c r="ES30" s="50" t="str">
        <f t="shared" si="51"/>
        <v/>
      </c>
      <c r="ET30" s="50" t="str">
        <f t="shared" si="51"/>
        <v/>
      </c>
      <c r="EU30" s="50" t="str">
        <f t="shared" si="51"/>
        <v/>
      </c>
      <c r="EV30" s="50" t="str">
        <f t="shared" si="51"/>
        <v/>
      </c>
      <c r="EW30" s="50" t="str">
        <f t="shared" si="51"/>
        <v/>
      </c>
      <c r="EX30" s="50" t="str">
        <f t="shared" si="51"/>
        <v/>
      </c>
      <c r="EY30" s="50" t="str">
        <f t="shared" si="51"/>
        <v/>
      </c>
      <c r="EZ30" s="50" t="str">
        <f t="shared" si="51"/>
        <v/>
      </c>
      <c r="FA30" s="50" t="str">
        <f t="shared" si="51"/>
        <v/>
      </c>
      <c r="FB30" s="50" t="str">
        <f t="shared" si="51"/>
        <v/>
      </c>
      <c r="FC30" s="50" t="str">
        <f t="shared" ref="FC30:GW37" si="52">IF($B30=FC$12,$O30,"")</f>
        <v/>
      </c>
      <c r="FD30" s="50" t="str">
        <f t="shared" si="52"/>
        <v/>
      </c>
      <c r="FE30" s="50" t="str">
        <f t="shared" si="52"/>
        <v/>
      </c>
      <c r="FF30" s="50" t="str">
        <f t="shared" si="52"/>
        <v/>
      </c>
      <c r="FG30" s="50" t="str">
        <f t="shared" si="52"/>
        <v/>
      </c>
      <c r="FH30" s="50" t="str">
        <f t="shared" si="52"/>
        <v/>
      </c>
      <c r="FI30" s="50" t="str">
        <f t="shared" si="52"/>
        <v/>
      </c>
      <c r="FJ30" s="50" t="str">
        <f t="shared" si="52"/>
        <v/>
      </c>
      <c r="FK30" s="50" t="str">
        <f t="shared" si="52"/>
        <v/>
      </c>
      <c r="FL30" s="50" t="str">
        <f t="shared" si="52"/>
        <v/>
      </c>
      <c r="FM30" s="50" t="str">
        <f t="shared" si="52"/>
        <v/>
      </c>
      <c r="FN30" s="50" t="str">
        <f t="shared" si="52"/>
        <v/>
      </c>
      <c r="FO30" s="50" t="str">
        <f t="shared" si="52"/>
        <v/>
      </c>
      <c r="FP30" s="50" t="str">
        <f t="shared" si="52"/>
        <v/>
      </c>
      <c r="FQ30" s="50" t="str">
        <f t="shared" si="52"/>
        <v/>
      </c>
      <c r="FR30" s="50" t="str">
        <f t="shared" si="52"/>
        <v/>
      </c>
      <c r="FS30" s="50" t="str">
        <f t="shared" si="52"/>
        <v/>
      </c>
      <c r="FT30" s="50" t="str">
        <f t="shared" si="52"/>
        <v/>
      </c>
      <c r="FU30" s="50" t="str">
        <f t="shared" si="52"/>
        <v/>
      </c>
      <c r="FV30" s="50" t="str">
        <f t="shared" si="52"/>
        <v/>
      </c>
      <c r="FW30" s="50" t="str">
        <f t="shared" si="52"/>
        <v/>
      </c>
      <c r="FX30" s="50" t="str">
        <f t="shared" si="52"/>
        <v/>
      </c>
      <c r="FY30" s="50" t="str">
        <f t="shared" si="52"/>
        <v/>
      </c>
      <c r="FZ30" s="50" t="str">
        <f t="shared" si="52"/>
        <v/>
      </c>
      <c r="GA30" s="50" t="str">
        <f t="shared" si="52"/>
        <v/>
      </c>
      <c r="GB30" s="50" t="str">
        <f t="shared" si="52"/>
        <v/>
      </c>
      <c r="GC30" s="50" t="str">
        <f t="shared" si="52"/>
        <v/>
      </c>
      <c r="GD30" s="50" t="str">
        <f t="shared" si="52"/>
        <v/>
      </c>
      <c r="GE30" s="50">
        <f t="shared" si="52"/>
        <v>20940.43</v>
      </c>
      <c r="GF30" s="50" t="str">
        <f t="shared" si="52"/>
        <v/>
      </c>
      <c r="GG30" s="50" t="str">
        <f t="shared" si="52"/>
        <v/>
      </c>
      <c r="GH30" s="50" t="str">
        <f t="shared" si="52"/>
        <v/>
      </c>
      <c r="GI30" s="50" t="str">
        <f t="shared" si="52"/>
        <v/>
      </c>
      <c r="GJ30" s="50" t="str">
        <f t="shared" si="52"/>
        <v/>
      </c>
      <c r="GK30" s="50" t="str">
        <f t="shared" si="52"/>
        <v/>
      </c>
      <c r="GL30" s="50" t="str">
        <f t="shared" si="52"/>
        <v/>
      </c>
      <c r="GM30" s="50" t="str">
        <f t="shared" si="52"/>
        <v/>
      </c>
      <c r="GN30" s="50" t="str">
        <f t="shared" si="52"/>
        <v/>
      </c>
      <c r="GO30" s="50" t="str">
        <f t="shared" si="52"/>
        <v/>
      </c>
      <c r="GP30" s="50" t="str">
        <f t="shared" si="52"/>
        <v/>
      </c>
      <c r="GQ30" s="50" t="str">
        <f t="shared" si="52"/>
        <v/>
      </c>
      <c r="GR30" s="50" t="str">
        <f t="shared" si="52"/>
        <v/>
      </c>
      <c r="GS30" s="50" t="str">
        <f t="shared" si="52"/>
        <v/>
      </c>
      <c r="GT30" s="50" t="str">
        <f t="shared" si="52"/>
        <v/>
      </c>
      <c r="GU30" s="50" t="str">
        <f t="shared" si="52"/>
        <v/>
      </c>
      <c r="GV30" s="50" t="str">
        <f t="shared" si="52"/>
        <v/>
      </c>
      <c r="GW30" s="50" t="str">
        <f t="shared" si="52"/>
        <v/>
      </c>
      <c r="GX30" s="50" t="str">
        <f t="shared" si="48"/>
        <v/>
      </c>
      <c r="GY30" s="50" t="str">
        <f t="shared" si="48"/>
        <v/>
      </c>
      <c r="GZ30" s="50" t="str">
        <f t="shared" si="48"/>
        <v/>
      </c>
      <c r="HA30" s="50" t="str">
        <f t="shared" si="48"/>
        <v/>
      </c>
      <c r="HB30" s="50" t="str">
        <f t="shared" si="48"/>
        <v/>
      </c>
      <c r="HC30" s="50" t="str">
        <f t="shared" si="48"/>
        <v/>
      </c>
      <c r="HD30" s="50" t="str">
        <f t="shared" si="48"/>
        <v/>
      </c>
      <c r="HE30" s="50" t="str">
        <f t="shared" si="48"/>
        <v/>
      </c>
      <c r="HF30" s="50" t="str">
        <f t="shared" si="48"/>
        <v/>
      </c>
      <c r="HG30" s="50" t="str">
        <f t="shared" si="48"/>
        <v/>
      </c>
      <c r="HH30" s="50" t="str">
        <f t="shared" si="48"/>
        <v/>
      </c>
      <c r="HI30" s="50" t="str">
        <f t="shared" si="48"/>
        <v/>
      </c>
      <c r="HJ30" s="50" t="str">
        <f t="shared" si="48"/>
        <v/>
      </c>
      <c r="HK30" s="50" t="str">
        <f t="shared" si="48"/>
        <v/>
      </c>
      <c r="HL30" s="50" t="str">
        <f t="shared" si="48"/>
        <v/>
      </c>
      <c r="HM30" s="50" t="str">
        <f t="shared" si="48"/>
        <v/>
      </c>
      <c r="HN30" s="50" t="str">
        <f t="shared" si="46"/>
        <v/>
      </c>
      <c r="HO30" s="50" t="str">
        <f t="shared" si="46"/>
        <v/>
      </c>
      <c r="HP30" s="50" t="str">
        <f t="shared" si="46"/>
        <v/>
      </c>
      <c r="HQ30" s="50" t="str">
        <f t="shared" si="46"/>
        <v/>
      </c>
      <c r="HR30" s="112" t="str">
        <f t="shared" si="46"/>
        <v/>
      </c>
    </row>
    <row r="31" spans="1:226" ht="11.1" customHeight="1" x14ac:dyDescent="0.25">
      <c r="A31" s="26"/>
      <c r="B31" s="27"/>
      <c r="C31" s="28" t="str">
        <f>IF(A31=0,"",VLOOKUP(A31,[2]CO!$A$3:$F$5327,2,0))</f>
        <v/>
      </c>
      <c r="D31" s="29" t="s">
        <v>31</v>
      </c>
      <c r="E31" s="29"/>
      <c r="F31" s="29"/>
      <c r="G31" s="30" t="str">
        <f>IF(A31=0,"",VLOOKUP(A31,[2]CO!$A$3:$F$5327,3,0))</f>
        <v/>
      </c>
      <c r="H31" s="95"/>
      <c r="I31" s="31"/>
      <c r="J31" s="31"/>
      <c r="K31" s="31"/>
      <c r="L31" s="31"/>
      <c r="M31" s="32" t="str">
        <f t="shared" si="36"/>
        <v/>
      </c>
      <c r="N31" s="32" t="str">
        <f>IF(B31=0,"",IF(H31="M",HLOOKUP(B31,$Y$12:$DT$13,2),IF(A31=0,"",VLOOKUP(A31,[2]CO!$A$3:$F$5327,4,0))))</f>
        <v/>
      </c>
      <c r="O31" s="32" t="str">
        <f t="shared" si="7"/>
        <v/>
      </c>
      <c r="P31" s="33"/>
      <c r="Q31" s="34" t="str">
        <f t="shared" si="37"/>
        <v/>
      </c>
      <c r="R31" s="35" t="str">
        <f>IF(S31=0,"",IF(OR(G31="PEON",G31="OF",G31="JARD",G31="CARP",G31="MAESTRO",G31="SOLD",G31="BGRO",G31="CHOFER",G31="AYTE",G31="S.INTTE.",G31="ASEO",G31="P.PISOS",G31="VELADOR",G31="RESID",G31="PINTOR",G31="ELECT",G31="AZULE",G31="AUX CONT.",G31="SECRETARIA",G31="AUXILIAR ADMTVO.",G31="ARQUITECTO",G31="DIBUJANTE",G31="AUX. DE RESIDENTE",G31="TOPOGRAFIA"),VLOOKUP(B31,P$14:Q$56,2),"")*S31)</f>
        <v/>
      </c>
      <c r="T31" s="53" t="str">
        <f>IF(A31=0,"",VLOOKUP(A31,[2]CO!$A$3:$F$5318,5,0))</f>
        <v/>
      </c>
      <c r="U31" s="54">
        <f t="shared" si="38"/>
        <v>0</v>
      </c>
      <c r="V31" s="24"/>
      <c r="W31" s="25"/>
      <c r="X31" s="25"/>
      <c r="Y31" s="64" t="str">
        <f t="shared" si="39"/>
        <v/>
      </c>
      <c r="Z31" s="55" t="str">
        <f t="shared" si="39"/>
        <v/>
      </c>
      <c r="AA31" s="55" t="str">
        <f t="shared" si="39"/>
        <v/>
      </c>
      <c r="AB31" s="55" t="str">
        <f t="shared" si="39"/>
        <v/>
      </c>
      <c r="AC31" s="55" t="str">
        <f t="shared" si="39"/>
        <v/>
      </c>
      <c r="AD31" s="55" t="str">
        <f t="shared" si="39"/>
        <v/>
      </c>
      <c r="AE31" s="55" t="str">
        <f t="shared" si="39"/>
        <v/>
      </c>
      <c r="AF31" s="55" t="str">
        <f t="shared" si="39"/>
        <v/>
      </c>
      <c r="AG31" s="55" t="str">
        <f t="shared" si="39"/>
        <v/>
      </c>
      <c r="AH31" s="55" t="str">
        <f t="shared" si="39"/>
        <v/>
      </c>
      <c r="AI31" s="55" t="str">
        <f t="shared" si="39"/>
        <v/>
      </c>
      <c r="AJ31" s="55" t="str">
        <f t="shared" si="39"/>
        <v/>
      </c>
      <c r="AK31" s="55" t="str">
        <f t="shared" si="39"/>
        <v/>
      </c>
      <c r="AL31" s="55" t="str">
        <f t="shared" si="39"/>
        <v/>
      </c>
      <c r="AM31" s="55" t="str">
        <f t="shared" si="39"/>
        <v/>
      </c>
      <c r="AN31" s="55" t="str">
        <f t="shared" si="39"/>
        <v/>
      </c>
      <c r="AO31" s="55" t="str">
        <f t="shared" si="49"/>
        <v/>
      </c>
      <c r="AP31" s="55" t="str">
        <f t="shared" si="49"/>
        <v/>
      </c>
      <c r="AQ31" s="55" t="str">
        <f t="shared" si="49"/>
        <v/>
      </c>
      <c r="AR31" s="55" t="str">
        <f t="shared" si="49"/>
        <v/>
      </c>
      <c r="AS31" s="55" t="str">
        <f t="shared" si="49"/>
        <v/>
      </c>
      <c r="AT31" s="55" t="str">
        <f t="shared" si="49"/>
        <v/>
      </c>
      <c r="AU31" s="55" t="str">
        <f t="shared" si="49"/>
        <v/>
      </c>
      <c r="AV31" s="55" t="str">
        <f t="shared" si="49"/>
        <v/>
      </c>
      <c r="AW31" s="55" t="str">
        <f t="shared" si="49"/>
        <v/>
      </c>
      <c r="AX31" s="55" t="str">
        <f t="shared" si="49"/>
        <v/>
      </c>
      <c r="AY31" s="55" t="str">
        <f t="shared" si="49"/>
        <v/>
      </c>
      <c r="AZ31" s="55" t="str">
        <f t="shared" si="49"/>
        <v/>
      </c>
      <c r="BA31" s="55" t="str">
        <f t="shared" si="49"/>
        <v/>
      </c>
      <c r="BB31" s="55" t="str">
        <f t="shared" si="49"/>
        <v/>
      </c>
      <c r="BC31" s="55" t="str">
        <f t="shared" si="49"/>
        <v/>
      </c>
      <c r="BD31" s="55" t="str">
        <f t="shared" si="49"/>
        <v/>
      </c>
      <c r="BE31" s="55" t="str">
        <f t="shared" si="50"/>
        <v/>
      </c>
      <c r="BF31" s="55" t="str">
        <f t="shared" si="50"/>
        <v/>
      </c>
      <c r="BG31" s="55" t="str">
        <f t="shared" si="50"/>
        <v/>
      </c>
      <c r="BH31" s="55" t="str">
        <f t="shared" si="50"/>
        <v/>
      </c>
      <c r="BI31" s="55" t="str">
        <f t="shared" si="50"/>
        <v/>
      </c>
      <c r="BJ31" s="55" t="str">
        <f t="shared" si="50"/>
        <v/>
      </c>
      <c r="BK31" s="55" t="str">
        <f t="shared" si="50"/>
        <v/>
      </c>
      <c r="BL31" s="55" t="str">
        <f t="shared" si="50"/>
        <v/>
      </c>
      <c r="BM31" s="55" t="str">
        <f t="shared" si="50"/>
        <v/>
      </c>
      <c r="BN31" s="55" t="str">
        <f t="shared" si="50"/>
        <v/>
      </c>
      <c r="BO31" s="55" t="str">
        <f t="shared" si="50"/>
        <v/>
      </c>
      <c r="BP31" s="55" t="str">
        <f t="shared" si="50"/>
        <v/>
      </c>
      <c r="BQ31" s="55" t="str">
        <f t="shared" si="50"/>
        <v/>
      </c>
      <c r="BR31" s="55" t="str">
        <f t="shared" si="50"/>
        <v/>
      </c>
      <c r="BS31" s="55" t="str">
        <f t="shared" si="50"/>
        <v/>
      </c>
      <c r="BT31" s="55" t="str">
        <f t="shared" si="50"/>
        <v/>
      </c>
      <c r="BU31" s="55" t="str">
        <f t="shared" si="50"/>
        <v/>
      </c>
      <c r="BV31" s="55" t="str">
        <f t="shared" si="50"/>
        <v/>
      </c>
      <c r="BW31" s="55" t="str">
        <f t="shared" si="50"/>
        <v/>
      </c>
      <c r="BX31" s="55" t="str">
        <f t="shared" si="50"/>
        <v/>
      </c>
      <c r="BY31" s="55" t="str">
        <f t="shared" si="50"/>
        <v/>
      </c>
      <c r="BZ31" s="55" t="str">
        <f t="shared" si="50"/>
        <v/>
      </c>
      <c r="CA31" s="55" t="str">
        <f t="shared" si="50"/>
        <v/>
      </c>
      <c r="CB31" s="55" t="str">
        <f t="shared" si="50"/>
        <v/>
      </c>
      <c r="CC31" s="55" t="str">
        <f t="shared" si="50"/>
        <v/>
      </c>
      <c r="CD31" s="55" t="str">
        <f t="shared" si="50"/>
        <v/>
      </c>
      <c r="CE31" s="55" t="str">
        <f t="shared" si="50"/>
        <v/>
      </c>
      <c r="CF31" s="55" t="str">
        <f t="shared" si="50"/>
        <v/>
      </c>
      <c r="CG31" s="55" t="str">
        <f t="shared" si="50"/>
        <v/>
      </c>
      <c r="CH31" s="55" t="str">
        <f t="shared" si="50"/>
        <v/>
      </c>
      <c r="CI31" s="55" t="str">
        <f t="shared" si="50"/>
        <v/>
      </c>
      <c r="CJ31" s="55" t="str">
        <f t="shared" si="50"/>
        <v/>
      </c>
      <c r="CK31" s="55" t="str">
        <f t="shared" si="50"/>
        <v/>
      </c>
      <c r="CL31" s="55" t="str">
        <f t="shared" si="50"/>
        <v/>
      </c>
      <c r="CM31" s="55" t="str">
        <f t="shared" si="50"/>
        <v/>
      </c>
      <c r="CN31" s="55" t="str">
        <f t="shared" si="50"/>
        <v/>
      </c>
      <c r="CO31" s="55" t="str">
        <f t="shared" si="50"/>
        <v/>
      </c>
      <c r="CP31" s="55" t="str">
        <f t="shared" si="50"/>
        <v/>
      </c>
      <c r="CQ31" s="55" t="str">
        <f t="shared" si="50"/>
        <v/>
      </c>
      <c r="CR31" s="55" t="str">
        <f t="shared" si="50"/>
        <v/>
      </c>
      <c r="CS31" s="55" t="str">
        <f t="shared" si="50"/>
        <v/>
      </c>
      <c r="CT31" s="55" t="str">
        <f t="shared" si="50"/>
        <v/>
      </c>
      <c r="CU31" s="55" t="str">
        <f t="shared" si="50"/>
        <v/>
      </c>
      <c r="CV31" s="55" t="str">
        <f t="shared" si="50"/>
        <v/>
      </c>
      <c r="CW31" s="55" t="str">
        <f t="shared" si="50"/>
        <v/>
      </c>
      <c r="CX31" s="55" t="str">
        <f t="shared" si="50"/>
        <v/>
      </c>
      <c r="CY31" s="55" t="str">
        <f t="shared" si="50"/>
        <v/>
      </c>
      <c r="CZ31" s="55" t="str">
        <f t="shared" si="47"/>
        <v/>
      </c>
      <c r="DA31" s="55" t="str">
        <f t="shared" si="47"/>
        <v/>
      </c>
      <c r="DB31" s="55" t="str">
        <f t="shared" si="47"/>
        <v/>
      </c>
      <c r="DC31" s="55" t="str">
        <f t="shared" si="47"/>
        <v/>
      </c>
      <c r="DD31" s="55" t="str">
        <f t="shared" si="47"/>
        <v/>
      </c>
      <c r="DE31" s="55" t="str">
        <f t="shared" si="47"/>
        <v/>
      </c>
      <c r="DF31" s="55" t="str">
        <f t="shared" si="47"/>
        <v/>
      </c>
      <c r="DG31" s="55" t="str">
        <f t="shared" si="47"/>
        <v/>
      </c>
      <c r="DH31" s="55" t="str">
        <f t="shared" si="47"/>
        <v/>
      </c>
      <c r="DI31" s="55" t="str">
        <f t="shared" si="47"/>
        <v/>
      </c>
      <c r="DJ31" s="55" t="str">
        <f t="shared" si="47"/>
        <v/>
      </c>
      <c r="DK31" s="55" t="str">
        <f t="shared" si="41"/>
        <v/>
      </c>
      <c r="DL31" s="55" t="str">
        <f t="shared" si="41"/>
        <v/>
      </c>
      <c r="DM31" s="55" t="str">
        <f t="shared" si="41"/>
        <v/>
      </c>
      <c r="DN31" s="55" t="str">
        <f t="shared" si="41"/>
        <v/>
      </c>
      <c r="DO31" s="55" t="str">
        <f t="shared" si="41"/>
        <v/>
      </c>
      <c r="DP31" s="55" t="str">
        <f t="shared" si="41"/>
        <v/>
      </c>
      <c r="DQ31" s="55" t="str">
        <f t="shared" si="42"/>
        <v/>
      </c>
      <c r="DR31" s="55" t="str">
        <f t="shared" si="42"/>
        <v/>
      </c>
      <c r="DS31" s="55" t="str">
        <f t="shared" si="42"/>
        <v/>
      </c>
      <c r="DT31" s="106" t="str">
        <f t="shared" si="42"/>
        <v/>
      </c>
      <c r="DU31" s="54"/>
      <c r="DV31" s="25"/>
      <c r="DW31" s="61" t="str">
        <f t="shared" si="43"/>
        <v/>
      </c>
      <c r="DX31" s="50" t="str">
        <f t="shared" si="43"/>
        <v/>
      </c>
      <c r="DY31" s="50" t="str">
        <f t="shared" si="43"/>
        <v/>
      </c>
      <c r="DZ31" s="50" t="str">
        <f t="shared" si="43"/>
        <v/>
      </c>
      <c r="EA31" s="50" t="str">
        <f t="shared" si="43"/>
        <v/>
      </c>
      <c r="EB31" s="50" t="str">
        <f t="shared" si="43"/>
        <v/>
      </c>
      <c r="EC31" s="50" t="str">
        <f t="shared" si="43"/>
        <v/>
      </c>
      <c r="ED31" s="50" t="str">
        <f t="shared" si="43"/>
        <v/>
      </c>
      <c r="EE31" s="50" t="str">
        <f t="shared" si="43"/>
        <v/>
      </c>
      <c r="EF31" s="50" t="str">
        <f t="shared" si="43"/>
        <v/>
      </c>
      <c r="EG31" s="50" t="str">
        <f t="shared" si="43"/>
        <v/>
      </c>
      <c r="EH31" s="50" t="str">
        <f t="shared" si="43"/>
        <v/>
      </c>
      <c r="EI31" s="50" t="str">
        <f t="shared" si="43"/>
        <v/>
      </c>
      <c r="EJ31" s="50" t="str">
        <f t="shared" si="43"/>
        <v/>
      </c>
      <c r="EK31" s="50" t="str">
        <f t="shared" si="43"/>
        <v/>
      </c>
      <c r="EL31" s="50" t="str">
        <f t="shared" si="43"/>
        <v/>
      </c>
      <c r="EM31" s="50" t="str">
        <f t="shared" si="51"/>
        <v/>
      </c>
      <c r="EN31" s="50" t="str">
        <f t="shared" si="51"/>
        <v/>
      </c>
      <c r="EO31" s="50" t="str">
        <f t="shared" si="51"/>
        <v/>
      </c>
      <c r="EP31" s="50" t="str">
        <f t="shared" si="51"/>
        <v/>
      </c>
      <c r="EQ31" s="50" t="str">
        <f t="shared" si="51"/>
        <v/>
      </c>
      <c r="ER31" s="50" t="str">
        <f t="shared" si="51"/>
        <v/>
      </c>
      <c r="ES31" s="50" t="str">
        <f t="shared" si="51"/>
        <v/>
      </c>
      <c r="ET31" s="50" t="str">
        <f t="shared" si="51"/>
        <v/>
      </c>
      <c r="EU31" s="50" t="str">
        <f t="shared" si="51"/>
        <v/>
      </c>
      <c r="EV31" s="50" t="str">
        <f t="shared" si="51"/>
        <v/>
      </c>
      <c r="EW31" s="50" t="str">
        <f t="shared" si="51"/>
        <v/>
      </c>
      <c r="EX31" s="50" t="str">
        <f t="shared" si="51"/>
        <v/>
      </c>
      <c r="EY31" s="50" t="str">
        <f t="shared" si="51"/>
        <v/>
      </c>
      <c r="EZ31" s="50" t="str">
        <f t="shared" si="51"/>
        <v/>
      </c>
      <c r="FA31" s="50" t="str">
        <f t="shared" si="51"/>
        <v/>
      </c>
      <c r="FB31" s="50" t="str">
        <f t="shared" si="51"/>
        <v/>
      </c>
      <c r="FC31" s="50" t="str">
        <f t="shared" si="52"/>
        <v/>
      </c>
      <c r="FD31" s="50" t="str">
        <f t="shared" si="52"/>
        <v/>
      </c>
      <c r="FE31" s="50" t="str">
        <f t="shared" si="52"/>
        <v/>
      </c>
      <c r="FF31" s="50" t="str">
        <f t="shared" si="52"/>
        <v/>
      </c>
      <c r="FG31" s="50" t="str">
        <f t="shared" si="52"/>
        <v/>
      </c>
      <c r="FH31" s="50" t="str">
        <f t="shared" si="52"/>
        <v/>
      </c>
      <c r="FI31" s="50" t="str">
        <f t="shared" si="52"/>
        <v/>
      </c>
      <c r="FJ31" s="50" t="str">
        <f t="shared" si="52"/>
        <v/>
      </c>
      <c r="FK31" s="50" t="str">
        <f t="shared" si="52"/>
        <v/>
      </c>
      <c r="FL31" s="50" t="str">
        <f t="shared" si="52"/>
        <v/>
      </c>
      <c r="FM31" s="50" t="str">
        <f t="shared" si="52"/>
        <v/>
      </c>
      <c r="FN31" s="50" t="str">
        <f t="shared" si="52"/>
        <v/>
      </c>
      <c r="FO31" s="50" t="str">
        <f t="shared" si="52"/>
        <v/>
      </c>
      <c r="FP31" s="50" t="str">
        <f t="shared" si="52"/>
        <v/>
      </c>
      <c r="FQ31" s="50" t="str">
        <f t="shared" si="52"/>
        <v/>
      </c>
      <c r="FR31" s="50" t="str">
        <f t="shared" si="52"/>
        <v/>
      </c>
      <c r="FS31" s="50" t="str">
        <f t="shared" si="52"/>
        <v/>
      </c>
      <c r="FT31" s="50" t="str">
        <f t="shared" si="52"/>
        <v/>
      </c>
      <c r="FU31" s="50" t="str">
        <f t="shared" si="52"/>
        <v/>
      </c>
      <c r="FV31" s="50" t="str">
        <f t="shared" si="52"/>
        <v/>
      </c>
      <c r="FW31" s="50" t="str">
        <f t="shared" si="52"/>
        <v/>
      </c>
      <c r="FX31" s="50" t="str">
        <f t="shared" si="52"/>
        <v/>
      </c>
      <c r="FY31" s="50" t="str">
        <f t="shared" si="52"/>
        <v/>
      </c>
      <c r="FZ31" s="50" t="str">
        <f t="shared" si="52"/>
        <v/>
      </c>
      <c r="GA31" s="50" t="str">
        <f t="shared" si="52"/>
        <v/>
      </c>
      <c r="GB31" s="50" t="str">
        <f t="shared" si="52"/>
        <v/>
      </c>
      <c r="GC31" s="50" t="str">
        <f t="shared" si="52"/>
        <v/>
      </c>
      <c r="GD31" s="50" t="str">
        <f t="shared" si="52"/>
        <v/>
      </c>
      <c r="GE31" s="50" t="str">
        <f t="shared" si="52"/>
        <v/>
      </c>
      <c r="GF31" s="50" t="str">
        <f t="shared" si="52"/>
        <v/>
      </c>
      <c r="GG31" s="50" t="str">
        <f t="shared" si="52"/>
        <v/>
      </c>
      <c r="GH31" s="50" t="str">
        <f t="shared" si="52"/>
        <v/>
      </c>
      <c r="GI31" s="50" t="str">
        <f t="shared" si="52"/>
        <v/>
      </c>
      <c r="GJ31" s="50" t="str">
        <f t="shared" si="52"/>
        <v/>
      </c>
      <c r="GK31" s="50" t="str">
        <f t="shared" si="52"/>
        <v/>
      </c>
      <c r="GL31" s="50" t="str">
        <f t="shared" si="52"/>
        <v/>
      </c>
      <c r="GM31" s="50" t="str">
        <f t="shared" si="52"/>
        <v/>
      </c>
      <c r="GN31" s="50" t="str">
        <f t="shared" si="52"/>
        <v/>
      </c>
      <c r="GO31" s="50" t="str">
        <f t="shared" si="52"/>
        <v/>
      </c>
      <c r="GP31" s="50" t="str">
        <f t="shared" si="52"/>
        <v/>
      </c>
      <c r="GQ31" s="50" t="str">
        <f t="shared" si="52"/>
        <v/>
      </c>
      <c r="GR31" s="50" t="str">
        <f t="shared" si="52"/>
        <v/>
      </c>
      <c r="GS31" s="50" t="str">
        <f t="shared" si="52"/>
        <v/>
      </c>
      <c r="GT31" s="50" t="str">
        <f t="shared" si="52"/>
        <v/>
      </c>
      <c r="GU31" s="50" t="str">
        <f t="shared" si="52"/>
        <v/>
      </c>
      <c r="GV31" s="50" t="str">
        <f t="shared" si="52"/>
        <v/>
      </c>
      <c r="GW31" s="50" t="str">
        <f t="shared" si="52"/>
        <v/>
      </c>
      <c r="GX31" s="50" t="str">
        <f t="shared" si="48"/>
        <v/>
      </c>
      <c r="GY31" s="50" t="str">
        <f t="shared" si="48"/>
        <v/>
      </c>
      <c r="GZ31" s="50" t="str">
        <f t="shared" si="48"/>
        <v/>
      </c>
      <c r="HA31" s="50" t="str">
        <f t="shared" si="48"/>
        <v/>
      </c>
      <c r="HB31" s="50" t="str">
        <f t="shared" si="48"/>
        <v/>
      </c>
      <c r="HC31" s="50" t="str">
        <f t="shared" si="48"/>
        <v/>
      </c>
      <c r="HD31" s="50" t="str">
        <f t="shared" si="48"/>
        <v/>
      </c>
      <c r="HE31" s="50" t="str">
        <f t="shared" si="48"/>
        <v/>
      </c>
      <c r="HF31" s="50" t="str">
        <f t="shared" si="48"/>
        <v/>
      </c>
      <c r="HG31" s="50" t="str">
        <f t="shared" si="48"/>
        <v/>
      </c>
      <c r="HH31" s="50" t="str">
        <f t="shared" si="48"/>
        <v/>
      </c>
      <c r="HI31" s="50" t="str">
        <f t="shared" si="48"/>
        <v/>
      </c>
      <c r="HJ31" s="50" t="str">
        <f t="shared" si="48"/>
        <v/>
      </c>
      <c r="HK31" s="50" t="str">
        <f t="shared" si="48"/>
        <v/>
      </c>
      <c r="HL31" s="50" t="str">
        <f t="shared" si="48"/>
        <v/>
      </c>
      <c r="HM31" s="50" t="str">
        <f t="shared" si="48"/>
        <v/>
      </c>
      <c r="HN31" s="50" t="str">
        <f t="shared" si="46"/>
        <v/>
      </c>
      <c r="HO31" s="50" t="str">
        <f t="shared" si="46"/>
        <v/>
      </c>
      <c r="HP31" s="50" t="str">
        <f t="shared" si="46"/>
        <v/>
      </c>
      <c r="HQ31" s="50" t="str">
        <f t="shared" si="46"/>
        <v/>
      </c>
      <c r="HR31" s="112" t="str">
        <f t="shared" si="46"/>
        <v/>
      </c>
    </row>
    <row r="32" spans="1:226" ht="11.1" customHeight="1" x14ac:dyDescent="0.25">
      <c r="A32" s="26" t="s">
        <v>32</v>
      </c>
      <c r="B32" s="27">
        <v>61</v>
      </c>
      <c r="C32" s="28" t="str">
        <f>IF(A32=0,"",VLOOKUP(A32,[2]CO!$A$3:$F$5327,2,0))</f>
        <v>Lote</v>
      </c>
      <c r="D32" s="29"/>
      <c r="E32" s="29"/>
      <c r="F32" s="29"/>
      <c r="G32" s="30" t="str">
        <f>IF(A32=0,"",VLOOKUP(A32,[2]CO!$A$3:$F$5327,3,0))</f>
        <v>LOTE</v>
      </c>
      <c r="H32" s="95"/>
      <c r="I32" s="31">
        <v>7.4787249999999998</v>
      </c>
      <c r="J32" s="31"/>
      <c r="K32" s="31"/>
      <c r="L32" s="31">
        <v>6</v>
      </c>
      <c r="M32" s="32">
        <f t="shared" si="36"/>
        <v>44.872349999999997</v>
      </c>
      <c r="N32" s="32">
        <f>IF(B32=0,"",IF(H32="M",HLOOKUP(B32,$Y$12:$DT$13,2),IF(A32=0,"",VLOOKUP(A32,[2]CO!$A$3:$F$5327,4,0))))</f>
        <v>100</v>
      </c>
      <c r="O32" s="32">
        <f t="shared" si="7"/>
        <v>4487.2349999999997</v>
      </c>
      <c r="P32" s="33">
        <v>61</v>
      </c>
      <c r="Q32" s="34">
        <f t="shared" si="37"/>
        <v>25427.665000000001</v>
      </c>
      <c r="R32" s="35" t="str">
        <f>IF(S32=0,"",IF(OR(G32="PEON",G32="OF",G32="JARD",G32="CARP",G32="MAESTRO",G32="SOLD",G32="BGRO",G32="CHOFER",G32="AYTE",G32="S.INTTE.",G32="ASEO",G32="P.PISOS",G32="VELADOR",G32="RESID",G32="PINTOR",G32="ELECT",G32="AZULE",G32="AUX CONT.",G32="SECRETARIA",G32="AUXILIAR ADMTVO.",G32="ARQUITECTO",G32="DIBUJANTE",G32="AUX. DE RESIDENTE",G32="TOPOGRAFIA"),VLOOKUP(B32,P$14:Q$56,2),"")*S32)</f>
        <v/>
      </c>
      <c r="T32" s="53">
        <f>IF(A32=0,"",VLOOKUP(A32,[2]CO!$A$3:$F$5318,5,0))</f>
        <v>0</v>
      </c>
      <c r="U32" s="54">
        <f t="shared" si="38"/>
        <v>0</v>
      </c>
      <c r="V32" s="24"/>
      <c r="W32" s="25"/>
      <c r="X32" s="25"/>
      <c r="Y32" s="64" t="str">
        <f t="shared" si="39"/>
        <v/>
      </c>
      <c r="Z32" s="55" t="str">
        <f t="shared" si="39"/>
        <v/>
      </c>
      <c r="AA32" s="55" t="str">
        <f t="shared" si="39"/>
        <v/>
      </c>
      <c r="AB32" s="55" t="str">
        <f t="shared" si="39"/>
        <v/>
      </c>
      <c r="AC32" s="55" t="str">
        <f t="shared" si="39"/>
        <v/>
      </c>
      <c r="AD32" s="55" t="str">
        <f t="shared" si="39"/>
        <v/>
      </c>
      <c r="AE32" s="55" t="str">
        <f t="shared" si="39"/>
        <v/>
      </c>
      <c r="AF32" s="55" t="str">
        <f t="shared" si="39"/>
        <v/>
      </c>
      <c r="AG32" s="55" t="str">
        <f t="shared" si="39"/>
        <v/>
      </c>
      <c r="AH32" s="55" t="str">
        <f t="shared" si="39"/>
        <v/>
      </c>
      <c r="AI32" s="55" t="str">
        <f t="shared" si="39"/>
        <v/>
      </c>
      <c r="AJ32" s="55" t="str">
        <f t="shared" si="39"/>
        <v/>
      </c>
      <c r="AK32" s="55" t="str">
        <f t="shared" si="39"/>
        <v/>
      </c>
      <c r="AL32" s="55" t="str">
        <f t="shared" si="39"/>
        <v/>
      </c>
      <c r="AM32" s="55" t="str">
        <f t="shared" si="39"/>
        <v/>
      </c>
      <c r="AN32" s="55" t="str">
        <f t="shared" si="39"/>
        <v/>
      </c>
      <c r="AO32" s="55" t="str">
        <f t="shared" si="49"/>
        <v/>
      </c>
      <c r="AP32" s="55" t="str">
        <f t="shared" si="49"/>
        <v/>
      </c>
      <c r="AQ32" s="55" t="str">
        <f t="shared" si="49"/>
        <v/>
      </c>
      <c r="AR32" s="55" t="str">
        <f t="shared" si="49"/>
        <v/>
      </c>
      <c r="AS32" s="55" t="str">
        <f t="shared" si="49"/>
        <v/>
      </c>
      <c r="AT32" s="55" t="str">
        <f t="shared" si="49"/>
        <v/>
      </c>
      <c r="AU32" s="55" t="str">
        <f t="shared" si="49"/>
        <v/>
      </c>
      <c r="AV32" s="55" t="str">
        <f t="shared" si="49"/>
        <v/>
      </c>
      <c r="AW32" s="55" t="str">
        <f t="shared" si="49"/>
        <v/>
      </c>
      <c r="AX32" s="55" t="str">
        <f t="shared" si="49"/>
        <v/>
      </c>
      <c r="AY32" s="55" t="str">
        <f t="shared" si="49"/>
        <v/>
      </c>
      <c r="AZ32" s="55" t="str">
        <f t="shared" si="49"/>
        <v/>
      </c>
      <c r="BA32" s="55" t="str">
        <f t="shared" si="49"/>
        <v/>
      </c>
      <c r="BB32" s="55" t="str">
        <f t="shared" si="49"/>
        <v/>
      </c>
      <c r="BC32" s="55" t="str">
        <f t="shared" si="49"/>
        <v/>
      </c>
      <c r="BD32" s="55" t="str">
        <f t="shared" si="49"/>
        <v/>
      </c>
      <c r="BE32" s="55" t="str">
        <f t="shared" si="50"/>
        <v/>
      </c>
      <c r="BF32" s="55" t="str">
        <f t="shared" si="50"/>
        <v/>
      </c>
      <c r="BG32" s="55" t="str">
        <f t="shared" si="50"/>
        <v/>
      </c>
      <c r="BH32" s="55" t="str">
        <f t="shared" si="50"/>
        <v/>
      </c>
      <c r="BI32" s="55" t="str">
        <f t="shared" si="50"/>
        <v/>
      </c>
      <c r="BJ32" s="55" t="str">
        <f t="shared" si="50"/>
        <v/>
      </c>
      <c r="BK32" s="55" t="str">
        <f t="shared" si="50"/>
        <v/>
      </c>
      <c r="BL32" s="55" t="str">
        <f t="shared" si="50"/>
        <v/>
      </c>
      <c r="BM32" s="55" t="str">
        <f t="shared" si="50"/>
        <v/>
      </c>
      <c r="BN32" s="55" t="str">
        <f t="shared" si="50"/>
        <v/>
      </c>
      <c r="BO32" s="55" t="str">
        <f t="shared" si="50"/>
        <v/>
      </c>
      <c r="BP32" s="55" t="str">
        <f t="shared" si="50"/>
        <v/>
      </c>
      <c r="BQ32" s="55" t="str">
        <f t="shared" si="50"/>
        <v/>
      </c>
      <c r="BR32" s="55" t="str">
        <f t="shared" si="50"/>
        <v/>
      </c>
      <c r="BS32" s="55" t="str">
        <f t="shared" si="50"/>
        <v/>
      </c>
      <c r="BT32" s="55" t="str">
        <f t="shared" si="50"/>
        <v/>
      </c>
      <c r="BU32" s="55" t="str">
        <f t="shared" si="50"/>
        <v/>
      </c>
      <c r="BV32" s="55" t="str">
        <f t="shared" si="50"/>
        <v/>
      </c>
      <c r="BW32" s="55" t="str">
        <f t="shared" si="50"/>
        <v/>
      </c>
      <c r="BX32" s="55" t="str">
        <f t="shared" si="50"/>
        <v/>
      </c>
      <c r="BY32" s="55" t="str">
        <f t="shared" si="50"/>
        <v/>
      </c>
      <c r="BZ32" s="55" t="str">
        <f t="shared" si="50"/>
        <v/>
      </c>
      <c r="CA32" s="55" t="str">
        <f t="shared" si="50"/>
        <v/>
      </c>
      <c r="CB32" s="55" t="str">
        <f t="shared" si="50"/>
        <v/>
      </c>
      <c r="CC32" s="55" t="str">
        <f t="shared" si="50"/>
        <v/>
      </c>
      <c r="CD32" s="55" t="str">
        <f t="shared" si="50"/>
        <v/>
      </c>
      <c r="CE32" s="55" t="str">
        <f t="shared" si="50"/>
        <v/>
      </c>
      <c r="CF32" s="55" t="str">
        <f t="shared" si="50"/>
        <v/>
      </c>
      <c r="CG32" s="55">
        <f t="shared" si="50"/>
        <v>0</v>
      </c>
      <c r="CH32" s="55" t="str">
        <f t="shared" si="50"/>
        <v/>
      </c>
      <c r="CI32" s="55" t="str">
        <f t="shared" si="50"/>
        <v/>
      </c>
      <c r="CJ32" s="55" t="str">
        <f t="shared" si="50"/>
        <v/>
      </c>
      <c r="CK32" s="55" t="str">
        <f t="shared" si="50"/>
        <v/>
      </c>
      <c r="CL32" s="55" t="str">
        <f t="shared" si="50"/>
        <v/>
      </c>
      <c r="CM32" s="55" t="str">
        <f t="shared" si="50"/>
        <v/>
      </c>
      <c r="CN32" s="55" t="str">
        <f t="shared" si="50"/>
        <v/>
      </c>
      <c r="CO32" s="55" t="str">
        <f t="shared" si="50"/>
        <v/>
      </c>
      <c r="CP32" s="55" t="str">
        <f t="shared" si="50"/>
        <v/>
      </c>
      <c r="CQ32" s="55" t="str">
        <f t="shared" si="50"/>
        <v/>
      </c>
      <c r="CR32" s="55" t="str">
        <f t="shared" si="50"/>
        <v/>
      </c>
      <c r="CS32" s="55" t="str">
        <f t="shared" si="50"/>
        <v/>
      </c>
      <c r="CT32" s="55" t="str">
        <f t="shared" si="50"/>
        <v/>
      </c>
      <c r="CU32" s="55" t="str">
        <f t="shared" si="50"/>
        <v/>
      </c>
      <c r="CV32" s="55" t="str">
        <f t="shared" si="50"/>
        <v/>
      </c>
      <c r="CW32" s="55" t="str">
        <f t="shared" si="50"/>
        <v/>
      </c>
      <c r="CX32" s="55" t="str">
        <f t="shared" si="50"/>
        <v/>
      </c>
      <c r="CY32" s="55" t="str">
        <f t="shared" si="50"/>
        <v/>
      </c>
      <c r="CZ32" s="55" t="str">
        <f t="shared" si="47"/>
        <v/>
      </c>
      <c r="DA32" s="55" t="str">
        <f t="shared" si="47"/>
        <v/>
      </c>
      <c r="DB32" s="55" t="str">
        <f t="shared" si="47"/>
        <v/>
      </c>
      <c r="DC32" s="55" t="str">
        <f t="shared" si="47"/>
        <v/>
      </c>
      <c r="DD32" s="55" t="str">
        <f t="shared" si="47"/>
        <v/>
      </c>
      <c r="DE32" s="55" t="str">
        <f t="shared" si="47"/>
        <v/>
      </c>
      <c r="DF32" s="55" t="str">
        <f t="shared" si="47"/>
        <v/>
      </c>
      <c r="DG32" s="55" t="str">
        <f t="shared" si="47"/>
        <v/>
      </c>
      <c r="DH32" s="55" t="str">
        <f t="shared" si="47"/>
        <v/>
      </c>
      <c r="DI32" s="55" t="str">
        <f t="shared" si="47"/>
        <v/>
      </c>
      <c r="DJ32" s="55" t="str">
        <f t="shared" si="47"/>
        <v/>
      </c>
      <c r="DK32" s="55" t="str">
        <f t="shared" si="41"/>
        <v/>
      </c>
      <c r="DL32" s="55" t="str">
        <f t="shared" si="41"/>
        <v/>
      </c>
      <c r="DM32" s="55" t="str">
        <f t="shared" si="41"/>
        <v/>
      </c>
      <c r="DN32" s="55" t="str">
        <f t="shared" si="41"/>
        <v/>
      </c>
      <c r="DO32" s="55" t="str">
        <f t="shared" si="41"/>
        <v/>
      </c>
      <c r="DP32" s="55" t="str">
        <f t="shared" si="41"/>
        <v/>
      </c>
      <c r="DQ32" s="55" t="str">
        <f t="shared" si="42"/>
        <v/>
      </c>
      <c r="DR32" s="55" t="str">
        <f t="shared" si="42"/>
        <v/>
      </c>
      <c r="DS32" s="55" t="str">
        <f t="shared" si="42"/>
        <v/>
      </c>
      <c r="DT32" s="106" t="str">
        <f t="shared" si="42"/>
        <v/>
      </c>
      <c r="DU32" s="54"/>
      <c r="DV32" s="25"/>
      <c r="DW32" s="61" t="str">
        <f t="shared" si="43"/>
        <v/>
      </c>
      <c r="DX32" s="50" t="str">
        <f t="shared" si="43"/>
        <v/>
      </c>
      <c r="DY32" s="50" t="str">
        <f t="shared" si="43"/>
        <v/>
      </c>
      <c r="DZ32" s="50" t="str">
        <f t="shared" si="43"/>
        <v/>
      </c>
      <c r="EA32" s="50" t="str">
        <f t="shared" si="43"/>
        <v/>
      </c>
      <c r="EB32" s="50" t="str">
        <f t="shared" si="43"/>
        <v/>
      </c>
      <c r="EC32" s="50" t="str">
        <f t="shared" si="43"/>
        <v/>
      </c>
      <c r="ED32" s="50" t="str">
        <f t="shared" si="43"/>
        <v/>
      </c>
      <c r="EE32" s="50" t="str">
        <f t="shared" si="43"/>
        <v/>
      </c>
      <c r="EF32" s="50" t="str">
        <f t="shared" si="43"/>
        <v/>
      </c>
      <c r="EG32" s="50" t="str">
        <f t="shared" si="43"/>
        <v/>
      </c>
      <c r="EH32" s="50" t="str">
        <f t="shared" si="43"/>
        <v/>
      </c>
      <c r="EI32" s="50" t="str">
        <f t="shared" si="43"/>
        <v/>
      </c>
      <c r="EJ32" s="50" t="str">
        <f t="shared" si="43"/>
        <v/>
      </c>
      <c r="EK32" s="50" t="str">
        <f t="shared" si="43"/>
        <v/>
      </c>
      <c r="EL32" s="50" t="str">
        <f t="shared" si="43"/>
        <v/>
      </c>
      <c r="EM32" s="50" t="str">
        <f t="shared" si="51"/>
        <v/>
      </c>
      <c r="EN32" s="50" t="str">
        <f t="shared" si="51"/>
        <v/>
      </c>
      <c r="EO32" s="50" t="str">
        <f t="shared" si="51"/>
        <v/>
      </c>
      <c r="EP32" s="50" t="str">
        <f t="shared" si="51"/>
        <v/>
      </c>
      <c r="EQ32" s="50" t="str">
        <f t="shared" si="51"/>
        <v/>
      </c>
      <c r="ER32" s="50" t="str">
        <f t="shared" si="51"/>
        <v/>
      </c>
      <c r="ES32" s="50" t="str">
        <f t="shared" si="51"/>
        <v/>
      </c>
      <c r="ET32" s="50" t="str">
        <f t="shared" si="51"/>
        <v/>
      </c>
      <c r="EU32" s="50" t="str">
        <f t="shared" si="51"/>
        <v/>
      </c>
      <c r="EV32" s="50" t="str">
        <f t="shared" si="51"/>
        <v/>
      </c>
      <c r="EW32" s="50" t="str">
        <f t="shared" si="51"/>
        <v/>
      </c>
      <c r="EX32" s="50" t="str">
        <f t="shared" si="51"/>
        <v/>
      </c>
      <c r="EY32" s="50" t="str">
        <f t="shared" si="51"/>
        <v/>
      </c>
      <c r="EZ32" s="50" t="str">
        <f t="shared" si="51"/>
        <v/>
      </c>
      <c r="FA32" s="50" t="str">
        <f t="shared" si="51"/>
        <v/>
      </c>
      <c r="FB32" s="50" t="str">
        <f t="shared" si="51"/>
        <v/>
      </c>
      <c r="FC32" s="50" t="str">
        <f t="shared" si="52"/>
        <v/>
      </c>
      <c r="FD32" s="50" t="str">
        <f t="shared" si="52"/>
        <v/>
      </c>
      <c r="FE32" s="50" t="str">
        <f t="shared" si="52"/>
        <v/>
      </c>
      <c r="FF32" s="50" t="str">
        <f t="shared" si="52"/>
        <v/>
      </c>
      <c r="FG32" s="50" t="str">
        <f t="shared" si="52"/>
        <v/>
      </c>
      <c r="FH32" s="50" t="str">
        <f t="shared" si="52"/>
        <v/>
      </c>
      <c r="FI32" s="50" t="str">
        <f t="shared" si="52"/>
        <v/>
      </c>
      <c r="FJ32" s="50" t="str">
        <f t="shared" si="52"/>
        <v/>
      </c>
      <c r="FK32" s="50" t="str">
        <f t="shared" si="52"/>
        <v/>
      </c>
      <c r="FL32" s="50" t="str">
        <f t="shared" si="52"/>
        <v/>
      </c>
      <c r="FM32" s="50" t="str">
        <f t="shared" si="52"/>
        <v/>
      </c>
      <c r="FN32" s="50" t="str">
        <f t="shared" si="52"/>
        <v/>
      </c>
      <c r="FO32" s="50" t="str">
        <f t="shared" si="52"/>
        <v/>
      </c>
      <c r="FP32" s="50" t="str">
        <f t="shared" si="52"/>
        <v/>
      </c>
      <c r="FQ32" s="50" t="str">
        <f t="shared" si="52"/>
        <v/>
      </c>
      <c r="FR32" s="50" t="str">
        <f t="shared" si="52"/>
        <v/>
      </c>
      <c r="FS32" s="50" t="str">
        <f t="shared" si="52"/>
        <v/>
      </c>
      <c r="FT32" s="50" t="str">
        <f t="shared" si="52"/>
        <v/>
      </c>
      <c r="FU32" s="50" t="str">
        <f t="shared" si="52"/>
        <v/>
      </c>
      <c r="FV32" s="50" t="str">
        <f t="shared" si="52"/>
        <v/>
      </c>
      <c r="FW32" s="50" t="str">
        <f t="shared" si="52"/>
        <v/>
      </c>
      <c r="FX32" s="50" t="str">
        <f t="shared" si="52"/>
        <v/>
      </c>
      <c r="FY32" s="50" t="str">
        <f t="shared" si="52"/>
        <v/>
      </c>
      <c r="FZ32" s="50" t="str">
        <f t="shared" si="52"/>
        <v/>
      </c>
      <c r="GA32" s="50" t="str">
        <f t="shared" si="52"/>
        <v/>
      </c>
      <c r="GB32" s="50" t="str">
        <f t="shared" si="52"/>
        <v/>
      </c>
      <c r="GC32" s="50" t="str">
        <f t="shared" si="52"/>
        <v/>
      </c>
      <c r="GD32" s="50" t="str">
        <f t="shared" si="52"/>
        <v/>
      </c>
      <c r="GE32" s="50">
        <f t="shared" si="52"/>
        <v>4487.2349999999997</v>
      </c>
      <c r="GF32" s="50" t="str">
        <f t="shared" si="52"/>
        <v/>
      </c>
      <c r="GG32" s="50" t="str">
        <f t="shared" si="52"/>
        <v/>
      </c>
      <c r="GH32" s="50" t="str">
        <f t="shared" si="52"/>
        <v/>
      </c>
      <c r="GI32" s="50" t="str">
        <f t="shared" si="52"/>
        <v/>
      </c>
      <c r="GJ32" s="50" t="str">
        <f t="shared" si="52"/>
        <v/>
      </c>
      <c r="GK32" s="50" t="str">
        <f t="shared" si="52"/>
        <v/>
      </c>
      <c r="GL32" s="50" t="str">
        <f t="shared" si="52"/>
        <v/>
      </c>
      <c r="GM32" s="50" t="str">
        <f t="shared" si="52"/>
        <v/>
      </c>
      <c r="GN32" s="50" t="str">
        <f t="shared" si="52"/>
        <v/>
      </c>
      <c r="GO32" s="50" t="str">
        <f t="shared" si="52"/>
        <v/>
      </c>
      <c r="GP32" s="50" t="str">
        <f t="shared" si="52"/>
        <v/>
      </c>
      <c r="GQ32" s="50" t="str">
        <f t="shared" si="52"/>
        <v/>
      </c>
      <c r="GR32" s="50" t="str">
        <f t="shared" si="52"/>
        <v/>
      </c>
      <c r="GS32" s="50" t="str">
        <f t="shared" si="52"/>
        <v/>
      </c>
      <c r="GT32" s="50" t="str">
        <f t="shared" si="52"/>
        <v/>
      </c>
      <c r="GU32" s="50" t="str">
        <f t="shared" si="52"/>
        <v/>
      </c>
      <c r="GV32" s="50" t="str">
        <f t="shared" si="52"/>
        <v/>
      </c>
      <c r="GW32" s="50" t="str">
        <f t="shared" si="52"/>
        <v/>
      </c>
      <c r="GX32" s="50" t="str">
        <f t="shared" si="48"/>
        <v/>
      </c>
      <c r="GY32" s="50" t="str">
        <f t="shared" si="48"/>
        <v/>
      </c>
      <c r="GZ32" s="50" t="str">
        <f t="shared" si="48"/>
        <v/>
      </c>
      <c r="HA32" s="50" t="str">
        <f t="shared" si="48"/>
        <v/>
      </c>
      <c r="HB32" s="50" t="str">
        <f t="shared" si="48"/>
        <v/>
      </c>
      <c r="HC32" s="50" t="str">
        <f t="shared" si="48"/>
        <v/>
      </c>
      <c r="HD32" s="50" t="str">
        <f t="shared" si="48"/>
        <v/>
      </c>
      <c r="HE32" s="50" t="str">
        <f t="shared" si="48"/>
        <v/>
      </c>
      <c r="HF32" s="50" t="str">
        <f t="shared" si="48"/>
        <v/>
      </c>
      <c r="HG32" s="50" t="str">
        <f t="shared" si="48"/>
        <v/>
      </c>
      <c r="HH32" s="50" t="str">
        <f t="shared" si="48"/>
        <v/>
      </c>
      <c r="HI32" s="50" t="str">
        <f t="shared" si="48"/>
        <v/>
      </c>
      <c r="HJ32" s="50" t="str">
        <f t="shared" si="48"/>
        <v/>
      </c>
      <c r="HK32" s="50" t="str">
        <f t="shared" si="48"/>
        <v/>
      </c>
      <c r="HL32" s="50" t="str">
        <f t="shared" si="48"/>
        <v/>
      </c>
      <c r="HM32" s="50" t="str">
        <f t="shared" si="48"/>
        <v/>
      </c>
      <c r="HN32" s="50" t="str">
        <f t="shared" si="46"/>
        <v/>
      </c>
      <c r="HO32" s="50" t="str">
        <f t="shared" si="46"/>
        <v/>
      </c>
      <c r="HP32" s="50" t="str">
        <f t="shared" si="46"/>
        <v/>
      </c>
      <c r="HQ32" s="50" t="str">
        <f t="shared" si="46"/>
        <v/>
      </c>
      <c r="HR32" s="112" t="str">
        <f t="shared" si="46"/>
        <v/>
      </c>
    </row>
    <row r="33" spans="1:226" ht="11.1" customHeight="1" x14ac:dyDescent="0.25">
      <c r="A33" s="26"/>
      <c r="B33" s="27"/>
      <c r="C33" s="28" t="str">
        <f>IF(A33=0,"",VLOOKUP(A33,[2]CO!$A$3:$F$5327,2,0))</f>
        <v/>
      </c>
      <c r="D33" s="29"/>
      <c r="E33" s="29"/>
      <c r="F33" s="29"/>
      <c r="G33" s="30" t="str">
        <f>IF(A33=0,"",VLOOKUP(A33,[2]CO!$A$3:$F$5327,3,0))</f>
        <v/>
      </c>
      <c r="H33" s="95"/>
      <c r="I33" s="31"/>
      <c r="J33" s="31"/>
      <c r="K33" s="31"/>
      <c r="L33" s="31"/>
      <c r="M33" s="32" t="str">
        <f t="shared" ref="M33:M35" si="53">IF(H33&gt;0,H33*Q$22/N33,IF(AND(L33&gt;0,I33&gt;0),L33*I33,IF(L33&gt;0,L33,"")))</f>
        <v/>
      </c>
      <c r="N33" s="32" t="str">
        <f>IF(B33=0,"",IF(H33="M",HLOOKUP(B33,$Y$12:$DT$13,2),IF(A33=0,"",VLOOKUP(A33,[2]CO!$A$3:$F$5327,4,0))))</f>
        <v/>
      </c>
      <c r="O33" s="32" t="str">
        <f t="shared" ref="O33:O35" si="54">IF(L33=0,"",PRODUCT(M33:N33))</f>
        <v/>
      </c>
      <c r="P33" s="33"/>
      <c r="Q33" s="34" t="str">
        <f t="shared" ref="Q33:Q35" si="55">IF(P33=0,"",(HLOOKUP(P33,$DW$12:$HR$13,2)))</f>
        <v/>
      </c>
      <c r="R33" s="35" t="str">
        <f>IF(S33=0,"",IF(OR(G33="PEON",G33="OF",G33="JARD",G33="CARP",G33="MAESTRO",G33="SOLD",G33="BGRO",G33="CHOFER",G33="AYTE",G33="S.INTTE.",G33="ASEO",G33="P.PISOS",G33="VELADOR",G33="RESID",G33="PINTOR",G33="ELECT",G33="AZULE",G33="AUX CONT.",G33="SECRETARIA",G33="AUXILIAR ADMTVO.",G33="ARQUITECTO",G33="DIBUJANTE",G33="AUX. DE RESIDENTE",G33="TOPOGRAFIA"),VLOOKUP(B33,P$14:Q$56,2),"")*S33)</f>
        <v/>
      </c>
      <c r="T33" s="53" t="str">
        <f>IF(A33=0,"",VLOOKUP(A33,[2]CO!$A$3:$F$5318,5,0))</f>
        <v/>
      </c>
      <c r="U33" s="54">
        <f t="shared" ref="U33:U35" si="56">IF(T33=1,O33*0.1,)</f>
        <v>0</v>
      </c>
      <c r="V33" s="24"/>
      <c r="W33" s="25"/>
      <c r="X33" s="25"/>
      <c r="Y33" s="64" t="str">
        <f t="shared" ref="Y33:AN34" si="57">IF($B33=Y$12,$U33,"")</f>
        <v/>
      </c>
      <c r="Z33" s="55" t="str">
        <f t="shared" si="57"/>
        <v/>
      </c>
      <c r="AA33" s="55" t="str">
        <f t="shared" si="57"/>
        <v/>
      </c>
      <c r="AB33" s="55" t="str">
        <f t="shared" si="57"/>
        <v/>
      </c>
      <c r="AC33" s="55" t="str">
        <f t="shared" si="57"/>
        <v/>
      </c>
      <c r="AD33" s="55" t="str">
        <f t="shared" si="57"/>
        <v/>
      </c>
      <c r="AE33" s="55" t="str">
        <f t="shared" si="57"/>
        <v/>
      </c>
      <c r="AF33" s="55" t="str">
        <f t="shared" si="57"/>
        <v/>
      </c>
      <c r="AG33" s="55" t="str">
        <f t="shared" si="57"/>
        <v/>
      </c>
      <c r="AH33" s="55" t="str">
        <f t="shared" si="57"/>
        <v/>
      </c>
      <c r="AI33" s="55" t="str">
        <f t="shared" si="57"/>
        <v/>
      </c>
      <c r="AJ33" s="55" t="str">
        <f t="shared" si="57"/>
        <v/>
      </c>
      <c r="AK33" s="55" t="str">
        <f t="shared" si="57"/>
        <v/>
      </c>
      <c r="AL33" s="55" t="str">
        <f t="shared" si="57"/>
        <v/>
      </c>
      <c r="AM33" s="55" t="str">
        <f t="shared" si="57"/>
        <v/>
      </c>
      <c r="AN33" s="55" t="str">
        <f t="shared" si="57"/>
        <v/>
      </c>
      <c r="AO33" s="55" t="str">
        <f t="shared" ref="AO33:BD34" si="58">IF($B33=AO$12,$U33,"")</f>
        <v/>
      </c>
      <c r="AP33" s="55" t="str">
        <f t="shared" si="58"/>
        <v/>
      </c>
      <c r="AQ33" s="55" t="str">
        <f t="shared" si="58"/>
        <v/>
      </c>
      <c r="AR33" s="55" t="str">
        <f t="shared" si="58"/>
        <v/>
      </c>
      <c r="AS33" s="55" t="str">
        <f t="shared" si="58"/>
        <v/>
      </c>
      <c r="AT33" s="55" t="str">
        <f t="shared" si="58"/>
        <v/>
      </c>
      <c r="AU33" s="55" t="str">
        <f t="shared" si="58"/>
        <v/>
      </c>
      <c r="AV33" s="55" t="str">
        <f t="shared" si="58"/>
        <v/>
      </c>
      <c r="AW33" s="55" t="str">
        <f t="shared" si="58"/>
        <v/>
      </c>
      <c r="AX33" s="55" t="str">
        <f t="shared" si="58"/>
        <v/>
      </c>
      <c r="AY33" s="55" t="str">
        <f t="shared" si="58"/>
        <v/>
      </c>
      <c r="AZ33" s="55" t="str">
        <f t="shared" si="58"/>
        <v/>
      </c>
      <c r="BA33" s="55" t="str">
        <f t="shared" si="58"/>
        <v/>
      </c>
      <c r="BB33" s="55" t="str">
        <f t="shared" si="58"/>
        <v/>
      </c>
      <c r="BC33" s="55" t="str">
        <f t="shared" si="58"/>
        <v/>
      </c>
      <c r="BD33" s="55" t="str">
        <f t="shared" si="58"/>
        <v/>
      </c>
      <c r="BE33" s="55" t="str">
        <f t="shared" ref="BE33:BX33" si="59">IF($B33=BE$12,$U33,"")</f>
        <v/>
      </c>
      <c r="BF33" s="55" t="str">
        <f t="shared" si="59"/>
        <v/>
      </c>
      <c r="BG33" s="55" t="str">
        <f t="shared" si="59"/>
        <v/>
      </c>
      <c r="BH33" s="55" t="str">
        <f t="shared" si="59"/>
        <v/>
      </c>
      <c r="BI33" s="55" t="str">
        <f t="shared" si="59"/>
        <v/>
      </c>
      <c r="BJ33" s="55" t="str">
        <f t="shared" si="59"/>
        <v/>
      </c>
      <c r="BK33" s="55" t="str">
        <f t="shared" si="59"/>
        <v/>
      </c>
      <c r="BL33" s="55" t="str">
        <f t="shared" si="59"/>
        <v/>
      </c>
      <c r="BM33" s="55" t="str">
        <f t="shared" si="59"/>
        <v/>
      </c>
      <c r="BN33" s="55" t="str">
        <f t="shared" si="59"/>
        <v/>
      </c>
      <c r="BO33" s="55" t="str">
        <f t="shared" si="59"/>
        <v/>
      </c>
      <c r="BP33" s="55" t="str">
        <f t="shared" si="59"/>
        <v/>
      </c>
      <c r="BQ33" s="55" t="str">
        <f t="shared" si="59"/>
        <v/>
      </c>
      <c r="BR33" s="55" t="str">
        <f t="shared" si="59"/>
        <v/>
      </c>
      <c r="BS33" s="55" t="str">
        <f t="shared" si="59"/>
        <v/>
      </c>
      <c r="BT33" s="55" t="str">
        <f t="shared" si="59"/>
        <v/>
      </c>
      <c r="BU33" s="55" t="str">
        <f t="shared" si="59"/>
        <v/>
      </c>
      <c r="BV33" s="55" t="str">
        <f t="shared" si="59"/>
        <v/>
      </c>
      <c r="BW33" s="55" t="str">
        <f t="shared" si="59"/>
        <v/>
      </c>
      <c r="BX33" s="55" t="str">
        <f t="shared" si="59"/>
        <v/>
      </c>
      <c r="BY33" s="55" t="str">
        <f t="shared" ref="BY33:CY33" si="60">IF($B33=BY$12,$U33,"")</f>
        <v/>
      </c>
      <c r="BZ33" s="55" t="str">
        <f t="shared" si="60"/>
        <v/>
      </c>
      <c r="CA33" s="55" t="str">
        <f t="shared" si="60"/>
        <v/>
      </c>
      <c r="CB33" s="55" t="str">
        <f t="shared" si="60"/>
        <v/>
      </c>
      <c r="CC33" s="55" t="str">
        <f t="shared" si="60"/>
        <v/>
      </c>
      <c r="CD33" s="55" t="str">
        <f t="shared" si="60"/>
        <v/>
      </c>
      <c r="CE33" s="55" t="str">
        <f t="shared" si="60"/>
        <v/>
      </c>
      <c r="CF33" s="55" t="str">
        <f t="shared" si="60"/>
        <v/>
      </c>
      <c r="CG33" s="55" t="str">
        <f t="shared" si="60"/>
        <v/>
      </c>
      <c r="CH33" s="55" t="str">
        <f t="shared" si="60"/>
        <v/>
      </c>
      <c r="CI33" s="55" t="str">
        <f t="shared" si="60"/>
        <v/>
      </c>
      <c r="CJ33" s="55" t="str">
        <f t="shared" si="60"/>
        <v/>
      </c>
      <c r="CK33" s="55" t="str">
        <f t="shared" si="60"/>
        <v/>
      </c>
      <c r="CL33" s="55" t="str">
        <f t="shared" si="60"/>
        <v/>
      </c>
      <c r="CM33" s="55" t="str">
        <f t="shared" si="60"/>
        <v/>
      </c>
      <c r="CN33" s="55" t="str">
        <f t="shared" si="60"/>
        <v/>
      </c>
      <c r="CO33" s="55" t="str">
        <f t="shared" si="60"/>
        <v/>
      </c>
      <c r="CP33" s="55" t="str">
        <f t="shared" si="60"/>
        <v/>
      </c>
      <c r="CQ33" s="55" t="str">
        <f t="shared" si="60"/>
        <v/>
      </c>
      <c r="CR33" s="55" t="str">
        <f t="shared" si="60"/>
        <v/>
      </c>
      <c r="CS33" s="55" t="str">
        <f t="shared" si="60"/>
        <v/>
      </c>
      <c r="CT33" s="55" t="str">
        <f t="shared" si="60"/>
        <v/>
      </c>
      <c r="CU33" s="55" t="str">
        <f t="shared" si="60"/>
        <v/>
      </c>
      <c r="CV33" s="55" t="str">
        <f t="shared" si="60"/>
        <v/>
      </c>
      <c r="CW33" s="55" t="str">
        <f t="shared" si="60"/>
        <v/>
      </c>
      <c r="CX33" s="55" t="str">
        <f t="shared" si="60"/>
        <v/>
      </c>
      <c r="CY33" s="55" t="str">
        <f t="shared" si="60"/>
        <v/>
      </c>
      <c r="CZ33" s="55" t="str">
        <f t="shared" ref="CZ33:DJ34" si="61">IF($B33=CZ$12,$U33,"")</f>
        <v/>
      </c>
      <c r="DA33" s="55" t="str">
        <f t="shared" si="61"/>
        <v/>
      </c>
      <c r="DB33" s="55" t="str">
        <f t="shared" si="61"/>
        <v/>
      </c>
      <c r="DC33" s="55" t="str">
        <f t="shared" si="61"/>
        <v/>
      </c>
      <c r="DD33" s="55" t="str">
        <f t="shared" si="61"/>
        <v/>
      </c>
      <c r="DE33" s="55" t="str">
        <f t="shared" si="61"/>
        <v/>
      </c>
      <c r="DF33" s="55" t="str">
        <f t="shared" si="61"/>
        <v/>
      </c>
      <c r="DG33" s="55" t="str">
        <f t="shared" si="61"/>
        <v/>
      </c>
      <c r="DH33" s="55" t="str">
        <f t="shared" si="61"/>
        <v/>
      </c>
      <c r="DI33" s="55" t="str">
        <f t="shared" si="61"/>
        <v/>
      </c>
      <c r="DJ33" s="55" t="str">
        <f t="shared" si="61"/>
        <v/>
      </c>
      <c r="DK33" s="55" t="str">
        <f t="shared" si="41"/>
        <v/>
      </c>
      <c r="DL33" s="55" t="str">
        <f t="shared" si="41"/>
        <v/>
      </c>
      <c r="DM33" s="55" t="str">
        <f t="shared" si="41"/>
        <v/>
      </c>
      <c r="DN33" s="55" t="str">
        <f t="shared" si="41"/>
        <v/>
      </c>
      <c r="DO33" s="55" t="str">
        <f t="shared" si="41"/>
        <v/>
      </c>
      <c r="DP33" s="55" t="str">
        <f t="shared" si="41"/>
        <v/>
      </c>
      <c r="DQ33" s="55" t="str">
        <f t="shared" si="42"/>
        <v/>
      </c>
      <c r="DR33" s="55" t="str">
        <f t="shared" si="42"/>
        <v/>
      </c>
      <c r="DS33" s="55" t="str">
        <f t="shared" si="42"/>
        <v/>
      </c>
      <c r="DT33" s="106" t="str">
        <f t="shared" si="42"/>
        <v/>
      </c>
      <c r="DU33" s="54"/>
      <c r="DV33" s="25"/>
      <c r="DW33" s="61" t="str">
        <f t="shared" ref="DW33:EL34" si="62">IF($B33=DW$12,$O33,"")</f>
        <v/>
      </c>
      <c r="DX33" s="50" t="str">
        <f t="shared" si="62"/>
        <v/>
      </c>
      <c r="DY33" s="50" t="str">
        <f t="shared" si="62"/>
        <v/>
      </c>
      <c r="DZ33" s="50" t="str">
        <f t="shared" si="62"/>
        <v/>
      </c>
      <c r="EA33" s="50" t="str">
        <f t="shared" si="62"/>
        <v/>
      </c>
      <c r="EB33" s="50" t="str">
        <f t="shared" si="62"/>
        <v/>
      </c>
      <c r="EC33" s="50" t="str">
        <f t="shared" si="62"/>
        <v/>
      </c>
      <c r="ED33" s="50" t="str">
        <f t="shared" si="62"/>
        <v/>
      </c>
      <c r="EE33" s="50" t="str">
        <f t="shared" si="62"/>
        <v/>
      </c>
      <c r="EF33" s="50" t="str">
        <f t="shared" si="62"/>
        <v/>
      </c>
      <c r="EG33" s="50" t="str">
        <f t="shared" si="62"/>
        <v/>
      </c>
      <c r="EH33" s="50" t="str">
        <f t="shared" si="62"/>
        <v/>
      </c>
      <c r="EI33" s="50" t="str">
        <f t="shared" si="62"/>
        <v/>
      </c>
      <c r="EJ33" s="50" t="str">
        <f t="shared" si="62"/>
        <v/>
      </c>
      <c r="EK33" s="50" t="str">
        <f t="shared" si="62"/>
        <v/>
      </c>
      <c r="EL33" s="50" t="str">
        <f t="shared" si="62"/>
        <v/>
      </c>
      <c r="EM33" s="50" t="str">
        <f t="shared" ref="EM33:FB34" si="63">IF($B33=EM$12,$O33,"")</f>
        <v/>
      </c>
      <c r="EN33" s="50" t="str">
        <f t="shared" si="63"/>
        <v/>
      </c>
      <c r="EO33" s="50" t="str">
        <f t="shared" si="63"/>
        <v/>
      </c>
      <c r="EP33" s="50" t="str">
        <f t="shared" si="63"/>
        <v/>
      </c>
      <c r="EQ33" s="50" t="str">
        <f t="shared" si="63"/>
        <v/>
      </c>
      <c r="ER33" s="50" t="str">
        <f t="shared" si="63"/>
        <v/>
      </c>
      <c r="ES33" s="50" t="str">
        <f t="shared" si="63"/>
        <v/>
      </c>
      <c r="ET33" s="50" t="str">
        <f t="shared" si="63"/>
        <v/>
      </c>
      <c r="EU33" s="50" t="str">
        <f t="shared" si="63"/>
        <v/>
      </c>
      <c r="EV33" s="50" t="str">
        <f t="shared" si="63"/>
        <v/>
      </c>
      <c r="EW33" s="50" t="str">
        <f t="shared" si="63"/>
        <v/>
      </c>
      <c r="EX33" s="50" t="str">
        <f t="shared" si="63"/>
        <v/>
      </c>
      <c r="EY33" s="50" t="str">
        <f t="shared" si="63"/>
        <v/>
      </c>
      <c r="EZ33" s="50" t="str">
        <f t="shared" si="63"/>
        <v/>
      </c>
      <c r="FA33" s="50" t="str">
        <f t="shared" si="63"/>
        <v/>
      </c>
      <c r="FB33" s="50" t="str">
        <f t="shared" si="63"/>
        <v/>
      </c>
      <c r="FC33" s="50" t="str">
        <f t="shared" ref="FC33:FV33" si="64">IF($B33=FC$12,$O33,"")</f>
        <v/>
      </c>
      <c r="FD33" s="50" t="str">
        <f t="shared" si="64"/>
        <v/>
      </c>
      <c r="FE33" s="50" t="str">
        <f t="shared" si="64"/>
        <v/>
      </c>
      <c r="FF33" s="50" t="str">
        <f t="shared" si="64"/>
        <v/>
      </c>
      <c r="FG33" s="50" t="str">
        <f t="shared" si="64"/>
        <v/>
      </c>
      <c r="FH33" s="50" t="str">
        <f t="shared" si="64"/>
        <v/>
      </c>
      <c r="FI33" s="50" t="str">
        <f t="shared" si="64"/>
        <v/>
      </c>
      <c r="FJ33" s="50" t="str">
        <f t="shared" si="64"/>
        <v/>
      </c>
      <c r="FK33" s="50" t="str">
        <f t="shared" si="64"/>
        <v/>
      </c>
      <c r="FL33" s="50" t="str">
        <f t="shared" si="64"/>
        <v/>
      </c>
      <c r="FM33" s="50" t="str">
        <f t="shared" si="64"/>
        <v/>
      </c>
      <c r="FN33" s="50" t="str">
        <f t="shared" si="64"/>
        <v/>
      </c>
      <c r="FO33" s="50" t="str">
        <f t="shared" si="64"/>
        <v/>
      </c>
      <c r="FP33" s="50" t="str">
        <f t="shared" si="64"/>
        <v/>
      </c>
      <c r="FQ33" s="50" t="str">
        <f t="shared" si="64"/>
        <v/>
      </c>
      <c r="FR33" s="50" t="str">
        <f t="shared" si="64"/>
        <v/>
      </c>
      <c r="FS33" s="50" t="str">
        <f t="shared" si="64"/>
        <v/>
      </c>
      <c r="FT33" s="50" t="str">
        <f t="shared" si="64"/>
        <v/>
      </c>
      <c r="FU33" s="50" t="str">
        <f t="shared" si="64"/>
        <v/>
      </c>
      <c r="FV33" s="50" t="str">
        <f t="shared" si="64"/>
        <v/>
      </c>
      <c r="FW33" s="50" t="str">
        <f t="shared" ref="FW33:GW33" si="65">IF($B33=FW$12,$O33,"")</f>
        <v/>
      </c>
      <c r="FX33" s="50" t="str">
        <f t="shared" si="65"/>
        <v/>
      </c>
      <c r="FY33" s="50" t="str">
        <f t="shared" si="65"/>
        <v/>
      </c>
      <c r="FZ33" s="50" t="str">
        <f t="shared" si="65"/>
        <v/>
      </c>
      <c r="GA33" s="50" t="str">
        <f t="shared" si="65"/>
        <v/>
      </c>
      <c r="GB33" s="50" t="str">
        <f t="shared" si="65"/>
        <v/>
      </c>
      <c r="GC33" s="50" t="str">
        <f t="shared" si="65"/>
        <v/>
      </c>
      <c r="GD33" s="50" t="str">
        <f t="shared" si="65"/>
        <v/>
      </c>
      <c r="GE33" s="50" t="str">
        <f t="shared" si="65"/>
        <v/>
      </c>
      <c r="GF33" s="50" t="str">
        <f t="shared" si="65"/>
        <v/>
      </c>
      <c r="GG33" s="50" t="str">
        <f t="shared" si="65"/>
        <v/>
      </c>
      <c r="GH33" s="50" t="str">
        <f t="shared" si="65"/>
        <v/>
      </c>
      <c r="GI33" s="50" t="str">
        <f t="shared" si="65"/>
        <v/>
      </c>
      <c r="GJ33" s="50" t="str">
        <f t="shared" si="65"/>
        <v/>
      </c>
      <c r="GK33" s="50" t="str">
        <f t="shared" si="65"/>
        <v/>
      </c>
      <c r="GL33" s="50" t="str">
        <f t="shared" si="65"/>
        <v/>
      </c>
      <c r="GM33" s="50" t="str">
        <f t="shared" si="65"/>
        <v/>
      </c>
      <c r="GN33" s="50" t="str">
        <f t="shared" si="65"/>
        <v/>
      </c>
      <c r="GO33" s="50" t="str">
        <f t="shared" si="65"/>
        <v/>
      </c>
      <c r="GP33" s="50" t="str">
        <f t="shared" si="65"/>
        <v/>
      </c>
      <c r="GQ33" s="50" t="str">
        <f t="shared" si="65"/>
        <v/>
      </c>
      <c r="GR33" s="50" t="str">
        <f t="shared" si="65"/>
        <v/>
      </c>
      <c r="GS33" s="50" t="str">
        <f t="shared" si="65"/>
        <v/>
      </c>
      <c r="GT33" s="50" t="str">
        <f t="shared" si="65"/>
        <v/>
      </c>
      <c r="GU33" s="50" t="str">
        <f t="shared" si="65"/>
        <v/>
      </c>
      <c r="GV33" s="50" t="str">
        <f t="shared" si="65"/>
        <v/>
      </c>
      <c r="GW33" s="50" t="str">
        <f t="shared" si="65"/>
        <v/>
      </c>
      <c r="GX33" s="50" t="str">
        <f t="shared" ref="GX33:HM34" si="66">IF($B33=GX$12,$O33,"")</f>
        <v/>
      </c>
      <c r="GY33" s="50" t="str">
        <f t="shared" si="66"/>
        <v/>
      </c>
      <c r="GZ33" s="50" t="str">
        <f t="shared" si="66"/>
        <v/>
      </c>
      <c r="HA33" s="50" t="str">
        <f t="shared" si="66"/>
        <v/>
      </c>
      <c r="HB33" s="50" t="str">
        <f t="shared" si="66"/>
        <v/>
      </c>
      <c r="HC33" s="50" t="str">
        <f t="shared" si="66"/>
        <v/>
      </c>
      <c r="HD33" s="50" t="str">
        <f t="shared" si="66"/>
        <v/>
      </c>
      <c r="HE33" s="50" t="str">
        <f t="shared" si="66"/>
        <v/>
      </c>
      <c r="HF33" s="50" t="str">
        <f t="shared" si="66"/>
        <v/>
      </c>
      <c r="HG33" s="50" t="str">
        <f t="shared" si="66"/>
        <v/>
      </c>
      <c r="HH33" s="50" t="str">
        <f t="shared" si="66"/>
        <v/>
      </c>
      <c r="HI33" s="50" t="str">
        <f t="shared" si="66"/>
        <v/>
      </c>
      <c r="HJ33" s="50" t="str">
        <f t="shared" si="66"/>
        <v/>
      </c>
      <c r="HK33" s="50" t="str">
        <f t="shared" si="66"/>
        <v/>
      </c>
      <c r="HL33" s="50" t="str">
        <f t="shared" si="66"/>
        <v/>
      </c>
      <c r="HM33" s="50" t="str">
        <f t="shared" si="66"/>
        <v/>
      </c>
      <c r="HN33" s="50" t="str">
        <f t="shared" si="46"/>
        <v/>
      </c>
      <c r="HO33" s="50" t="str">
        <f t="shared" si="46"/>
        <v/>
      </c>
      <c r="HP33" s="50" t="str">
        <f t="shared" si="46"/>
        <v/>
      </c>
      <c r="HQ33" s="50" t="str">
        <f t="shared" si="46"/>
        <v/>
      </c>
      <c r="HR33" s="112" t="str">
        <f t="shared" si="46"/>
        <v/>
      </c>
    </row>
    <row r="34" spans="1:226" ht="11.1" customHeight="1" x14ac:dyDescent="0.25">
      <c r="A34" s="26"/>
      <c r="B34" s="27"/>
      <c r="C34" s="28" t="str">
        <f>IF(A34=0,"",VLOOKUP(A34,[2]CO!$A$3:$F$5327,2,0))</f>
        <v/>
      </c>
      <c r="D34" s="29"/>
      <c r="E34" s="29"/>
      <c r="F34" s="29"/>
      <c r="G34" s="30" t="str">
        <f>IF(A34=0,"",VLOOKUP(A34,[2]CO!$A$3:$F$5327,3,0))</f>
        <v/>
      </c>
      <c r="H34" s="95"/>
      <c r="I34" s="31"/>
      <c r="J34" s="31"/>
      <c r="K34" s="31"/>
      <c r="L34" s="31"/>
      <c r="M34" s="32" t="str">
        <f t="shared" si="53"/>
        <v/>
      </c>
      <c r="N34" s="32" t="str">
        <f>IF(B34=0,"",IF(H34="M",HLOOKUP(B34,$Y$12:$DT$13,2),IF(A34=0,"",VLOOKUP(A34,[2]CO!$A$3:$F$5327,4,0))))</f>
        <v/>
      </c>
      <c r="O34" s="32" t="str">
        <f t="shared" si="54"/>
        <v/>
      </c>
      <c r="P34" s="33"/>
      <c r="Q34" s="34" t="str">
        <f t="shared" si="55"/>
        <v/>
      </c>
      <c r="R34" s="35" t="str">
        <f>IF(S34=0,"",IF(OR(G34="PEON",G34="OF",G34="JARD",G34="CARP",G34="MAESTRO",G34="SOLD",G34="BGRO",G34="CHOFER",G34="AYTE",G34="S.INTTE.",G34="ASEO",G34="P.PISOS",G34="VELADOR",G34="RESID",G34="PINTOR",G34="ELECT",G34="AZULE",G34="AUX CONT.",G34="SECRETARIA",G34="AUXILIAR ADMTVO.",G34="ARQUITECTO",G34="DIBUJANTE",G34="AUX. DE RESIDENTE",G34="TOPOGRAFIA"),VLOOKUP(B34,P$14:Q$56,2),"")*S34)</f>
        <v/>
      </c>
      <c r="T34" s="53" t="str">
        <f>IF(A34=0,"",VLOOKUP(A34,[2]CO!$A$3:$F$5318,5,0))</f>
        <v/>
      </c>
      <c r="U34" s="54">
        <f t="shared" si="56"/>
        <v>0</v>
      </c>
      <c r="V34" s="24"/>
      <c r="W34" s="25"/>
      <c r="X34" s="25"/>
      <c r="Y34" s="64" t="str">
        <f t="shared" si="57"/>
        <v/>
      </c>
      <c r="Z34" s="55" t="str">
        <f t="shared" si="57"/>
        <v/>
      </c>
      <c r="AA34" s="55" t="str">
        <f t="shared" si="57"/>
        <v/>
      </c>
      <c r="AB34" s="55" t="str">
        <f t="shared" si="57"/>
        <v/>
      </c>
      <c r="AC34" s="55" t="str">
        <f t="shared" si="57"/>
        <v/>
      </c>
      <c r="AD34" s="55" t="str">
        <f t="shared" si="57"/>
        <v/>
      </c>
      <c r="AE34" s="55" t="str">
        <f t="shared" si="57"/>
        <v/>
      </c>
      <c r="AF34" s="55" t="str">
        <f t="shared" si="57"/>
        <v/>
      </c>
      <c r="AG34" s="55" t="str">
        <f t="shared" si="57"/>
        <v/>
      </c>
      <c r="AH34" s="55" t="str">
        <f t="shared" si="57"/>
        <v/>
      </c>
      <c r="AI34" s="55" t="str">
        <f t="shared" si="57"/>
        <v/>
      </c>
      <c r="AJ34" s="55" t="str">
        <f t="shared" si="57"/>
        <v/>
      </c>
      <c r="AK34" s="55" t="str">
        <f t="shared" si="57"/>
        <v/>
      </c>
      <c r="AL34" s="55" t="str">
        <f t="shared" si="57"/>
        <v/>
      </c>
      <c r="AM34" s="55" t="str">
        <f t="shared" si="57"/>
        <v/>
      </c>
      <c r="AN34" s="55" t="str">
        <f t="shared" si="57"/>
        <v/>
      </c>
      <c r="AO34" s="55" t="str">
        <f t="shared" si="58"/>
        <v/>
      </c>
      <c r="AP34" s="55" t="str">
        <f t="shared" si="58"/>
        <v/>
      </c>
      <c r="AQ34" s="55" t="str">
        <f t="shared" si="58"/>
        <v/>
      </c>
      <c r="AR34" s="55" t="str">
        <f t="shared" si="58"/>
        <v/>
      </c>
      <c r="AS34" s="55" t="str">
        <f t="shared" si="58"/>
        <v/>
      </c>
      <c r="AT34" s="55" t="str">
        <f t="shared" si="58"/>
        <v/>
      </c>
      <c r="AU34" s="55" t="str">
        <f t="shared" si="58"/>
        <v/>
      </c>
      <c r="AV34" s="55" t="str">
        <f t="shared" si="58"/>
        <v/>
      </c>
      <c r="AW34" s="55" t="str">
        <f t="shared" si="58"/>
        <v/>
      </c>
      <c r="AX34" s="55" t="str">
        <f t="shared" si="58"/>
        <v/>
      </c>
      <c r="AY34" s="55" t="str">
        <f t="shared" si="58"/>
        <v/>
      </c>
      <c r="AZ34" s="55" t="str">
        <f t="shared" si="58"/>
        <v/>
      </c>
      <c r="BA34" s="55" t="str">
        <f t="shared" si="58"/>
        <v/>
      </c>
      <c r="BB34" s="55" t="str">
        <f t="shared" si="58"/>
        <v/>
      </c>
      <c r="BC34" s="55" t="str">
        <f t="shared" si="58"/>
        <v/>
      </c>
      <c r="BD34" s="55" t="str">
        <f t="shared" si="58"/>
        <v/>
      </c>
      <c r="BE34" s="55" t="str">
        <f t="shared" ref="BE34:CY34" si="67">IF($B34=BE$12,$U34,"")</f>
        <v/>
      </c>
      <c r="BF34" s="55" t="str">
        <f t="shared" si="67"/>
        <v/>
      </c>
      <c r="BG34" s="55" t="str">
        <f t="shared" si="67"/>
        <v/>
      </c>
      <c r="BH34" s="55" t="str">
        <f t="shared" si="67"/>
        <v/>
      </c>
      <c r="BI34" s="55" t="str">
        <f t="shared" si="67"/>
        <v/>
      </c>
      <c r="BJ34" s="55" t="str">
        <f t="shared" si="67"/>
        <v/>
      </c>
      <c r="BK34" s="55" t="str">
        <f t="shared" si="67"/>
        <v/>
      </c>
      <c r="BL34" s="55" t="str">
        <f t="shared" si="67"/>
        <v/>
      </c>
      <c r="BM34" s="55" t="str">
        <f t="shared" si="67"/>
        <v/>
      </c>
      <c r="BN34" s="55" t="str">
        <f t="shared" si="67"/>
        <v/>
      </c>
      <c r="BO34" s="55" t="str">
        <f t="shared" si="67"/>
        <v/>
      </c>
      <c r="BP34" s="55" t="str">
        <f t="shared" si="67"/>
        <v/>
      </c>
      <c r="BQ34" s="55" t="str">
        <f t="shared" si="67"/>
        <v/>
      </c>
      <c r="BR34" s="55" t="str">
        <f t="shared" si="67"/>
        <v/>
      </c>
      <c r="BS34" s="55" t="str">
        <f t="shared" si="67"/>
        <v/>
      </c>
      <c r="BT34" s="55" t="str">
        <f t="shared" si="67"/>
        <v/>
      </c>
      <c r="BU34" s="55" t="str">
        <f t="shared" si="67"/>
        <v/>
      </c>
      <c r="BV34" s="55" t="str">
        <f t="shared" si="67"/>
        <v/>
      </c>
      <c r="BW34" s="55" t="str">
        <f t="shared" si="67"/>
        <v/>
      </c>
      <c r="BX34" s="55" t="str">
        <f t="shared" si="67"/>
        <v/>
      </c>
      <c r="BY34" s="55" t="str">
        <f t="shared" si="67"/>
        <v/>
      </c>
      <c r="BZ34" s="55" t="str">
        <f t="shared" si="67"/>
        <v/>
      </c>
      <c r="CA34" s="55" t="str">
        <f t="shared" si="67"/>
        <v/>
      </c>
      <c r="CB34" s="55" t="str">
        <f t="shared" si="67"/>
        <v/>
      </c>
      <c r="CC34" s="55" t="str">
        <f t="shared" si="67"/>
        <v/>
      </c>
      <c r="CD34" s="55" t="str">
        <f t="shared" si="67"/>
        <v/>
      </c>
      <c r="CE34" s="55" t="str">
        <f t="shared" si="67"/>
        <v/>
      </c>
      <c r="CF34" s="55" t="str">
        <f t="shared" si="67"/>
        <v/>
      </c>
      <c r="CG34" s="55" t="str">
        <f t="shared" si="67"/>
        <v/>
      </c>
      <c r="CH34" s="55" t="str">
        <f t="shared" si="67"/>
        <v/>
      </c>
      <c r="CI34" s="55" t="str">
        <f t="shared" si="67"/>
        <v/>
      </c>
      <c r="CJ34" s="55" t="str">
        <f t="shared" si="67"/>
        <v/>
      </c>
      <c r="CK34" s="55" t="str">
        <f t="shared" si="67"/>
        <v/>
      </c>
      <c r="CL34" s="55" t="str">
        <f t="shared" si="67"/>
        <v/>
      </c>
      <c r="CM34" s="55" t="str">
        <f t="shared" si="67"/>
        <v/>
      </c>
      <c r="CN34" s="55" t="str">
        <f t="shared" si="67"/>
        <v/>
      </c>
      <c r="CO34" s="55" t="str">
        <f t="shared" si="67"/>
        <v/>
      </c>
      <c r="CP34" s="55" t="str">
        <f t="shared" si="67"/>
        <v/>
      </c>
      <c r="CQ34" s="55" t="str">
        <f t="shared" si="67"/>
        <v/>
      </c>
      <c r="CR34" s="55" t="str">
        <f t="shared" si="67"/>
        <v/>
      </c>
      <c r="CS34" s="55" t="str">
        <f t="shared" si="67"/>
        <v/>
      </c>
      <c r="CT34" s="55" t="str">
        <f t="shared" si="67"/>
        <v/>
      </c>
      <c r="CU34" s="55" t="str">
        <f t="shared" si="67"/>
        <v/>
      </c>
      <c r="CV34" s="55" t="str">
        <f t="shared" si="67"/>
        <v/>
      </c>
      <c r="CW34" s="55" t="str">
        <f t="shared" si="67"/>
        <v/>
      </c>
      <c r="CX34" s="55" t="str">
        <f t="shared" si="67"/>
        <v/>
      </c>
      <c r="CY34" s="55" t="str">
        <f t="shared" si="67"/>
        <v/>
      </c>
      <c r="CZ34" s="55" t="str">
        <f t="shared" si="61"/>
        <v/>
      </c>
      <c r="DA34" s="55" t="str">
        <f t="shared" si="61"/>
        <v/>
      </c>
      <c r="DB34" s="55" t="str">
        <f t="shared" si="61"/>
        <v/>
      </c>
      <c r="DC34" s="55" t="str">
        <f t="shared" si="61"/>
        <v/>
      </c>
      <c r="DD34" s="55" t="str">
        <f t="shared" si="61"/>
        <v/>
      </c>
      <c r="DE34" s="55" t="str">
        <f t="shared" si="61"/>
        <v/>
      </c>
      <c r="DF34" s="55" t="str">
        <f t="shared" si="61"/>
        <v/>
      </c>
      <c r="DG34" s="55" t="str">
        <f t="shared" si="61"/>
        <v/>
      </c>
      <c r="DH34" s="55" t="str">
        <f t="shared" si="61"/>
        <v/>
      </c>
      <c r="DI34" s="55" t="str">
        <f t="shared" si="61"/>
        <v/>
      </c>
      <c r="DJ34" s="55" t="str">
        <f t="shared" si="61"/>
        <v/>
      </c>
      <c r="DK34" s="55" t="str">
        <f t="shared" si="41"/>
        <v/>
      </c>
      <c r="DL34" s="55" t="str">
        <f t="shared" si="41"/>
        <v/>
      </c>
      <c r="DM34" s="55" t="str">
        <f t="shared" si="41"/>
        <v/>
      </c>
      <c r="DN34" s="55" t="str">
        <f t="shared" si="41"/>
        <v/>
      </c>
      <c r="DO34" s="55" t="str">
        <f t="shared" si="41"/>
        <v/>
      </c>
      <c r="DP34" s="55" t="str">
        <f t="shared" si="41"/>
        <v/>
      </c>
      <c r="DQ34" s="55" t="str">
        <f t="shared" si="42"/>
        <v/>
      </c>
      <c r="DR34" s="55" t="str">
        <f t="shared" si="42"/>
        <v/>
      </c>
      <c r="DS34" s="55" t="str">
        <f t="shared" si="42"/>
        <v/>
      </c>
      <c r="DT34" s="106" t="str">
        <f t="shared" si="42"/>
        <v/>
      </c>
      <c r="DU34" s="54"/>
      <c r="DV34" s="25"/>
      <c r="DW34" s="61" t="str">
        <f t="shared" si="62"/>
        <v/>
      </c>
      <c r="DX34" s="50" t="str">
        <f t="shared" si="62"/>
        <v/>
      </c>
      <c r="DY34" s="50" t="str">
        <f t="shared" si="62"/>
        <v/>
      </c>
      <c r="DZ34" s="50" t="str">
        <f t="shared" si="62"/>
        <v/>
      </c>
      <c r="EA34" s="50" t="str">
        <f t="shared" si="62"/>
        <v/>
      </c>
      <c r="EB34" s="50" t="str">
        <f t="shared" si="62"/>
        <v/>
      </c>
      <c r="EC34" s="50" t="str">
        <f t="shared" si="62"/>
        <v/>
      </c>
      <c r="ED34" s="50" t="str">
        <f t="shared" si="62"/>
        <v/>
      </c>
      <c r="EE34" s="50" t="str">
        <f t="shared" si="62"/>
        <v/>
      </c>
      <c r="EF34" s="50" t="str">
        <f t="shared" si="62"/>
        <v/>
      </c>
      <c r="EG34" s="50" t="str">
        <f t="shared" si="62"/>
        <v/>
      </c>
      <c r="EH34" s="50" t="str">
        <f t="shared" si="62"/>
        <v/>
      </c>
      <c r="EI34" s="50" t="str">
        <f t="shared" si="62"/>
        <v/>
      </c>
      <c r="EJ34" s="50" t="str">
        <f t="shared" si="62"/>
        <v/>
      </c>
      <c r="EK34" s="50" t="str">
        <f t="shared" si="62"/>
        <v/>
      </c>
      <c r="EL34" s="50" t="str">
        <f t="shared" si="62"/>
        <v/>
      </c>
      <c r="EM34" s="50" t="str">
        <f t="shared" si="63"/>
        <v/>
      </c>
      <c r="EN34" s="50" t="str">
        <f t="shared" si="63"/>
        <v/>
      </c>
      <c r="EO34" s="50" t="str">
        <f t="shared" si="63"/>
        <v/>
      </c>
      <c r="EP34" s="50" t="str">
        <f t="shared" si="63"/>
        <v/>
      </c>
      <c r="EQ34" s="50" t="str">
        <f t="shared" si="63"/>
        <v/>
      </c>
      <c r="ER34" s="50" t="str">
        <f t="shared" si="63"/>
        <v/>
      </c>
      <c r="ES34" s="50" t="str">
        <f t="shared" si="63"/>
        <v/>
      </c>
      <c r="ET34" s="50" t="str">
        <f t="shared" si="63"/>
        <v/>
      </c>
      <c r="EU34" s="50" t="str">
        <f t="shared" si="63"/>
        <v/>
      </c>
      <c r="EV34" s="50" t="str">
        <f t="shared" si="63"/>
        <v/>
      </c>
      <c r="EW34" s="50" t="str">
        <f t="shared" si="63"/>
        <v/>
      </c>
      <c r="EX34" s="50" t="str">
        <f t="shared" si="63"/>
        <v/>
      </c>
      <c r="EY34" s="50" t="str">
        <f t="shared" si="63"/>
        <v/>
      </c>
      <c r="EZ34" s="50" t="str">
        <f t="shared" si="63"/>
        <v/>
      </c>
      <c r="FA34" s="50" t="str">
        <f t="shared" si="63"/>
        <v/>
      </c>
      <c r="FB34" s="50" t="str">
        <f t="shared" si="63"/>
        <v/>
      </c>
      <c r="FC34" s="50" t="str">
        <f t="shared" ref="FC34:GW34" si="68">IF($B34=FC$12,$O34,"")</f>
        <v/>
      </c>
      <c r="FD34" s="50" t="str">
        <f t="shared" si="68"/>
        <v/>
      </c>
      <c r="FE34" s="50" t="str">
        <f t="shared" si="68"/>
        <v/>
      </c>
      <c r="FF34" s="50" t="str">
        <f t="shared" si="68"/>
        <v/>
      </c>
      <c r="FG34" s="50" t="str">
        <f t="shared" si="68"/>
        <v/>
      </c>
      <c r="FH34" s="50" t="str">
        <f t="shared" si="68"/>
        <v/>
      </c>
      <c r="FI34" s="50" t="str">
        <f t="shared" si="68"/>
        <v/>
      </c>
      <c r="FJ34" s="50" t="str">
        <f t="shared" si="68"/>
        <v/>
      </c>
      <c r="FK34" s="50" t="str">
        <f t="shared" si="68"/>
        <v/>
      </c>
      <c r="FL34" s="50" t="str">
        <f t="shared" si="68"/>
        <v/>
      </c>
      <c r="FM34" s="50" t="str">
        <f t="shared" si="68"/>
        <v/>
      </c>
      <c r="FN34" s="50" t="str">
        <f t="shared" si="68"/>
        <v/>
      </c>
      <c r="FO34" s="50" t="str">
        <f t="shared" si="68"/>
        <v/>
      </c>
      <c r="FP34" s="50" t="str">
        <f t="shared" si="68"/>
        <v/>
      </c>
      <c r="FQ34" s="50" t="str">
        <f t="shared" si="68"/>
        <v/>
      </c>
      <c r="FR34" s="50" t="str">
        <f t="shared" si="68"/>
        <v/>
      </c>
      <c r="FS34" s="50" t="str">
        <f t="shared" si="68"/>
        <v/>
      </c>
      <c r="FT34" s="50" t="str">
        <f t="shared" si="68"/>
        <v/>
      </c>
      <c r="FU34" s="50" t="str">
        <f t="shared" si="68"/>
        <v/>
      </c>
      <c r="FV34" s="50" t="str">
        <f t="shared" si="68"/>
        <v/>
      </c>
      <c r="FW34" s="50" t="str">
        <f t="shared" si="68"/>
        <v/>
      </c>
      <c r="FX34" s="50" t="str">
        <f t="shared" si="68"/>
        <v/>
      </c>
      <c r="FY34" s="50" t="str">
        <f t="shared" si="68"/>
        <v/>
      </c>
      <c r="FZ34" s="50" t="str">
        <f t="shared" si="68"/>
        <v/>
      </c>
      <c r="GA34" s="50" t="str">
        <f t="shared" si="68"/>
        <v/>
      </c>
      <c r="GB34" s="50" t="str">
        <f t="shared" si="68"/>
        <v/>
      </c>
      <c r="GC34" s="50" t="str">
        <f t="shared" si="68"/>
        <v/>
      </c>
      <c r="GD34" s="50" t="str">
        <f t="shared" si="68"/>
        <v/>
      </c>
      <c r="GE34" s="50" t="str">
        <f t="shared" si="68"/>
        <v/>
      </c>
      <c r="GF34" s="50" t="str">
        <f t="shared" si="68"/>
        <v/>
      </c>
      <c r="GG34" s="50" t="str">
        <f t="shared" si="68"/>
        <v/>
      </c>
      <c r="GH34" s="50" t="str">
        <f t="shared" si="68"/>
        <v/>
      </c>
      <c r="GI34" s="50" t="str">
        <f t="shared" si="68"/>
        <v/>
      </c>
      <c r="GJ34" s="50" t="str">
        <f t="shared" si="68"/>
        <v/>
      </c>
      <c r="GK34" s="50" t="str">
        <f t="shared" si="68"/>
        <v/>
      </c>
      <c r="GL34" s="50" t="str">
        <f t="shared" si="68"/>
        <v/>
      </c>
      <c r="GM34" s="50" t="str">
        <f t="shared" si="68"/>
        <v/>
      </c>
      <c r="GN34" s="50" t="str">
        <f t="shared" si="68"/>
        <v/>
      </c>
      <c r="GO34" s="50" t="str">
        <f t="shared" si="68"/>
        <v/>
      </c>
      <c r="GP34" s="50" t="str">
        <f t="shared" si="68"/>
        <v/>
      </c>
      <c r="GQ34" s="50" t="str">
        <f t="shared" si="68"/>
        <v/>
      </c>
      <c r="GR34" s="50" t="str">
        <f t="shared" si="68"/>
        <v/>
      </c>
      <c r="GS34" s="50" t="str">
        <f t="shared" si="68"/>
        <v/>
      </c>
      <c r="GT34" s="50" t="str">
        <f t="shared" si="68"/>
        <v/>
      </c>
      <c r="GU34" s="50" t="str">
        <f t="shared" si="68"/>
        <v/>
      </c>
      <c r="GV34" s="50" t="str">
        <f t="shared" si="68"/>
        <v/>
      </c>
      <c r="GW34" s="50" t="str">
        <f t="shared" si="68"/>
        <v/>
      </c>
      <c r="GX34" s="50" t="str">
        <f t="shared" si="66"/>
        <v/>
      </c>
      <c r="GY34" s="50" t="str">
        <f t="shared" si="66"/>
        <v/>
      </c>
      <c r="GZ34" s="50" t="str">
        <f t="shared" si="66"/>
        <v/>
      </c>
      <c r="HA34" s="50" t="str">
        <f t="shared" si="66"/>
        <v/>
      </c>
      <c r="HB34" s="50" t="str">
        <f t="shared" si="66"/>
        <v/>
      </c>
      <c r="HC34" s="50" t="str">
        <f t="shared" si="66"/>
        <v/>
      </c>
      <c r="HD34" s="50" t="str">
        <f t="shared" si="66"/>
        <v/>
      </c>
      <c r="HE34" s="50" t="str">
        <f t="shared" si="66"/>
        <v/>
      </c>
      <c r="HF34" s="50" t="str">
        <f t="shared" si="66"/>
        <v/>
      </c>
      <c r="HG34" s="50" t="str">
        <f t="shared" si="66"/>
        <v/>
      </c>
      <c r="HH34" s="50" t="str">
        <f t="shared" si="66"/>
        <v/>
      </c>
      <c r="HI34" s="50" t="str">
        <f t="shared" si="66"/>
        <v/>
      </c>
      <c r="HJ34" s="50" t="str">
        <f t="shared" si="66"/>
        <v/>
      </c>
      <c r="HK34" s="50" t="str">
        <f t="shared" si="66"/>
        <v/>
      </c>
      <c r="HL34" s="50" t="str">
        <f t="shared" si="66"/>
        <v/>
      </c>
      <c r="HM34" s="50" t="str">
        <f t="shared" ref="HM34" si="69">IF($B34=HM$12,$O34,"")</f>
        <v/>
      </c>
      <c r="HN34" s="50" t="str">
        <f t="shared" si="46"/>
        <v/>
      </c>
      <c r="HO34" s="50" t="str">
        <f t="shared" si="46"/>
        <v/>
      </c>
      <c r="HP34" s="50" t="str">
        <f t="shared" si="46"/>
        <v/>
      </c>
      <c r="HQ34" s="50" t="str">
        <f t="shared" si="46"/>
        <v/>
      </c>
      <c r="HR34" s="112" t="str">
        <f t="shared" si="46"/>
        <v/>
      </c>
    </row>
    <row r="35" spans="1:226" ht="11.1" customHeight="1" x14ac:dyDescent="0.25">
      <c r="A35" s="26"/>
      <c r="B35" s="27"/>
      <c r="C35" s="28" t="str">
        <f>IF(A35=0,"",VLOOKUP(A35,[2]CO!$A$3:$F$5327,2,0))</f>
        <v/>
      </c>
      <c r="D35" s="29"/>
      <c r="E35" s="29"/>
      <c r="F35" s="29"/>
      <c r="G35" s="30" t="str">
        <f>IF(A35=0,"",VLOOKUP(A35,[2]CO!$A$3:$F$5327,3,0))</f>
        <v/>
      </c>
      <c r="H35" s="95"/>
      <c r="I35" s="31"/>
      <c r="J35" s="31"/>
      <c r="K35" s="31"/>
      <c r="L35" s="31"/>
      <c r="M35" s="32" t="str">
        <f t="shared" si="53"/>
        <v/>
      </c>
      <c r="N35" s="32" t="str">
        <f>IF(B35=0,"",IF(H35="M",HLOOKUP(B35,$Y$12:$DT$13,2),IF(A35=0,"",VLOOKUP(A35,[2]CO!$A$3:$F$5327,4,0))))</f>
        <v/>
      </c>
      <c r="O35" s="32" t="str">
        <f t="shared" si="54"/>
        <v/>
      </c>
      <c r="P35" s="33"/>
      <c r="Q35" s="34" t="str">
        <f t="shared" si="55"/>
        <v/>
      </c>
      <c r="R35" s="35" t="str">
        <f>IF(S35=0,"",IF(OR(G35="PEON",G35="OF",G35="JARD",G35="CARP",G35="MAESTRO",G35="SOLD",G35="BGRO",G35="CHOFER",G35="AYTE",G35="S.INTTE.",G35="ASEO",G35="P.PISOS",G35="VELADOR",G35="RESID",G35="PINTOR",G35="ELECT",G35="AZULE",G35="AUX CONT.",G35="SECRETARIA",G35="AUXILIAR ADMTVO.",G35="ARQUITECTO",G35="DIBUJANTE",G35="AUX. DE RESIDENTE",G35="TOPOGRAFIA"),VLOOKUP(B35,P$14:Q$56,2),"")*S35)</f>
        <v/>
      </c>
      <c r="T35" s="53" t="str">
        <f>IF(A35=0,"",VLOOKUP(A35,[2]CO!$A$3:$F$5318,5,0))</f>
        <v/>
      </c>
      <c r="U35" s="54">
        <f t="shared" si="56"/>
        <v>0</v>
      </c>
      <c r="V35" s="24"/>
      <c r="W35" s="25"/>
      <c r="X35" s="25"/>
      <c r="Y35" s="64" t="str">
        <f t="shared" si="39"/>
        <v/>
      </c>
      <c r="Z35" s="55" t="str">
        <f t="shared" si="39"/>
        <v/>
      </c>
      <c r="AA35" s="55" t="str">
        <f t="shared" si="39"/>
        <v/>
      </c>
      <c r="AB35" s="55" t="str">
        <f t="shared" si="39"/>
        <v/>
      </c>
      <c r="AC35" s="55" t="str">
        <f t="shared" si="39"/>
        <v/>
      </c>
      <c r="AD35" s="55" t="str">
        <f t="shared" si="39"/>
        <v/>
      </c>
      <c r="AE35" s="55" t="str">
        <f t="shared" si="39"/>
        <v/>
      </c>
      <c r="AF35" s="55" t="str">
        <f t="shared" si="39"/>
        <v/>
      </c>
      <c r="AG35" s="55" t="str">
        <f t="shared" si="39"/>
        <v/>
      </c>
      <c r="AH35" s="55" t="str">
        <f t="shared" si="39"/>
        <v/>
      </c>
      <c r="AI35" s="55" t="str">
        <f t="shared" si="39"/>
        <v/>
      </c>
      <c r="AJ35" s="55" t="str">
        <f t="shared" si="39"/>
        <v/>
      </c>
      <c r="AK35" s="55" t="str">
        <f t="shared" si="39"/>
        <v/>
      </c>
      <c r="AL35" s="55" t="str">
        <f t="shared" si="39"/>
        <v/>
      </c>
      <c r="AM35" s="55" t="str">
        <f t="shared" si="39"/>
        <v/>
      </c>
      <c r="AN35" s="55" t="str">
        <f t="shared" si="39"/>
        <v/>
      </c>
      <c r="AO35" s="55" t="str">
        <f t="shared" si="49"/>
        <v/>
      </c>
      <c r="AP35" s="55" t="str">
        <f t="shared" si="49"/>
        <v/>
      </c>
      <c r="AQ35" s="55" t="str">
        <f t="shared" si="49"/>
        <v/>
      </c>
      <c r="AR35" s="55" t="str">
        <f t="shared" si="49"/>
        <v/>
      </c>
      <c r="AS35" s="55" t="str">
        <f t="shared" si="49"/>
        <v/>
      </c>
      <c r="AT35" s="55" t="str">
        <f t="shared" si="49"/>
        <v/>
      </c>
      <c r="AU35" s="55" t="str">
        <f t="shared" si="49"/>
        <v/>
      </c>
      <c r="AV35" s="55" t="str">
        <f t="shared" si="49"/>
        <v/>
      </c>
      <c r="AW35" s="55" t="str">
        <f t="shared" si="49"/>
        <v/>
      </c>
      <c r="AX35" s="55" t="str">
        <f t="shared" si="49"/>
        <v/>
      </c>
      <c r="AY35" s="55" t="str">
        <f t="shared" si="49"/>
        <v/>
      </c>
      <c r="AZ35" s="55" t="str">
        <f t="shared" si="49"/>
        <v/>
      </c>
      <c r="BA35" s="55" t="str">
        <f t="shared" si="49"/>
        <v/>
      </c>
      <c r="BB35" s="55" t="str">
        <f t="shared" si="49"/>
        <v/>
      </c>
      <c r="BC35" s="55" t="str">
        <f t="shared" si="49"/>
        <v/>
      </c>
      <c r="BD35" s="55" t="str">
        <f t="shared" si="49"/>
        <v/>
      </c>
      <c r="BE35" s="55" t="str">
        <f t="shared" si="50"/>
        <v/>
      </c>
      <c r="BF35" s="55" t="str">
        <f t="shared" si="50"/>
        <v/>
      </c>
      <c r="BG35" s="55" t="str">
        <f t="shared" si="50"/>
        <v/>
      </c>
      <c r="BH35" s="55" t="str">
        <f t="shared" si="50"/>
        <v/>
      </c>
      <c r="BI35" s="55" t="str">
        <f t="shared" si="50"/>
        <v/>
      </c>
      <c r="BJ35" s="55" t="str">
        <f t="shared" si="50"/>
        <v/>
      </c>
      <c r="BK35" s="55" t="str">
        <f t="shared" si="50"/>
        <v/>
      </c>
      <c r="BL35" s="55" t="str">
        <f t="shared" si="50"/>
        <v/>
      </c>
      <c r="BM35" s="55" t="str">
        <f t="shared" si="50"/>
        <v/>
      </c>
      <c r="BN35" s="55" t="str">
        <f t="shared" si="50"/>
        <v/>
      </c>
      <c r="BO35" s="55" t="str">
        <f t="shared" si="50"/>
        <v/>
      </c>
      <c r="BP35" s="55" t="str">
        <f t="shared" si="50"/>
        <v/>
      </c>
      <c r="BQ35" s="55" t="str">
        <f t="shared" si="50"/>
        <v/>
      </c>
      <c r="BR35" s="55" t="str">
        <f t="shared" si="50"/>
        <v/>
      </c>
      <c r="BS35" s="55" t="str">
        <f t="shared" si="50"/>
        <v/>
      </c>
      <c r="BT35" s="55" t="str">
        <f t="shared" si="50"/>
        <v/>
      </c>
      <c r="BU35" s="55" t="str">
        <f t="shared" si="50"/>
        <v/>
      </c>
      <c r="BV35" s="55" t="str">
        <f t="shared" si="50"/>
        <v/>
      </c>
      <c r="BW35" s="55" t="str">
        <f t="shared" si="50"/>
        <v/>
      </c>
      <c r="BX35" s="55" t="str">
        <f t="shared" si="50"/>
        <v/>
      </c>
      <c r="BY35" s="55" t="str">
        <f t="shared" si="50"/>
        <v/>
      </c>
      <c r="BZ35" s="55" t="str">
        <f t="shared" si="50"/>
        <v/>
      </c>
      <c r="CA35" s="55" t="str">
        <f t="shared" si="50"/>
        <v/>
      </c>
      <c r="CB35" s="55" t="str">
        <f t="shared" si="50"/>
        <v/>
      </c>
      <c r="CC35" s="55" t="str">
        <f t="shared" si="50"/>
        <v/>
      </c>
      <c r="CD35" s="55" t="str">
        <f t="shared" si="50"/>
        <v/>
      </c>
      <c r="CE35" s="55" t="str">
        <f t="shared" si="50"/>
        <v/>
      </c>
      <c r="CF35" s="55" t="str">
        <f t="shared" si="50"/>
        <v/>
      </c>
      <c r="CG35" s="55" t="str">
        <f t="shared" si="50"/>
        <v/>
      </c>
      <c r="CH35" s="55" t="str">
        <f t="shared" si="50"/>
        <v/>
      </c>
      <c r="CI35" s="55" t="str">
        <f t="shared" si="50"/>
        <v/>
      </c>
      <c r="CJ35" s="55" t="str">
        <f t="shared" si="50"/>
        <v/>
      </c>
      <c r="CK35" s="55" t="str">
        <f t="shared" si="50"/>
        <v/>
      </c>
      <c r="CL35" s="55" t="str">
        <f t="shared" si="50"/>
        <v/>
      </c>
      <c r="CM35" s="55" t="str">
        <f t="shared" si="50"/>
        <v/>
      </c>
      <c r="CN35" s="55" t="str">
        <f t="shared" si="50"/>
        <v/>
      </c>
      <c r="CO35" s="55" t="str">
        <f t="shared" si="50"/>
        <v/>
      </c>
      <c r="CP35" s="55" t="str">
        <f t="shared" si="50"/>
        <v/>
      </c>
      <c r="CQ35" s="55" t="str">
        <f t="shared" si="50"/>
        <v/>
      </c>
      <c r="CR35" s="55" t="str">
        <f t="shared" si="50"/>
        <v/>
      </c>
      <c r="CS35" s="55" t="str">
        <f t="shared" si="50"/>
        <v/>
      </c>
      <c r="CT35" s="55" t="str">
        <f t="shared" si="50"/>
        <v/>
      </c>
      <c r="CU35" s="55" t="str">
        <f t="shared" si="50"/>
        <v/>
      </c>
      <c r="CV35" s="55" t="str">
        <f t="shared" si="50"/>
        <v/>
      </c>
      <c r="CW35" s="55" t="str">
        <f t="shared" si="50"/>
        <v/>
      </c>
      <c r="CX35" s="55" t="str">
        <f t="shared" si="50"/>
        <v/>
      </c>
      <c r="CY35" s="55" t="str">
        <f t="shared" si="50"/>
        <v/>
      </c>
      <c r="CZ35" s="55" t="str">
        <f t="shared" si="47"/>
        <v/>
      </c>
      <c r="DA35" s="55" t="str">
        <f t="shared" si="47"/>
        <v/>
      </c>
      <c r="DB35" s="55" t="str">
        <f t="shared" si="47"/>
        <v/>
      </c>
      <c r="DC35" s="55" t="str">
        <f t="shared" si="47"/>
        <v/>
      </c>
      <c r="DD35" s="55" t="str">
        <f t="shared" si="47"/>
        <v/>
      </c>
      <c r="DE35" s="55" t="str">
        <f t="shared" si="47"/>
        <v/>
      </c>
      <c r="DF35" s="55" t="str">
        <f t="shared" si="47"/>
        <v/>
      </c>
      <c r="DG35" s="55" t="str">
        <f t="shared" si="47"/>
        <v/>
      </c>
      <c r="DH35" s="55" t="str">
        <f t="shared" si="47"/>
        <v/>
      </c>
      <c r="DI35" s="55" t="str">
        <f t="shared" si="47"/>
        <v/>
      </c>
      <c r="DJ35" s="55" t="str">
        <f t="shared" si="47"/>
        <v/>
      </c>
      <c r="DK35" s="55" t="str">
        <f t="shared" si="41"/>
        <v/>
      </c>
      <c r="DL35" s="55" t="str">
        <f t="shared" si="41"/>
        <v/>
      </c>
      <c r="DM35" s="55" t="str">
        <f t="shared" si="41"/>
        <v/>
      </c>
      <c r="DN35" s="55" t="str">
        <f t="shared" si="41"/>
        <v/>
      </c>
      <c r="DO35" s="55" t="str">
        <f t="shared" si="41"/>
        <v/>
      </c>
      <c r="DP35" s="55" t="str">
        <f t="shared" si="41"/>
        <v/>
      </c>
      <c r="DQ35" s="55" t="str">
        <f t="shared" si="42"/>
        <v/>
      </c>
      <c r="DR35" s="55" t="str">
        <f t="shared" si="42"/>
        <v/>
      </c>
      <c r="DS35" s="55" t="str">
        <f t="shared" si="42"/>
        <v/>
      </c>
      <c r="DT35" s="106" t="str">
        <f t="shared" si="42"/>
        <v/>
      </c>
      <c r="DU35" s="54"/>
      <c r="DV35" s="25"/>
      <c r="DW35" s="61" t="str">
        <f t="shared" si="43"/>
        <v/>
      </c>
      <c r="DX35" s="50" t="str">
        <f t="shared" si="43"/>
        <v/>
      </c>
      <c r="DY35" s="50" t="str">
        <f t="shared" si="43"/>
        <v/>
      </c>
      <c r="DZ35" s="50" t="str">
        <f t="shared" si="43"/>
        <v/>
      </c>
      <c r="EA35" s="50" t="str">
        <f t="shared" si="43"/>
        <v/>
      </c>
      <c r="EB35" s="50" t="str">
        <f t="shared" si="43"/>
        <v/>
      </c>
      <c r="EC35" s="50" t="str">
        <f t="shared" si="43"/>
        <v/>
      </c>
      <c r="ED35" s="50" t="str">
        <f t="shared" si="43"/>
        <v/>
      </c>
      <c r="EE35" s="50" t="str">
        <f t="shared" si="43"/>
        <v/>
      </c>
      <c r="EF35" s="50" t="str">
        <f t="shared" si="43"/>
        <v/>
      </c>
      <c r="EG35" s="50" t="str">
        <f t="shared" si="43"/>
        <v/>
      </c>
      <c r="EH35" s="50" t="str">
        <f t="shared" si="43"/>
        <v/>
      </c>
      <c r="EI35" s="50" t="str">
        <f t="shared" si="43"/>
        <v/>
      </c>
      <c r="EJ35" s="50" t="str">
        <f t="shared" si="43"/>
        <v/>
      </c>
      <c r="EK35" s="50" t="str">
        <f t="shared" si="43"/>
        <v/>
      </c>
      <c r="EL35" s="50" t="str">
        <f t="shared" si="43"/>
        <v/>
      </c>
      <c r="EM35" s="50" t="str">
        <f t="shared" si="51"/>
        <v/>
      </c>
      <c r="EN35" s="50" t="str">
        <f t="shared" si="51"/>
        <v/>
      </c>
      <c r="EO35" s="50" t="str">
        <f t="shared" si="51"/>
        <v/>
      </c>
      <c r="EP35" s="50" t="str">
        <f t="shared" si="51"/>
        <v/>
      </c>
      <c r="EQ35" s="50" t="str">
        <f t="shared" si="51"/>
        <v/>
      </c>
      <c r="ER35" s="50" t="str">
        <f t="shared" si="51"/>
        <v/>
      </c>
      <c r="ES35" s="50" t="str">
        <f t="shared" si="51"/>
        <v/>
      </c>
      <c r="ET35" s="50" t="str">
        <f t="shared" si="51"/>
        <v/>
      </c>
      <c r="EU35" s="50" t="str">
        <f t="shared" si="51"/>
        <v/>
      </c>
      <c r="EV35" s="50" t="str">
        <f t="shared" si="51"/>
        <v/>
      </c>
      <c r="EW35" s="50" t="str">
        <f t="shared" si="51"/>
        <v/>
      </c>
      <c r="EX35" s="50" t="str">
        <f t="shared" si="51"/>
        <v/>
      </c>
      <c r="EY35" s="50" t="str">
        <f t="shared" si="51"/>
        <v/>
      </c>
      <c r="EZ35" s="50" t="str">
        <f t="shared" si="51"/>
        <v/>
      </c>
      <c r="FA35" s="50" t="str">
        <f t="shared" si="51"/>
        <v/>
      </c>
      <c r="FB35" s="50" t="str">
        <f t="shared" si="51"/>
        <v/>
      </c>
      <c r="FC35" s="50" t="str">
        <f t="shared" si="52"/>
        <v/>
      </c>
      <c r="FD35" s="50" t="str">
        <f t="shared" si="52"/>
        <v/>
      </c>
      <c r="FE35" s="50" t="str">
        <f t="shared" si="52"/>
        <v/>
      </c>
      <c r="FF35" s="50" t="str">
        <f t="shared" si="52"/>
        <v/>
      </c>
      <c r="FG35" s="50" t="str">
        <f t="shared" si="52"/>
        <v/>
      </c>
      <c r="FH35" s="50" t="str">
        <f t="shared" si="52"/>
        <v/>
      </c>
      <c r="FI35" s="50" t="str">
        <f t="shared" si="52"/>
        <v/>
      </c>
      <c r="FJ35" s="50" t="str">
        <f t="shared" si="52"/>
        <v/>
      </c>
      <c r="FK35" s="50" t="str">
        <f t="shared" si="52"/>
        <v/>
      </c>
      <c r="FL35" s="50" t="str">
        <f t="shared" si="52"/>
        <v/>
      </c>
      <c r="FM35" s="50" t="str">
        <f t="shared" si="52"/>
        <v/>
      </c>
      <c r="FN35" s="50" t="str">
        <f t="shared" si="52"/>
        <v/>
      </c>
      <c r="FO35" s="50" t="str">
        <f t="shared" si="52"/>
        <v/>
      </c>
      <c r="FP35" s="50" t="str">
        <f t="shared" si="52"/>
        <v/>
      </c>
      <c r="FQ35" s="50" t="str">
        <f t="shared" si="52"/>
        <v/>
      </c>
      <c r="FR35" s="50" t="str">
        <f t="shared" si="52"/>
        <v/>
      </c>
      <c r="FS35" s="50" t="str">
        <f t="shared" si="52"/>
        <v/>
      </c>
      <c r="FT35" s="50" t="str">
        <f t="shared" si="52"/>
        <v/>
      </c>
      <c r="FU35" s="50" t="str">
        <f t="shared" si="52"/>
        <v/>
      </c>
      <c r="FV35" s="50" t="str">
        <f t="shared" si="52"/>
        <v/>
      </c>
      <c r="FW35" s="50" t="str">
        <f t="shared" si="52"/>
        <v/>
      </c>
      <c r="FX35" s="50" t="str">
        <f t="shared" si="52"/>
        <v/>
      </c>
      <c r="FY35" s="50" t="str">
        <f t="shared" si="52"/>
        <v/>
      </c>
      <c r="FZ35" s="50" t="str">
        <f t="shared" si="52"/>
        <v/>
      </c>
      <c r="GA35" s="50" t="str">
        <f t="shared" si="52"/>
        <v/>
      </c>
      <c r="GB35" s="50" t="str">
        <f t="shared" si="52"/>
        <v/>
      </c>
      <c r="GC35" s="50" t="str">
        <f t="shared" si="52"/>
        <v/>
      </c>
      <c r="GD35" s="50" t="str">
        <f t="shared" si="52"/>
        <v/>
      </c>
      <c r="GE35" s="50" t="str">
        <f t="shared" si="52"/>
        <v/>
      </c>
      <c r="GF35" s="50" t="str">
        <f t="shared" si="52"/>
        <v/>
      </c>
      <c r="GG35" s="50" t="str">
        <f t="shared" si="52"/>
        <v/>
      </c>
      <c r="GH35" s="50" t="str">
        <f t="shared" si="52"/>
        <v/>
      </c>
      <c r="GI35" s="50" t="str">
        <f t="shared" si="52"/>
        <v/>
      </c>
      <c r="GJ35" s="50" t="str">
        <f t="shared" si="52"/>
        <v/>
      </c>
      <c r="GK35" s="50" t="str">
        <f t="shared" si="52"/>
        <v/>
      </c>
      <c r="GL35" s="50" t="str">
        <f t="shared" si="52"/>
        <v/>
      </c>
      <c r="GM35" s="50" t="str">
        <f t="shared" si="52"/>
        <v/>
      </c>
      <c r="GN35" s="50" t="str">
        <f t="shared" si="52"/>
        <v/>
      </c>
      <c r="GO35" s="50" t="str">
        <f t="shared" si="52"/>
        <v/>
      </c>
      <c r="GP35" s="50" t="str">
        <f t="shared" si="52"/>
        <v/>
      </c>
      <c r="GQ35" s="50" t="str">
        <f t="shared" si="52"/>
        <v/>
      </c>
      <c r="GR35" s="50" t="str">
        <f t="shared" si="52"/>
        <v/>
      </c>
      <c r="GS35" s="50" t="str">
        <f t="shared" si="52"/>
        <v/>
      </c>
      <c r="GT35" s="50" t="str">
        <f t="shared" si="52"/>
        <v/>
      </c>
      <c r="GU35" s="50" t="str">
        <f t="shared" si="52"/>
        <v/>
      </c>
      <c r="GV35" s="50" t="str">
        <f t="shared" si="52"/>
        <v/>
      </c>
      <c r="GW35" s="50" t="str">
        <f t="shared" si="52"/>
        <v/>
      </c>
      <c r="GX35" s="50" t="str">
        <f t="shared" si="48"/>
        <v/>
      </c>
      <c r="GY35" s="50" t="str">
        <f t="shared" si="48"/>
        <v/>
      </c>
      <c r="GZ35" s="50" t="str">
        <f t="shared" si="48"/>
        <v/>
      </c>
      <c r="HA35" s="50" t="str">
        <f t="shared" si="48"/>
        <v/>
      </c>
      <c r="HB35" s="50" t="str">
        <f t="shared" si="48"/>
        <v/>
      </c>
      <c r="HC35" s="50" t="str">
        <f t="shared" si="48"/>
        <v/>
      </c>
      <c r="HD35" s="50" t="str">
        <f t="shared" si="48"/>
        <v/>
      </c>
      <c r="HE35" s="50" t="str">
        <f t="shared" si="48"/>
        <v/>
      </c>
      <c r="HF35" s="50" t="str">
        <f t="shared" si="48"/>
        <v/>
      </c>
      <c r="HG35" s="50" t="str">
        <f t="shared" si="48"/>
        <v/>
      </c>
      <c r="HH35" s="50" t="str">
        <f t="shared" si="48"/>
        <v/>
      </c>
      <c r="HI35" s="50" t="str">
        <f t="shared" si="48"/>
        <v/>
      </c>
      <c r="HJ35" s="50" t="str">
        <f t="shared" si="48"/>
        <v/>
      </c>
      <c r="HK35" s="50" t="str">
        <f t="shared" si="48"/>
        <v/>
      </c>
      <c r="HL35" s="50" t="str">
        <f t="shared" si="48"/>
        <v/>
      </c>
      <c r="HM35" s="50" t="str">
        <f t="shared" si="48"/>
        <v/>
      </c>
      <c r="HN35" s="50" t="str">
        <f t="shared" si="46"/>
        <v/>
      </c>
      <c r="HO35" s="50" t="str">
        <f t="shared" si="46"/>
        <v/>
      </c>
      <c r="HP35" s="50" t="str">
        <f t="shared" si="46"/>
        <v/>
      </c>
      <c r="HQ35" s="50" t="str">
        <f t="shared" si="46"/>
        <v/>
      </c>
      <c r="HR35" s="112" t="str">
        <f t="shared" si="46"/>
        <v/>
      </c>
    </row>
    <row r="36" spans="1:226" ht="11.1" customHeight="1" x14ac:dyDescent="0.25">
      <c r="A36" s="26"/>
      <c r="B36" s="27"/>
      <c r="C36" s="28" t="str">
        <f>IF(A36=0,"",VLOOKUP(A36,[2]CO!$A$3:$F$5327,2,0))</f>
        <v/>
      </c>
      <c r="D36" s="29"/>
      <c r="E36" s="29"/>
      <c r="F36" s="29"/>
      <c r="G36" s="30" t="str">
        <f>IF(A36=0,"",VLOOKUP(A36,[2]CO!$A$3:$F$5327,3,0))</f>
        <v/>
      </c>
      <c r="H36" s="95"/>
      <c r="I36" s="31"/>
      <c r="J36" s="31"/>
      <c r="K36" s="31"/>
      <c r="L36" s="31"/>
      <c r="M36" s="32" t="str">
        <f t="shared" si="36"/>
        <v/>
      </c>
      <c r="N36" s="32" t="str">
        <f>IF(B36=0,"",IF(H36="M",HLOOKUP(B36,$Y$12:$DT$13,2),IF(A36=0,"",VLOOKUP(A36,[2]CO!$A$3:$F$5327,4,0))))</f>
        <v/>
      </c>
      <c r="O36" s="32" t="str">
        <f t="shared" si="7"/>
        <v/>
      </c>
      <c r="P36" s="33"/>
      <c r="Q36" s="34" t="str">
        <f t="shared" si="37"/>
        <v/>
      </c>
      <c r="R36" s="35" t="str">
        <f>IF(S36=0,"",IF(OR(G36="PEON",G36="OF",G36="JARD",G36="CARP",G36="MAESTRO",G36="SOLD",G36="BGRO",G36="CHOFER",G36="AYTE",G36="S.INTTE.",G36="ASEO",G36="P.PISOS",G36="VELADOR",G36="RESID",G36="PINTOR",G36="ELECT",G36="AZULE",G36="AUX CONT.",G36="SECRETARIA",G36="AUXILIAR ADMTVO.",G36="ARQUITECTO",G36="DIBUJANTE",G36="AUX. DE RESIDENTE",G36="TOPOGRAFIA"),VLOOKUP(B36,P$14:Q$56,2),"")*S36)</f>
        <v/>
      </c>
      <c r="T36" s="53" t="str">
        <f>IF(A36=0,"",VLOOKUP(A36,[2]CO!$A$3:$F$5318,5,0))</f>
        <v/>
      </c>
      <c r="U36" s="54">
        <f t="shared" si="38"/>
        <v>0</v>
      </c>
      <c r="V36" s="24"/>
      <c r="W36" s="25"/>
      <c r="X36" s="25"/>
      <c r="Y36" s="64" t="str">
        <f t="shared" si="39"/>
        <v/>
      </c>
      <c r="Z36" s="55" t="str">
        <f t="shared" si="39"/>
        <v/>
      </c>
      <c r="AA36" s="55" t="str">
        <f t="shared" si="39"/>
        <v/>
      </c>
      <c r="AB36" s="55" t="str">
        <f t="shared" si="39"/>
        <v/>
      </c>
      <c r="AC36" s="55" t="str">
        <f t="shared" si="39"/>
        <v/>
      </c>
      <c r="AD36" s="55" t="str">
        <f t="shared" si="39"/>
        <v/>
      </c>
      <c r="AE36" s="55" t="str">
        <f t="shared" si="39"/>
        <v/>
      </c>
      <c r="AF36" s="55" t="str">
        <f t="shared" si="39"/>
        <v/>
      </c>
      <c r="AG36" s="55" t="str">
        <f t="shared" si="39"/>
        <v/>
      </c>
      <c r="AH36" s="55" t="str">
        <f t="shared" si="39"/>
        <v/>
      </c>
      <c r="AI36" s="55" t="str">
        <f t="shared" si="39"/>
        <v/>
      </c>
      <c r="AJ36" s="55" t="str">
        <f t="shared" si="39"/>
        <v/>
      </c>
      <c r="AK36" s="55" t="str">
        <f t="shared" si="39"/>
        <v/>
      </c>
      <c r="AL36" s="55" t="str">
        <f t="shared" si="39"/>
        <v/>
      </c>
      <c r="AM36" s="55" t="str">
        <f t="shared" si="39"/>
        <v/>
      </c>
      <c r="AN36" s="55" t="str">
        <f t="shared" si="39"/>
        <v/>
      </c>
      <c r="AO36" s="55" t="str">
        <f t="shared" si="49"/>
        <v/>
      </c>
      <c r="AP36" s="55" t="str">
        <f t="shared" si="49"/>
        <v/>
      </c>
      <c r="AQ36" s="55" t="str">
        <f t="shared" si="49"/>
        <v/>
      </c>
      <c r="AR36" s="55" t="str">
        <f t="shared" si="49"/>
        <v/>
      </c>
      <c r="AS36" s="55" t="str">
        <f t="shared" si="49"/>
        <v/>
      </c>
      <c r="AT36" s="55" t="str">
        <f t="shared" si="49"/>
        <v/>
      </c>
      <c r="AU36" s="55" t="str">
        <f t="shared" si="49"/>
        <v/>
      </c>
      <c r="AV36" s="55" t="str">
        <f t="shared" si="49"/>
        <v/>
      </c>
      <c r="AW36" s="55" t="str">
        <f t="shared" si="49"/>
        <v/>
      </c>
      <c r="AX36" s="55" t="str">
        <f t="shared" si="49"/>
        <v/>
      </c>
      <c r="AY36" s="55" t="str">
        <f t="shared" si="49"/>
        <v/>
      </c>
      <c r="AZ36" s="55" t="str">
        <f t="shared" si="49"/>
        <v/>
      </c>
      <c r="BA36" s="55" t="str">
        <f t="shared" si="49"/>
        <v/>
      </c>
      <c r="BB36" s="55" t="str">
        <f t="shared" si="49"/>
        <v/>
      </c>
      <c r="BC36" s="55" t="str">
        <f t="shared" si="49"/>
        <v/>
      </c>
      <c r="BD36" s="55" t="str">
        <f t="shared" si="49"/>
        <v/>
      </c>
      <c r="BE36" s="55" t="str">
        <f t="shared" si="50"/>
        <v/>
      </c>
      <c r="BF36" s="55" t="str">
        <f t="shared" si="50"/>
        <v/>
      </c>
      <c r="BG36" s="55" t="str">
        <f t="shared" si="50"/>
        <v/>
      </c>
      <c r="BH36" s="55" t="str">
        <f t="shared" si="50"/>
        <v/>
      </c>
      <c r="BI36" s="55" t="str">
        <f t="shared" si="50"/>
        <v/>
      </c>
      <c r="BJ36" s="55" t="str">
        <f t="shared" si="50"/>
        <v/>
      </c>
      <c r="BK36" s="55" t="str">
        <f t="shared" si="50"/>
        <v/>
      </c>
      <c r="BL36" s="55" t="str">
        <f t="shared" si="50"/>
        <v/>
      </c>
      <c r="BM36" s="55" t="str">
        <f t="shared" si="50"/>
        <v/>
      </c>
      <c r="BN36" s="55" t="str">
        <f t="shared" si="50"/>
        <v/>
      </c>
      <c r="BO36" s="55" t="str">
        <f t="shared" si="50"/>
        <v/>
      </c>
      <c r="BP36" s="55" t="str">
        <f t="shared" si="50"/>
        <v/>
      </c>
      <c r="BQ36" s="55" t="str">
        <f t="shared" si="50"/>
        <v/>
      </c>
      <c r="BR36" s="55" t="str">
        <f t="shared" si="50"/>
        <v/>
      </c>
      <c r="BS36" s="55" t="str">
        <f t="shared" si="50"/>
        <v/>
      </c>
      <c r="BT36" s="55" t="str">
        <f t="shared" si="50"/>
        <v/>
      </c>
      <c r="BU36" s="55" t="str">
        <f t="shared" si="50"/>
        <v/>
      </c>
      <c r="BV36" s="55" t="str">
        <f t="shared" si="50"/>
        <v/>
      </c>
      <c r="BW36" s="55" t="str">
        <f t="shared" si="50"/>
        <v/>
      </c>
      <c r="BX36" s="55" t="str">
        <f t="shared" si="50"/>
        <v/>
      </c>
      <c r="BY36" s="55" t="str">
        <f t="shared" si="50"/>
        <v/>
      </c>
      <c r="BZ36" s="55" t="str">
        <f t="shared" si="50"/>
        <v/>
      </c>
      <c r="CA36" s="55" t="str">
        <f t="shared" si="50"/>
        <v/>
      </c>
      <c r="CB36" s="55" t="str">
        <f t="shared" si="50"/>
        <v/>
      </c>
      <c r="CC36" s="55" t="str">
        <f t="shared" si="50"/>
        <v/>
      </c>
      <c r="CD36" s="55" t="str">
        <f t="shared" si="50"/>
        <v/>
      </c>
      <c r="CE36" s="55" t="str">
        <f t="shared" si="50"/>
        <v/>
      </c>
      <c r="CF36" s="55" t="str">
        <f t="shared" si="50"/>
        <v/>
      </c>
      <c r="CG36" s="55" t="str">
        <f t="shared" si="50"/>
        <v/>
      </c>
      <c r="CH36" s="55" t="str">
        <f t="shared" si="50"/>
        <v/>
      </c>
      <c r="CI36" s="55" t="str">
        <f t="shared" si="50"/>
        <v/>
      </c>
      <c r="CJ36" s="55" t="str">
        <f t="shared" si="50"/>
        <v/>
      </c>
      <c r="CK36" s="55" t="str">
        <f t="shared" si="50"/>
        <v/>
      </c>
      <c r="CL36" s="55" t="str">
        <f t="shared" si="50"/>
        <v/>
      </c>
      <c r="CM36" s="55" t="str">
        <f t="shared" si="50"/>
        <v/>
      </c>
      <c r="CN36" s="55" t="str">
        <f t="shared" si="50"/>
        <v/>
      </c>
      <c r="CO36" s="55" t="str">
        <f t="shared" si="50"/>
        <v/>
      </c>
      <c r="CP36" s="55" t="str">
        <f t="shared" si="50"/>
        <v/>
      </c>
      <c r="CQ36" s="55" t="str">
        <f t="shared" si="50"/>
        <v/>
      </c>
      <c r="CR36" s="55" t="str">
        <f t="shared" si="50"/>
        <v/>
      </c>
      <c r="CS36" s="55" t="str">
        <f t="shared" si="50"/>
        <v/>
      </c>
      <c r="CT36" s="55" t="str">
        <f t="shared" si="50"/>
        <v/>
      </c>
      <c r="CU36" s="55" t="str">
        <f t="shared" si="50"/>
        <v/>
      </c>
      <c r="CV36" s="55" t="str">
        <f t="shared" si="50"/>
        <v/>
      </c>
      <c r="CW36" s="55" t="str">
        <f t="shared" si="50"/>
        <v/>
      </c>
      <c r="CX36" s="55" t="str">
        <f t="shared" si="50"/>
        <v/>
      </c>
      <c r="CY36" s="55" t="str">
        <f t="shared" si="50"/>
        <v/>
      </c>
      <c r="CZ36" s="55" t="str">
        <f t="shared" si="47"/>
        <v/>
      </c>
      <c r="DA36" s="55" t="str">
        <f t="shared" si="47"/>
        <v/>
      </c>
      <c r="DB36" s="55" t="str">
        <f t="shared" si="47"/>
        <v/>
      </c>
      <c r="DC36" s="55" t="str">
        <f t="shared" si="47"/>
        <v/>
      </c>
      <c r="DD36" s="55" t="str">
        <f t="shared" si="47"/>
        <v/>
      </c>
      <c r="DE36" s="55" t="str">
        <f t="shared" si="47"/>
        <v/>
      </c>
      <c r="DF36" s="55" t="str">
        <f t="shared" si="47"/>
        <v/>
      </c>
      <c r="DG36" s="55" t="str">
        <f t="shared" si="47"/>
        <v/>
      </c>
      <c r="DH36" s="55" t="str">
        <f t="shared" si="47"/>
        <v/>
      </c>
      <c r="DI36" s="55" t="str">
        <f t="shared" si="47"/>
        <v/>
      </c>
      <c r="DJ36" s="55" t="str">
        <f t="shared" si="47"/>
        <v/>
      </c>
      <c r="DK36" s="55" t="str">
        <f t="shared" si="41"/>
        <v/>
      </c>
      <c r="DL36" s="55" t="str">
        <f t="shared" si="41"/>
        <v/>
      </c>
      <c r="DM36" s="55" t="str">
        <f t="shared" si="41"/>
        <v/>
      </c>
      <c r="DN36" s="55" t="str">
        <f t="shared" si="41"/>
        <v/>
      </c>
      <c r="DO36" s="55" t="str">
        <f t="shared" si="41"/>
        <v/>
      </c>
      <c r="DP36" s="55" t="str">
        <f t="shared" si="41"/>
        <v/>
      </c>
      <c r="DQ36" s="55" t="str">
        <f t="shared" si="42"/>
        <v/>
      </c>
      <c r="DR36" s="55" t="str">
        <f t="shared" si="42"/>
        <v/>
      </c>
      <c r="DS36" s="55" t="str">
        <f t="shared" si="42"/>
        <v/>
      </c>
      <c r="DT36" s="106" t="str">
        <f t="shared" si="42"/>
        <v/>
      </c>
      <c r="DU36" s="54"/>
      <c r="DV36" s="25"/>
      <c r="DW36" s="61" t="str">
        <f t="shared" si="43"/>
        <v/>
      </c>
      <c r="DX36" s="50" t="str">
        <f t="shared" si="43"/>
        <v/>
      </c>
      <c r="DY36" s="50" t="str">
        <f t="shared" si="43"/>
        <v/>
      </c>
      <c r="DZ36" s="50" t="str">
        <f t="shared" si="43"/>
        <v/>
      </c>
      <c r="EA36" s="50" t="str">
        <f t="shared" si="43"/>
        <v/>
      </c>
      <c r="EB36" s="50" t="str">
        <f t="shared" si="43"/>
        <v/>
      </c>
      <c r="EC36" s="50" t="str">
        <f t="shared" si="43"/>
        <v/>
      </c>
      <c r="ED36" s="50" t="str">
        <f t="shared" si="43"/>
        <v/>
      </c>
      <c r="EE36" s="50" t="str">
        <f t="shared" si="43"/>
        <v/>
      </c>
      <c r="EF36" s="50" t="str">
        <f t="shared" si="43"/>
        <v/>
      </c>
      <c r="EG36" s="50" t="str">
        <f t="shared" si="43"/>
        <v/>
      </c>
      <c r="EH36" s="50" t="str">
        <f t="shared" si="43"/>
        <v/>
      </c>
      <c r="EI36" s="50" t="str">
        <f t="shared" si="43"/>
        <v/>
      </c>
      <c r="EJ36" s="50" t="str">
        <f t="shared" si="43"/>
        <v/>
      </c>
      <c r="EK36" s="50" t="str">
        <f t="shared" si="43"/>
        <v/>
      </c>
      <c r="EL36" s="50" t="str">
        <f t="shared" si="43"/>
        <v/>
      </c>
      <c r="EM36" s="50" t="str">
        <f t="shared" si="51"/>
        <v/>
      </c>
      <c r="EN36" s="50" t="str">
        <f t="shared" si="51"/>
        <v/>
      </c>
      <c r="EO36" s="50" t="str">
        <f t="shared" si="51"/>
        <v/>
      </c>
      <c r="EP36" s="50" t="str">
        <f t="shared" si="51"/>
        <v/>
      </c>
      <c r="EQ36" s="50" t="str">
        <f t="shared" si="51"/>
        <v/>
      </c>
      <c r="ER36" s="50" t="str">
        <f t="shared" si="51"/>
        <v/>
      </c>
      <c r="ES36" s="50" t="str">
        <f t="shared" si="51"/>
        <v/>
      </c>
      <c r="ET36" s="50" t="str">
        <f t="shared" si="51"/>
        <v/>
      </c>
      <c r="EU36" s="50" t="str">
        <f t="shared" si="51"/>
        <v/>
      </c>
      <c r="EV36" s="50" t="str">
        <f t="shared" si="51"/>
        <v/>
      </c>
      <c r="EW36" s="50" t="str">
        <f t="shared" si="51"/>
        <v/>
      </c>
      <c r="EX36" s="50" t="str">
        <f t="shared" si="51"/>
        <v/>
      </c>
      <c r="EY36" s="50" t="str">
        <f t="shared" si="51"/>
        <v/>
      </c>
      <c r="EZ36" s="50" t="str">
        <f t="shared" si="51"/>
        <v/>
      </c>
      <c r="FA36" s="50" t="str">
        <f t="shared" si="51"/>
        <v/>
      </c>
      <c r="FB36" s="50" t="str">
        <f t="shared" si="51"/>
        <v/>
      </c>
      <c r="FC36" s="50" t="str">
        <f t="shared" si="52"/>
        <v/>
      </c>
      <c r="FD36" s="50" t="str">
        <f t="shared" si="52"/>
        <v/>
      </c>
      <c r="FE36" s="50" t="str">
        <f t="shared" si="52"/>
        <v/>
      </c>
      <c r="FF36" s="50" t="str">
        <f t="shared" si="52"/>
        <v/>
      </c>
      <c r="FG36" s="50" t="str">
        <f t="shared" si="52"/>
        <v/>
      </c>
      <c r="FH36" s="50" t="str">
        <f t="shared" si="52"/>
        <v/>
      </c>
      <c r="FI36" s="50" t="str">
        <f t="shared" si="52"/>
        <v/>
      </c>
      <c r="FJ36" s="50" t="str">
        <f t="shared" si="52"/>
        <v/>
      </c>
      <c r="FK36" s="50" t="str">
        <f t="shared" si="52"/>
        <v/>
      </c>
      <c r="FL36" s="50" t="str">
        <f t="shared" si="52"/>
        <v/>
      </c>
      <c r="FM36" s="50" t="str">
        <f t="shared" si="52"/>
        <v/>
      </c>
      <c r="FN36" s="50" t="str">
        <f t="shared" si="52"/>
        <v/>
      </c>
      <c r="FO36" s="50" t="str">
        <f t="shared" si="52"/>
        <v/>
      </c>
      <c r="FP36" s="50" t="str">
        <f t="shared" si="52"/>
        <v/>
      </c>
      <c r="FQ36" s="50" t="str">
        <f t="shared" si="52"/>
        <v/>
      </c>
      <c r="FR36" s="50" t="str">
        <f t="shared" si="52"/>
        <v/>
      </c>
      <c r="FS36" s="50" t="str">
        <f t="shared" si="52"/>
        <v/>
      </c>
      <c r="FT36" s="50" t="str">
        <f t="shared" si="52"/>
        <v/>
      </c>
      <c r="FU36" s="50" t="str">
        <f t="shared" si="52"/>
        <v/>
      </c>
      <c r="FV36" s="50" t="str">
        <f t="shared" si="52"/>
        <v/>
      </c>
      <c r="FW36" s="50" t="str">
        <f t="shared" si="52"/>
        <v/>
      </c>
      <c r="FX36" s="50" t="str">
        <f t="shared" si="52"/>
        <v/>
      </c>
      <c r="FY36" s="50" t="str">
        <f t="shared" si="52"/>
        <v/>
      </c>
      <c r="FZ36" s="50" t="str">
        <f t="shared" si="52"/>
        <v/>
      </c>
      <c r="GA36" s="50" t="str">
        <f t="shared" si="52"/>
        <v/>
      </c>
      <c r="GB36" s="50" t="str">
        <f t="shared" si="52"/>
        <v/>
      </c>
      <c r="GC36" s="50" t="str">
        <f t="shared" si="52"/>
        <v/>
      </c>
      <c r="GD36" s="50" t="str">
        <f t="shared" si="52"/>
        <v/>
      </c>
      <c r="GE36" s="50" t="str">
        <f t="shared" si="52"/>
        <v/>
      </c>
      <c r="GF36" s="50" t="str">
        <f t="shared" si="52"/>
        <v/>
      </c>
      <c r="GG36" s="50" t="str">
        <f t="shared" si="52"/>
        <v/>
      </c>
      <c r="GH36" s="50" t="str">
        <f t="shared" si="52"/>
        <v/>
      </c>
      <c r="GI36" s="50" t="str">
        <f t="shared" si="52"/>
        <v/>
      </c>
      <c r="GJ36" s="50" t="str">
        <f t="shared" si="52"/>
        <v/>
      </c>
      <c r="GK36" s="50" t="str">
        <f t="shared" si="52"/>
        <v/>
      </c>
      <c r="GL36" s="50" t="str">
        <f t="shared" si="52"/>
        <v/>
      </c>
      <c r="GM36" s="50" t="str">
        <f t="shared" si="52"/>
        <v/>
      </c>
      <c r="GN36" s="50" t="str">
        <f t="shared" si="52"/>
        <v/>
      </c>
      <c r="GO36" s="50" t="str">
        <f t="shared" si="52"/>
        <v/>
      </c>
      <c r="GP36" s="50" t="str">
        <f t="shared" si="52"/>
        <v/>
      </c>
      <c r="GQ36" s="50" t="str">
        <f t="shared" si="52"/>
        <v/>
      </c>
      <c r="GR36" s="50" t="str">
        <f t="shared" si="52"/>
        <v/>
      </c>
      <c r="GS36" s="50" t="str">
        <f t="shared" si="52"/>
        <v/>
      </c>
      <c r="GT36" s="50" t="str">
        <f t="shared" si="52"/>
        <v/>
      </c>
      <c r="GU36" s="50" t="str">
        <f t="shared" si="52"/>
        <v/>
      </c>
      <c r="GV36" s="50" t="str">
        <f t="shared" si="52"/>
        <v/>
      </c>
      <c r="GW36" s="50" t="str">
        <f t="shared" si="52"/>
        <v/>
      </c>
      <c r="GX36" s="50" t="str">
        <f t="shared" si="48"/>
        <v/>
      </c>
      <c r="GY36" s="50" t="str">
        <f t="shared" si="48"/>
        <v/>
      </c>
      <c r="GZ36" s="50" t="str">
        <f t="shared" si="48"/>
        <v/>
      </c>
      <c r="HA36" s="50" t="str">
        <f t="shared" si="48"/>
        <v/>
      </c>
      <c r="HB36" s="50" t="str">
        <f t="shared" si="48"/>
        <v/>
      </c>
      <c r="HC36" s="50" t="str">
        <f t="shared" si="48"/>
        <v/>
      </c>
      <c r="HD36" s="50" t="str">
        <f t="shared" si="48"/>
        <v/>
      </c>
      <c r="HE36" s="50" t="str">
        <f t="shared" si="48"/>
        <v/>
      </c>
      <c r="HF36" s="50" t="str">
        <f t="shared" si="48"/>
        <v/>
      </c>
      <c r="HG36" s="50" t="str">
        <f t="shared" si="48"/>
        <v/>
      </c>
      <c r="HH36" s="50" t="str">
        <f t="shared" si="48"/>
        <v/>
      </c>
      <c r="HI36" s="50" t="str">
        <f t="shared" si="48"/>
        <v/>
      </c>
      <c r="HJ36" s="50" t="str">
        <f t="shared" si="48"/>
        <v/>
      </c>
      <c r="HK36" s="50" t="str">
        <f t="shared" si="48"/>
        <v/>
      </c>
      <c r="HL36" s="50" t="str">
        <f t="shared" si="48"/>
        <v/>
      </c>
      <c r="HM36" s="50" t="str">
        <f t="shared" si="48"/>
        <v/>
      </c>
      <c r="HN36" s="50" t="str">
        <f t="shared" si="46"/>
        <v/>
      </c>
      <c r="HO36" s="50" t="str">
        <f t="shared" si="46"/>
        <v/>
      </c>
      <c r="HP36" s="50" t="str">
        <f t="shared" si="46"/>
        <v/>
      </c>
      <c r="HQ36" s="50" t="str">
        <f t="shared" si="46"/>
        <v/>
      </c>
      <c r="HR36" s="112" t="str">
        <f t="shared" si="46"/>
        <v/>
      </c>
    </row>
    <row r="37" spans="1:226" ht="11.1" customHeight="1" thickBot="1" x14ac:dyDescent="0.3">
      <c r="A37" s="66"/>
      <c r="B37" s="67"/>
      <c r="C37" s="68" t="str">
        <f>IF(A37=0,"",VLOOKUP(A37,[2]CO!$A$3:$F$5327,2,0))</f>
        <v/>
      </c>
      <c r="D37" s="69"/>
      <c r="E37" s="69"/>
      <c r="F37" s="69"/>
      <c r="G37" s="70" t="str">
        <f>IF(A37=0,"",VLOOKUP(A37,[2]CO!$A$3:$F$5327,3,0))</f>
        <v/>
      </c>
      <c r="H37" s="96"/>
      <c r="I37" s="71"/>
      <c r="J37" s="71"/>
      <c r="K37" s="71"/>
      <c r="L37" s="71"/>
      <c r="M37" s="72" t="str">
        <f t="shared" si="36"/>
        <v/>
      </c>
      <c r="N37" s="72" t="str">
        <f>IF(B37=0,"",IF(H37="M",HLOOKUP(B37,$Y$12:$DT$13,2),IF(A37=0,"",VLOOKUP(A37,[2]CO!$A$3:$F$5327,4,0))))</f>
        <v/>
      </c>
      <c r="O37" s="72" t="str">
        <f t="shared" si="7"/>
        <v/>
      </c>
      <c r="P37" s="73"/>
      <c r="Q37" s="74" t="str">
        <f t="shared" si="37"/>
        <v/>
      </c>
      <c r="R37" s="75" t="str">
        <f>IF(S37=0,"",IF(OR(G37="PEON",G37="OF",G37="JARD",G37="CARP",G37="MAESTRO",G37="SOLD",G37="BGRO",G37="CHOFER",G37="AYTE",G37="S.INTTE.",G37="ASEO",G37="P.PISOS",G37="VELADOR",G37="RESID",G37="PINTOR",G37="ELECT",G37="AZULE",G37="AUX CONT.",G37="SECRETARIA",G37="AUXILIAR ADMTVO.",G37="ARQUITECTO",G37="DIBUJANTE",G37="AUX. DE RESIDENTE",G37="TOPOGRAFIA"),VLOOKUP(B37,P$14:Q$56,2),"")*S37)</f>
        <v/>
      </c>
      <c r="T37" s="53" t="str">
        <f>IF(A37=0,"",VLOOKUP(A37,[2]CO!$A$3:$F$5318,5,0))</f>
        <v/>
      </c>
      <c r="U37" s="54">
        <f t="shared" si="38"/>
        <v>0</v>
      </c>
      <c r="V37" s="24"/>
      <c r="W37" s="25"/>
      <c r="X37" s="25"/>
      <c r="Y37" s="76" t="str">
        <f t="shared" si="39"/>
        <v/>
      </c>
      <c r="Z37" s="77" t="str">
        <f t="shared" si="39"/>
        <v/>
      </c>
      <c r="AA37" s="77" t="str">
        <f t="shared" si="39"/>
        <v/>
      </c>
      <c r="AB37" s="77" t="str">
        <f t="shared" si="39"/>
        <v/>
      </c>
      <c r="AC37" s="77" t="str">
        <f t="shared" si="39"/>
        <v/>
      </c>
      <c r="AD37" s="77" t="str">
        <f t="shared" si="39"/>
        <v/>
      </c>
      <c r="AE37" s="77" t="str">
        <f t="shared" si="39"/>
        <v/>
      </c>
      <c r="AF37" s="77" t="str">
        <f t="shared" si="39"/>
        <v/>
      </c>
      <c r="AG37" s="77" t="str">
        <f t="shared" si="39"/>
        <v/>
      </c>
      <c r="AH37" s="77" t="str">
        <f t="shared" si="39"/>
        <v/>
      </c>
      <c r="AI37" s="77" t="str">
        <f t="shared" si="39"/>
        <v/>
      </c>
      <c r="AJ37" s="77" t="str">
        <f t="shared" si="39"/>
        <v/>
      </c>
      <c r="AK37" s="77" t="str">
        <f t="shared" si="39"/>
        <v/>
      </c>
      <c r="AL37" s="77" t="str">
        <f t="shared" si="39"/>
        <v/>
      </c>
      <c r="AM37" s="77" t="str">
        <f t="shared" si="39"/>
        <v/>
      </c>
      <c r="AN37" s="77" t="str">
        <f t="shared" si="39"/>
        <v/>
      </c>
      <c r="AO37" s="77" t="str">
        <f t="shared" si="49"/>
        <v/>
      </c>
      <c r="AP37" s="77" t="str">
        <f t="shared" si="49"/>
        <v/>
      </c>
      <c r="AQ37" s="77" t="str">
        <f t="shared" si="49"/>
        <v/>
      </c>
      <c r="AR37" s="77" t="str">
        <f t="shared" si="49"/>
        <v/>
      </c>
      <c r="AS37" s="77" t="str">
        <f t="shared" si="49"/>
        <v/>
      </c>
      <c r="AT37" s="77" t="str">
        <f t="shared" si="49"/>
        <v/>
      </c>
      <c r="AU37" s="77" t="str">
        <f t="shared" si="49"/>
        <v/>
      </c>
      <c r="AV37" s="77" t="str">
        <f t="shared" si="49"/>
        <v/>
      </c>
      <c r="AW37" s="77" t="str">
        <f t="shared" si="49"/>
        <v/>
      </c>
      <c r="AX37" s="77" t="str">
        <f t="shared" si="49"/>
        <v/>
      </c>
      <c r="AY37" s="77" t="str">
        <f t="shared" si="49"/>
        <v/>
      </c>
      <c r="AZ37" s="77" t="str">
        <f t="shared" si="49"/>
        <v/>
      </c>
      <c r="BA37" s="77" t="str">
        <f t="shared" si="49"/>
        <v/>
      </c>
      <c r="BB37" s="77" t="str">
        <f t="shared" si="49"/>
        <v/>
      </c>
      <c r="BC37" s="77" t="str">
        <f t="shared" si="49"/>
        <v/>
      </c>
      <c r="BD37" s="77" t="str">
        <f t="shared" si="49"/>
        <v/>
      </c>
      <c r="BE37" s="77" t="str">
        <f t="shared" si="50"/>
        <v/>
      </c>
      <c r="BF37" s="77" t="str">
        <f t="shared" si="50"/>
        <v/>
      </c>
      <c r="BG37" s="77" t="str">
        <f t="shared" si="50"/>
        <v/>
      </c>
      <c r="BH37" s="77" t="str">
        <f t="shared" si="50"/>
        <v/>
      </c>
      <c r="BI37" s="77" t="str">
        <f t="shared" si="50"/>
        <v/>
      </c>
      <c r="BJ37" s="77" t="str">
        <f t="shared" si="50"/>
        <v/>
      </c>
      <c r="BK37" s="77" t="str">
        <f t="shared" si="50"/>
        <v/>
      </c>
      <c r="BL37" s="77" t="str">
        <f t="shared" si="50"/>
        <v/>
      </c>
      <c r="BM37" s="77" t="str">
        <f t="shared" si="50"/>
        <v/>
      </c>
      <c r="BN37" s="77" t="str">
        <f t="shared" si="50"/>
        <v/>
      </c>
      <c r="BO37" s="77" t="str">
        <f t="shared" si="50"/>
        <v/>
      </c>
      <c r="BP37" s="77" t="str">
        <f t="shared" si="50"/>
        <v/>
      </c>
      <c r="BQ37" s="77" t="str">
        <f t="shared" si="50"/>
        <v/>
      </c>
      <c r="BR37" s="77" t="str">
        <f t="shared" si="50"/>
        <v/>
      </c>
      <c r="BS37" s="77" t="str">
        <f t="shared" si="50"/>
        <v/>
      </c>
      <c r="BT37" s="77" t="str">
        <f t="shared" si="50"/>
        <v/>
      </c>
      <c r="BU37" s="77" t="str">
        <f t="shared" si="50"/>
        <v/>
      </c>
      <c r="BV37" s="77" t="str">
        <f t="shared" si="50"/>
        <v/>
      </c>
      <c r="BW37" s="77" t="str">
        <f t="shared" si="50"/>
        <v/>
      </c>
      <c r="BX37" s="77" t="str">
        <f t="shared" si="50"/>
        <v/>
      </c>
      <c r="BY37" s="77" t="str">
        <f t="shared" ref="BY37:CY37" si="70">IF($B37=BY$12,$U37,"")</f>
        <v/>
      </c>
      <c r="BZ37" s="77" t="str">
        <f t="shared" si="70"/>
        <v/>
      </c>
      <c r="CA37" s="77" t="str">
        <f t="shared" si="70"/>
        <v/>
      </c>
      <c r="CB37" s="77" t="str">
        <f t="shared" si="70"/>
        <v/>
      </c>
      <c r="CC37" s="77" t="str">
        <f t="shared" si="70"/>
        <v/>
      </c>
      <c r="CD37" s="77" t="str">
        <f t="shared" si="70"/>
        <v/>
      </c>
      <c r="CE37" s="77" t="str">
        <f t="shared" si="70"/>
        <v/>
      </c>
      <c r="CF37" s="77" t="str">
        <f t="shared" si="70"/>
        <v/>
      </c>
      <c r="CG37" s="77" t="str">
        <f t="shared" si="70"/>
        <v/>
      </c>
      <c r="CH37" s="77" t="str">
        <f t="shared" si="70"/>
        <v/>
      </c>
      <c r="CI37" s="77" t="str">
        <f t="shared" si="70"/>
        <v/>
      </c>
      <c r="CJ37" s="77" t="str">
        <f t="shared" si="70"/>
        <v/>
      </c>
      <c r="CK37" s="77" t="str">
        <f t="shared" si="70"/>
        <v/>
      </c>
      <c r="CL37" s="77" t="str">
        <f t="shared" si="70"/>
        <v/>
      </c>
      <c r="CM37" s="77" t="str">
        <f t="shared" si="70"/>
        <v/>
      </c>
      <c r="CN37" s="77" t="str">
        <f t="shared" si="70"/>
        <v/>
      </c>
      <c r="CO37" s="77" t="str">
        <f t="shared" si="70"/>
        <v/>
      </c>
      <c r="CP37" s="77" t="str">
        <f t="shared" si="70"/>
        <v/>
      </c>
      <c r="CQ37" s="77" t="str">
        <f t="shared" si="70"/>
        <v/>
      </c>
      <c r="CR37" s="77" t="str">
        <f t="shared" si="70"/>
        <v/>
      </c>
      <c r="CS37" s="77" t="str">
        <f t="shared" si="70"/>
        <v/>
      </c>
      <c r="CT37" s="77" t="str">
        <f t="shared" si="70"/>
        <v/>
      </c>
      <c r="CU37" s="77" t="str">
        <f t="shared" si="70"/>
        <v/>
      </c>
      <c r="CV37" s="77" t="str">
        <f t="shared" si="70"/>
        <v/>
      </c>
      <c r="CW37" s="77" t="str">
        <f t="shared" si="70"/>
        <v/>
      </c>
      <c r="CX37" s="77" t="str">
        <f t="shared" si="70"/>
        <v/>
      </c>
      <c r="CY37" s="77" t="str">
        <f t="shared" si="70"/>
        <v/>
      </c>
      <c r="CZ37" s="77" t="str">
        <f t="shared" si="47"/>
        <v/>
      </c>
      <c r="DA37" s="77" t="str">
        <f t="shared" si="47"/>
        <v/>
      </c>
      <c r="DB37" s="77" t="str">
        <f t="shared" si="47"/>
        <v/>
      </c>
      <c r="DC37" s="77" t="str">
        <f t="shared" si="47"/>
        <v/>
      </c>
      <c r="DD37" s="77" t="str">
        <f t="shared" si="47"/>
        <v/>
      </c>
      <c r="DE37" s="77" t="str">
        <f t="shared" si="47"/>
        <v/>
      </c>
      <c r="DF37" s="77" t="str">
        <f t="shared" si="47"/>
        <v/>
      </c>
      <c r="DG37" s="77" t="str">
        <f t="shared" si="47"/>
        <v/>
      </c>
      <c r="DH37" s="77" t="str">
        <f t="shared" si="47"/>
        <v/>
      </c>
      <c r="DI37" s="77" t="str">
        <f t="shared" si="47"/>
        <v/>
      </c>
      <c r="DJ37" s="77" t="str">
        <f t="shared" si="47"/>
        <v/>
      </c>
      <c r="DK37" s="77" t="str">
        <f t="shared" si="41"/>
        <v/>
      </c>
      <c r="DL37" s="77" t="str">
        <f t="shared" si="41"/>
        <v/>
      </c>
      <c r="DM37" s="77" t="str">
        <f t="shared" si="41"/>
        <v/>
      </c>
      <c r="DN37" s="77" t="str">
        <f t="shared" si="41"/>
        <v/>
      </c>
      <c r="DO37" s="77" t="str">
        <f t="shared" si="41"/>
        <v/>
      </c>
      <c r="DP37" s="77" t="str">
        <f t="shared" si="41"/>
        <v/>
      </c>
      <c r="DQ37" s="77" t="str">
        <f t="shared" si="42"/>
        <v/>
      </c>
      <c r="DR37" s="77" t="str">
        <f t="shared" si="42"/>
        <v/>
      </c>
      <c r="DS37" s="77" t="str">
        <f t="shared" si="42"/>
        <v/>
      </c>
      <c r="DT37" s="107" t="str">
        <f t="shared" si="42"/>
        <v/>
      </c>
      <c r="DU37" s="54"/>
      <c r="DV37" s="25"/>
      <c r="DW37" s="78" t="str">
        <f t="shared" si="43"/>
        <v/>
      </c>
      <c r="DX37" s="79" t="str">
        <f t="shared" si="43"/>
        <v/>
      </c>
      <c r="DY37" s="79" t="str">
        <f t="shared" si="43"/>
        <v/>
      </c>
      <c r="DZ37" s="79" t="str">
        <f t="shared" si="43"/>
        <v/>
      </c>
      <c r="EA37" s="79" t="str">
        <f t="shared" si="43"/>
        <v/>
      </c>
      <c r="EB37" s="79" t="str">
        <f t="shared" si="43"/>
        <v/>
      </c>
      <c r="EC37" s="79" t="str">
        <f t="shared" si="43"/>
        <v/>
      </c>
      <c r="ED37" s="79" t="str">
        <f t="shared" si="43"/>
        <v/>
      </c>
      <c r="EE37" s="79" t="str">
        <f t="shared" si="43"/>
        <v/>
      </c>
      <c r="EF37" s="79" t="str">
        <f t="shared" si="43"/>
        <v/>
      </c>
      <c r="EG37" s="79" t="str">
        <f t="shared" si="43"/>
        <v/>
      </c>
      <c r="EH37" s="79" t="str">
        <f t="shared" si="43"/>
        <v/>
      </c>
      <c r="EI37" s="79" t="str">
        <f t="shared" si="43"/>
        <v/>
      </c>
      <c r="EJ37" s="79" t="str">
        <f t="shared" si="43"/>
        <v/>
      </c>
      <c r="EK37" s="79" t="str">
        <f t="shared" si="43"/>
        <v/>
      </c>
      <c r="EL37" s="79" t="str">
        <f t="shared" si="43"/>
        <v/>
      </c>
      <c r="EM37" s="79" t="str">
        <f t="shared" si="51"/>
        <v/>
      </c>
      <c r="EN37" s="79" t="str">
        <f t="shared" si="51"/>
        <v/>
      </c>
      <c r="EO37" s="79" t="str">
        <f t="shared" si="51"/>
        <v/>
      </c>
      <c r="EP37" s="79" t="str">
        <f t="shared" si="51"/>
        <v/>
      </c>
      <c r="EQ37" s="79" t="str">
        <f t="shared" si="51"/>
        <v/>
      </c>
      <c r="ER37" s="79" t="str">
        <f t="shared" si="51"/>
        <v/>
      </c>
      <c r="ES37" s="79" t="str">
        <f t="shared" si="51"/>
        <v/>
      </c>
      <c r="ET37" s="79" t="str">
        <f t="shared" si="51"/>
        <v/>
      </c>
      <c r="EU37" s="79" t="str">
        <f t="shared" si="51"/>
        <v/>
      </c>
      <c r="EV37" s="79" t="str">
        <f t="shared" si="51"/>
        <v/>
      </c>
      <c r="EW37" s="79" t="str">
        <f t="shared" si="51"/>
        <v/>
      </c>
      <c r="EX37" s="79" t="str">
        <f t="shared" si="51"/>
        <v/>
      </c>
      <c r="EY37" s="79" t="str">
        <f t="shared" si="51"/>
        <v/>
      </c>
      <c r="EZ37" s="79" t="str">
        <f t="shared" si="51"/>
        <v/>
      </c>
      <c r="FA37" s="79" t="str">
        <f t="shared" si="51"/>
        <v/>
      </c>
      <c r="FB37" s="79" t="str">
        <f t="shared" si="51"/>
        <v/>
      </c>
      <c r="FC37" s="79" t="str">
        <f t="shared" si="52"/>
        <v/>
      </c>
      <c r="FD37" s="79" t="str">
        <f t="shared" si="52"/>
        <v/>
      </c>
      <c r="FE37" s="79" t="str">
        <f t="shared" si="52"/>
        <v/>
      </c>
      <c r="FF37" s="79" t="str">
        <f t="shared" si="52"/>
        <v/>
      </c>
      <c r="FG37" s="79" t="str">
        <f t="shared" si="52"/>
        <v/>
      </c>
      <c r="FH37" s="79" t="str">
        <f t="shared" si="52"/>
        <v/>
      </c>
      <c r="FI37" s="79" t="str">
        <f t="shared" si="52"/>
        <v/>
      </c>
      <c r="FJ37" s="79" t="str">
        <f t="shared" si="52"/>
        <v/>
      </c>
      <c r="FK37" s="79" t="str">
        <f t="shared" si="52"/>
        <v/>
      </c>
      <c r="FL37" s="79" t="str">
        <f t="shared" si="52"/>
        <v/>
      </c>
      <c r="FM37" s="79" t="str">
        <f t="shared" si="52"/>
        <v/>
      </c>
      <c r="FN37" s="79" t="str">
        <f t="shared" si="52"/>
        <v/>
      </c>
      <c r="FO37" s="79" t="str">
        <f t="shared" si="52"/>
        <v/>
      </c>
      <c r="FP37" s="79" t="str">
        <f t="shared" si="52"/>
        <v/>
      </c>
      <c r="FQ37" s="79" t="str">
        <f t="shared" si="52"/>
        <v/>
      </c>
      <c r="FR37" s="79" t="str">
        <f t="shared" si="52"/>
        <v/>
      </c>
      <c r="FS37" s="79" t="str">
        <f t="shared" si="52"/>
        <v/>
      </c>
      <c r="FT37" s="79" t="str">
        <f t="shared" si="52"/>
        <v/>
      </c>
      <c r="FU37" s="79" t="str">
        <f t="shared" si="52"/>
        <v/>
      </c>
      <c r="FV37" s="79" t="str">
        <f t="shared" si="52"/>
        <v/>
      </c>
      <c r="FW37" s="79" t="str">
        <f t="shared" ref="FW37:GW37" si="71">IF($B37=FW$12,$O37,"")</f>
        <v/>
      </c>
      <c r="FX37" s="79" t="str">
        <f t="shared" si="71"/>
        <v/>
      </c>
      <c r="FY37" s="79" t="str">
        <f t="shared" si="71"/>
        <v/>
      </c>
      <c r="FZ37" s="79" t="str">
        <f t="shared" si="71"/>
        <v/>
      </c>
      <c r="GA37" s="79" t="str">
        <f t="shared" si="71"/>
        <v/>
      </c>
      <c r="GB37" s="79" t="str">
        <f t="shared" si="71"/>
        <v/>
      </c>
      <c r="GC37" s="79" t="str">
        <f t="shared" si="71"/>
        <v/>
      </c>
      <c r="GD37" s="79" t="str">
        <f t="shared" si="71"/>
        <v/>
      </c>
      <c r="GE37" s="79" t="str">
        <f t="shared" si="71"/>
        <v/>
      </c>
      <c r="GF37" s="79" t="str">
        <f t="shared" si="71"/>
        <v/>
      </c>
      <c r="GG37" s="79" t="str">
        <f t="shared" si="71"/>
        <v/>
      </c>
      <c r="GH37" s="79" t="str">
        <f t="shared" si="71"/>
        <v/>
      </c>
      <c r="GI37" s="79" t="str">
        <f t="shared" si="71"/>
        <v/>
      </c>
      <c r="GJ37" s="79" t="str">
        <f t="shared" si="71"/>
        <v/>
      </c>
      <c r="GK37" s="79" t="str">
        <f t="shared" si="71"/>
        <v/>
      </c>
      <c r="GL37" s="79" t="str">
        <f t="shared" si="71"/>
        <v/>
      </c>
      <c r="GM37" s="79" t="str">
        <f t="shared" si="71"/>
        <v/>
      </c>
      <c r="GN37" s="79" t="str">
        <f t="shared" si="71"/>
        <v/>
      </c>
      <c r="GO37" s="79" t="str">
        <f t="shared" si="71"/>
        <v/>
      </c>
      <c r="GP37" s="79" t="str">
        <f t="shared" si="71"/>
        <v/>
      </c>
      <c r="GQ37" s="79" t="str">
        <f t="shared" si="71"/>
        <v/>
      </c>
      <c r="GR37" s="79" t="str">
        <f t="shared" si="71"/>
        <v/>
      </c>
      <c r="GS37" s="79" t="str">
        <f t="shared" si="71"/>
        <v/>
      </c>
      <c r="GT37" s="79" t="str">
        <f t="shared" si="71"/>
        <v/>
      </c>
      <c r="GU37" s="79" t="str">
        <f t="shared" si="71"/>
        <v/>
      </c>
      <c r="GV37" s="79" t="str">
        <f t="shared" si="71"/>
        <v/>
      </c>
      <c r="GW37" s="79" t="str">
        <f t="shared" si="71"/>
        <v/>
      </c>
      <c r="GX37" s="79" t="str">
        <f t="shared" si="48"/>
        <v/>
      </c>
      <c r="GY37" s="79" t="str">
        <f t="shared" si="48"/>
        <v/>
      </c>
      <c r="GZ37" s="79" t="str">
        <f t="shared" si="48"/>
        <v/>
      </c>
      <c r="HA37" s="79" t="str">
        <f t="shared" si="48"/>
        <v/>
      </c>
      <c r="HB37" s="79" t="str">
        <f t="shared" si="48"/>
        <v/>
      </c>
      <c r="HC37" s="79" t="str">
        <f t="shared" si="48"/>
        <v/>
      </c>
      <c r="HD37" s="79" t="str">
        <f t="shared" si="48"/>
        <v/>
      </c>
      <c r="HE37" s="79" t="str">
        <f t="shared" si="48"/>
        <v/>
      </c>
      <c r="HF37" s="79" t="str">
        <f t="shared" si="48"/>
        <v/>
      </c>
      <c r="HG37" s="79" t="str">
        <f t="shared" si="48"/>
        <v/>
      </c>
      <c r="HH37" s="79" t="str">
        <f t="shared" si="48"/>
        <v/>
      </c>
      <c r="HI37" s="79" t="str">
        <f t="shared" si="48"/>
        <v/>
      </c>
      <c r="HJ37" s="79" t="str">
        <f t="shared" si="48"/>
        <v/>
      </c>
      <c r="HK37" s="79" t="str">
        <f t="shared" si="48"/>
        <v/>
      </c>
      <c r="HL37" s="79" t="str">
        <f t="shared" si="48"/>
        <v/>
      </c>
      <c r="HM37" s="79" t="str">
        <f t="shared" si="48"/>
        <v/>
      </c>
      <c r="HN37" s="79" t="str">
        <f t="shared" si="46"/>
        <v/>
      </c>
      <c r="HO37" s="79" t="str">
        <f t="shared" si="46"/>
        <v/>
      </c>
      <c r="HP37" s="79" t="str">
        <f t="shared" si="46"/>
        <v/>
      </c>
      <c r="HQ37" s="79" t="str">
        <f t="shared" si="46"/>
        <v/>
      </c>
      <c r="HR37" s="113" t="str">
        <f t="shared" si="46"/>
        <v/>
      </c>
    </row>
    <row r="38" spans="1:226" ht="11.1" customHeight="1" thickTop="1" x14ac:dyDescent="0.25"/>
    <row r="39" spans="1:226" x14ac:dyDescent="0.25">
      <c r="L39" s="119"/>
      <c r="O39" s="48" t="s">
        <v>17</v>
      </c>
      <c r="P39" s="49"/>
      <c r="Q39" s="104">
        <f>SUM(Q26:Q37)</f>
        <v>25427.665000000001</v>
      </c>
      <c r="R39" s="104">
        <f>SUM(R26:R37)</f>
        <v>25427.665000000001</v>
      </c>
    </row>
    <row r="40" spans="1:226" ht="11.1" customHeight="1" thickBot="1" x14ac:dyDescent="0.3"/>
    <row r="41" spans="1:226" ht="16.2" thickBot="1" x14ac:dyDescent="0.3">
      <c r="A41" s="146"/>
      <c r="B41" s="147"/>
      <c r="C41" s="99"/>
      <c r="D41" s="147"/>
      <c r="E41" s="99"/>
      <c r="F41" s="99"/>
      <c r="G41" s="99" t="s">
        <v>19</v>
      </c>
      <c r="H41" s="99"/>
      <c r="I41" s="99"/>
      <c r="J41" s="99"/>
      <c r="K41" s="99"/>
      <c r="L41" s="99"/>
      <c r="M41" s="99"/>
      <c r="N41" s="99"/>
      <c r="O41" s="99"/>
      <c r="P41" s="99"/>
      <c r="Q41" s="99"/>
      <c r="R41" s="100"/>
    </row>
    <row r="42" spans="1:226" ht="11.1" customHeight="1" thickBot="1" x14ac:dyDescent="0.3"/>
    <row r="43" spans="1:226" ht="11.1" customHeight="1" thickTop="1" x14ac:dyDescent="0.25">
      <c r="A43" s="80"/>
      <c r="B43" s="81"/>
      <c r="C43" s="82" t="str">
        <f>IF(A43=0,"",VLOOKUP(A43,[2]CO!$A$3:$F$5327,2,0))</f>
        <v/>
      </c>
      <c r="D43" s="83"/>
      <c r="E43" s="83"/>
      <c r="F43" s="102" t="str">
        <f t="shared" ref="F43:F49" si="72">IF(AND(B43&gt;0,H43&gt;0),(H43*100) &amp; "% DE $" &amp;$Q$22,"")</f>
        <v/>
      </c>
      <c r="G43" s="84" t="str">
        <f>IF(A43=0,"",VLOOKUP(A43,[2]CO!$A$3:$F$5327,3,0))</f>
        <v/>
      </c>
      <c r="H43" s="94"/>
      <c r="I43" s="85"/>
      <c r="J43" s="85"/>
      <c r="K43" s="85"/>
      <c r="L43" s="85"/>
      <c r="M43" s="86" t="str">
        <f t="shared" ref="M43:M48" si="73">IF(L43=0,"",H43*Q$22/N43)</f>
        <v/>
      </c>
      <c r="N43" s="86" t="str">
        <f>IF(B43=0,"",IF(H43="M",HLOOKUP(B43,$Y$12:$DT$13,2),IF(A43=0,"",VLOOKUP(A43,[2]CO!$A$3:$F$5327,4,0))))</f>
        <v/>
      </c>
      <c r="O43" s="86" t="str">
        <f t="shared" si="7"/>
        <v/>
      </c>
      <c r="P43" s="87"/>
      <c r="Q43" s="88" t="str">
        <f t="shared" ref="Q43:Q49" si="74">IF(P43=0,"",(HLOOKUP(P43,$DW$12:$HR$13,2)))</f>
        <v/>
      </c>
      <c r="R43" s="89"/>
      <c r="T43" s="53" t="str">
        <f>IF(A43=0,"",VLOOKUP(A43,[2]CO!$A$3:$F$5318,5,0))</f>
        <v/>
      </c>
      <c r="U43" s="54">
        <f t="shared" si="38"/>
        <v>0</v>
      </c>
      <c r="V43" s="24"/>
      <c r="W43" s="25"/>
      <c r="X43" s="25"/>
      <c r="Y43" s="90" t="str">
        <f t="shared" ref="Y43:AN49" si="75">IF($B43=Y$12,$U43,"")</f>
        <v/>
      </c>
      <c r="Z43" s="91" t="str">
        <f t="shared" si="75"/>
        <v/>
      </c>
      <c r="AA43" s="91" t="str">
        <f t="shared" si="75"/>
        <v/>
      </c>
      <c r="AB43" s="91" t="str">
        <f t="shared" si="75"/>
        <v/>
      </c>
      <c r="AC43" s="91" t="str">
        <f t="shared" si="75"/>
        <v/>
      </c>
      <c r="AD43" s="91" t="str">
        <f t="shared" si="75"/>
        <v/>
      </c>
      <c r="AE43" s="91" t="str">
        <f t="shared" si="75"/>
        <v/>
      </c>
      <c r="AF43" s="91" t="str">
        <f t="shared" si="75"/>
        <v/>
      </c>
      <c r="AG43" s="91" t="str">
        <f t="shared" si="75"/>
        <v/>
      </c>
      <c r="AH43" s="91" t="str">
        <f t="shared" si="75"/>
        <v/>
      </c>
      <c r="AI43" s="91" t="str">
        <f t="shared" si="75"/>
        <v/>
      </c>
      <c r="AJ43" s="91" t="str">
        <f t="shared" si="75"/>
        <v/>
      </c>
      <c r="AK43" s="91" t="str">
        <f t="shared" si="75"/>
        <v/>
      </c>
      <c r="AL43" s="91" t="str">
        <f t="shared" si="75"/>
        <v/>
      </c>
      <c r="AM43" s="91" t="str">
        <f t="shared" si="75"/>
        <v/>
      </c>
      <c r="AN43" s="91" t="str">
        <f t="shared" si="75"/>
        <v/>
      </c>
      <c r="AO43" s="91" t="str">
        <f t="shared" ref="AO43:BD49" si="76">IF($B43=AO$12,$U43,"")</f>
        <v/>
      </c>
      <c r="AP43" s="91" t="str">
        <f t="shared" si="76"/>
        <v/>
      </c>
      <c r="AQ43" s="91" t="str">
        <f t="shared" si="76"/>
        <v/>
      </c>
      <c r="AR43" s="91" t="str">
        <f t="shared" si="76"/>
        <v/>
      </c>
      <c r="AS43" s="91" t="str">
        <f t="shared" si="76"/>
        <v/>
      </c>
      <c r="AT43" s="91" t="str">
        <f t="shared" si="76"/>
        <v/>
      </c>
      <c r="AU43" s="91" t="str">
        <f t="shared" si="76"/>
        <v/>
      </c>
      <c r="AV43" s="91" t="str">
        <f t="shared" si="76"/>
        <v/>
      </c>
      <c r="AW43" s="91" t="str">
        <f t="shared" si="76"/>
        <v/>
      </c>
      <c r="AX43" s="91" t="str">
        <f t="shared" si="76"/>
        <v/>
      </c>
      <c r="AY43" s="91" t="str">
        <f t="shared" si="76"/>
        <v/>
      </c>
      <c r="AZ43" s="91" t="str">
        <f t="shared" si="76"/>
        <v/>
      </c>
      <c r="BA43" s="91" t="str">
        <f t="shared" si="76"/>
        <v/>
      </c>
      <c r="BB43" s="91" t="str">
        <f t="shared" si="76"/>
        <v/>
      </c>
      <c r="BC43" s="91" t="str">
        <f t="shared" si="76"/>
        <v/>
      </c>
      <c r="BD43" s="91" t="str">
        <f t="shared" si="76"/>
        <v/>
      </c>
      <c r="BE43" s="91" t="str">
        <f t="shared" ref="BE43:BT49" si="77">IF($B43=BE$12,$U43,"")</f>
        <v/>
      </c>
      <c r="BF43" s="91" t="str">
        <f t="shared" si="77"/>
        <v/>
      </c>
      <c r="BG43" s="91" t="str">
        <f t="shared" si="77"/>
        <v/>
      </c>
      <c r="BH43" s="91" t="str">
        <f t="shared" si="77"/>
        <v/>
      </c>
      <c r="BI43" s="91" t="str">
        <f t="shared" si="77"/>
        <v/>
      </c>
      <c r="BJ43" s="91" t="str">
        <f t="shared" si="77"/>
        <v/>
      </c>
      <c r="BK43" s="91" t="str">
        <f t="shared" si="77"/>
        <v/>
      </c>
      <c r="BL43" s="91" t="str">
        <f t="shared" si="77"/>
        <v/>
      </c>
      <c r="BM43" s="91" t="str">
        <f t="shared" si="77"/>
        <v/>
      </c>
      <c r="BN43" s="91" t="str">
        <f t="shared" si="77"/>
        <v/>
      </c>
      <c r="BO43" s="91" t="str">
        <f t="shared" si="77"/>
        <v/>
      </c>
      <c r="BP43" s="91" t="str">
        <f t="shared" si="77"/>
        <v/>
      </c>
      <c r="BQ43" s="91" t="str">
        <f t="shared" si="77"/>
        <v/>
      </c>
      <c r="BR43" s="91" t="str">
        <f t="shared" si="77"/>
        <v/>
      </c>
      <c r="BS43" s="91" t="str">
        <f t="shared" si="77"/>
        <v/>
      </c>
      <c r="BT43" s="91" t="str">
        <f t="shared" si="77"/>
        <v/>
      </c>
      <c r="BU43" s="91" t="str">
        <f t="shared" ref="BU43:DT47" si="78">IF($B43=BU$12,$U43,"")</f>
        <v/>
      </c>
      <c r="BV43" s="91" t="str">
        <f t="shared" si="78"/>
        <v/>
      </c>
      <c r="BW43" s="91" t="str">
        <f t="shared" si="78"/>
        <v/>
      </c>
      <c r="BX43" s="91" t="str">
        <f t="shared" si="78"/>
        <v/>
      </c>
      <c r="BY43" s="91" t="str">
        <f t="shared" si="78"/>
        <v/>
      </c>
      <c r="BZ43" s="91" t="str">
        <f t="shared" si="78"/>
        <v/>
      </c>
      <c r="CA43" s="91" t="str">
        <f t="shared" si="78"/>
        <v/>
      </c>
      <c r="CB43" s="91" t="str">
        <f t="shared" si="78"/>
        <v/>
      </c>
      <c r="CC43" s="91" t="str">
        <f t="shared" si="78"/>
        <v/>
      </c>
      <c r="CD43" s="91" t="str">
        <f t="shared" si="78"/>
        <v/>
      </c>
      <c r="CE43" s="91" t="str">
        <f t="shared" si="78"/>
        <v/>
      </c>
      <c r="CF43" s="91" t="str">
        <f t="shared" si="78"/>
        <v/>
      </c>
      <c r="CG43" s="91" t="str">
        <f t="shared" si="78"/>
        <v/>
      </c>
      <c r="CH43" s="91" t="str">
        <f t="shared" si="78"/>
        <v/>
      </c>
      <c r="CI43" s="91" t="str">
        <f t="shared" si="78"/>
        <v/>
      </c>
      <c r="CJ43" s="91" t="str">
        <f t="shared" si="78"/>
        <v/>
      </c>
      <c r="CK43" s="91" t="str">
        <f t="shared" si="78"/>
        <v/>
      </c>
      <c r="CL43" s="91" t="str">
        <f t="shared" si="78"/>
        <v/>
      </c>
      <c r="CM43" s="91" t="str">
        <f t="shared" si="78"/>
        <v/>
      </c>
      <c r="CN43" s="91" t="str">
        <f t="shared" si="78"/>
        <v/>
      </c>
      <c r="CO43" s="91" t="str">
        <f t="shared" si="78"/>
        <v/>
      </c>
      <c r="CP43" s="91" t="str">
        <f t="shared" si="78"/>
        <v/>
      </c>
      <c r="CQ43" s="91" t="str">
        <f t="shared" si="78"/>
        <v/>
      </c>
      <c r="CR43" s="91" t="str">
        <f t="shared" si="78"/>
        <v/>
      </c>
      <c r="CS43" s="91" t="str">
        <f t="shared" si="78"/>
        <v/>
      </c>
      <c r="CT43" s="91" t="str">
        <f t="shared" si="78"/>
        <v/>
      </c>
      <c r="CU43" s="91" t="str">
        <f t="shared" si="78"/>
        <v/>
      </c>
      <c r="CV43" s="91" t="str">
        <f t="shared" si="78"/>
        <v/>
      </c>
      <c r="CW43" s="91" t="str">
        <f t="shared" si="78"/>
        <v/>
      </c>
      <c r="CX43" s="91" t="str">
        <f t="shared" si="78"/>
        <v/>
      </c>
      <c r="CY43" s="91" t="str">
        <f t="shared" si="78"/>
        <v/>
      </c>
      <c r="CZ43" s="91" t="str">
        <f t="shared" si="78"/>
        <v/>
      </c>
      <c r="DA43" s="91" t="str">
        <f t="shared" si="78"/>
        <v/>
      </c>
      <c r="DB43" s="91" t="str">
        <f t="shared" si="78"/>
        <v/>
      </c>
      <c r="DC43" s="91" t="str">
        <f t="shared" si="78"/>
        <v/>
      </c>
      <c r="DD43" s="91" t="str">
        <f t="shared" si="78"/>
        <v/>
      </c>
      <c r="DE43" s="91" t="str">
        <f t="shared" si="78"/>
        <v/>
      </c>
      <c r="DF43" s="91" t="str">
        <f t="shared" si="78"/>
        <v/>
      </c>
      <c r="DG43" s="91" t="str">
        <f t="shared" si="78"/>
        <v/>
      </c>
      <c r="DH43" s="91" t="str">
        <f t="shared" si="78"/>
        <v/>
      </c>
      <c r="DI43" s="91" t="str">
        <f t="shared" si="78"/>
        <v/>
      </c>
      <c r="DJ43" s="91" t="str">
        <f t="shared" si="78"/>
        <v/>
      </c>
      <c r="DK43" s="91" t="str">
        <f t="shared" si="78"/>
        <v/>
      </c>
      <c r="DL43" s="91" t="str">
        <f t="shared" si="78"/>
        <v/>
      </c>
      <c r="DM43" s="91" t="str">
        <f t="shared" si="78"/>
        <v/>
      </c>
      <c r="DN43" s="91" t="str">
        <f t="shared" si="78"/>
        <v/>
      </c>
      <c r="DO43" s="91" t="str">
        <f t="shared" si="78"/>
        <v/>
      </c>
      <c r="DP43" s="91" t="str">
        <f t="shared" si="78"/>
        <v/>
      </c>
      <c r="DQ43" s="91" t="str">
        <f t="shared" si="78"/>
        <v/>
      </c>
      <c r="DR43" s="91" t="str">
        <f t="shared" si="78"/>
        <v/>
      </c>
      <c r="DS43" s="91" t="str">
        <f t="shared" si="78"/>
        <v/>
      </c>
      <c r="DT43" s="105" t="str">
        <f t="shared" si="78"/>
        <v/>
      </c>
      <c r="DU43" s="54"/>
      <c r="DV43" s="25"/>
      <c r="DW43" s="92" t="str">
        <f t="shared" ref="DW43:EL49" si="79">IF($B43=DW$12,$O43,"")</f>
        <v/>
      </c>
      <c r="DX43" s="93" t="str">
        <f t="shared" si="79"/>
        <v/>
      </c>
      <c r="DY43" s="93" t="str">
        <f t="shared" si="79"/>
        <v/>
      </c>
      <c r="DZ43" s="93" t="str">
        <f t="shared" si="79"/>
        <v/>
      </c>
      <c r="EA43" s="93" t="str">
        <f t="shared" si="79"/>
        <v/>
      </c>
      <c r="EB43" s="93" t="str">
        <f t="shared" si="79"/>
        <v/>
      </c>
      <c r="EC43" s="93" t="str">
        <f t="shared" si="79"/>
        <v/>
      </c>
      <c r="ED43" s="93" t="str">
        <f t="shared" si="79"/>
        <v/>
      </c>
      <c r="EE43" s="93" t="str">
        <f t="shared" si="79"/>
        <v/>
      </c>
      <c r="EF43" s="93" t="str">
        <f t="shared" si="79"/>
        <v/>
      </c>
      <c r="EG43" s="93" t="str">
        <f t="shared" si="79"/>
        <v/>
      </c>
      <c r="EH43" s="93" t="str">
        <f t="shared" si="79"/>
        <v/>
      </c>
      <c r="EI43" s="93" t="str">
        <f t="shared" si="79"/>
        <v/>
      </c>
      <c r="EJ43" s="93" t="str">
        <f t="shared" si="79"/>
        <v/>
      </c>
      <c r="EK43" s="93" t="str">
        <f t="shared" si="79"/>
        <v/>
      </c>
      <c r="EL43" s="93" t="str">
        <f t="shared" si="79"/>
        <v/>
      </c>
      <c r="EM43" s="93" t="str">
        <f t="shared" ref="EM43:FB49" si="80">IF($B43=EM$12,$O43,"")</f>
        <v/>
      </c>
      <c r="EN43" s="93" t="str">
        <f t="shared" si="80"/>
        <v/>
      </c>
      <c r="EO43" s="93" t="str">
        <f t="shared" si="80"/>
        <v/>
      </c>
      <c r="EP43" s="93" t="str">
        <f t="shared" si="80"/>
        <v/>
      </c>
      <c r="EQ43" s="93" t="str">
        <f t="shared" si="80"/>
        <v/>
      </c>
      <c r="ER43" s="93" t="str">
        <f t="shared" si="80"/>
        <v/>
      </c>
      <c r="ES43" s="93" t="str">
        <f t="shared" si="80"/>
        <v/>
      </c>
      <c r="ET43" s="93" t="str">
        <f t="shared" si="80"/>
        <v/>
      </c>
      <c r="EU43" s="93" t="str">
        <f t="shared" si="80"/>
        <v/>
      </c>
      <c r="EV43" s="93" t="str">
        <f t="shared" si="80"/>
        <v/>
      </c>
      <c r="EW43" s="93" t="str">
        <f t="shared" si="80"/>
        <v/>
      </c>
      <c r="EX43" s="93" t="str">
        <f t="shared" si="80"/>
        <v/>
      </c>
      <c r="EY43" s="93" t="str">
        <f t="shared" si="80"/>
        <v/>
      </c>
      <c r="EZ43" s="93" t="str">
        <f t="shared" si="80"/>
        <v/>
      </c>
      <c r="FA43" s="93" t="str">
        <f t="shared" si="80"/>
        <v/>
      </c>
      <c r="FB43" s="93" t="str">
        <f t="shared" si="80"/>
        <v/>
      </c>
      <c r="FC43" s="93" t="str">
        <f t="shared" ref="FC43:FR49" si="81">IF($B43=FC$12,$O43,"")</f>
        <v/>
      </c>
      <c r="FD43" s="93" t="str">
        <f t="shared" si="81"/>
        <v/>
      </c>
      <c r="FE43" s="93" t="str">
        <f t="shared" si="81"/>
        <v/>
      </c>
      <c r="FF43" s="93" t="str">
        <f t="shared" si="81"/>
        <v/>
      </c>
      <c r="FG43" s="93" t="str">
        <f t="shared" si="81"/>
        <v/>
      </c>
      <c r="FH43" s="93" t="str">
        <f t="shared" si="81"/>
        <v/>
      </c>
      <c r="FI43" s="93" t="str">
        <f t="shared" si="81"/>
        <v/>
      </c>
      <c r="FJ43" s="93" t="str">
        <f t="shared" si="81"/>
        <v/>
      </c>
      <c r="FK43" s="93" t="str">
        <f t="shared" si="81"/>
        <v/>
      </c>
      <c r="FL43" s="93" t="str">
        <f t="shared" si="81"/>
        <v/>
      </c>
      <c r="FM43" s="93" t="str">
        <f t="shared" si="81"/>
        <v/>
      </c>
      <c r="FN43" s="93" t="str">
        <f t="shared" si="81"/>
        <v/>
      </c>
      <c r="FO43" s="93" t="str">
        <f t="shared" si="81"/>
        <v/>
      </c>
      <c r="FP43" s="93" t="str">
        <f t="shared" si="81"/>
        <v/>
      </c>
      <c r="FQ43" s="93" t="str">
        <f t="shared" si="81"/>
        <v/>
      </c>
      <c r="FR43" s="93" t="str">
        <f t="shared" si="81"/>
        <v/>
      </c>
      <c r="FS43" s="93" t="str">
        <f t="shared" ref="FS43:HR47" si="82">IF($B43=FS$12,$O43,"")</f>
        <v/>
      </c>
      <c r="FT43" s="93" t="str">
        <f t="shared" si="82"/>
        <v/>
      </c>
      <c r="FU43" s="93" t="str">
        <f t="shared" si="82"/>
        <v/>
      </c>
      <c r="FV43" s="93" t="str">
        <f t="shared" si="82"/>
        <v/>
      </c>
      <c r="FW43" s="93" t="str">
        <f t="shared" si="82"/>
        <v/>
      </c>
      <c r="FX43" s="93" t="str">
        <f t="shared" si="82"/>
        <v/>
      </c>
      <c r="FY43" s="93" t="str">
        <f t="shared" si="82"/>
        <v/>
      </c>
      <c r="FZ43" s="93" t="str">
        <f t="shared" si="82"/>
        <v/>
      </c>
      <c r="GA43" s="93" t="str">
        <f t="shared" si="82"/>
        <v/>
      </c>
      <c r="GB43" s="93" t="str">
        <f t="shared" si="82"/>
        <v/>
      </c>
      <c r="GC43" s="93" t="str">
        <f t="shared" si="82"/>
        <v/>
      </c>
      <c r="GD43" s="93" t="str">
        <f t="shared" si="82"/>
        <v/>
      </c>
      <c r="GE43" s="93" t="str">
        <f t="shared" si="82"/>
        <v/>
      </c>
      <c r="GF43" s="93" t="str">
        <f t="shared" si="82"/>
        <v/>
      </c>
      <c r="GG43" s="93" t="str">
        <f t="shared" si="82"/>
        <v/>
      </c>
      <c r="GH43" s="93" t="str">
        <f t="shared" si="82"/>
        <v/>
      </c>
      <c r="GI43" s="93" t="str">
        <f t="shared" si="82"/>
        <v/>
      </c>
      <c r="GJ43" s="93" t="str">
        <f t="shared" si="82"/>
        <v/>
      </c>
      <c r="GK43" s="93" t="str">
        <f t="shared" si="82"/>
        <v/>
      </c>
      <c r="GL43" s="93" t="str">
        <f t="shared" si="82"/>
        <v/>
      </c>
      <c r="GM43" s="93" t="str">
        <f t="shared" si="82"/>
        <v/>
      </c>
      <c r="GN43" s="93" t="str">
        <f t="shared" si="82"/>
        <v/>
      </c>
      <c r="GO43" s="93" t="str">
        <f t="shared" si="82"/>
        <v/>
      </c>
      <c r="GP43" s="93" t="str">
        <f t="shared" si="82"/>
        <v/>
      </c>
      <c r="GQ43" s="93" t="str">
        <f t="shared" si="82"/>
        <v/>
      </c>
      <c r="GR43" s="93" t="str">
        <f t="shared" si="82"/>
        <v/>
      </c>
      <c r="GS43" s="93" t="str">
        <f t="shared" si="82"/>
        <v/>
      </c>
      <c r="GT43" s="93" t="str">
        <f t="shared" si="82"/>
        <v/>
      </c>
      <c r="GU43" s="93" t="str">
        <f t="shared" si="82"/>
        <v/>
      </c>
      <c r="GV43" s="93" t="str">
        <f t="shared" si="82"/>
        <v/>
      </c>
      <c r="GW43" s="93" t="str">
        <f t="shared" si="82"/>
        <v/>
      </c>
      <c r="GX43" s="93" t="str">
        <f t="shared" si="82"/>
        <v/>
      </c>
      <c r="GY43" s="93" t="str">
        <f t="shared" si="82"/>
        <v/>
      </c>
      <c r="GZ43" s="93" t="str">
        <f t="shared" si="82"/>
        <v/>
      </c>
      <c r="HA43" s="93" t="str">
        <f t="shared" si="82"/>
        <v/>
      </c>
      <c r="HB43" s="93" t="str">
        <f t="shared" si="82"/>
        <v/>
      </c>
      <c r="HC43" s="93" t="str">
        <f t="shared" si="82"/>
        <v/>
      </c>
      <c r="HD43" s="93" t="str">
        <f t="shared" si="82"/>
        <v/>
      </c>
      <c r="HE43" s="93" t="str">
        <f t="shared" si="82"/>
        <v/>
      </c>
      <c r="HF43" s="93" t="str">
        <f t="shared" si="82"/>
        <v/>
      </c>
      <c r="HG43" s="93" t="str">
        <f t="shared" si="82"/>
        <v/>
      </c>
      <c r="HH43" s="93" t="str">
        <f t="shared" si="82"/>
        <v/>
      </c>
      <c r="HI43" s="93" t="str">
        <f t="shared" si="82"/>
        <v/>
      </c>
      <c r="HJ43" s="93" t="str">
        <f t="shared" si="82"/>
        <v/>
      </c>
      <c r="HK43" s="93" t="str">
        <f t="shared" si="82"/>
        <v/>
      </c>
      <c r="HL43" s="93" t="str">
        <f t="shared" si="82"/>
        <v/>
      </c>
      <c r="HM43" s="93" t="str">
        <f t="shared" si="82"/>
        <v/>
      </c>
      <c r="HN43" s="93" t="str">
        <f t="shared" si="82"/>
        <v/>
      </c>
      <c r="HO43" s="93" t="str">
        <f t="shared" si="82"/>
        <v/>
      </c>
      <c r="HP43" s="93" t="str">
        <f t="shared" si="82"/>
        <v/>
      </c>
      <c r="HQ43" s="93" t="str">
        <f t="shared" si="82"/>
        <v/>
      </c>
      <c r="HR43" s="111" t="str">
        <f t="shared" si="82"/>
        <v/>
      </c>
    </row>
    <row r="44" spans="1:226" ht="11.1" customHeight="1" x14ac:dyDescent="0.25">
      <c r="A44" s="26" t="s">
        <v>32</v>
      </c>
      <c r="B44" s="27">
        <v>75</v>
      </c>
      <c r="C44" s="28" t="str">
        <f>IF(A44=0,"",VLOOKUP(A44,[2]CO!$A$3:$F$5327,2,0))</f>
        <v>Lote</v>
      </c>
      <c r="D44" s="29" t="s">
        <v>19</v>
      </c>
      <c r="E44" s="29"/>
      <c r="F44" s="101" t="str">
        <f t="shared" si="72"/>
        <v>12% DE $0</v>
      </c>
      <c r="G44" s="30" t="str">
        <f>IF(A44=0,"",VLOOKUP(A44,[2]CO!$A$3:$F$5327,3,0))</f>
        <v>LOTE</v>
      </c>
      <c r="H44" s="95">
        <v>0.12</v>
      </c>
      <c r="I44" s="31"/>
      <c r="J44" s="31"/>
      <c r="K44" s="31"/>
      <c r="L44" s="31">
        <v>1</v>
      </c>
      <c r="M44" s="32">
        <f t="shared" si="73"/>
        <v>0</v>
      </c>
      <c r="N44" s="32">
        <f>IF(B44=0,"",IF(H44="M",HLOOKUP(B44,$Y$12:$DT$13,2),IF(A44=0,"",VLOOKUP(A44,[2]CO!$A$3:$F$5327,4,0))))</f>
        <v>100</v>
      </c>
      <c r="O44" s="32">
        <f t="shared" si="7"/>
        <v>0</v>
      </c>
      <c r="P44" s="33">
        <v>75</v>
      </c>
      <c r="Q44" s="34">
        <f t="shared" si="74"/>
        <v>0</v>
      </c>
      <c r="R44" s="35"/>
      <c r="T44" s="53">
        <f>IF(A44=0,"",VLOOKUP(A44,[2]CO!$A$3:$F$5318,5,0))</f>
        <v>0</v>
      </c>
      <c r="U44" s="54">
        <f t="shared" si="38"/>
        <v>0</v>
      </c>
      <c r="V44" s="24"/>
      <c r="W44" s="25"/>
      <c r="X44" s="25"/>
      <c r="Y44" s="64" t="str">
        <f t="shared" si="75"/>
        <v/>
      </c>
      <c r="Z44" s="55" t="str">
        <f t="shared" si="75"/>
        <v/>
      </c>
      <c r="AA44" s="55" t="str">
        <f t="shared" si="75"/>
        <v/>
      </c>
      <c r="AB44" s="55" t="str">
        <f t="shared" si="75"/>
        <v/>
      </c>
      <c r="AC44" s="55" t="str">
        <f t="shared" si="75"/>
        <v/>
      </c>
      <c r="AD44" s="55" t="str">
        <f t="shared" si="75"/>
        <v/>
      </c>
      <c r="AE44" s="55" t="str">
        <f t="shared" si="75"/>
        <v/>
      </c>
      <c r="AF44" s="55" t="str">
        <f t="shared" si="75"/>
        <v/>
      </c>
      <c r="AG44" s="55" t="str">
        <f t="shared" si="75"/>
        <v/>
      </c>
      <c r="AH44" s="55" t="str">
        <f t="shared" si="75"/>
        <v/>
      </c>
      <c r="AI44" s="55" t="str">
        <f t="shared" si="75"/>
        <v/>
      </c>
      <c r="AJ44" s="55" t="str">
        <f t="shared" si="75"/>
        <v/>
      </c>
      <c r="AK44" s="55" t="str">
        <f t="shared" si="75"/>
        <v/>
      </c>
      <c r="AL44" s="55" t="str">
        <f t="shared" si="75"/>
        <v/>
      </c>
      <c r="AM44" s="55" t="str">
        <f t="shared" si="75"/>
        <v/>
      </c>
      <c r="AN44" s="55" t="str">
        <f t="shared" si="75"/>
        <v/>
      </c>
      <c r="AO44" s="55" t="str">
        <f t="shared" si="76"/>
        <v/>
      </c>
      <c r="AP44" s="55" t="str">
        <f t="shared" si="76"/>
        <v/>
      </c>
      <c r="AQ44" s="55" t="str">
        <f t="shared" si="76"/>
        <v/>
      </c>
      <c r="AR44" s="55" t="str">
        <f t="shared" si="76"/>
        <v/>
      </c>
      <c r="AS44" s="55" t="str">
        <f t="shared" si="76"/>
        <v/>
      </c>
      <c r="AT44" s="55" t="str">
        <f t="shared" si="76"/>
        <v/>
      </c>
      <c r="AU44" s="55" t="str">
        <f t="shared" si="76"/>
        <v/>
      </c>
      <c r="AV44" s="55" t="str">
        <f t="shared" si="76"/>
        <v/>
      </c>
      <c r="AW44" s="55" t="str">
        <f t="shared" si="76"/>
        <v/>
      </c>
      <c r="AX44" s="55" t="str">
        <f t="shared" si="76"/>
        <v/>
      </c>
      <c r="AY44" s="55" t="str">
        <f t="shared" si="76"/>
        <v/>
      </c>
      <c r="AZ44" s="55" t="str">
        <f t="shared" si="76"/>
        <v/>
      </c>
      <c r="BA44" s="55" t="str">
        <f t="shared" si="76"/>
        <v/>
      </c>
      <c r="BB44" s="55" t="str">
        <f t="shared" si="76"/>
        <v/>
      </c>
      <c r="BC44" s="55" t="str">
        <f t="shared" si="76"/>
        <v/>
      </c>
      <c r="BD44" s="55" t="str">
        <f t="shared" si="76"/>
        <v/>
      </c>
      <c r="BE44" s="55" t="str">
        <f t="shared" si="77"/>
        <v/>
      </c>
      <c r="BF44" s="55" t="str">
        <f t="shared" si="77"/>
        <v/>
      </c>
      <c r="BG44" s="55" t="str">
        <f t="shared" si="77"/>
        <v/>
      </c>
      <c r="BH44" s="55" t="str">
        <f t="shared" si="77"/>
        <v/>
      </c>
      <c r="BI44" s="55" t="str">
        <f t="shared" si="77"/>
        <v/>
      </c>
      <c r="BJ44" s="55" t="str">
        <f t="shared" si="77"/>
        <v/>
      </c>
      <c r="BK44" s="55" t="str">
        <f t="shared" si="77"/>
        <v/>
      </c>
      <c r="BL44" s="55" t="str">
        <f t="shared" si="77"/>
        <v/>
      </c>
      <c r="BM44" s="55" t="str">
        <f t="shared" si="77"/>
        <v/>
      </c>
      <c r="BN44" s="55" t="str">
        <f t="shared" si="77"/>
        <v/>
      </c>
      <c r="BO44" s="55" t="str">
        <f t="shared" si="77"/>
        <v/>
      </c>
      <c r="BP44" s="55" t="str">
        <f t="shared" si="77"/>
        <v/>
      </c>
      <c r="BQ44" s="55" t="str">
        <f t="shared" si="77"/>
        <v/>
      </c>
      <c r="BR44" s="55" t="str">
        <f t="shared" si="77"/>
        <v/>
      </c>
      <c r="BS44" s="55" t="str">
        <f t="shared" si="77"/>
        <v/>
      </c>
      <c r="BT44" s="55" t="str">
        <f t="shared" si="77"/>
        <v/>
      </c>
      <c r="BU44" s="55" t="str">
        <f t="shared" si="78"/>
        <v/>
      </c>
      <c r="BV44" s="55" t="str">
        <f t="shared" si="78"/>
        <v/>
      </c>
      <c r="BW44" s="55" t="str">
        <f t="shared" si="78"/>
        <v/>
      </c>
      <c r="BX44" s="55" t="str">
        <f t="shared" si="78"/>
        <v/>
      </c>
      <c r="BY44" s="55" t="str">
        <f t="shared" si="78"/>
        <v/>
      </c>
      <c r="BZ44" s="55" t="str">
        <f t="shared" si="78"/>
        <v/>
      </c>
      <c r="CA44" s="55" t="str">
        <f t="shared" si="78"/>
        <v/>
      </c>
      <c r="CB44" s="55" t="str">
        <f t="shared" si="78"/>
        <v/>
      </c>
      <c r="CC44" s="55" t="str">
        <f t="shared" si="78"/>
        <v/>
      </c>
      <c r="CD44" s="55" t="str">
        <f t="shared" si="78"/>
        <v/>
      </c>
      <c r="CE44" s="55" t="str">
        <f t="shared" si="78"/>
        <v/>
      </c>
      <c r="CF44" s="55" t="str">
        <f t="shared" si="78"/>
        <v/>
      </c>
      <c r="CG44" s="55" t="str">
        <f t="shared" si="78"/>
        <v/>
      </c>
      <c r="CH44" s="55" t="str">
        <f t="shared" si="78"/>
        <v/>
      </c>
      <c r="CI44" s="55" t="str">
        <f t="shared" si="78"/>
        <v/>
      </c>
      <c r="CJ44" s="55" t="str">
        <f t="shared" si="78"/>
        <v/>
      </c>
      <c r="CK44" s="55" t="str">
        <f t="shared" si="78"/>
        <v/>
      </c>
      <c r="CL44" s="55" t="str">
        <f t="shared" si="78"/>
        <v/>
      </c>
      <c r="CM44" s="55" t="str">
        <f t="shared" si="78"/>
        <v/>
      </c>
      <c r="CN44" s="55" t="str">
        <f t="shared" si="78"/>
        <v/>
      </c>
      <c r="CO44" s="55" t="str">
        <f t="shared" si="78"/>
        <v/>
      </c>
      <c r="CP44" s="55" t="str">
        <f t="shared" si="78"/>
        <v/>
      </c>
      <c r="CQ44" s="55" t="str">
        <f t="shared" si="78"/>
        <v/>
      </c>
      <c r="CR44" s="55" t="str">
        <f t="shared" si="78"/>
        <v/>
      </c>
      <c r="CS44" s="55" t="str">
        <f t="shared" si="78"/>
        <v/>
      </c>
      <c r="CT44" s="55" t="str">
        <f t="shared" si="78"/>
        <v/>
      </c>
      <c r="CU44" s="55">
        <f t="shared" si="78"/>
        <v>0</v>
      </c>
      <c r="CV44" s="55" t="str">
        <f t="shared" si="78"/>
        <v/>
      </c>
      <c r="CW44" s="55" t="str">
        <f t="shared" si="78"/>
        <v/>
      </c>
      <c r="CX44" s="55" t="str">
        <f t="shared" si="78"/>
        <v/>
      </c>
      <c r="CY44" s="55" t="str">
        <f t="shared" si="78"/>
        <v/>
      </c>
      <c r="CZ44" s="55" t="str">
        <f t="shared" si="78"/>
        <v/>
      </c>
      <c r="DA44" s="55" t="str">
        <f t="shared" si="78"/>
        <v/>
      </c>
      <c r="DB44" s="55" t="str">
        <f t="shared" si="78"/>
        <v/>
      </c>
      <c r="DC44" s="55" t="str">
        <f t="shared" si="78"/>
        <v/>
      </c>
      <c r="DD44" s="55" t="str">
        <f t="shared" si="78"/>
        <v/>
      </c>
      <c r="DE44" s="55" t="str">
        <f t="shared" si="78"/>
        <v/>
      </c>
      <c r="DF44" s="55" t="str">
        <f t="shared" si="78"/>
        <v/>
      </c>
      <c r="DG44" s="55" t="str">
        <f t="shared" si="78"/>
        <v/>
      </c>
      <c r="DH44" s="55" t="str">
        <f t="shared" si="78"/>
        <v/>
      </c>
      <c r="DI44" s="55" t="str">
        <f t="shared" si="78"/>
        <v/>
      </c>
      <c r="DJ44" s="55" t="str">
        <f t="shared" si="78"/>
        <v/>
      </c>
      <c r="DK44" s="55" t="str">
        <f t="shared" si="78"/>
        <v/>
      </c>
      <c r="DL44" s="55" t="str">
        <f t="shared" si="78"/>
        <v/>
      </c>
      <c r="DM44" s="55" t="str">
        <f t="shared" si="78"/>
        <v/>
      </c>
      <c r="DN44" s="55" t="str">
        <f t="shared" si="78"/>
        <v/>
      </c>
      <c r="DO44" s="55" t="str">
        <f t="shared" si="78"/>
        <v/>
      </c>
      <c r="DP44" s="55" t="str">
        <f t="shared" si="78"/>
        <v/>
      </c>
      <c r="DQ44" s="55" t="str">
        <f t="shared" si="78"/>
        <v/>
      </c>
      <c r="DR44" s="55" t="str">
        <f t="shared" si="78"/>
        <v/>
      </c>
      <c r="DS44" s="55" t="str">
        <f t="shared" si="78"/>
        <v/>
      </c>
      <c r="DT44" s="106" t="str">
        <f t="shared" si="78"/>
        <v/>
      </c>
      <c r="DU44" s="54"/>
      <c r="DV44" s="25"/>
      <c r="DW44" s="61" t="str">
        <f t="shared" si="79"/>
        <v/>
      </c>
      <c r="DX44" s="50" t="str">
        <f t="shared" si="79"/>
        <v/>
      </c>
      <c r="DY44" s="50" t="str">
        <f t="shared" si="79"/>
        <v/>
      </c>
      <c r="DZ44" s="50" t="str">
        <f t="shared" si="79"/>
        <v/>
      </c>
      <c r="EA44" s="50" t="str">
        <f t="shared" si="79"/>
        <v/>
      </c>
      <c r="EB44" s="50" t="str">
        <f t="shared" si="79"/>
        <v/>
      </c>
      <c r="EC44" s="50" t="str">
        <f t="shared" si="79"/>
        <v/>
      </c>
      <c r="ED44" s="50" t="str">
        <f t="shared" si="79"/>
        <v/>
      </c>
      <c r="EE44" s="50" t="str">
        <f t="shared" si="79"/>
        <v/>
      </c>
      <c r="EF44" s="50" t="str">
        <f t="shared" si="79"/>
        <v/>
      </c>
      <c r="EG44" s="50" t="str">
        <f t="shared" si="79"/>
        <v/>
      </c>
      <c r="EH44" s="50" t="str">
        <f t="shared" si="79"/>
        <v/>
      </c>
      <c r="EI44" s="50" t="str">
        <f t="shared" si="79"/>
        <v/>
      </c>
      <c r="EJ44" s="50" t="str">
        <f t="shared" si="79"/>
        <v/>
      </c>
      <c r="EK44" s="50" t="str">
        <f t="shared" si="79"/>
        <v/>
      </c>
      <c r="EL44" s="50" t="str">
        <f t="shared" si="79"/>
        <v/>
      </c>
      <c r="EM44" s="50" t="str">
        <f t="shared" si="80"/>
        <v/>
      </c>
      <c r="EN44" s="50" t="str">
        <f t="shared" si="80"/>
        <v/>
      </c>
      <c r="EO44" s="50" t="str">
        <f t="shared" si="80"/>
        <v/>
      </c>
      <c r="EP44" s="50" t="str">
        <f t="shared" si="80"/>
        <v/>
      </c>
      <c r="EQ44" s="50" t="str">
        <f t="shared" si="80"/>
        <v/>
      </c>
      <c r="ER44" s="50" t="str">
        <f t="shared" si="80"/>
        <v/>
      </c>
      <c r="ES44" s="50" t="str">
        <f t="shared" si="80"/>
        <v/>
      </c>
      <c r="ET44" s="50" t="str">
        <f t="shared" si="80"/>
        <v/>
      </c>
      <c r="EU44" s="50" t="str">
        <f t="shared" si="80"/>
        <v/>
      </c>
      <c r="EV44" s="50" t="str">
        <f t="shared" si="80"/>
        <v/>
      </c>
      <c r="EW44" s="50" t="str">
        <f t="shared" si="80"/>
        <v/>
      </c>
      <c r="EX44" s="50" t="str">
        <f t="shared" si="80"/>
        <v/>
      </c>
      <c r="EY44" s="50" t="str">
        <f t="shared" si="80"/>
        <v/>
      </c>
      <c r="EZ44" s="50" t="str">
        <f t="shared" si="80"/>
        <v/>
      </c>
      <c r="FA44" s="50" t="str">
        <f t="shared" si="80"/>
        <v/>
      </c>
      <c r="FB44" s="50" t="str">
        <f t="shared" si="80"/>
        <v/>
      </c>
      <c r="FC44" s="50" t="str">
        <f t="shared" si="81"/>
        <v/>
      </c>
      <c r="FD44" s="50" t="str">
        <f t="shared" si="81"/>
        <v/>
      </c>
      <c r="FE44" s="50" t="str">
        <f t="shared" si="81"/>
        <v/>
      </c>
      <c r="FF44" s="50" t="str">
        <f t="shared" si="81"/>
        <v/>
      </c>
      <c r="FG44" s="50" t="str">
        <f t="shared" si="81"/>
        <v/>
      </c>
      <c r="FH44" s="50" t="str">
        <f t="shared" si="81"/>
        <v/>
      </c>
      <c r="FI44" s="50" t="str">
        <f t="shared" si="81"/>
        <v/>
      </c>
      <c r="FJ44" s="50" t="str">
        <f t="shared" si="81"/>
        <v/>
      </c>
      <c r="FK44" s="50" t="str">
        <f t="shared" si="81"/>
        <v/>
      </c>
      <c r="FL44" s="50" t="str">
        <f t="shared" si="81"/>
        <v/>
      </c>
      <c r="FM44" s="50" t="str">
        <f t="shared" si="81"/>
        <v/>
      </c>
      <c r="FN44" s="50" t="str">
        <f t="shared" si="81"/>
        <v/>
      </c>
      <c r="FO44" s="50" t="str">
        <f t="shared" si="81"/>
        <v/>
      </c>
      <c r="FP44" s="50" t="str">
        <f t="shared" si="81"/>
        <v/>
      </c>
      <c r="FQ44" s="50" t="str">
        <f t="shared" si="81"/>
        <v/>
      </c>
      <c r="FR44" s="50" t="str">
        <f t="shared" si="81"/>
        <v/>
      </c>
      <c r="FS44" s="50" t="str">
        <f t="shared" si="82"/>
        <v/>
      </c>
      <c r="FT44" s="50" t="str">
        <f t="shared" si="82"/>
        <v/>
      </c>
      <c r="FU44" s="50" t="str">
        <f t="shared" si="82"/>
        <v/>
      </c>
      <c r="FV44" s="50" t="str">
        <f t="shared" si="82"/>
        <v/>
      </c>
      <c r="FW44" s="50" t="str">
        <f t="shared" si="82"/>
        <v/>
      </c>
      <c r="FX44" s="50" t="str">
        <f t="shared" si="82"/>
        <v/>
      </c>
      <c r="FY44" s="50" t="str">
        <f t="shared" si="82"/>
        <v/>
      </c>
      <c r="FZ44" s="50" t="str">
        <f t="shared" si="82"/>
        <v/>
      </c>
      <c r="GA44" s="50" t="str">
        <f t="shared" si="82"/>
        <v/>
      </c>
      <c r="GB44" s="50" t="str">
        <f t="shared" si="82"/>
        <v/>
      </c>
      <c r="GC44" s="50" t="str">
        <f t="shared" si="82"/>
        <v/>
      </c>
      <c r="GD44" s="50" t="str">
        <f t="shared" si="82"/>
        <v/>
      </c>
      <c r="GE44" s="50" t="str">
        <f t="shared" si="82"/>
        <v/>
      </c>
      <c r="GF44" s="50" t="str">
        <f t="shared" si="82"/>
        <v/>
      </c>
      <c r="GG44" s="50" t="str">
        <f t="shared" si="82"/>
        <v/>
      </c>
      <c r="GH44" s="50" t="str">
        <f t="shared" si="82"/>
        <v/>
      </c>
      <c r="GI44" s="50" t="str">
        <f t="shared" si="82"/>
        <v/>
      </c>
      <c r="GJ44" s="50" t="str">
        <f t="shared" si="82"/>
        <v/>
      </c>
      <c r="GK44" s="50" t="str">
        <f t="shared" si="82"/>
        <v/>
      </c>
      <c r="GL44" s="50" t="str">
        <f t="shared" si="82"/>
        <v/>
      </c>
      <c r="GM44" s="50" t="str">
        <f t="shared" si="82"/>
        <v/>
      </c>
      <c r="GN44" s="50" t="str">
        <f t="shared" si="82"/>
        <v/>
      </c>
      <c r="GO44" s="50" t="str">
        <f t="shared" si="82"/>
        <v/>
      </c>
      <c r="GP44" s="50" t="str">
        <f t="shared" si="82"/>
        <v/>
      </c>
      <c r="GQ44" s="50" t="str">
        <f t="shared" si="82"/>
        <v/>
      </c>
      <c r="GR44" s="50" t="str">
        <f t="shared" si="82"/>
        <v/>
      </c>
      <c r="GS44" s="50">
        <f t="shared" si="82"/>
        <v>0</v>
      </c>
      <c r="GT44" s="50" t="str">
        <f t="shared" si="82"/>
        <v/>
      </c>
      <c r="GU44" s="50" t="str">
        <f t="shared" si="82"/>
        <v/>
      </c>
      <c r="GV44" s="50" t="str">
        <f t="shared" si="82"/>
        <v/>
      </c>
      <c r="GW44" s="50" t="str">
        <f t="shared" si="82"/>
        <v/>
      </c>
      <c r="GX44" s="50" t="str">
        <f t="shared" si="82"/>
        <v/>
      </c>
      <c r="GY44" s="50" t="str">
        <f t="shared" si="82"/>
        <v/>
      </c>
      <c r="GZ44" s="50" t="str">
        <f t="shared" si="82"/>
        <v/>
      </c>
      <c r="HA44" s="50" t="str">
        <f t="shared" si="82"/>
        <v/>
      </c>
      <c r="HB44" s="50" t="str">
        <f t="shared" si="82"/>
        <v/>
      </c>
      <c r="HC44" s="50" t="str">
        <f t="shared" si="82"/>
        <v/>
      </c>
      <c r="HD44" s="50" t="str">
        <f t="shared" si="82"/>
        <v/>
      </c>
      <c r="HE44" s="50" t="str">
        <f t="shared" si="82"/>
        <v/>
      </c>
      <c r="HF44" s="50" t="str">
        <f t="shared" si="82"/>
        <v/>
      </c>
      <c r="HG44" s="50" t="str">
        <f t="shared" si="82"/>
        <v/>
      </c>
      <c r="HH44" s="50" t="str">
        <f t="shared" si="82"/>
        <v/>
      </c>
      <c r="HI44" s="50" t="str">
        <f t="shared" si="82"/>
        <v/>
      </c>
      <c r="HJ44" s="50" t="str">
        <f t="shared" si="82"/>
        <v/>
      </c>
      <c r="HK44" s="50" t="str">
        <f t="shared" si="82"/>
        <v/>
      </c>
      <c r="HL44" s="50" t="str">
        <f t="shared" si="82"/>
        <v/>
      </c>
      <c r="HM44" s="50" t="str">
        <f t="shared" si="82"/>
        <v/>
      </c>
      <c r="HN44" s="50" t="str">
        <f t="shared" si="82"/>
        <v/>
      </c>
      <c r="HO44" s="50" t="str">
        <f t="shared" si="82"/>
        <v/>
      </c>
      <c r="HP44" s="50" t="str">
        <f t="shared" si="82"/>
        <v/>
      </c>
      <c r="HQ44" s="50" t="str">
        <f t="shared" si="82"/>
        <v/>
      </c>
      <c r="HR44" s="112" t="str">
        <f t="shared" si="82"/>
        <v/>
      </c>
    </row>
    <row r="45" spans="1:226" ht="11.1" customHeight="1" x14ac:dyDescent="0.25">
      <c r="A45" s="26"/>
      <c r="B45" s="27"/>
      <c r="C45" s="28" t="str">
        <f>IF(A45=0,"",VLOOKUP(A45,[2]CO!$A$3:$F$5327,2,0))</f>
        <v/>
      </c>
      <c r="D45" s="29"/>
      <c r="E45" s="29"/>
      <c r="F45" s="101" t="str">
        <f t="shared" si="72"/>
        <v/>
      </c>
      <c r="G45" s="30" t="str">
        <f>IF(A45=0,"",VLOOKUP(A45,[2]CO!$A$3:$F$5327,3,0))</f>
        <v/>
      </c>
      <c r="H45" s="95"/>
      <c r="I45" s="31"/>
      <c r="J45" s="31"/>
      <c r="K45" s="31"/>
      <c r="L45" s="31"/>
      <c r="M45" s="32" t="str">
        <f t="shared" si="73"/>
        <v/>
      </c>
      <c r="N45" s="32" t="str">
        <f>IF(B45=0,"",IF(H45="M",HLOOKUP(B45,$Y$12:$DT$13,2),IF(A45=0,"",VLOOKUP(A45,[2]CO!$A$3:$F$5327,4,0))))</f>
        <v/>
      </c>
      <c r="O45" s="32" t="str">
        <f t="shared" si="7"/>
        <v/>
      </c>
      <c r="P45" s="33"/>
      <c r="Q45" s="34" t="str">
        <f t="shared" si="74"/>
        <v/>
      </c>
      <c r="R45" s="35"/>
      <c r="T45" s="53" t="str">
        <f>IF(A45=0,"",VLOOKUP(A45,[2]CO!$A$3:$F$5318,5,0))</f>
        <v/>
      </c>
      <c r="U45" s="54">
        <f t="shared" si="38"/>
        <v>0</v>
      </c>
      <c r="V45" s="24"/>
      <c r="W45" s="25"/>
      <c r="X45" s="25"/>
      <c r="Y45" s="64" t="str">
        <f t="shared" si="75"/>
        <v/>
      </c>
      <c r="Z45" s="55" t="str">
        <f t="shared" si="75"/>
        <v/>
      </c>
      <c r="AA45" s="55" t="str">
        <f t="shared" si="75"/>
        <v/>
      </c>
      <c r="AB45" s="55" t="str">
        <f t="shared" si="75"/>
        <v/>
      </c>
      <c r="AC45" s="55" t="str">
        <f t="shared" si="75"/>
        <v/>
      </c>
      <c r="AD45" s="55" t="str">
        <f t="shared" si="75"/>
        <v/>
      </c>
      <c r="AE45" s="55" t="str">
        <f t="shared" si="75"/>
        <v/>
      </c>
      <c r="AF45" s="55" t="str">
        <f t="shared" si="75"/>
        <v/>
      </c>
      <c r="AG45" s="55" t="str">
        <f t="shared" si="75"/>
        <v/>
      </c>
      <c r="AH45" s="55" t="str">
        <f t="shared" si="75"/>
        <v/>
      </c>
      <c r="AI45" s="55" t="str">
        <f t="shared" si="75"/>
        <v/>
      </c>
      <c r="AJ45" s="55" t="str">
        <f t="shared" si="75"/>
        <v/>
      </c>
      <c r="AK45" s="55" t="str">
        <f t="shared" si="75"/>
        <v/>
      </c>
      <c r="AL45" s="55" t="str">
        <f t="shared" si="75"/>
        <v/>
      </c>
      <c r="AM45" s="55" t="str">
        <f t="shared" si="75"/>
        <v/>
      </c>
      <c r="AN45" s="55" t="str">
        <f t="shared" si="75"/>
        <v/>
      </c>
      <c r="AO45" s="55" t="str">
        <f t="shared" si="76"/>
        <v/>
      </c>
      <c r="AP45" s="55" t="str">
        <f t="shared" si="76"/>
        <v/>
      </c>
      <c r="AQ45" s="55" t="str">
        <f t="shared" si="76"/>
        <v/>
      </c>
      <c r="AR45" s="55" t="str">
        <f t="shared" si="76"/>
        <v/>
      </c>
      <c r="AS45" s="55" t="str">
        <f t="shared" si="76"/>
        <v/>
      </c>
      <c r="AT45" s="55" t="str">
        <f t="shared" si="76"/>
        <v/>
      </c>
      <c r="AU45" s="55" t="str">
        <f t="shared" si="76"/>
        <v/>
      </c>
      <c r="AV45" s="55" t="str">
        <f t="shared" si="76"/>
        <v/>
      </c>
      <c r="AW45" s="55" t="str">
        <f t="shared" si="76"/>
        <v/>
      </c>
      <c r="AX45" s="55" t="str">
        <f t="shared" si="76"/>
        <v/>
      </c>
      <c r="AY45" s="55" t="str">
        <f t="shared" si="76"/>
        <v/>
      </c>
      <c r="AZ45" s="55" t="str">
        <f t="shared" si="76"/>
        <v/>
      </c>
      <c r="BA45" s="55" t="str">
        <f t="shared" si="76"/>
        <v/>
      </c>
      <c r="BB45" s="55" t="str">
        <f t="shared" si="76"/>
        <v/>
      </c>
      <c r="BC45" s="55" t="str">
        <f t="shared" si="76"/>
        <v/>
      </c>
      <c r="BD45" s="55" t="str">
        <f t="shared" si="76"/>
        <v/>
      </c>
      <c r="BE45" s="55" t="str">
        <f t="shared" si="77"/>
        <v/>
      </c>
      <c r="BF45" s="55" t="str">
        <f t="shared" si="77"/>
        <v/>
      </c>
      <c r="BG45" s="55" t="str">
        <f t="shared" si="77"/>
        <v/>
      </c>
      <c r="BH45" s="55" t="str">
        <f t="shared" si="77"/>
        <v/>
      </c>
      <c r="BI45" s="55" t="str">
        <f t="shared" si="77"/>
        <v/>
      </c>
      <c r="BJ45" s="55" t="str">
        <f t="shared" si="77"/>
        <v/>
      </c>
      <c r="BK45" s="55" t="str">
        <f t="shared" si="77"/>
        <v/>
      </c>
      <c r="BL45" s="55" t="str">
        <f t="shared" si="77"/>
        <v/>
      </c>
      <c r="BM45" s="55" t="str">
        <f t="shared" si="77"/>
        <v/>
      </c>
      <c r="BN45" s="55" t="str">
        <f t="shared" si="77"/>
        <v/>
      </c>
      <c r="BO45" s="55" t="str">
        <f t="shared" si="77"/>
        <v/>
      </c>
      <c r="BP45" s="55" t="str">
        <f t="shared" si="77"/>
        <v/>
      </c>
      <c r="BQ45" s="55" t="str">
        <f t="shared" si="77"/>
        <v/>
      </c>
      <c r="BR45" s="55" t="str">
        <f t="shared" si="77"/>
        <v/>
      </c>
      <c r="BS45" s="55" t="str">
        <f t="shared" si="77"/>
        <v/>
      </c>
      <c r="BT45" s="55" t="str">
        <f t="shared" si="77"/>
        <v/>
      </c>
      <c r="BU45" s="55" t="str">
        <f t="shared" si="78"/>
        <v/>
      </c>
      <c r="BV45" s="55" t="str">
        <f t="shared" si="78"/>
        <v/>
      </c>
      <c r="BW45" s="55" t="str">
        <f t="shared" si="78"/>
        <v/>
      </c>
      <c r="BX45" s="55" t="str">
        <f t="shared" si="78"/>
        <v/>
      </c>
      <c r="BY45" s="55" t="str">
        <f t="shared" si="78"/>
        <v/>
      </c>
      <c r="BZ45" s="55" t="str">
        <f t="shared" si="78"/>
        <v/>
      </c>
      <c r="CA45" s="55" t="str">
        <f t="shared" si="78"/>
        <v/>
      </c>
      <c r="CB45" s="55" t="str">
        <f t="shared" si="78"/>
        <v/>
      </c>
      <c r="CC45" s="55" t="str">
        <f t="shared" si="78"/>
        <v/>
      </c>
      <c r="CD45" s="55" t="str">
        <f t="shared" si="78"/>
        <v/>
      </c>
      <c r="CE45" s="55" t="str">
        <f t="shared" si="78"/>
        <v/>
      </c>
      <c r="CF45" s="55" t="str">
        <f t="shared" si="78"/>
        <v/>
      </c>
      <c r="CG45" s="55" t="str">
        <f t="shared" si="78"/>
        <v/>
      </c>
      <c r="CH45" s="55" t="str">
        <f t="shared" si="78"/>
        <v/>
      </c>
      <c r="CI45" s="55" t="str">
        <f t="shared" si="78"/>
        <v/>
      </c>
      <c r="CJ45" s="55" t="str">
        <f t="shared" si="78"/>
        <v/>
      </c>
      <c r="CK45" s="55" t="str">
        <f t="shared" si="78"/>
        <v/>
      </c>
      <c r="CL45" s="55" t="str">
        <f t="shared" si="78"/>
        <v/>
      </c>
      <c r="CM45" s="55" t="str">
        <f t="shared" si="78"/>
        <v/>
      </c>
      <c r="CN45" s="55" t="str">
        <f t="shared" si="78"/>
        <v/>
      </c>
      <c r="CO45" s="55" t="str">
        <f t="shared" si="78"/>
        <v/>
      </c>
      <c r="CP45" s="55" t="str">
        <f t="shared" si="78"/>
        <v/>
      </c>
      <c r="CQ45" s="55" t="str">
        <f t="shared" si="78"/>
        <v/>
      </c>
      <c r="CR45" s="55" t="str">
        <f t="shared" si="78"/>
        <v/>
      </c>
      <c r="CS45" s="55" t="str">
        <f t="shared" si="78"/>
        <v/>
      </c>
      <c r="CT45" s="55" t="str">
        <f t="shared" si="78"/>
        <v/>
      </c>
      <c r="CU45" s="55" t="str">
        <f t="shared" si="78"/>
        <v/>
      </c>
      <c r="CV45" s="55" t="str">
        <f t="shared" si="78"/>
        <v/>
      </c>
      <c r="CW45" s="55" t="str">
        <f t="shared" si="78"/>
        <v/>
      </c>
      <c r="CX45" s="55" t="str">
        <f t="shared" si="78"/>
        <v/>
      </c>
      <c r="CY45" s="55" t="str">
        <f t="shared" si="78"/>
        <v/>
      </c>
      <c r="CZ45" s="55" t="str">
        <f t="shared" si="78"/>
        <v/>
      </c>
      <c r="DA45" s="55" t="str">
        <f t="shared" si="78"/>
        <v/>
      </c>
      <c r="DB45" s="55" t="str">
        <f t="shared" si="78"/>
        <v/>
      </c>
      <c r="DC45" s="55" t="str">
        <f t="shared" si="78"/>
        <v/>
      </c>
      <c r="DD45" s="55" t="str">
        <f t="shared" si="78"/>
        <v/>
      </c>
      <c r="DE45" s="55" t="str">
        <f t="shared" si="78"/>
        <v/>
      </c>
      <c r="DF45" s="55" t="str">
        <f t="shared" si="78"/>
        <v/>
      </c>
      <c r="DG45" s="55" t="str">
        <f t="shared" si="78"/>
        <v/>
      </c>
      <c r="DH45" s="55" t="str">
        <f t="shared" si="78"/>
        <v/>
      </c>
      <c r="DI45" s="55" t="str">
        <f t="shared" si="78"/>
        <v/>
      </c>
      <c r="DJ45" s="55" t="str">
        <f t="shared" si="78"/>
        <v/>
      </c>
      <c r="DK45" s="55" t="str">
        <f t="shared" si="78"/>
        <v/>
      </c>
      <c r="DL45" s="55" t="str">
        <f t="shared" si="78"/>
        <v/>
      </c>
      <c r="DM45" s="55" t="str">
        <f t="shared" si="78"/>
        <v/>
      </c>
      <c r="DN45" s="55" t="str">
        <f t="shared" si="78"/>
        <v/>
      </c>
      <c r="DO45" s="55" t="str">
        <f t="shared" si="78"/>
        <v/>
      </c>
      <c r="DP45" s="55" t="str">
        <f t="shared" si="78"/>
        <v/>
      </c>
      <c r="DQ45" s="55" t="str">
        <f t="shared" si="78"/>
        <v/>
      </c>
      <c r="DR45" s="55" t="str">
        <f t="shared" si="78"/>
        <v/>
      </c>
      <c r="DS45" s="55" t="str">
        <f t="shared" si="78"/>
        <v/>
      </c>
      <c r="DT45" s="106" t="str">
        <f t="shared" si="78"/>
        <v/>
      </c>
      <c r="DU45" s="54"/>
      <c r="DV45" s="25"/>
      <c r="DW45" s="61" t="str">
        <f t="shared" si="79"/>
        <v/>
      </c>
      <c r="DX45" s="50" t="str">
        <f t="shared" si="79"/>
        <v/>
      </c>
      <c r="DY45" s="50" t="str">
        <f t="shared" si="79"/>
        <v/>
      </c>
      <c r="DZ45" s="50" t="str">
        <f t="shared" si="79"/>
        <v/>
      </c>
      <c r="EA45" s="50" t="str">
        <f t="shared" si="79"/>
        <v/>
      </c>
      <c r="EB45" s="50" t="str">
        <f t="shared" si="79"/>
        <v/>
      </c>
      <c r="EC45" s="50" t="str">
        <f t="shared" si="79"/>
        <v/>
      </c>
      <c r="ED45" s="50" t="str">
        <f t="shared" si="79"/>
        <v/>
      </c>
      <c r="EE45" s="50" t="str">
        <f t="shared" si="79"/>
        <v/>
      </c>
      <c r="EF45" s="50" t="str">
        <f t="shared" si="79"/>
        <v/>
      </c>
      <c r="EG45" s="50" t="str">
        <f t="shared" si="79"/>
        <v/>
      </c>
      <c r="EH45" s="50" t="str">
        <f t="shared" si="79"/>
        <v/>
      </c>
      <c r="EI45" s="50" t="str">
        <f t="shared" si="79"/>
        <v/>
      </c>
      <c r="EJ45" s="50" t="str">
        <f t="shared" si="79"/>
        <v/>
      </c>
      <c r="EK45" s="50" t="str">
        <f t="shared" si="79"/>
        <v/>
      </c>
      <c r="EL45" s="50" t="str">
        <f t="shared" si="79"/>
        <v/>
      </c>
      <c r="EM45" s="50" t="str">
        <f t="shared" si="80"/>
        <v/>
      </c>
      <c r="EN45" s="50" t="str">
        <f t="shared" si="80"/>
        <v/>
      </c>
      <c r="EO45" s="50" t="str">
        <f t="shared" si="80"/>
        <v/>
      </c>
      <c r="EP45" s="50" t="str">
        <f t="shared" si="80"/>
        <v/>
      </c>
      <c r="EQ45" s="50" t="str">
        <f t="shared" si="80"/>
        <v/>
      </c>
      <c r="ER45" s="50" t="str">
        <f t="shared" si="80"/>
        <v/>
      </c>
      <c r="ES45" s="50" t="str">
        <f t="shared" si="80"/>
        <v/>
      </c>
      <c r="ET45" s="50" t="str">
        <f t="shared" si="80"/>
        <v/>
      </c>
      <c r="EU45" s="50" t="str">
        <f t="shared" si="80"/>
        <v/>
      </c>
      <c r="EV45" s="50" t="str">
        <f t="shared" si="80"/>
        <v/>
      </c>
      <c r="EW45" s="50" t="str">
        <f t="shared" si="80"/>
        <v/>
      </c>
      <c r="EX45" s="50" t="str">
        <f t="shared" si="80"/>
        <v/>
      </c>
      <c r="EY45" s="50" t="str">
        <f t="shared" si="80"/>
        <v/>
      </c>
      <c r="EZ45" s="50" t="str">
        <f t="shared" si="80"/>
        <v/>
      </c>
      <c r="FA45" s="50" t="str">
        <f t="shared" si="80"/>
        <v/>
      </c>
      <c r="FB45" s="50" t="str">
        <f t="shared" si="80"/>
        <v/>
      </c>
      <c r="FC45" s="50" t="str">
        <f t="shared" si="81"/>
        <v/>
      </c>
      <c r="FD45" s="50" t="str">
        <f t="shared" si="81"/>
        <v/>
      </c>
      <c r="FE45" s="50" t="str">
        <f t="shared" si="81"/>
        <v/>
      </c>
      <c r="FF45" s="50" t="str">
        <f t="shared" si="81"/>
        <v/>
      </c>
      <c r="FG45" s="50" t="str">
        <f t="shared" si="81"/>
        <v/>
      </c>
      <c r="FH45" s="50" t="str">
        <f t="shared" si="81"/>
        <v/>
      </c>
      <c r="FI45" s="50" t="str">
        <f t="shared" si="81"/>
        <v/>
      </c>
      <c r="FJ45" s="50" t="str">
        <f t="shared" si="81"/>
        <v/>
      </c>
      <c r="FK45" s="50" t="str">
        <f t="shared" si="81"/>
        <v/>
      </c>
      <c r="FL45" s="50" t="str">
        <f t="shared" si="81"/>
        <v/>
      </c>
      <c r="FM45" s="50" t="str">
        <f t="shared" si="81"/>
        <v/>
      </c>
      <c r="FN45" s="50" t="str">
        <f t="shared" si="81"/>
        <v/>
      </c>
      <c r="FO45" s="50" t="str">
        <f t="shared" si="81"/>
        <v/>
      </c>
      <c r="FP45" s="50" t="str">
        <f t="shared" si="81"/>
        <v/>
      </c>
      <c r="FQ45" s="50" t="str">
        <f t="shared" si="81"/>
        <v/>
      </c>
      <c r="FR45" s="50" t="str">
        <f t="shared" si="81"/>
        <v/>
      </c>
      <c r="FS45" s="50" t="str">
        <f t="shared" si="82"/>
        <v/>
      </c>
      <c r="FT45" s="50" t="str">
        <f t="shared" si="82"/>
        <v/>
      </c>
      <c r="FU45" s="50" t="str">
        <f t="shared" si="82"/>
        <v/>
      </c>
      <c r="FV45" s="50" t="str">
        <f t="shared" si="82"/>
        <v/>
      </c>
      <c r="FW45" s="50" t="str">
        <f t="shared" si="82"/>
        <v/>
      </c>
      <c r="FX45" s="50" t="str">
        <f t="shared" si="82"/>
        <v/>
      </c>
      <c r="FY45" s="50" t="str">
        <f t="shared" si="82"/>
        <v/>
      </c>
      <c r="FZ45" s="50" t="str">
        <f t="shared" si="82"/>
        <v/>
      </c>
      <c r="GA45" s="50" t="str">
        <f t="shared" si="82"/>
        <v/>
      </c>
      <c r="GB45" s="50" t="str">
        <f t="shared" si="82"/>
        <v/>
      </c>
      <c r="GC45" s="50" t="str">
        <f t="shared" si="82"/>
        <v/>
      </c>
      <c r="GD45" s="50" t="str">
        <f t="shared" si="82"/>
        <v/>
      </c>
      <c r="GE45" s="50" t="str">
        <f t="shared" si="82"/>
        <v/>
      </c>
      <c r="GF45" s="50" t="str">
        <f t="shared" si="82"/>
        <v/>
      </c>
      <c r="GG45" s="50" t="str">
        <f t="shared" si="82"/>
        <v/>
      </c>
      <c r="GH45" s="50" t="str">
        <f t="shared" si="82"/>
        <v/>
      </c>
      <c r="GI45" s="50" t="str">
        <f t="shared" si="82"/>
        <v/>
      </c>
      <c r="GJ45" s="50" t="str">
        <f t="shared" si="82"/>
        <v/>
      </c>
      <c r="GK45" s="50" t="str">
        <f t="shared" si="82"/>
        <v/>
      </c>
      <c r="GL45" s="50" t="str">
        <f t="shared" si="82"/>
        <v/>
      </c>
      <c r="GM45" s="50" t="str">
        <f t="shared" si="82"/>
        <v/>
      </c>
      <c r="GN45" s="50" t="str">
        <f t="shared" si="82"/>
        <v/>
      </c>
      <c r="GO45" s="50" t="str">
        <f t="shared" si="82"/>
        <v/>
      </c>
      <c r="GP45" s="50" t="str">
        <f t="shared" si="82"/>
        <v/>
      </c>
      <c r="GQ45" s="50" t="str">
        <f t="shared" si="82"/>
        <v/>
      </c>
      <c r="GR45" s="50" t="str">
        <f t="shared" si="82"/>
        <v/>
      </c>
      <c r="GS45" s="50" t="str">
        <f t="shared" si="82"/>
        <v/>
      </c>
      <c r="GT45" s="50" t="str">
        <f t="shared" si="82"/>
        <v/>
      </c>
      <c r="GU45" s="50" t="str">
        <f t="shared" si="82"/>
        <v/>
      </c>
      <c r="GV45" s="50" t="str">
        <f t="shared" si="82"/>
        <v/>
      </c>
      <c r="GW45" s="50" t="str">
        <f t="shared" si="82"/>
        <v/>
      </c>
      <c r="GX45" s="50" t="str">
        <f t="shared" si="82"/>
        <v/>
      </c>
      <c r="GY45" s="50" t="str">
        <f t="shared" si="82"/>
        <v/>
      </c>
      <c r="GZ45" s="50" t="str">
        <f t="shared" si="82"/>
        <v/>
      </c>
      <c r="HA45" s="50" t="str">
        <f t="shared" si="82"/>
        <v/>
      </c>
      <c r="HB45" s="50" t="str">
        <f t="shared" si="82"/>
        <v/>
      </c>
      <c r="HC45" s="50" t="str">
        <f t="shared" si="82"/>
        <v/>
      </c>
      <c r="HD45" s="50" t="str">
        <f t="shared" si="82"/>
        <v/>
      </c>
      <c r="HE45" s="50" t="str">
        <f t="shared" si="82"/>
        <v/>
      </c>
      <c r="HF45" s="50" t="str">
        <f t="shared" si="82"/>
        <v/>
      </c>
      <c r="HG45" s="50" t="str">
        <f t="shared" si="82"/>
        <v/>
      </c>
      <c r="HH45" s="50" t="str">
        <f t="shared" si="82"/>
        <v/>
      </c>
      <c r="HI45" s="50" t="str">
        <f t="shared" si="82"/>
        <v/>
      </c>
      <c r="HJ45" s="50" t="str">
        <f t="shared" si="82"/>
        <v/>
      </c>
      <c r="HK45" s="50" t="str">
        <f t="shared" si="82"/>
        <v/>
      </c>
      <c r="HL45" s="50" t="str">
        <f t="shared" si="82"/>
        <v/>
      </c>
      <c r="HM45" s="50" t="str">
        <f t="shared" si="82"/>
        <v/>
      </c>
      <c r="HN45" s="50" t="str">
        <f t="shared" si="82"/>
        <v/>
      </c>
      <c r="HO45" s="50" t="str">
        <f t="shared" si="82"/>
        <v/>
      </c>
      <c r="HP45" s="50" t="str">
        <f t="shared" si="82"/>
        <v/>
      </c>
      <c r="HQ45" s="50" t="str">
        <f t="shared" si="82"/>
        <v/>
      </c>
      <c r="HR45" s="112" t="str">
        <f t="shared" si="82"/>
        <v/>
      </c>
    </row>
    <row r="46" spans="1:226" ht="11.1" customHeight="1" x14ac:dyDescent="0.25">
      <c r="A46" s="26"/>
      <c r="B46" s="27"/>
      <c r="C46" s="28" t="str">
        <f>IF(A46=0,"",VLOOKUP(A46,[2]CO!$A$3:$F$5327,2,0))</f>
        <v/>
      </c>
      <c r="D46" s="29"/>
      <c r="E46" s="29"/>
      <c r="F46" s="101" t="str">
        <f t="shared" si="72"/>
        <v/>
      </c>
      <c r="G46" s="30" t="str">
        <f>IF(A46=0,"",VLOOKUP(A46,[2]CO!$A$3:$F$5327,3,0))</f>
        <v/>
      </c>
      <c r="H46" s="95"/>
      <c r="I46" s="31"/>
      <c r="J46" s="31"/>
      <c r="K46" s="31"/>
      <c r="L46" s="31"/>
      <c r="M46" s="32" t="str">
        <f t="shared" si="73"/>
        <v/>
      </c>
      <c r="N46" s="32" t="str">
        <f>IF(B46=0,"",IF(H46="M",HLOOKUP(B46,$Y$12:$DT$13,2),IF(A46=0,"",VLOOKUP(A46,[2]CO!$A$3:$F$5327,4,0))))</f>
        <v/>
      </c>
      <c r="O46" s="32" t="str">
        <f t="shared" si="7"/>
        <v/>
      </c>
      <c r="P46" s="33"/>
      <c r="Q46" s="34" t="str">
        <f t="shared" si="74"/>
        <v/>
      </c>
      <c r="R46" s="35"/>
      <c r="T46" s="53" t="str">
        <f>IF(A46=0,"",VLOOKUP(A46,[2]CO!$A$3:$F$5318,5,0))</f>
        <v/>
      </c>
      <c r="U46" s="54">
        <f t="shared" si="38"/>
        <v>0</v>
      </c>
      <c r="V46" s="24"/>
      <c r="W46" s="25"/>
      <c r="X46" s="25"/>
      <c r="Y46" s="64" t="str">
        <f t="shared" si="75"/>
        <v/>
      </c>
      <c r="Z46" s="55" t="str">
        <f t="shared" si="75"/>
        <v/>
      </c>
      <c r="AA46" s="55" t="str">
        <f t="shared" si="75"/>
        <v/>
      </c>
      <c r="AB46" s="55" t="str">
        <f t="shared" si="75"/>
        <v/>
      </c>
      <c r="AC46" s="55" t="str">
        <f t="shared" si="75"/>
        <v/>
      </c>
      <c r="AD46" s="55" t="str">
        <f t="shared" si="75"/>
        <v/>
      </c>
      <c r="AE46" s="55" t="str">
        <f t="shared" si="75"/>
        <v/>
      </c>
      <c r="AF46" s="55" t="str">
        <f t="shared" si="75"/>
        <v/>
      </c>
      <c r="AG46" s="55" t="str">
        <f t="shared" si="75"/>
        <v/>
      </c>
      <c r="AH46" s="55" t="str">
        <f t="shared" si="75"/>
        <v/>
      </c>
      <c r="AI46" s="55" t="str">
        <f t="shared" si="75"/>
        <v/>
      </c>
      <c r="AJ46" s="55" t="str">
        <f t="shared" si="75"/>
        <v/>
      </c>
      <c r="AK46" s="55" t="str">
        <f t="shared" si="75"/>
        <v/>
      </c>
      <c r="AL46" s="55" t="str">
        <f t="shared" si="75"/>
        <v/>
      </c>
      <c r="AM46" s="55" t="str">
        <f t="shared" si="75"/>
        <v/>
      </c>
      <c r="AN46" s="55" t="str">
        <f t="shared" si="75"/>
        <v/>
      </c>
      <c r="AO46" s="55" t="str">
        <f t="shared" si="76"/>
        <v/>
      </c>
      <c r="AP46" s="55" t="str">
        <f t="shared" si="76"/>
        <v/>
      </c>
      <c r="AQ46" s="55" t="str">
        <f t="shared" si="76"/>
        <v/>
      </c>
      <c r="AR46" s="55" t="str">
        <f t="shared" si="76"/>
        <v/>
      </c>
      <c r="AS46" s="55" t="str">
        <f t="shared" si="76"/>
        <v/>
      </c>
      <c r="AT46" s="55" t="str">
        <f t="shared" si="76"/>
        <v/>
      </c>
      <c r="AU46" s="55" t="str">
        <f t="shared" si="76"/>
        <v/>
      </c>
      <c r="AV46" s="55" t="str">
        <f t="shared" si="76"/>
        <v/>
      </c>
      <c r="AW46" s="55" t="str">
        <f t="shared" si="76"/>
        <v/>
      </c>
      <c r="AX46" s="55" t="str">
        <f t="shared" si="76"/>
        <v/>
      </c>
      <c r="AY46" s="55" t="str">
        <f t="shared" si="76"/>
        <v/>
      </c>
      <c r="AZ46" s="55" t="str">
        <f t="shared" si="76"/>
        <v/>
      </c>
      <c r="BA46" s="55" t="str">
        <f t="shared" si="76"/>
        <v/>
      </c>
      <c r="BB46" s="55" t="str">
        <f t="shared" si="76"/>
        <v/>
      </c>
      <c r="BC46" s="55" t="str">
        <f t="shared" si="76"/>
        <v/>
      </c>
      <c r="BD46" s="55" t="str">
        <f t="shared" si="76"/>
        <v/>
      </c>
      <c r="BE46" s="55" t="str">
        <f t="shared" si="77"/>
        <v/>
      </c>
      <c r="BF46" s="55" t="str">
        <f t="shared" si="77"/>
        <v/>
      </c>
      <c r="BG46" s="55" t="str">
        <f t="shared" si="77"/>
        <v/>
      </c>
      <c r="BH46" s="55" t="str">
        <f t="shared" si="77"/>
        <v/>
      </c>
      <c r="BI46" s="55" t="str">
        <f t="shared" si="77"/>
        <v/>
      </c>
      <c r="BJ46" s="55" t="str">
        <f t="shared" si="77"/>
        <v/>
      </c>
      <c r="BK46" s="55" t="str">
        <f t="shared" si="77"/>
        <v/>
      </c>
      <c r="BL46" s="55" t="str">
        <f t="shared" si="77"/>
        <v/>
      </c>
      <c r="BM46" s="55" t="str">
        <f t="shared" si="77"/>
        <v/>
      </c>
      <c r="BN46" s="55" t="str">
        <f t="shared" si="77"/>
        <v/>
      </c>
      <c r="BO46" s="55" t="str">
        <f t="shared" si="77"/>
        <v/>
      </c>
      <c r="BP46" s="55" t="str">
        <f t="shared" si="77"/>
        <v/>
      </c>
      <c r="BQ46" s="55" t="str">
        <f t="shared" si="77"/>
        <v/>
      </c>
      <c r="BR46" s="55" t="str">
        <f t="shared" si="77"/>
        <v/>
      </c>
      <c r="BS46" s="55" t="str">
        <f t="shared" si="77"/>
        <v/>
      </c>
      <c r="BT46" s="55" t="str">
        <f t="shared" si="77"/>
        <v/>
      </c>
      <c r="BU46" s="55" t="str">
        <f t="shared" si="78"/>
        <v/>
      </c>
      <c r="BV46" s="55" t="str">
        <f t="shared" si="78"/>
        <v/>
      </c>
      <c r="BW46" s="55" t="str">
        <f t="shared" si="78"/>
        <v/>
      </c>
      <c r="BX46" s="55" t="str">
        <f t="shared" si="78"/>
        <v/>
      </c>
      <c r="BY46" s="55" t="str">
        <f t="shared" si="78"/>
        <v/>
      </c>
      <c r="BZ46" s="55" t="str">
        <f t="shared" si="78"/>
        <v/>
      </c>
      <c r="CA46" s="55" t="str">
        <f t="shared" si="78"/>
        <v/>
      </c>
      <c r="CB46" s="55" t="str">
        <f t="shared" si="78"/>
        <v/>
      </c>
      <c r="CC46" s="55" t="str">
        <f t="shared" si="78"/>
        <v/>
      </c>
      <c r="CD46" s="55" t="str">
        <f t="shared" si="78"/>
        <v/>
      </c>
      <c r="CE46" s="55" t="str">
        <f t="shared" si="78"/>
        <v/>
      </c>
      <c r="CF46" s="55" t="str">
        <f t="shared" si="78"/>
        <v/>
      </c>
      <c r="CG46" s="55" t="str">
        <f t="shared" si="78"/>
        <v/>
      </c>
      <c r="CH46" s="55" t="str">
        <f t="shared" si="78"/>
        <v/>
      </c>
      <c r="CI46" s="55" t="str">
        <f t="shared" si="78"/>
        <v/>
      </c>
      <c r="CJ46" s="55" t="str">
        <f t="shared" si="78"/>
        <v/>
      </c>
      <c r="CK46" s="55" t="str">
        <f t="shared" si="78"/>
        <v/>
      </c>
      <c r="CL46" s="55" t="str">
        <f t="shared" si="78"/>
        <v/>
      </c>
      <c r="CM46" s="55" t="str">
        <f t="shared" si="78"/>
        <v/>
      </c>
      <c r="CN46" s="55" t="str">
        <f t="shared" si="78"/>
        <v/>
      </c>
      <c r="CO46" s="55" t="str">
        <f t="shared" si="78"/>
        <v/>
      </c>
      <c r="CP46" s="55" t="str">
        <f t="shared" si="78"/>
        <v/>
      </c>
      <c r="CQ46" s="55" t="str">
        <f t="shared" si="78"/>
        <v/>
      </c>
      <c r="CR46" s="55" t="str">
        <f t="shared" si="78"/>
        <v/>
      </c>
      <c r="CS46" s="55" t="str">
        <f t="shared" si="78"/>
        <v/>
      </c>
      <c r="CT46" s="55" t="str">
        <f t="shared" si="78"/>
        <v/>
      </c>
      <c r="CU46" s="55" t="str">
        <f t="shared" si="78"/>
        <v/>
      </c>
      <c r="CV46" s="55" t="str">
        <f t="shared" si="78"/>
        <v/>
      </c>
      <c r="CW46" s="55" t="str">
        <f t="shared" si="78"/>
        <v/>
      </c>
      <c r="CX46" s="55" t="str">
        <f t="shared" si="78"/>
        <v/>
      </c>
      <c r="CY46" s="55" t="str">
        <f t="shared" si="78"/>
        <v/>
      </c>
      <c r="CZ46" s="55" t="str">
        <f t="shared" si="78"/>
        <v/>
      </c>
      <c r="DA46" s="55" t="str">
        <f t="shared" si="78"/>
        <v/>
      </c>
      <c r="DB46" s="55" t="str">
        <f t="shared" si="78"/>
        <v/>
      </c>
      <c r="DC46" s="55" t="str">
        <f t="shared" si="78"/>
        <v/>
      </c>
      <c r="DD46" s="55" t="str">
        <f t="shared" si="78"/>
        <v/>
      </c>
      <c r="DE46" s="55" t="str">
        <f t="shared" si="78"/>
        <v/>
      </c>
      <c r="DF46" s="55" t="str">
        <f t="shared" si="78"/>
        <v/>
      </c>
      <c r="DG46" s="55" t="str">
        <f t="shared" si="78"/>
        <v/>
      </c>
      <c r="DH46" s="55" t="str">
        <f t="shared" si="78"/>
        <v/>
      </c>
      <c r="DI46" s="55" t="str">
        <f t="shared" si="78"/>
        <v/>
      </c>
      <c r="DJ46" s="55" t="str">
        <f t="shared" si="78"/>
        <v/>
      </c>
      <c r="DK46" s="55" t="str">
        <f t="shared" si="78"/>
        <v/>
      </c>
      <c r="DL46" s="55" t="str">
        <f t="shared" si="78"/>
        <v/>
      </c>
      <c r="DM46" s="55" t="str">
        <f t="shared" si="78"/>
        <v/>
      </c>
      <c r="DN46" s="55" t="str">
        <f t="shared" si="78"/>
        <v/>
      </c>
      <c r="DO46" s="55" t="str">
        <f t="shared" si="78"/>
        <v/>
      </c>
      <c r="DP46" s="55" t="str">
        <f t="shared" si="78"/>
        <v/>
      </c>
      <c r="DQ46" s="55" t="str">
        <f t="shared" si="78"/>
        <v/>
      </c>
      <c r="DR46" s="55" t="str">
        <f t="shared" si="78"/>
        <v/>
      </c>
      <c r="DS46" s="55" t="str">
        <f t="shared" si="78"/>
        <v/>
      </c>
      <c r="DT46" s="106" t="str">
        <f t="shared" si="78"/>
        <v/>
      </c>
      <c r="DU46" s="54"/>
      <c r="DV46" s="25"/>
      <c r="DW46" s="61" t="str">
        <f t="shared" si="79"/>
        <v/>
      </c>
      <c r="DX46" s="50" t="str">
        <f t="shared" si="79"/>
        <v/>
      </c>
      <c r="DY46" s="50" t="str">
        <f t="shared" si="79"/>
        <v/>
      </c>
      <c r="DZ46" s="50" t="str">
        <f t="shared" si="79"/>
        <v/>
      </c>
      <c r="EA46" s="50" t="str">
        <f t="shared" si="79"/>
        <v/>
      </c>
      <c r="EB46" s="50" t="str">
        <f t="shared" si="79"/>
        <v/>
      </c>
      <c r="EC46" s="50" t="str">
        <f t="shared" si="79"/>
        <v/>
      </c>
      <c r="ED46" s="50" t="str">
        <f t="shared" si="79"/>
        <v/>
      </c>
      <c r="EE46" s="50" t="str">
        <f t="shared" si="79"/>
        <v/>
      </c>
      <c r="EF46" s="50" t="str">
        <f t="shared" si="79"/>
        <v/>
      </c>
      <c r="EG46" s="50" t="str">
        <f t="shared" si="79"/>
        <v/>
      </c>
      <c r="EH46" s="50" t="str">
        <f t="shared" si="79"/>
        <v/>
      </c>
      <c r="EI46" s="50" t="str">
        <f t="shared" si="79"/>
        <v/>
      </c>
      <c r="EJ46" s="50" t="str">
        <f t="shared" si="79"/>
        <v/>
      </c>
      <c r="EK46" s="50" t="str">
        <f t="shared" si="79"/>
        <v/>
      </c>
      <c r="EL46" s="50" t="str">
        <f t="shared" si="79"/>
        <v/>
      </c>
      <c r="EM46" s="50" t="str">
        <f t="shared" si="80"/>
        <v/>
      </c>
      <c r="EN46" s="50" t="str">
        <f t="shared" si="80"/>
        <v/>
      </c>
      <c r="EO46" s="50" t="str">
        <f t="shared" si="80"/>
        <v/>
      </c>
      <c r="EP46" s="50" t="str">
        <f t="shared" si="80"/>
        <v/>
      </c>
      <c r="EQ46" s="50" t="str">
        <f t="shared" si="80"/>
        <v/>
      </c>
      <c r="ER46" s="50" t="str">
        <f t="shared" si="80"/>
        <v/>
      </c>
      <c r="ES46" s="50" t="str">
        <f t="shared" si="80"/>
        <v/>
      </c>
      <c r="ET46" s="50" t="str">
        <f t="shared" si="80"/>
        <v/>
      </c>
      <c r="EU46" s="50" t="str">
        <f t="shared" si="80"/>
        <v/>
      </c>
      <c r="EV46" s="50" t="str">
        <f t="shared" si="80"/>
        <v/>
      </c>
      <c r="EW46" s="50" t="str">
        <f t="shared" si="80"/>
        <v/>
      </c>
      <c r="EX46" s="50" t="str">
        <f t="shared" si="80"/>
        <v/>
      </c>
      <c r="EY46" s="50" t="str">
        <f t="shared" si="80"/>
        <v/>
      </c>
      <c r="EZ46" s="50" t="str">
        <f t="shared" si="80"/>
        <v/>
      </c>
      <c r="FA46" s="50" t="str">
        <f t="shared" si="80"/>
        <v/>
      </c>
      <c r="FB46" s="50" t="str">
        <f t="shared" si="80"/>
        <v/>
      </c>
      <c r="FC46" s="50" t="str">
        <f t="shared" si="81"/>
        <v/>
      </c>
      <c r="FD46" s="50" t="str">
        <f t="shared" si="81"/>
        <v/>
      </c>
      <c r="FE46" s="50" t="str">
        <f t="shared" si="81"/>
        <v/>
      </c>
      <c r="FF46" s="50" t="str">
        <f t="shared" si="81"/>
        <v/>
      </c>
      <c r="FG46" s="50" t="str">
        <f t="shared" si="81"/>
        <v/>
      </c>
      <c r="FH46" s="50" t="str">
        <f t="shared" si="81"/>
        <v/>
      </c>
      <c r="FI46" s="50" t="str">
        <f t="shared" si="81"/>
        <v/>
      </c>
      <c r="FJ46" s="50" t="str">
        <f t="shared" si="81"/>
        <v/>
      </c>
      <c r="FK46" s="50" t="str">
        <f t="shared" si="81"/>
        <v/>
      </c>
      <c r="FL46" s="50" t="str">
        <f t="shared" si="81"/>
        <v/>
      </c>
      <c r="FM46" s="50" t="str">
        <f t="shared" si="81"/>
        <v/>
      </c>
      <c r="FN46" s="50" t="str">
        <f t="shared" si="81"/>
        <v/>
      </c>
      <c r="FO46" s="50" t="str">
        <f t="shared" si="81"/>
        <v/>
      </c>
      <c r="FP46" s="50" t="str">
        <f t="shared" si="81"/>
        <v/>
      </c>
      <c r="FQ46" s="50" t="str">
        <f t="shared" si="81"/>
        <v/>
      </c>
      <c r="FR46" s="50" t="str">
        <f t="shared" si="81"/>
        <v/>
      </c>
      <c r="FS46" s="50" t="str">
        <f t="shared" si="82"/>
        <v/>
      </c>
      <c r="FT46" s="50" t="str">
        <f t="shared" si="82"/>
        <v/>
      </c>
      <c r="FU46" s="50" t="str">
        <f t="shared" si="82"/>
        <v/>
      </c>
      <c r="FV46" s="50" t="str">
        <f t="shared" si="82"/>
        <v/>
      </c>
      <c r="FW46" s="50" t="str">
        <f t="shared" si="82"/>
        <v/>
      </c>
      <c r="FX46" s="50" t="str">
        <f t="shared" si="82"/>
        <v/>
      </c>
      <c r="FY46" s="50" t="str">
        <f t="shared" si="82"/>
        <v/>
      </c>
      <c r="FZ46" s="50" t="str">
        <f t="shared" si="82"/>
        <v/>
      </c>
      <c r="GA46" s="50" t="str">
        <f t="shared" si="82"/>
        <v/>
      </c>
      <c r="GB46" s="50" t="str">
        <f t="shared" si="82"/>
        <v/>
      </c>
      <c r="GC46" s="50" t="str">
        <f t="shared" si="82"/>
        <v/>
      </c>
      <c r="GD46" s="50" t="str">
        <f t="shared" si="82"/>
        <v/>
      </c>
      <c r="GE46" s="50" t="str">
        <f t="shared" si="82"/>
        <v/>
      </c>
      <c r="GF46" s="50" t="str">
        <f t="shared" si="82"/>
        <v/>
      </c>
      <c r="GG46" s="50" t="str">
        <f t="shared" si="82"/>
        <v/>
      </c>
      <c r="GH46" s="50" t="str">
        <f t="shared" si="82"/>
        <v/>
      </c>
      <c r="GI46" s="50" t="str">
        <f t="shared" si="82"/>
        <v/>
      </c>
      <c r="GJ46" s="50" t="str">
        <f t="shared" si="82"/>
        <v/>
      </c>
      <c r="GK46" s="50" t="str">
        <f t="shared" si="82"/>
        <v/>
      </c>
      <c r="GL46" s="50" t="str">
        <f t="shared" si="82"/>
        <v/>
      </c>
      <c r="GM46" s="50" t="str">
        <f t="shared" si="82"/>
        <v/>
      </c>
      <c r="GN46" s="50" t="str">
        <f t="shared" si="82"/>
        <v/>
      </c>
      <c r="GO46" s="50" t="str">
        <f t="shared" si="82"/>
        <v/>
      </c>
      <c r="GP46" s="50" t="str">
        <f t="shared" si="82"/>
        <v/>
      </c>
      <c r="GQ46" s="50" t="str">
        <f t="shared" si="82"/>
        <v/>
      </c>
      <c r="GR46" s="50" t="str">
        <f t="shared" si="82"/>
        <v/>
      </c>
      <c r="GS46" s="50" t="str">
        <f t="shared" si="82"/>
        <v/>
      </c>
      <c r="GT46" s="50" t="str">
        <f t="shared" si="82"/>
        <v/>
      </c>
      <c r="GU46" s="50" t="str">
        <f t="shared" si="82"/>
        <v/>
      </c>
      <c r="GV46" s="50" t="str">
        <f t="shared" si="82"/>
        <v/>
      </c>
      <c r="GW46" s="50" t="str">
        <f t="shared" si="82"/>
        <v/>
      </c>
      <c r="GX46" s="50" t="str">
        <f t="shared" si="82"/>
        <v/>
      </c>
      <c r="GY46" s="50" t="str">
        <f t="shared" si="82"/>
        <v/>
      </c>
      <c r="GZ46" s="50" t="str">
        <f t="shared" si="82"/>
        <v/>
      </c>
      <c r="HA46" s="50" t="str">
        <f t="shared" si="82"/>
        <v/>
      </c>
      <c r="HB46" s="50" t="str">
        <f t="shared" si="82"/>
        <v/>
      </c>
      <c r="HC46" s="50" t="str">
        <f t="shared" si="82"/>
        <v/>
      </c>
      <c r="HD46" s="50" t="str">
        <f t="shared" si="82"/>
        <v/>
      </c>
      <c r="HE46" s="50" t="str">
        <f t="shared" si="82"/>
        <v/>
      </c>
      <c r="HF46" s="50" t="str">
        <f t="shared" si="82"/>
        <v/>
      </c>
      <c r="HG46" s="50" t="str">
        <f t="shared" si="82"/>
        <v/>
      </c>
      <c r="HH46" s="50" t="str">
        <f t="shared" si="82"/>
        <v/>
      </c>
      <c r="HI46" s="50" t="str">
        <f t="shared" si="82"/>
        <v/>
      </c>
      <c r="HJ46" s="50" t="str">
        <f t="shared" si="82"/>
        <v/>
      </c>
      <c r="HK46" s="50" t="str">
        <f t="shared" si="82"/>
        <v/>
      </c>
      <c r="HL46" s="50" t="str">
        <f t="shared" si="82"/>
        <v/>
      </c>
      <c r="HM46" s="50" t="str">
        <f t="shared" si="82"/>
        <v/>
      </c>
      <c r="HN46" s="50" t="str">
        <f t="shared" si="82"/>
        <v/>
      </c>
      <c r="HO46" s="50" t="str">
        <f t="shared" si="82"/>
        <v/>
      </c>
      <c r="HP46" s="50" t="str">
        <f t="shared" si="82"/>
        <v/>
      </c>
      <c r="HQ46" s="50" t="str">
        <f t="shared" si="82"/>
        <v/>
      </c>
      <c r="HR46" s="112" t="str">
        <f t="shared" si="82"/>
        <v/>
      </c>
    </row>
    <row r="47" spans="1:226" ht="11.1" customHeight="1" x14ac:dyDescent="0.25">
      <c r="A47" s="26"/>
      <c r="B47" s="27"/>
      <c r="C47" s="28" t="str">
        <f>IF(A47=0,"",VLOOKUP(A47,[2]CO!$A$3:$F$5327,2,0))</f>
        <v/>
      </c>
      <c r="D47" s="29"/>
      <c r="E47" s="29"/>
      <c r="F47" s="101" t="str">
        <f t="shared" si="72"/>
        <v/>
      </c>
      <c r="G47" s="30" t="str">
        <f>IF(A47=0,"",VLOOKUP(A47,[2]CO!$A$3:$F$5327,3,0))</f>
        <v/>
      </c>
      <c r="H47" s="95"/>
      <c r="I47" s="31"/>
      <c r="J47" s="31"/>
      <c r="K47" s="31"/>
      <c r="L47" s="31"/>
      <c r="M47" s="32" t="str">
        <f t="shared" si="73"/>
        <v/>
      </c>
      <c r="N47" s="32" t="str">
        <f>IF(B47=0,"",IF(H47="M",HLOOKUP(B47,$Y$12:$DT$13,2),IF(A47=0,"",VLOOKUP(A47,[2]CO!$A$3:$F$5327,4,0))))</f>
        <v/>
      </c>
      <c r="O47" s="32" t="str">
        <f t="shared" si="7"/>
        <v/>
      </c>
      <c r="P47" s="33"/>
      <c r="Q47" s="34" t="str">
        <f t="shared" si="74"/>
        <v/>
      </c>
      <c r="R47" s="35"/>
      <c r="T47" s="53" t="str">
        <f>IF(A47=0,"",VLOOKUP(A47,[2]CO!$A$3:$F$5318,5,0))</f>
        <v/>
      </c>
      <c r="U47" s="54">
        <f t="shared" si="38"/>
        <v>0</v>
      </c>
      <c r="V47" s="24"/>
      <c r="W47" s="25"/>
      <c r="X47" s="25"/>
      <c r="Y47" s="64" t="str">
        <f t="shared" si="75"/>
        <v/>
      </c>
      <c r="Z47" s="55" t="str">
        <f t="shared" si="75"/>
        <v/>
      </c>
      <c r="AA47" s="55" t="str">
        <f t="shared" si="75"/>
        <v/>
      </c>
      <c r="AB47" s="55" t="str">
        <f t="shared" si="75"/>
        <v/>
      </c>
      <c r="AC47" s="55" t="str">
        <f t="shared" si="75"/>
        <v/>
      </c>
      <c r="AD47" s="55" t="str">
        <f t="shared" si="75"/>
        <v/>
      </c>
      <c r="AE47" s="55" t="str">
        <f t="shared" si="75"/>
        <v/>
      </c>
      <c r="AF47" s="55" t="str">
        <f t="shared" si="75"/>
        <v/>
      </c>
      <c r="AG47" s="55" t="str">
        <f t="shared" si="75"/>
        <v/>
      </c>
      <c r="AH47" s="55" t="str">
        <f t="shared" si="75"/>
        <v/>
      </c>
      <c r="AI47" s="55" t="str">
        <f t="shared" si="75"/>
        <v/>
      </c>
      <c r="AJ47" s="55" t="str">
        <f t="shared" si="75"/>
        <v/>
      </c>
      <c r="AK47" s="55" t="str">
        <f t="shared" si="75"/>
        <v/>
      </c>
      <c r="AL47" s="55" t="str">
        <f t="shared" si="75"/>
        <v/>
      </c>
      <c r="AM47" s="55" t="str">
        <f t="shared" si="75"/>
        <v/>
      </c>
      <c r="AN47" s="55" t="str">
        <f t="shared" si="75"/>
        <v/>
      </c>
      <c r="AO47" s="55" t="str">
        <f t="shared" si="76"/>
        <v/>
      </c>
      <c r="AP47" s="55" t="str">
        <f t="shared" si="76"/>
        <v/>
      </c>
      <c r="AQ47" s="55" t="str">
        <f t="shared" si="76"/>
        <v/>
      </c>
      <c r="AR47" s="55" t="str">
        <f t="shared" si="76"/>
        <v/>
      </c>
      <c r="AS47" s="55" t="str">
        <f t="shared" si="76"/>
        <v/>
      </c>
      <c r="AT47" s="55" t="str">
        <f t="shared" si="76"/>
        <v/>
      </c>
      <c r="AU47" s="55" t="str">
        <f t="shared" si="76"/>
        <v/>
      </c>
      <c r="AV47" s="55" t="str">
        <f t="shared" si="76"/>
        <v/>
      </c>
      <c r="AW47" s="55" t="str">
        <f t="shared" si="76"/>
        <v/>
      </c>
      <c r="AX47" s="55" t="str">
        <f t="shared" si="76"/>
        <v/>
      </c>
      <c r="AY47" s="55" t="str">
        <f t="shared" si="76"/>
        <v/>
      </c>
      <c r="AZ47" s="55" t="str">
        <f t="shared" si="76"/>
        <v/>
      </c>
      <c r="BA47" s="55" t="str">
        <f t="shared" si="76"/>
        <v/>
      </c>
      <c r="BB47" s="55" t="str">
        <f t="shared" si="76"/>
        <v/>
      </c>
      <c r="BC47" s="55" t="str">
        <f t="shared" si="76"/>
        <v/>
      </c>
      <c r="BD47" s="55" t="str">
        <f t="shared" si="76"/>
        <v/>
      </c>
      <c r="BE47" s="55" t="str">
        <f t="shared" si="77"/>
        <v/>
      </c>
      <c r="BF47" s="55" t="str">
        <f t="shared" si="77"/>
        <v/>
      </c>
      <c r="BG47" s="55" t="str">
        <f t="shared" si="77"/>
        <v/>
      </c>
      <c r="BH47" s="55" t="str">
        <f t="shared" si="77"/>
        <v/>
      </c>
      <c r="BI47" s="55" t="str">
        <f t="shared" si="77"/>
        <v/>
      </c>
      <c r="BJ47" s="55" t="str">
        <f t="shared" si="77"/>
        <v/>
      </c>
      <c r="BK47" s="55" t="str">
        <f t="shared" si="77"/>
        <v/>
      </c>
      <c r="BL47" s="55" t="str">
        <f t="shared" si="77"/>
        <v/>
      </c>
      <c r="BM47" s="55" t="str">
        <f t="shared" si="77"/>
        <v/>
      </c>
      <c r="BN47" s="55" t="str">
        <f t="shared" si="77"/>
        <v/>
      </c>
      <c r="BO47" s="55" t="str">
        <f t="shared" si="77"/>
        <v/>
      </c>
      <c r="BP47" s="55" t="str">
        <f t="shared" si="77"/>
        <v/>
      </c>
      <c r="BQ47" s="55" t="str">
        <f t="shared" si="77"/>
        <v/>
      </c>
      <c r="BR47" s="55" t="str">
        <f t="shared" si="77"/>
        <v/>
      </c>
      <c r="BS47" s="55" t="str">
        <f t="shared" si="77"/>
        <v/>
      </c>
      <c r="BT47" s="55" t="str">
        <f t="shared" si="77"/>
        <v/>
      </c>
      <c r="BU47" s="55" t="str">
        <f t="shared" si="78"/>
        <v/>
      </c>
      <c r="BV47" s="55" t="str">
        <f t="shared" si="78"/>
        <v/>
      </c>
      <c r="BW47" s="55" t="str">
        <f t="shared" si="78"/>
        <v/>
      </c>
      <c r="BX47" s="55" t="str">
        <f t="shared" si="78"/>
        <v/>
      </c>
      <c r="BY47" s="55" t="str">
        <f t="shared" si="78"/>
        <v/>
      </c>
      <c r="BZ47" s="55" t="str">
        <f t="shared" si="78"/>
        <v/>
      </c>
      <c r="CA47" s="55" t="str">
        <f t="shared" si="78"/>
        <v/>
      </c>
      <c r="CB47" s="55" t="str">
        <f t="shared" si="78"/>
        <v/>
      </c>
      <c r="CC47" s="55" t="str">
        <f t="shared" si="78"/>
        <v/>
      </c>
      <c r="CD47" s="55" t="str">
        <f t="shared" si="78"/>
        <v/>
      </c>
      <c r="CE47" s="55" t="str">
        <f t="shared" si="78"/>
        <v/>
      </c>
      <c r="CF47" s="55" t="str">
        <f t="shared" si="78"/>
        <v/>
      </c>
      <c r="CG47" s="55" t="str">
        <f t="shared" si="78"/>
        <v/>
      </c>
      <c r="CH47" s="55" t="str">
        <f t="shared" si="78"/>
        <v/>
      </c>
      <c r="CI47" s="55" t="str">
        <f t="shared" si="78"/>
        <v/>
      </c>
      <c r="CJ47" s="55" t="str">
        <f t="shared" si="78"/>
        <v/>
      </c>
      <c r="CK47" s="55" t="str">
        <f t="shared" si="78"/>
        <v/>
      </c>
      <c r="CL47" s="55" t="str">
        <f t="shared" si="78"/>
        <v/>
      </c>
      <c r="CM47" s="55" t="str">
        <f t="shared" si="78"/>
        <v/>
      </c>
      <c r="CN47" s="55" t="str">
        <f t="shared" si="78"/>
        <v/>
      </c>
      <c r="CO47" s="55" t="str">
        <f t="shared" si="78"/>
        <v/>
      </c>
      <c r="CP47" s="55" t="str">
        <f t="shared" si="78"/>
        <v/>
      </c>
      <c r="CQ47" s="55" t="str">
        <f t="shared" si="78"/>
        <v/>
      </c>
      <c r="CR47" s="55" t="str">
        <f t="shared" si="78"/>
        <v/>
      </c>
      <c r="CS47" s="55" t="str">
        <f t="shared" si="78"/>
        <v/>
      </c>
      <c r="CT47" s="55" t="str">
        <f t="shared" si="78"/>
        <v/>
      </c>
      <c r="CU47" s="55" t="str">
        <f t="shared" si="78"/>
        <v/>
      </c>
      <c r="CV47" s="55" t="str">
        <f t="shared" si="78"/>
        <v/>
      </c>
      <c r="CW47" s="55" t="str">
        <f t="shared" si="78"/>
        <v/>
      </c>
      <c r="CX47" s="55" t="str">
        <f t="shared" si="78"/>
        <v/>
      </c>
      <c r="CY47" s="55" t="str">
        <f t="shared" si="78"/>
        <v/>
      </c>
      <c r="CZ47" s="55" t="str">
        <f t="shared" si="78"/>
        <v/>
      </c>
      <c r="DA47" s="55" t="str">
        <f t="shared" si="78"/>
        <v/>
      </c>
      <c r="DB47" s="55" t="str">
        <f t="shared" si="78"/>
        <v/>
      </c>
      <c r="DC47" s="55" t="str">
        <f t="shared" si="78"/>
        <v/>
      </c>
      <c r="DD47" s="55" t="str">
        <f t="shared" si="78"/>
        <v/>
      </c>
      <c r="DE47" s="55" t="str">
        <f t="shared" si="78"/>
        <v/>
      </c>
      <c r="DF47" s="55" t="str">
        <f t="shared" si="78"/>
        <v/>
      </c>
      <c r="DG47" s="55" t="str">
        <f t="shared" si="78"/>
        <v/>
      </c>
      <c r="DH47" s="55" t="str">
        <f t="shared" si="78"/>
        <v/>
      </c>
      <c r="DI47" s="55" t="str">
        <f t="shared" si="78"/>
        <v/>
      </c>
      <c r="DJ47" s="55" t="str">
        <f t="shared" si="78"/>
        <v/>
      </c>
      <c r="DK47" s="55" t="str">
        <f t="shared" si="78"/>
        <v/>
      </c>
      <c r="DL47" s="55" t="str">
        <f t="shared" si="78"/>
        <v/>
      </c>
      <c r="DM47" s="55" t="str">
        <f t="shared" si="78"/>
        <v/>
      </c>
      <c r="DN47" s="55" t="str">
        <f t="shared" si="78"/>
        <v/>
      </c>
      <c r="DO47" s="55" t="str">
        <f t="shared" si="78"/>
        <v/>
      </c>
      <c r="DP47" s="55" t="str">
        <f t="shared" ref="DP47:DT49" si="83">IF($B47=DP$12,$U47,"")</f>
        <v/>
      </c>
      <c r="DQ47" s="55" t="str">
        <f t="shared" si="83"/>
        <v/>
      </c>
      <c r="DR47" s="55" t="str">
        <f t="shared" si="83"/>
        <v/>
      </c>
      <c r="DS47" s="55" t="str">
        <f t="shared" si="83"/>
        <v/>
      </c>
      <c r="DT47" s="106" t="str">
        <f t="shared" si="83"/>
        <v/>
      </c>
      <c r="DU47" s="54"/>
      <c r="DV47" s="25"/>
      <c r="DW47" s="61" t="str">
        <f t="shared" si="79"/>
        <v/>
      </c>
      <c r="DX47" s="50" t="str">
        <f t="shared" si="79"/>
        <v/>
      </c>
      <c r="DY47" s="50" t="str">
        <f t="shared" si="79"/>
        <v/>
      </c>
      <c r="DZ47" s="50" t="str">
        <f t="shared" si="79"/>
        <v/>
      </c>
      <c r="EA47" s="50" t="str">
        <f t="shared" si="79"/>
        <v/>
      </c>
      <c r="EB47" s="50" t="str">
        <f t="shared" si="79"/>
        <v/>
      </c>
      <c r="EC47" s="50" t="str">
        <f t="shared" si="79"/>
        <v/>
      </c>
      <c r="ED47" s="50" t="str">
        <f t="shared" si="79"/>
        <v/>
      </c>
      <c r="EE47" s="50" t="str">
        <f t="shared" si="79"/>
        <v/>
      </c>
      <c r="EF47" s="50" t="str">
        <f t="shared" si="79"/>
        <v/>
      </c>
      <c r="EG47" s="50" t="str">
        <f t="shared" si="79"/>
        <v/>
      </c>
      <c r="EH47" s="50" t="str">
        <f t="shared" si="79"/>
        <v/>
      </c>
      <c r="EI47" s="50" t="str">
        <f t="shared" si="79"/>
        <v/>
      </c>
      <c r="EJ47" s="50" t="str">
        <f t="shared" si="79"/>
        <v/>
      </c>
      <c r="EK47" s="50" t="str">
        <f t="shared" si="79"/>
        <v/>
      </c>
      <c r="EL47" s="50" t="str">
        <f t="shared" si="79"/>
        <v/>
      </c>
      <c r="EM47" s="50" t="str">
        <f t="shared" si="80"/>
        <v/>
      </c>
      <c r="EN47" s="50" t="str">
        <f t="shared" si="80"/>
        <v/>
      </c>
      <c r="EO47" s="50" t="str">
        <f t="shared" si="80"/>
        <v/>
      </c>
      <c r="EP47" s="50" t="str">
        <f t="shared" si="80"/>
        <v/>
      </c>
      <c r="EQ47" s="50" t="str">
        <f t="shared" si="80"/>
        <v/>
      </c>
      <c r="ER47" s="50" t="str">
        <f t="shared" si="80"/>
        <v/>
      </c>
      <c r="ES47" s="50" t="str">
        <f t="shared" si="80"/>
        <v/>
      </c>
      <c r="ET47" s="50" t="str">
        <f t="shared" si="80"/>
        <v/>
      </c>
      <c r="EU47" s="50" t="str">
        <f t="shared" si="80"/>
        <v/>
      </c>
      <c r="EV47" s="50" t="str">
        <f t="shared" si="80"/>
        <v/>
      </c>
      <c r="EW47" s="50" t="str">
        <f t="shared" si="80"/>
        <v/>
      </c>
      <c r="EX47" s="50" t="str">
        <f t="shared" si="80"/>
        <v/>
      </c>
      <c r="EY47" s="50" t="str">
        <f t="shared" si="80"/>
        <v/>
      </c>
      <c r="EZ47" s="50" t="str">
        <f t="shared" si="80"/>
        <v/>
      </c>
      <c r="FA47" s="50" t="str">
        <f t="shared" si="80"/>
        <v/>
      </c>
      <c r="FB47" s="50" t="str">
        <f t="shared" si="80"/>
        <v/>
      </c>
      <c r="FC47" s="50" t="str">
        <f t="shared" si="81"/>
        <v/>
      </c>
      <c r="FD47" s="50" t="str">
        <f t="shared" si="81"/>
        <v/>
      </c>
      <c r="FE47" s="50" t="str">
        <f t="shared" si="81"/>
        <v/>
      </c>
      <c r="FF47" s="50" t="str">
        <f t="shared" si="81"/>
        <v/>
      </c>
      <c r="FG47" s="50" t="str">
        <f t="shared" si="81"/>
        <v/>
      </c>
      <c r="FH47" s="50" t="str">
        <f t="shared" si="81"/>
        <v/>
      </c>
      <c r="FI47" s="50" t="str">
        <f t="shared" si="81"/>
        <v/>
      </c>
      <c r="FJ47" s="50" t="str">
        <f t="shared" si="81"/>
        <v/>
      </c>
      <c r="FK47" s="50" t="str">
        <f t="shared" si="81"/>
        <v/>
      </c>
      <c r="FL47" s="50" t="str">
        <f t="shared" si="81"/>
        <v/>
      </c>
      <c r="FM47" s="50" t="str">
        <f t="shared" si="81"/>
        <v/>
      </c>
      <c r="FN47" s="50" t="str">
        <f t="shared" si="81"/>
        <v/>
      </c>
      <c r="FO47" s="50" t="str">
        <f t="shared" si="81"/>
        <v/>
      </c>
      <c r="FP47" s="50" t="str">
        <f t="shared" si="81"/>
        <v/>
      </c>
      <c r="FQ47" s="50" t="str">
        <f t="shared" si="81"/>
        <v/>
      </c>
      <c r="FR47" s="50" t="str">
        <f t="shared" si="81"/>
        <v/>
      </c>
      <c r="FS47" s="50" t="str">
        <f t="shared" si="82"/>
        <v/>
      </c>
      <c r="FT47" s="50" t="str">
        <f t="shared" si="82"/>
        <v/>
      </c>
      <c r="FU47" s="50" t="str">
        <f t="shared" si="82"/>
        <v/>
      </c>
      <c r="FV47" s="50" t="str">
        <f t="shared" si="82"/>
        <v/>
      </c>
      <c r="FW47" s="50" t="str">
        <f t="shared" si="82"/>
        <v/>
      </c>
      <c r="FX47" s="50" t="str">
        <f t="shared" si="82"/>
        <v/>
      </c>
      <c r="FY47" s="50" t="str">
        <f t="shared" si="82"/>
        <v/>
      </c>
      <c r="FZ47" s="50" t="str">
        <f t="shared" si="82"/>
        <v/>
      </c>
      <c r="GA47" s="50" t="str">
        <f t="shared" si="82"/>
        <v/>
      </c>
      <c r="GB47" s="50" t="str">
        <f t="shared" si="82"/>
        <v/>
      </c>
      <c r="GC47" s="50" t="str">
        <f t="shared" si="82"/>
        <v/>
      </c>
      <c r="GD47" s="50" t="str">
        <f t="shared" si="82"/>
        <v/>
      </c>
      <c r="GE47" s="50" t="str">
        <f t="shared" si="82"/>
        <v/>
      </c>
      <c r="GF47" s="50" t="str">
        <f t="shared" si="82"/>
        <v/>
      </c>
      <c r="GG47" s="50" t="str">
        <f t="shared" si="82"/>
        <v/>
      </c>
      <c r="GH47" s="50" t="str">
        <f t="shared" si="82"/>
        <v/>
      </c>
      <c r="GI47" s="50" t="str">
        <f t="shared" si="82"/>
        <v/>
      </c>
      <c r="GJ47" s="50" t="str">
        <f t="shared" si="82"/>
        <v/>
      </c>
      <c r="GK47" s="50" t="str">
        <f t="shared" si="82"/>
        <v/>
      </c>
      <c r="GL47" s="50" t="str">
        <f t="shared" si="82"/>
        <v/>
      </c>
      <c r="GM47" s="50" t="str">
        <f t="shared" si="82"/>
        <v/>
      </c>
      <c r="GN47" s="50" t="str">
        <f t="shared" si="82"/>
        <v/>
      </c>
      <c r="GO47" s="50" t="str">
        <f t="shared" si="82"/>
        <v/>
      </c>
      <c r="GP47" s="50" t="str">
        <f t="shared" si="82"/>
        <v/>
      </c>
      <c r="GQ47" s="50" t="str">
        <f t="shared" si="82"/>
        <v/>
      </c>
      <c r="GR47" s="50" t="str">
        <f t="shared" si="82"/>
        <v/>
      </c>
      <c r="GS47" s="50" t="str">
        <f t="shared" si="82"/>
        <v/>
      </c>
      <c r="GT47" s="50" t="str">
        <f t="shared" si="82"/>
        <v/>
      </c>
      <c r="GU47" s="50" t="str">
        <f t="shared" si="82"/>
        <v/>
      </c>
      <c r="GV47" s="50" t="str">
        <f t="shared" si="82"/>
        <v/>
      </c>
      <c r="GW47" s="50" t="str">
        <f t="shared" si="82"/>
        <v/>
      </c>
      <c r="GX47" s="50" t="str">
        <f t="shared" si="82"/>
        <v/>
      </c>
      <c r="GY47" s="50" t="str">
        <f t="shared" si="82"/>
        <v/>
      </c>
      <c r="GZ47" s="50" t="str">
        <f t="shared" si="82"/>
        <v/>
      </c>
      <c r="HA47" s="50" t="str">
        <f t="shared" si="82"/>
        <v/>
      </c>
      <c r="HB47" s="50" t="str">
        <f t="shared" si="82"/>
        <v/>
      </c>
      <c r="HC47" s="50" t="str">
        <f t="shared" si="82"/>
        <v/>
      </c>
      <c r="HD47" s="50" t="str">
        <f t="shared" si="82"/>
        <v/>
      </c>
      <c r="HE47" s="50" t="str">
        <f t="shared" si="82"/>
        <v/>
      </c>
      <c r="HF47" s="50" t="str">
        <f t="shared" si="82"/>
        <v/>
      </c>
      <c r="HG47" s="50" t="str">
        <f t="shared" si="82"/>
        <v/>
      </c>
      <c r="HH47" s="50" t="str">
        <f t="shared" si="82"/>
        <v/>
      </c>
      <c r="HI47" s="50" t="str">
        <f t="shared" si="82"/>
        <v/>
      </c>
      <c r="HJ47" s="50" t="str">
        <f t="shared" si="82"/>
        <v/>
      </c>
      <c r="HK47" s="50" t="str">
        <f t="shared" si="82"/>
        <v/>
      </c>
      <c r="HL47" s="50" t="str">
        <f t="shared" si="82"/>
        <v/>
      </c>
      <c r="HM47" s="50" t="str">
        <f t="shared" si="82"/>
        <v/>
      </c>
      <c r="HN47" s="50" t="str">
        <f t="shared" ref="HN47:HR49" si="84">IF($B47=HN$12,$O47,"")</f>
        <v/>
      </c>
      <c r="HO47" s="50" t="str">
        <f t="shared" si="84"/>
        <v/>
      </c>
      <c r="HP47" s="50" t="str">
        <f t="shared" si="84"/>
        <v/>
      </c>
      <c r="HQ47" s="50" t="str">
        <f t="shared" si="84"/>
        <v/>
      </c>
      <c r="HR47" s="112" t="str">
        <f t="shared" si="84"/>
        <v/>
      </c>
    </row>
    <row r="48" spans="1:226" ht="11.1" customHeight="1" x14ac:dyDescent="0.25">
      <c r="A48" s="26"/>
      <c r="B48" s="27"/>
      <c r="C48" s="28" t="str">
        <f>IF(A48=0,"",VLOOKUP(A48,[2]CO!$A$3:$F$5327,2,0))</f>
        <v/>
      </c>
      <c r="D48" s="29"/>
      <c r="E48" s="29"/>
      <c r="F48" s="101" t="str">
        <f t="shared" si="72"/>
        <v/>
      </c>
      <c r="G48" s="30" t="str">
        <f>IF(A48=0,"",VLOOKUP(A48,[2]CO!$A$3:$F$5327,3,0))</f>
        <v/>
      </c>
      <c r="H48" s="95"/>
      <c r="I48" s="31"/>
      <c r="J48" s="31"/>
      <c r="K48" s="31"/>
      <c r="L48" s="31"/>
      <c r="M48" s="32" t="str">
        <f t="shared" si="73"/>
        <v/>
      </c>
      <c r="N48" s="32" t="str">
        <f>IF(B48=0,"",IF(H48="M",HLOOKUP(B48,$Y$12:$DT$13,2),IF(A48=0,"",VLOOKUP(A48,[2]CO!$A$3:$F$5327,4,0))))</f>
        <v/>
      </c>
      <c r="O48" s="32" t="str">
        <f t="shared" si="7"/>
        <v/>
      </c>
      <c r="P48" s="33"/>
      <c r="Q48" s="34" t="str">
        <f t="shared" si="74"/>
        <v/>
      </c>
      <c r="R48" s="35"/>
      <c r="T48" s="53" t="str">
        <f>IF(A48=0,"",VLOOKUP(A48,[2]CO!$A$3:$F$5318,5,0))</f>
        <v/>
      </c>
      <c r="U48" s="54">
        <f t="shared" si="38"/>
        <v>0</v>
      </c>
      <c r="V48" s="24"/>
      <c r="W48" s="25"/>
      <c r="X48" s="25"/>
      <c r="Y48" s="64" t="str">
        <f t="shared" si="75"/>
        <v/>
      </c>
      <c r="Z48" s="55" t="str">
        <f t="shared" si="75"/>
        <v/>
      </c>
      <c r="AA48" s="55" t="str">
        <f t="shared" si="75"/>
        <v/>
      </c>
      <c r="AB48" s="55" t="str">
        <f t="shared" si="75"/>
        <v/>
      </c>
      <c r="AC48" s="55" t="str">
        <f t="shared" si="75"/>
        <v/>
      </c>
      <c r="AD48" s="55" t="str">
        <f t="shared" si="75"/>
        <v/>
      </c>
      <c r="AE48" s="55" t="str">
        <f t="shared" si="75"/>
        <v/>
      </c>
      <c r="AF48" s="55" t="str">
        <f t="shared" si="75"/>
        <v/>
      </c>
      <c r="AG48" s="55" t="str">
        <f t="shared" si="75"/>
        <v/>
      </c>
      <c r="AH48" s="55" t="str">
        <f t="shared" si="75"/>
        <v/>
      </c>
      <c r="AI48" s="55" t="str">
        <f t="shared" si="75"/>
        <v/>
      </c>
      <c r="AJ48" s="55" t="str">
        <f t="shared" si="75"/>
        <v/>
      </c>
      <c r="AK48" s="55" t="str">
        <f t="shared" si="75"/>
        <v/>
      </c>
      <c r="AL48" s="55" t="str">
        <f t="shared" si="75"/>
        <v/>
      </c>
      <c r="AM48" s="55" t="str">
        <f t="shared" si="75"/>
        <v/>
      </c>
      <c r="AN48" s="55" t="str">
        <f t="shared" si="75"/>
        <v/>
      </c>
      <c r="AO48" s="55" t="str">
        <f t="shared" si="76"/>
        <v/>
      </c>
      <c r="AP48" s="55" t="str">
        <f t="shared" si="76"/>
        <v/>
      </c>
      <c r="AQ48" s="55" t="str">
        <f t="shared" si="76"/>
        <v/>
      </c>
      <c r="AR48" s="55" t="str">
        <f t="shared" si="76"/>
        <v/>
      </c>
      <c r="AS48" s="55" t="str">
        <f t="shared" si="76"/>
        <v/>
      </c>
      <c r="AT48" s="55" t="str">
        <f t="shared" si="76"/>
        <v/>
      </c>
      <c r="AU48" s="55" t="str">
        <f t="shared" si="76"/>
        <v/>
      </c>
      <c r="AV48" s="55" t="str">
        <f t="shared" si="76"/>
        <v/>
      </c>
      <c r="AW48" s="55" t="str">
        <f t="shared" si="76"/>
        <v/>
      </c>
      <c r="AX48" s="55" t="str">
        <f t="shared" si="76"/>
        <v/>
      </c>
      <c r="AY48" s="55" t="str">
        <f t="shared" si="76"/>
        <v/>
      </c>
      <c r="AZ48" s="55" t="str">
        <f t="shared" si="76"/>
        <v/>
      </c>
      <c r="BA48" s="55" t="str">
        <f t="shared" si="76"/>
        <v/>
      </c>
      <c r="BB48" s="55" t="str">
        <f t="shared" si="76"/>
        <v/>
      </c>
      <c r="BC48" s="55" t="str">
        <f t="shared" si="76"/>
        <v/>
      </c>
      <c r="BD48" s="55" t="str">
        <f t="shared" si="76"/>
        <v/>
      </c>
      <c r="BE48" s="55" t="str">
        <f t="shared" si="77"/>
        <v/>
      </c>
      <c r="BF48" s="55" t="str">
        <f t="shared" si="77"/>
        <v/>
      </c>
      <c r="BG48" s="55" t="str">
        <f t="shared" si="77"/>
        <v/>
      </c>
      <c r="BH48" s="55" t="str">
        <f t="shared" si="77"/>
        <v/>
      </c>
      <c r="BI48" s="55" t="str">
        <f t="shared" si="77"/>
        <v/>
      </c>
      <c r="BJ48" s="55" t="str">
        <f t="shared" si="77"/>
        <v/>
      </c>
      <c r="BK48" s="55" t="str">
        <f t="shared" si="77"/>
        <v/>
      </c>
      <c r="BL48" s="55" t="str">
        <f t="shared" si="77"/>
        <v/>
      </c>
      <c r="BM48" s="55" t="str">
        <f t="shared" si="77"/>
        <v/>
      </c>
      <c r="BN48" s="55" t="str">
        <f t="shared" si="77"/>
        <v/>
      </c>
      <c r="BO48" s="55" t="str">
        <f t="shared" si="77"/>
        <v/>
      </c>
      <c r="BP48" s="55" t="str">
        <f t="shared" si="77"/>
        <v/>
      </c>
      <c r="BQ48" s="55" t="str">
        <f t="shared" si="77"/>
        <v/>
      </c>
      <c r="BR48" s="55" t="str">
        <f t="shared" si="77"/>
        <v/>
      </c>
      <c r="BS48" s="55" t="str">
        <f t="shared" si="77"/>
        <v/>
      </c>
      <c r="BT48" s="55" t="str">
        <f t="shared" si="77"/>
        <v/>
      </c>
      <c r="BU48" s="55" t="str">
        <f t="shared" ref="BU48:DP49" si="85">IF($B48=BU$12,$U48,"")</f>
        <v/>
      </c>
      <c r="BV48" s="55" t="str">
        <f t="shared" si="85"/>
        <v/>
      </c>
      <c r="BW48" s="55" t="str">
        <f t="shared" si="85"/>
        <v/>
      </c>
      <c r="BX48" s="55" t="str">
        <f t="shared" si="85"/>
        <v/>
      </c>
      <c r="BY48" s="55" t="str">
        <f t="shared" si="85"/>
        <v/>
      </c>
      <c r="BZ48" s="55" t="str">
        <f t="shared" si="85"/>
        <v/>
      </c>
      <c r="CA48" s="55" t="str">
        <f t="shared" si="85"/>
        <v/>
      </c>
      <c r="CB48" s="55" t="str">
        <f t="shared" si="85"/>
        <v/>
      </c>
      <c r="CC48" s="55" t="str">
        <f t="shared" si="85"/>
        <v/>
      </c>
      <c r="CD48" s="55" t="str">
        <f t="shared" si="85"/>
        <v/>
      </c>
      <c r="CE48" s="55" t="str">
        <f t="shared" si="85"/>
        <v/>
      </c>
      <c r="CF48" s="55" t="str">
        <f t="shared" si="85"/>
        <v/>
      </c>
      <c r="CG48" s="55" t="str">
        <f t="shared" si="85"/>
        <v/>
      </c>
      <c r="CH48" s="55" t="str">
        <f t="shared" si="85"/>
        <v/>
      </c>
      <c r="CI48" s="55" t="str">
        <f t="shared" si="85"/>
        <v/>
      </c>
      <c r="CJ48" s="55" t="str">
        <f t="shared" si="85"/>
        <v/>
      </c>
      <c r="CK48" s="55" t="str">
        <f t="shared" si="85"/>
        <v/>
      </c>
      <c r="CL48" s="55" t="str">
        <f t="shared" si="85"/>
        <v/>
      </c>
      <c r="CM48" s="55" t="str">
        <f t="shared" si="85"/>
        <v/>
      </c>
      <c r="CN48" s="55" t="str">
        <f t="shared" si="85"/>
        <v/>
      </c>
      <c r="CO48" s="55" t="str">
        <f t="shared" si="85"/>
        <v/>
      </c>
      <c r="CP48" s="55" t="str">
        <f t="shared" si="85"/>
        <v/>
      </c>
      <c r="CQ48" s="55" t="str">
        <f t="shared" si="85"/>
        <v/>
      </c>
      <c r="CR48" s="55" t="str">
        <f t="shared" si="85"/>
        <v/>
      </c>
      <c r="CS48" s="55" t="str">
        <f t="shared" si="85"/>
        <v/>
      </c>
      <c r="CT48" s="55" t="str">
        <f t="shared" si="85"/>
        <v/>
      </c>
      <c r="CU48" s="55" t="str">
        <f t="shared" si="85"/>
        <v/>
      </c>
      <c r="CV48" s="55" t="str">
        <f t="shared" si="85"/>
        <v/>
      </c>
      <c r="CW48" s="55" t="str">
        <f t="shared" si="85"/>
        <v/>
      </c>
      <c r="CX48" s="55" t="str">
        <f t="shared" si="85"/>
        <v/>
      </c>
      <c r="CY48" s="55" t="str">
        <f t="shared" si="85"/>
        <v/>
      </c>
      <c r="CZ48" s="55" t="str">
        <f t="shared" si="85"/>
        <v/>
      </c>
      <c r="DA48" s="55" t="str">
        <f t="shared" si="85"/>
        <v/>
      </c>
      <c r="DB48" s="55" t="str">
        <f t="shared" si="85"/>
        <v/>
      </c>
      <c r="DC48" s="55" t="str">
        <f t="shared" si="85"/>
        <v/>
      </c>
      <c r="DD48" s="55" t="str">
        <f t="shared" si="85"/>
        <v/>
      </c>
      <c r="DE48" s="55" t="str">
        <f t="shared" si="85"/>
        <v/>
      </c>
      <c r="DF48" s="55" t="str">
        <f t="shared" si="85"/>
        <v/>
      </c>
      <c r="DG48" s="55" t="str">
        <f t="shared" si="85"/>
        <v/>
      </c>
      <c r="DH48" s="55" t="str">
        <f t="shared" si="85"/>
        <v/>
      </c>
      <c r="DI48" s="55" t="str">
        <f t="shared" si="85"/>
        <v/>
      </c>
      <c r="DJ48" s="55" t="str">
        <f t="shared" si="85"/>
        <v/>
      </c>
      <c r="DK48" s="55" t="str">
        <f t="shared" si="85"/>
        <v/>
      </c>
      <c r="DL48" s="55" t="str">
        <f t="shared" si="85"/>
        <v/>
      </c>
      <c r="DM48" s="55" t="str">
        <f t="shared" si="85"/>
        <v/>
      </c>
      <c r="DN48" s="55" t="str">
        <f t="shared" si="85"/>
        <v/>
      </c>
      <c r="DO48" s="55" t="str">
        <f t="shared" si="85"/>
        <v/>
      </c>
      <c r="DP48" s="55" t="str">
        <f t="shared" si="83"/>
        <v/>
      </c>
      <c r="DQ48" s="55" t="str">
        <f t="shared" si="83"/>
        <v/>
      </c>
      <c r="DR48" s="55" t="str">
        <f t="shared" si="83"/>
        <v/>
      </c>
      <c r="DS48" s="55" t="str">
        <f t="shared" si="83"/>
        <v/>
      </c>
      <c r="DT48" s="106" t="str">
        <f t="shared" si="83"/>
        <v/>
      </c>
      <c r="DU48" s="54"/>
      <c r="DV48" s="25"/>
      <c r="DW48" s="61" t="str">
        <f t="shared" si="79"/>
        <v/>
      </c>
      <c r="DX48" s="50" t="str">
        <f t="shared" si="79"/>
        <v/>
      </c>
      <c r="DY48" s="50" t="str">
        <f t="shared" si="79"/>
        <v/>
      </c>
      <c r="DZ48" s="50" t="str">
        <f t="shared" si="79"/>
        <v/>
      </c>
      <c r="EA48" s="50" t="str">
        <f t="shared" si="79"/>
        <v/>
      </c>
      <c r="EB48" s="50" t="str">
        <f t="shared" si="79"/>
        <v/>
      </c>
      <c r="EC48" s="50" t="str">
        <f t="shared" si="79"/>
        <v/>
      </c>
      <c r="ED48" s="50" t="str">
        <f t="shared" si="79"/>
        <v/>
      </c>
      <c r="EE48" s="50" t="str">
        <f t="shared" si="79"/>
        <v/>
      </c>
      <c r="EF48" s="50" t="str">
        <f t="shared" si="79"/>
        <v/>
      </c>
      <c r="EG48" s="50" t="str">
        <f t="shared" si="79"/>
        <v/>
      </c>
      <c r="EH48" s="50" t="str">
        <f t="shared" si="79"/>
        <v/>
      </c>
      <c r="EI48" s="50" t="str">
        <f t="shared" si="79"/>
        <v/>
      </c>
      <c r="EJ48" s="50" t="str">
        <f t="shared" si="79"/>
        <v/>
      </c>
      <c r="EK48" s="50" t="str">
        <f t="shared" si="79"/>
        <v/>
      </c>
      <c r="EL48" s="50" t="str">
        <f t="shared" si="79"/>
        <v/>
      </c>
      <c r="EM48" s="50" t="str">
        <f t="shared" si="80"/>
        <v/>
      </c>
      <c r="EN48" s="50" t="str">
        <f t="shared" si="80"/>
        <v/>
      </c>
      <c r="EO48" s="50" t="str">
        <f t="shared" si="80"/>
        <v/>
      </c>
      <c r="EP48" s="50" t="str">
        <f t="shared" si="80"/>
        <v/>
      </c>
      <c r="EQ48" s="50" t="str">
        <f t="shared" si="80"/>
        <v/>
      </c>
      <c r="ER48" s="50" t="str">
        <f t="shared" si="80"/>
        <v/>
      </c>
      <c r="ES48" s="50" t="str">
        <f t="shared" si="80"/>
        <v/>
      </c>
      <c r="ET48" s="50" t="str">
        <f t="shared" si="80"/>
        <v/>
      </c>
      <c r="EU48" s="50" t="str">
        <f t="shared" si="80"/>
        <v/>
      </c>
      <c r="EV48" s="50" t="str">
        <f t="shared" si="80"/>
        <v/>
      </c>
      <c r="EW48" s="50" t="str">
        <f t="shared" si="80"/>
        <v/>
      </c>
      <c r="EX48" s="50" t="str">
        <f t="shared" si="80"/>
        <v/>
      </c>
      <c r="EY48" s="50" t="str">
        <f t="shared" si="80"/>
        <v/>
      </c>
      <c r="EZ48" s="50" t="str">
        <f t="shared" si="80"/>
        <v/>
      </c>
      <c r="FA48" s="50" t="str">
        <f t="shared" si="80"/>
        <v/>
      </c>
      <c r="FB48" s="50" t="str">
        <f t="shared" si="80"/>
        <v/>
      </c>
      <c r="FC48" s="50" t="str">
        <f t="shared" si="81"/>
        <v/>
      </c>
      <c r="FD48" s="50" t="str">
        <f t="shared" si="81"/>
        <v/>
      </c>
      <c r="FE48" s="50" t="str">
        <f t="shared" si="81"/>
        <v/>
      </c>
      <c r="FF48" s="50" t="str">
        <f t="shared" si="81"/>
        <v/>
      </c>
      <c r="FG48" s="50" t="str">
        <f t="shared" si="81"/>
        <v/>
      </c>
      <c r="FH48" s="50" t="str">
        <f t="shared" si="81"/>
        <v/>
      </c>
      <c r="FI48" s="50" t="str">
        <f t="shared" si="81"/>
        <v/>
      </c>
      <c r="FJ48" s="50" t="str">
        <f t="shared" si="81"/>
        <v/>
      </c>
      <c r="FK48" s="50" t="str">
        <f t="shared" si="81"/>
        <v/>
      </c>
      <c r="FL48" s="50" t="str">
        <f t="shared" si="81"/>
        <v/>
      </c>
      <c r="FM48" s="50" t="str">
        <f t="shared" si="81"/>
        <v/>
      </c>
      <c r="FN48" s="50" t="str">
        <f t="shared" si="81"/>
        <v/>
      </c>
      <c r="FO48" s="50" t="str">
        <f t="shared" si="81"/>
        <v/>
      </c>
      <c r="FP48" s="50" t="str">
        <f t="shared" si="81"/>
        <v/>
      </c>
      <c r="FQ48" s="50" t="str">
        <f t="shared" si="81"/>
        <v/>
      </c>
      <c r="FR48" s="50" t="str">
        <f t="shared" si="81"/>
        <v/>
      </c>
      <c r="FS48" s="50" t="str">
        <f t="shared" ref="FS48:HN49" si="86">IF($B48=FS$12,$O48,"")</f>
        <v/>
      </c>
      <c r="FT48" s="50" t="str">
        <f t="shared" si="86"/>
        <v/>
      </c>
      <c r="FU48" s="50" t="str">
        <f t="shared" si="86"/>
        <v/>
      </c>
      <c r="FV48" s="50" t="str">
        <f t="shared" si="86"/>
        <v/>
      </c>
      <c r="FW48" s="50" t="str">
        <f t="shared" si="86"/>
        <v/>
      </c>
      <c r="FX48" s="50" t="str">
        <f t="shared" si="86"/>
        <v/>
      </c>
      <c r="FY48" s="50" t="str">
        <f t="shared" si="86"/>
        <v/>
      </c>
      <c r="FZ48" s="50" t="str">
        <f t="shared" si="86"/>
        <v/>
      </c>
      <c r="GA48" s="50" t="str">
        <f t="shared" si="86"/>
        <v/>
      </c>
      <c r="GB48" s="50" t="str">
        <f t="shared" si="86"/>
        <v/>
      </c>
      <c r="GC48" s="50" t="str">
        <f t="shared" si="86"/>
        <v/>
      </c>
      <c r="GD48" s="50" t="str">
        <f t="shared" si="86"/>
        <v/>
      </c>
      <c r="GE48" s="50" t="str">
        <f t="shared" si="86"/>
        <v/>
      </c>
      <c r="GF48" s="50" t="str">
        <f t="shared" si="86"/>
        <v/>
      </c>
      <c r="GG48" s="50" t="str">
        <f t="shared" si="86"/>
        <v/>
      </c>
      <c r="GH48" s="50" t="str">
        <f t="shared" si="86"/>
        <v/>
      </c>
      <c r="GI48" s="50" t="str">
        <f t="shared" si="86"/>
        <v/>
      </c>
      <c r="GJ48" s="50" t="str">
        <f t="shared" si="86"/>
        <v/>
      </c>
      <c r="GK48" s="50" t="str">
        <f t="shared" si="86"/>
        <v/>
      </c>
      <c r="GL48" s="50" t="str">
        <f t="shared" si="86"/>
        <v/>
      </c>
      <c r="GM48" s="50" t="str">
        <f t="shared" si="86"/>
        <v/>
      </c>
      <c r="GN48" s="50" t="str">
        <f t="shared" si="86"/>
        <v/>
      </c>
      <c r="GO48" s="50" t="str">
        <f t="shared" si="86"/>
        <v/>
      </c>
      <c r="GP48" s="50" t="str">
        <f t="shared" si="86"/>
        <v/>
      </c>
      <c r="GQ48" s="50" t="str">
        <f t="shared" si="86"/>
        <v/>
      </c>
      <c r="GR48" s="50" t="str">
        <f t="shared" si="86"/>
        <v/>
      </c>
      <c r="GS48" s="50" t="str">
        <f t="shared" si="86"/>
        <v/>
      </c>
      <c r="GT48" s="50" t="str">
        <f t="shared" si="86"/>
        <v/>
      </c>
      <c r="GU48" s="50" t="str">
        <f t="shared" si="86"/>
        <v/>
      </c>
      <c r="GV48" s="50" t="str">
        <f t="shared" si="86"/>
        <v/>
      </c>
      <c r="GW48" s="50" t="str">
        <f t="shared" si="86"/>
        <v/>
      </c>
      <c r="GX48" s="50" t="str">
        <f t="shared" si="86"/>
        <v/>
      </c>
      <c r="GY48" s="50" t="str">
        <f t="shared" si="86"/>
        <v/>
      </c>
      <c r="GZ48" s="50" t="str">
        <f t="shared" si="86"/>
        <v/>
      </c>
      <c r="HA48" s="50" t="str">
        <f t="shared" si="86"/>
        <v/>
      </c>
      <c r="HB48" s="50" t="str">
        <f t="shared" si="86"/>
        <v/>
      </c>
      <c r="HC48" s="50" t="str">
        <f t="shared" si="86"/>
        <v/>
      </c>
      <c r="HD48" s="50" t="str">
        <f t="shared" si="86"/>
        <v/>
      </c>
      <c r="HE48" s="50" t="str">
        <f t="shared" si="86"/>
        <v/>
      </c>
      <c r="HF48" s="50" t="str">
        <f t="shared" si="86"/>
        <v/>
      </c>
      <c r="HG48" s="50" t="str">
        <f t="shared" si="86"/>
        <v/>
      </c>
      <c r="HH48" s="50" t="str">
        <f t="shared" si="86"/>
        <v/>
      </c>
      <c r="HI48" s="50" t="str">
        <f t="shared" si="86"/>
        <v/>
      </c>
      <c r="HJ48" s="50" t="str">
        <f t="shared" si="86"/>
        <v/>
      </c>
      <c r="HK48" s="50" t="str">
        <f t="shared" si="86"/>
        <v/>
      </c>
      <c r="HL48" s="50" t="str">
        <f t="shared" si="86"/>
        <v/>
      </c>
      <c r="HM48" s="50" t="str">
        <f t="shared" si="86"/>
        <v/>
      </c>
      <c r="HN48" s="50" t="str">
        <f t="shared" si="84"/>
        <v/>
      </c>
      <c r="HO48" s="50" t="str">
        <f t="shared" si="84"/>
        <v/>
      </c>
      <c r="HP48" s="50" t="str">
        <f t="shared" si="84"/>
        <v/>
      </c>
      <c r="HQ48" s="50" t="str">
        <f t="shared" si="84"/>
        <v/>
      </c>
      <c r="HR48" s="112" t="str">
        <f t="shared" si="84"/>
        <v/>
      </c>
    </row>
    <row r="49" spans="1:226" ht="11.1" customHeight="1" thickBot="1" x14ac:dyDescent="0.3">
      <c r="A49" s="36"/>
      <c r="B49" s="37"/>
      <c r="C49" s="38" t="str">
        <f>IF(A49=0,"",VLOOKUP(A49,[2]CO!$A$3:$F$5327,2,0))</f>
        <v/>
      </c>
      <c r="D49" s="39"/>
      <c r="E49" s="39"/>
      <c r="F49" s="103" t="str">
        <f t="shared" si="72"/>
        <v/>
      </c>
      <c r="G49" s="40" t="str">
        <f>IF(A49=0,"",VLOOKUP(A49,[2]CO!$A$3:$F$5327,3,0))</f>
        <v/>
      </c>
      <c r="H49" s="97"/>
      <c r="I49" s="41"/>
      <c r="J49" s="41"/>
      <c r="K49" s="41"/>
      <c r="L49" s="41"/>
      <c r="M49" s="42" t="str">
        <f>IF(L49=0,"",PRODUCT(I49:L49))</f>
        <v/>
      </c>
      <c r="N49" s="42" t="str">
        <f>IF(B49=0,"",IF(H49="M",HLOOKUP(B49,$Y$12:$DT$13,2),IF(A49=0,"",VLOOKUP(A49,[2]CO!$A$3:$F$5327,4,0))))</f>
        <v/>
      </c>
      <c r="O49" s="42" t="str">
        <f t="shared" si="7"/>
        <v/>
      </c>
      <c r="P49" s="37"/>
      <c r="Q49" s="43" t="str">
        <f t="shared" si="74"/>
        <v/>
      </c>
      <c r="R49" s="44"/>
      <c r="T49" s="53" t="str">
        <f>IF(A49=0,"",VLOOKUP(A49,[2]CO!$A$3:$F$5318,5,0))</f>
        <v/>
      </c>
      <c r="U49" s="54">
        <f t="shared" si="38"/>
        <v>0</v>
      </c>
      <c r="V49" s="24"/>
      <c r="W49" s="24"/>
      <c r="X49" s="24"/>
      <c r="Y49" s="76" t="str">
        <f t="shared" si="75"/>
        <v/>
      </c>
      <c r="Z49" s="77" t="str">
        <f t="shared" si="75"/>
        <v/>
      </c>
      <c r="AA49" s="77" t="str">
        <f t="shared" si="75"/>
        <v/>
      </c>
      <c r="AB49" s="77" t="str">
        <f t="shared" si="75"/>
        <v/>
      </c>
      <c r="AC49" s="77" t="str">
        <f t="shared" si="75"/>
        <v/>
      </c>
      <c r="AD49" s="77" t="str">
        <f t="shared" si="75"/>
        <v/>
      </c>
      <c r="AE49" s="77" t="str">
        <f t="shared" si="75"/>
        <v/>
      </c>
      <c r="AF49" s="77" t="str">
        <f t="shared" si="75"/>
        <v/>
      </c>
      <c r="AG49" s="77" t="str">
        <f t="shared" si="75"/>
        <v/>
      </c>
      <c r="AH49" s="77" t="str">
        <f t="shared" si="75"/>
        <v/>
      </c>
      <c r="AI49" s="77" t="str">
        <f t="shared" si="75"/>
        <v/>
      </c>
      <c r="AJ49" s="77" t="str">
        <f t="shared" si="75"/>
        <v/>
      </c>
      <c r="AK49" s="77" t="str">
        <f t="shared" si="75"/>
        <v/>
      </c>
      <c r="AL49" s="77" t="str">
        <f t="shared" si="75"/>
        <v/>
      </c>
      <c r="AM49" s="77" t="str">
        <f t="shared" si="75"/>
        <v/>
      </c>
      <c r="AN49" s="77" t="str">
        <f t="shared" si="75"/>
        <v/>
      </c>
      <c r="AO49" s="77" t="str">
        <f t="shared" si="76"/>
        <v/>
      </c>
      <c r="AP49" s="77" t="str">
        <f t="shared" si="76"/>
        <v/>
      </c>
      <c r="AQ49" s="77" t="str">
        <f t="shared" si="76"/>
        <v/>
      </c>
      <c r="AR49" s="77" t="str">
        <f t="shared" si="76"/>
        <v/>
      </c>
      <c r="AS49" s="77" t="str">
        <f t="shared" si="76"/>
        <v/>
      </c>
      <c r="AT49" s="77" t="str">
        <f t="shared" si="76"/>
        <v/>
      </c>
      <c r="AU49" s="77" t="str">
        <f t="shared" si="76"/>
        <v/>
      </c>
      <c r="AV49" s="77" t="str">
        <f t="shared" si="76"/>
        <v/>
      </c>
      <c r="AW49" s="77" t="str">
        <f t="shared" si="76"/>
        <v/>
      </c>
      <c r="AX49" s="77" t="str">
        <f t="shared" si="76"/>
        <v/>
      </c>
      <c r="AY49" s="77" t="str">
        <f t="shared" si="76"/>
        <v/>
      </c>
      <c r="AZ49" s="77" t="str">
        <f t="shared" si="76"/>
        <v/>
      </c>
      <c r="BA49" s="77" t="str">
        <f t="shared" si="76"/>
        <v/>
      </c>
      <c r="BB49" s="77" t="str">
        <f t="shared" si="76"/>
        <v/>
      </c>
      <c r="BC49" s="77" t="str">
        <f t="shared" si="76"/>
        <v/>
      </c>
      <c r="BD49" s="77" t="str">
        <f t="shared" si="76"/>
        <v/>
      </c>
      <c r="BE49" s="77" t="str">
        <f t="shared" si="77"/>
        <v/>
      </c>
      <c r="BF49" s="77" t="str">
        <f t="shared" si="77"/>
        <v/>
      </c>
      <c r="BG49" s="77" t="str">
        <f t="shared" si="77"/>
        <v/>
      </c>
      <c r="BH49" s="77" t="str">
        <f t="shared" si="77"/>
        <v/>
      </c>
      <c r="BI49" s="77" t="str">
        <f t="shared" si="77"/>
        <v/>
      </c>
      <c r="BJ49" s="77" t="str">
        <f t="shared" si="77"/>
        <v/>
      </c>
      <c r="BK49" s="77" t="str">
        <f t="shared" si="77"/>
        <v/>
      </c>
      <c r="BL49" s="77" t="str">
        <f t="shared" si="77"/>
        <v/>
      </c>
      <c r="BM49" s="77" t="str">
        <f t="shared" si="77"/>
        <v/>
      </c>
      <c r="BN49" s="77" t="str">
        <f t="shared" si="77"/>
        <v/>
      </c>
      <c r="BO49" s="77" t="str">
        <f t="shared" si="77"/>
        <v/>
      </c>
      <c r="BP49" s="77" t="str">
        <f t="shared" si="77"/>
        <v/>
      </c>
      <c r="BQ49" s="77" t="str">
        <f t="shared" si="77"/>
        <v/>
      </c>
      <c r="BR49" s="77" t="str">
        <f t="shared" si="77"/>
        <v/>
      </c>
      <c r="BS49" s="77" t="str">
        <f t="shared" si="77"/>
        <v/>
      </c>
      <c r="BT49" s="77" t="str">
        <f t="shared" si="77"/>
        <v/>
      </c>
      <c r="BU49" s="77" t="str">
        <f t="shared" si="85"/>
        <v/>
      </c>
      <c r="BV49" s="77" t="str">
        <f t="shared" si="85"/>
        <v/>
      </c>
      <c r="BW49" s="77" t="str">
        <f t="shared" si="85"/>
        <v/>
      </c>
      <c r="BX49" s="77" t="str">
        <f t="shared" si="85"/>
        <v/>
      </c>
      <c r="BY49" s="77" t="str">
        <f t="shared" si="85"/>
        <v/>
      </c>
      <c r="BZ49" s="77" t="str">
        <f t="shared" si="85"/>
        <v/>
      </c>
      <c r="CA49" s="77" t="str">
        <f t="shared" si="85"/>
        <v/>
      </c>
      <c r="CB49" s="77" t="str">
        <f t="shared" si="85"/>
        <v/>
      </c>
      <c r="CC49" s="77" t="str">
        <f t="shared" si="85"/>
        <v/>
      </c>
      <c r="CD49" s="77" t="str">
        <f t="shared" si="85"/>
        <v/>
      </c>
      <c r="CE49" s="77" t="str">
        <f t="shared" si="85"/>
        <v/>
      </c>
      <c r="CF49" s="77" t="str">
        <f t="shared" si="85"/>
        <v/>
      </c>
      <c r="CG49" s="77" t="str">
        <f t="shared" si="85"/>
        <v/>
      </c>
      <c r="CH49" s="77" t="str">
        <f t="shared" si="85"/>
        <v/>
      </c>
      <c r="CI49" s="77" t="str">
        <f t="shared" si="85"/>
        <v/>
      </c>
      <c r="CJ49" s="77" t="str">
        <f t="shared" si="85"/>
        <v/>
      </c>
      <c r="CK49" s="77" t="str">
        <f t="shared" si="85"/>
        <v/>
      </c>
      <c r="CL49" s="77" t="str">
        <f t="shared" si="85"/>
        <v/>
      </c>
      <c r="CM49" s="77" t="str">
        <f t="shared" si="85"/>
        <v/>
      </c>
      <c r="CN49" s="77" t="str">
        <f t="shared" si="85"/>
        <v/>
      </c>
      <c r="CO49" s="77" t="str">
        <f t="shared" si="85"/>
        <v/>
      </c>
      <c r="CP49" s="77" t="str">
        <f t="shared" si="85"/>
        <v/>
      </c>
      <c r="CQ49" s="77" t="str">
        <f t="shared" si="85"/>
        <v/>
      </c>
      <c r="CR49" s="77" t="str">
        <f t="shared" si="85"/>
        <v/>
      </c>
      <c r="CS49" s="77" t="str">
        <f t="shared" si="85"/>
        <v/>
      </c>
      <c r="CT49" s="77" t="str">
        <f t="shared" si="85"/>
        <v/>
      </c>
      <c r="CU49" s="77" t="str">
        <f t="shared" si="85"/>
        <v/>
      </c>
      <c r="CV49" s="77" t="str">
        <f t="shared" si="85"/>
        <v/>
      </c>
      <c r="CW49" s="77" t="str">
        <f t="shared" si="85"/>
        <v/>
      </c>
      <c r="CX49" s="77" t="str">
        <f t="shared" si="85"/>
        <v/>
      </c>
      <c r="CY49" s="77" t="str">
        <f t="shared" si="85"/>
        <v/>
      </c>
      <c r="CZ49" s="77" t="str">
        <f t="shared" si="85"/>
        <v/>
      </c>
      <c r="DA49" s="77" t="str">
        <f t="shared" si="85"/>
        <v/>
      </c>
      <c r="DB49" s="77" t="str">
        <f t="shared" si="85"/>
        <v/>
      </c>
      <c r="DC49" s="77" t="str">
        <f t="shared" si="85"/>
        <v/>
      </c>
      <c r="DD49" s="77" t="str">
        <f t="shared" si="85"/>
        <v/>
      </c>
      <c r="DE49" s="77" t="str">
        <f t="shared" si="85"/>
        <v/>
      </c>
      <c r="DF49" s="77" t="str">
        <f t="shared" si="85"/>
        <v/>
      </c>
      <c r="DG49" s="77" t="str">
        <f t="shared" si="85"/>
        <v/>
      </c>
      <c r="DH49" s="77" t="str">
        <f t="shared" si="85"/>
        <v/>
      </c>
      <c r="DI49" s="77" t="str">
        <f t="shared" si="85"/>
        <v/>
      </c>
      <c r="DJ49" s="77" t="str">
        <f t="shared" si="85"/>
        <v/>
      </c>
      <c r="DK49" s="77" t="str">
        <f t="shared" si="85"/>
        <v/>
      </c>
      <c r="DL49" s="77" t="str">
        <f t="shared" si="85"/>
        <v/>
      </c>
      <c r="DM49" s="77" t="str">
        <f t="shared" si="85"/>
        <v/>
      </c>
      <c r="DN49" s="77" t="str">
        <f t="shared" si="85"/>
        <v/>
      </c>
      <c r="DO49" s="77" t="str">
        <f t="shared" si="85"/>
        <v/>
      </c>
      <c r="DP49" s="77" t="str">
        <f t="shared" si="85"/>
        <v/>
      </c>
      <c r="DQ49" s="77" t="str">
        <f t="shared" si="83"/>
        <v/>
      </c>
      <c r="DR49" s="77" t="str">
        <f t="shared" si="83"/>
        <v/>
      </c>
      <c r="DS49" s="77" t="str">
        <f t="shared" si="83"/>
        <v/>
      </c>
      <c r="DT49" s="107" t="str">
        <f t="shared" si="83"/>
        <v/>
      </c>
      <c r="DU49" s="54"/>
      <c r="DV49" s="21"/>
      <c r="DW49" s="78" t="str">
        <f t="shared" si="79"/>
        <v/>
      </c>
      <c r="DX49" s="79" t="str">
        <f t="shared" si="79"/>
        <v/>
      </c>
      <c r="DY49" s="79" t="str">
        <f t="shared" si="79"/>
        <v/>
      </c>
      <c r="DZ49" s="79" t="str">
        <f t="shared" si="79"/>
        <v/>
      </c>
      <c r="EA49" s="79" t="str">
        <f t="shared" si="79"/>
        <v/>
      </c>
      <c r="EB49" s="79" t="str">
        <f t="shared" si="79"/>
        <v/>
      </c>
      <c r="EC49" s="79" t="str">
        <f t="shared" si="79"/>
        <v/>
      </c>
      <c r="ED49" s="79" t="str">
        <f t="shared" si="79"/>
        <v/>
      </c>
      <c r="EE49" s="79" t="str">
        <f t="shared" si="79"/>
        <v/>
      </c>
      <c r="EF49" s="79" t="str">
        <f t="shared" si="79"/>
        <v/>
      </c>
      <c r="EG49" s="79" t="str">
        <f t="shared" si="79"/>
        <v/>
      </c>
      <c r="EH49" s="79" t="str">
        <f t="shared" si="79"/>
        <v/>
      </c>
      <c r="EI49" s="79" t="str">
        <f t="shared" si="79"/>
        <v/>
      </c>
      <c r="EJ49" s="79" t="str">
        <f t="shared" si="79"/>
        <v/>
      </c>
      <c r="EK49" s="79" t="str">
        <f t="shared" si="79"/>
        <v/>
      </c>
      <c r="EL49" s="79" t="str">
        <f t="shared" si="79"/>
        <v/>
      </c>
      <c r="EM49" s="79" t="str">
        <f t="shared" si="80"/>
        <v/>
      </c>
      <c r="EN49" s="79" t="str">
        <f t="shared" si="80"/>
        <v/>
      </c>
      <c r="EO49" s="79" t="str">
        <f t="shared" si="80"/>
        <v/>
      </c>
      <c r="EP49" s="79" t="str">
        <f t="shared" si="80"/>
        <v/>
      </c>
      <c r="EQ49" s="79" t="str">
        <f t="shared" si="80"/>
        <v/>
      </c>
      <c r="ER49" s="79" t="str">
        <f t="shared" si="80"/>
        <v/>
      </c>
      <c r="ES49" s="79" t="str">
        <f t="shared" si="80"/>
        <v/>
      </c>
      <c r="ET49" s="79" t="str">
        <f t="shared" si="80"/>
        <v/>
      </c>
      <c r="EU49" s="79" t="str">
        <f t="shared" si="80"/>
        <v/>
      </c>
      <c r="EV49" s="79" t="str">
        <f t="shared" si="80"/>
        <v/>
      </c>
      <c r="EW49" s="79" t="str">
        <f t="shared" si="80"/>
        <v/>
      </c>
      <c r="EX49" s="79" t="str">
        <f t="shared" si="80"/>
        <v/>
      </c>
      <c r="EY49" s="79" t="str">
        <f t="shared" si="80"/>
        <v/>
      </c>
      <c r="EZ49" s="79" t="str">
        <f t="shared" si="80"/>
        <v/>
      </c>
      <c r="FA49" s="79" t="str">
        <f t="shared" si="80"/>
        <v/>
      </c>
      <c r="FB49" s="79" t="str">
        <f t="shared" si="80"/>
        <v/>
      </c>
      <c r="FC49" s="79" t="str">
        <f t="shared" si="81"/>
        <v/>
      </c>
      <c r="FD49" s="79" t="str">
        <f t="shared" si="81"/>
        <v/>
      </c>
      <c r="FE49" s="79" t="str">
        <f t="shared" si="81"/>
        <v/>
      </c>
      <c r="FF49" s="79" t="str">
        <f t="shared" si="81"/>
        <v/>
      </c>
      <c r="FG49" s="79" t="str">
        <f t="shared" si="81"/>
        <v/>
      </c>
      <c r="FH49" s="79" t="str">
        <f t="shared" si="81"/>
        <v/>
      </c>
      <c r="FI49" s="79" t="str">
        <f t="shared" si="81"/>
        <v/>
      </c>
      <c r="FJ49" s="79" t="str">
        <f t="shared" si="81"/>
        <v/>
      </c>
      <c r="FK49" s="79" t="str">
        <f t="shared" si="81"/>
        <v/>
      </c>
      <c r="FL49" s="79" t="str">
        <f t="shared" si="81"/>
        <v/>
      </c>
      <c r="FM49" s="79" t="str">
        <f t="shared" si="81"/>
        <v/>
      </c>
      <c r="FN49" s="79" t="str">
        <f t="shared" si="81"/>
        <v/>
      </c>
      <c r="FO49" s="79" t="str">
        <f t="shared" si="81"/>
        <v/>
      </c>
      <c r="FP49" s="79" t="str">
        <f t="shared" si="81"/>
        <v/>
      </c>
      <c r="FQ49" s="79" t="str">
        <f t="shared" si="81"/>
        <v/>
      </c>
      <c r="FR49" s="79" t="str">
        <f t="shared" si="81"/>
        <v/>
      </c>
      <c r="FS49" s="79" t="str">
        <f t="shared" si="86"/>
        <v/>
      </c>
      <c r="FT49" s="79" t="str">
        <f t="shared" si="86"/>
        <v/>
      </c>
      <c r="FU49" s="79" t="str">
        <f t="shared" si="86"/>
        <v/>
      </c>
      <c r="FV49" s="79" t="str">
        <f t="shared" si="86"/>
        <v/>
      </c>
      <c r="FW49" s="79" t="str">
        <f t="shared" si="86"/>
        <v/>
      </c>
      <c r="FX49" s="79" t="str">
        <f t="shared" si="86"/>
        <v/>
      </c>
      <c r="FY49" s="79" t="str">
        <f t="shared" si="86"/>
        <v/>
      </c>
      <c r="FZ49" s="79" t="str">
        <f t="shared" si="86"/>
        <v/>
      </c>
      <c r="GA49" s="79" t="str">
        <f t="shared" si="86"/>
        <v/>
      </c>
      <c r="GB49" s="79" t="str">
        <f t="shared" si="86"/>
        <v/>
      </c>
      <c r="GC49" s="79" t="str">
        <f t="shared" si="86"/>
        <v/>
      </c>
      <c r="GD49" s="79" t="str">
        <f t="shared" si="86"/>
        <v/>
      </c>
      <c r="GE49" s="79" t="str">
        <f t="shared" si="86"/>
        <v/>
      </c>
      <c r="GF49" s="79" t="str">
        <f t="shared" si="86"/>
        <v/>
      </c>
      <c r="GG49" s="79" t="str">
        <f t="shared" si="86"/>
        <v/>
      </c>
      <c r="GH49" s="79" t="str">
        <f t="shared" si="86"/>
        <v/>
      </c>
      <c r="GI49" s="79" t="str">
        <f t="shared" si="86"/>
        <v/>
      </c>
      <c r="GJ49" s="79" t="str">
        <f t="shared" si="86"/>
        <v/>
      </c>
      <c r="GK49" s="79" t="str">
        <f t="shared" si="86"/>
        <v/>
      </c>
      <c r="GL49" s="79" t="str">
        <f t="shared" si="86"/>
        <v/>
      </c>
      <c r="GM49" s="79" t="str">
        <f t="shared" si="86"/>
        <v/>
      </c>
      <c r="GN49" s="79" t="str">
        <f t="shared" si="86"/>
        <v/>
      </c>
      <c r="GO49" s="79" t="str">
        <f t="shared" si="86"/>
        <v/>
      </c>
      <c r="GP49" s="79" t="str">
        <f t="shared" si="86"/>
        <v/>
      </c>
      <c r="GQ49" s="79" t="str">
        <f t="shared" si="86"/>
        <v/>
      </c>
      <c r="GR49" s="79" t="str">
        <f t="shared" si="86"/>
        <v/>
      </c>
      <c r="GS49" s="79" t="str">
        <f t="shared" si="86"/>
        <v/>
      </c>
      <c r="GT49" s="79" t="str">
        <f t="shared" si="86"/>
        <v/>
      </c>
      <c r="GU49" s="79" t="str">
        <f t="shared" si="86"/>
        <v/>
      </c>
      <c r="GV49" s="79" t="str">
        <f t="shared" si="86"/>
        <v/>
      </c>
      <c r="GW49" s="79" t="str">
        <f t="shared" si="86"/>
        <v/>
      </c>
      <c r="GX49" s="79" t="str">
        <f t="shared" si="86"/>
        <v/>
      </c>
      <c r="GY49" s="79" t="str">
        <f t="shared" si="86"/>
        <v/>
      </c>
      <c r="GZ49" s="79" t="str">
        <f t="shared" si="86"/>
        <v/>
      </c>
      <c r="HA49" s="79" t="str">
        <f t="shared" si="86"/>
        <v/>
      </c>
      <c r="HB49" s="79" t="str">
        <f t="shared" si="86"/>
        <v/>
      </c>
      <c r="HC49" s="79" t="str">
        <f t="shared" si="86"/>
        <v/>
      </c>
      <c r="HD49" s="79" t="str">
        <f t="shared" si="86"/>
        <v/>
      </c>
      <c r="HE49" s="79" t="str">
        <f t="shared" si="86"/>
        <v/>
      </c>
      <c r="HF49" s="79" t="str">
        <f t="shared" si="86"/>
        <v/>
      </c>
      <c r="HG49" s="79" t="str">
        <f t="shared" si="86"/>
        <v/>
      </c>
      <c r="HH49" s="79" t="str">
        <f t="shared" si="86"/>
        <v/>
      </c>
      <c r="HI49" s="79" t="str">
        <f t="shared" si="86"/>
        <v/>
      </c>
      <c r="HJ49" s="79" t="str">
        <f t="shared" si="86"/>
        <v/>
      </c>
      <c r="HK49" s="79" t="str">
        <f t="shared" si="86"/>
        <v/>
      </c>
      <c r="HL49" s="79" t="str">
        <f t="shared" si="86"/>
        <v/>
      </c>
      <c r="HM49" s="79" t="str">
        <f t="shared" si="86"/>
        <v/>
      </c>
      <c r="HN49" s="79" t="str">
        <f t="shared" si="86"/>
        <v/>
      </c>
      <c r="HO49" s="79" t="str">
        <f t="shared" si="84"/>
        <v/>
      </c>
      <c r="HP49" s="79" t="str">
        <f t="shared" si="84"/>
        <v/>
      </c>
      <c r="HQ49" s="79" t="str">
        <f t="shared" si="84"/>
        <v/>
      </c>
      <c r="HR49" s="113" t="str">
        <f t="shared" si="84"/>
        <v/>
      </c>
    </row>
    <row r="50" spans="1:226" ht="10.199999999999999" customHeight="1" x14ac:dyDescent="0.25">
      <c r="A50" s="45"/>
      <c r="B50" s="23"/>
      <c r="C50" s="23" t="str">
        <f>IF(A50=0,"",VLOOKUP(A50,#REF!,2,0))</f>
        <v/>
      </c>
      <c r="D50" s="23"/>
      <c r="E50" s="23"/>
      <c r="F50" s="23"/>
      <c r="G50" s="23"/>
      <c r="H50" s="23"/>
      <c r="I50" s="46"/>
      <c r="J50" s="46"/>
      <c r="K50" s="46"/>
      <c r="L50" s="46"/>
      <c r="M50" s="47"/>
      <c r="N50" s="47"/>
      <c r="O50" s="47"/>
      <c r="P50" s="23"/>
      <c r="Q50" s="23"/>
      <c r="R50" s="23"/>
      <c r="T50" s="21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O50" s="21"/>
      <c r="CP50" s="21"/>
      <c r="CQ50" s="21"/>
      <c r="CR50" s="21"/>
      <c r="CS50" s="21"/>
      <c r="CT50" s="21"/>
      <c r="CU50" s="21"/>
      <c r="CV50" s="21"/>
      <c r="CW50" s="21"/>
      <c r="CX50" s="21"/>
      <c r="CY50" s="21"/>
      <c r="CZ50" s="21"/>
      <c r="DA50" s="21"/>
      <c r="DB50" s="21"/>
      <c r="DC50" s="21"/>
      <c r="DD50" s="21"/>
      <c r="DE50" s="21"/>
      <c r="DF50" s="21"/>
      <c r="DG50" s="21"/>
      <c r="DH50" s="21"/>
      <c r="DI50" s="21"/>
      <c r="DJ50" s="21"/>
      <c r="DK50" s="21"/>
      <c r="DL50" s="21"/>
      <c r="DM50" s="21"/>
      <c r="DN50" s="21"/>
      <c r="DO50" s="21"/>
      <c r="DP50" s="21"/>
      <c r="DQ50" s="21"/>
      <c r="DR50" s="21"/>
      <c r="DS50" s="21"/>
      <c r="DT50" s="21"/>
      <c r="DU50" s="21"/>
      <c r="DV50" s="21"/>
      <c r="DW50" s="21"/>
      <c r="DX50" s="21"/>
      <c r="DY50" s="21"/>
      <c r="DZ50" s="21"/>
      <c r="EA50" s="21"/>
      <c r="EB50" s="21"/>
      <c r="EC50" s="21"/>
      <c r="ED50" s="21"/>
      <c r="EE50" s="21"/>
      <c r="EF50" s="21"/>
      <c r="EG50" s="21"/>
      <c r="EH50" s="21"/>
      <c r="EI50" s="21"/>
      <c r="EJ50" s="21"/>
      <c r="EK50" s="21"/>
      <c r="EL50" s="21"/>
      <c r="EM50" s="21"/>
      <c r="EN50" s="21"/>
      <c r="EO50" s="21"/>
      <c r="EP50" s="21"/>
      <c r="EQ50" s="21"/>
      <c r="ER50" s="21"/>
      <c r="ES50" s="21"/>
      <c r="ET50" s="22"/>
      <c r="EU50" s="22"/>
      <c r="EV50" s="22"/>
    </row>
    <row r="51" spans="1:226" x14ac:dyDescent="0.25">
      <c r="A51" s="45"/>
      <c r="B51" s="23"/>
      <c r="C51" s="23"/>
      <c r="D51" s="23"/>
      <c r="E51" s="23"/>
      <c r="F51" s="23"/>
      <c r="G51" s="23"/>
      <c r="H51" s="23"/>
      <c r="I51" s="46"/>
      <c r="J51" s="46"/>
      <c r="K51" s="46"/>
      <c r="L51" s="46"/>
      <c r="M51" s="47"/>
      <c r="N51" s="47"/>
      <c r="O51" s="48" t="s">
        <v>17</v>
      </c>
      <c r="P51" s="49"/>
      <c r="Q51" s="104">
        <f>SUM(Q43:Q49)</f>
        <v>0</v>
      </c>
      <c r="R51" s="104">
        <f>SUM(R43:R49)</f>
        <v>0</v>
      </c>
      <c r="T51" s="21"/>
      <c r="U51" s="24"/>
      <c r="V51" s="24"/>
      <c r="W51" s="24"/>
      <c r="X51" s="24"/>
      <c r="EV51" s="22"/>
    </row>
    <row r="52" spans="1:226" x14ac:dyDescent="0.25">
      <c r="A52" s="45"/>
      <c r="B52" s="23"/>
      <c r="C52" s="23"/>
      <c r="D52" s="23"/>
      <c r="E52" s="23"/>
      <c r="F52" s="23"/>
      <c r="G52" s="23"/>
      <c r="H52" s="23"/>
      <c r="I52" s="46"/>
      <c r="J52" s="46"/>
      <c r="K52" s="46"/>
      <c r="L52" s="46"/>
      <c r="M52" s="47"/>
      <c r="N52" s="47"/>
      <c r="O52" s="47"/>
      <c r="P52" s="23"/>
      <c r="Q52" s="23"/>
      <c r="R52" s="23"/>
      <c r="T52" s="21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1"/>
      <c r="CY52" s="21"/>
      <c r="CZ52" s="21"/>
      <c r="DA52" s="21"/>
      <c r="DB52" s="21"/>
      <c r="DC52" s="21"/>
      <c r="DD52" s="21"/>
      <c r="DE52" s="21"/>
      <c r="DF52" s="21"/>
      <c r="DG52" s="21"/>
      <c r="DH52" s="21"/>
      <c r="DI52" s="21"/>
      <c r="DJ52" s="21"/>
      <c r="DK52" s="21"/>
      <c r="DL52" s="21"/>
      <c r="DM52" s="21"/>
      <c r="DN52" s="21"/>
      <c r="DO52" s="21"/>
      <c r="DP52" s="21"/>
      <c r="DQ52" s="21"/>
      <c r="DR52" s="21"/>
      <c r="DS52" s="21"/>
      <c r="DT52" s="21"/>
      <c r="DU52" s="21"/>
      <c r="DV52" s="21"/>
      <c r="DW52" s="21"/>
      <c r="DX52" s="21"/>
      <c r="DY52" s="21"/>
      <c r="DZ52" s="21"/>
      <c r="EA52" s="21"/>
      <c r="EB52" s="21"/>
      <c r="EC52" s="21"/>
      <c r="ED52" s="21"/>
      <c r="EE52" s="21"/>
      <c r="EF52" s="21"/>
      <c r="EG52" s="21"/>
      <c r="EH52" s="21"/>
      <c r="EI52" s="21"/>
      <c r="EJ52" s="21"/>
      <c r="EK52" s="21"/>
      <c r="EL52" s="21"/>
      <c r="EM52" s="21"/>
      <c r="EN52" s="21"/>
      <c r="EO52" s="21"/>
      <c r="EP52" s="21"/>
      <c r="EQ52" s="21"/>
      <c r="ER52" s="21"/>
      <c r="ES52" s="21"/>
      <c r="ET52" s="22"/>
      <c r="EU52" s="22"/>
      <c r="EV52" s="22"/>
    </row>
    <row r="53" spans="1:226" x14ac:dyDescent="0.25">
      <c r="A53" s="45"/>
      <c r="B53" s="23"/>
      <c r="C53" s="23"/>
      <c r="D53" s="23"/>
      <c r="E53" s="23"/>
      <c r="F53" s="23"/>
      <c r="G53" s="23"/>
      <c r="H53" s="23"/>
      <c r="I53" s="46"/>
      <c r="J53" s="46"/>
      <c r="K53" s="46"/>
      <c r="L53" s="46"/>
      <c r="M53" s="47"/>
      <c r="N53" s="47"/>
      <c r="O53" s="48" t="s">
        <v>18</v>
      </c>
      <c r="P53" s="23"/>
      <c r="Q53" s="104">
        <f>Q22+Q39+Q51</f>
        <v>25427.665000000001</v>
      </c>
      <c r="R53" s="104"/>
      <c r="T53" s="21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2"/>
      <c r="EU53" s="22"/>
      <c r="EV53" s="22"/>
    </row>
    <row r="54" spans="1:226" ht="10.199999999999999" customHeight="1" x14ac:dyDescent="0.25"/>
    <row r="55" spans="1:226" ht="10.199999999999999" customHeight="1" x14ac:dyDescent="0.25"/>
    <row r="56" spans="1:226" ht="10.199999999999999" customHeight="1" x14ac:dyDescent="0.25"/>
    <row r="1047586" spans="9:9" x14ac:dyDescent="0.25">
      <c r="I1047586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disablePrompts="1"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2026-07-03T04:58:49Z</dcterms:modified>
</cp:coreProperties>
</file>