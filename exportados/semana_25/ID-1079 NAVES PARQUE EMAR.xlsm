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DDDEFBE7-12CF-47F7-A127-B5DDE7BC909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'026'!$A$1:$R$63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45" i="491" l="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W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Y45" i="491"/>
  <c r="T45" i="491"/>
  <c r="U45" i="491" s="1"/>
  <c r="R45" i="491"/>
  <c r="Q45" i="491"/>
  <c r="O45" i="491"/>
  <c r="N45" i="49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Y44" i="491"/>
  <c r="T44" i="491"/>
  <c r="U44" i="491" s="1"/>
  <c r="R44" i="491"/>
  <c r="Q44" i="491"/>
  <c r="O44" i="491"/>
  <c r="N44" i="491"/>
  <c r="M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W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Y43" i="491"/>
  <c r="T43" i="491"/>
  <c r="U43" i="491" s="1"/>
  <c r="R43" i="491"/>
  <c r="Q43" i="491"/>
  <c r="O43" i="491"/>
  <c r="N43" i="49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W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T42" i="491"/>
  <c r="U42" i="491" s="1"/>
  <c r="Y42" i="491" s="1"/>
  <c r="R42" i="491"/>
  <c r="Q42" i="491"/>
  <c r="O42" i="49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T41" i="491"/>
  <c r="U41" i="491" s="1"/>
  <c r="Y41" i="491" s="1"/>
  <c r="R41" i="491"/>
  <c r="Q41" i="491"/>
  <c r="O41" i="491"/>
  <c r="DW41" i="491" s="1"/>
  <c r="N41" i="491"/>
  <c r="M41" i="491"/>
  <c r="G41" i="491"/>
  <c r="C41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Y25" i="491"/>
  <c r="T25" i="491"/>
  <c r="U25" i="491" s="1"/>
  <c r="R25" i="491"/>
  <c r="Q25" i="491"/>
  <c r="O25" i="49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W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O24" i="491"/>
  <c r="N24" i="491"/>
  <c r="M24" i="49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O23" i="491"/>
  <c r="DW23" i="491" s="1"/>
  <c r="N23" i="491"/>
  <c r="M23" i="491"/>
  <c r="G23" i="491"/>
  <c r="C23" i="491"/>
  <c r="R61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W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Y59" i="491"/>
  <c r="T59" i="491"/>
  <c r="U59" i="491" s="1"/>
  <c r="Q59" i="491"/>
  <c r="O59" i="491"/>
  <c r="N59" i="491"/>
  <c r="M59" i="491"/>
  <c r="G59" i="491"/>
  <c r="F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W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Y58" i="491"/>
  <c r="T58" i="491"/>
  <c r="U58" i="491" s="1"/>
  <c r="Q58" i="491"/>
  <c r="O58" i="491"/>
  <c r="N58" i="491"/>
  <c r="M58" i="491"/>
  <c r="G58" i="491"/>
  <c r="F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Q57" i="491"/>
  <c r="O57" i="491"/>
  <c r="N57" i="491"/>
  <c r="M57" i="491"/>
  <c r="G57" i="491"/>
  <c r="F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D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W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F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Y56" i="491"/>
  <c r="T56" i="491"/>
  <c r="U56" i="491" s="1"/>
  <c r="Q56" i="491"/>
  <c r="O56" i="491"/>
  <c r="N56" i="491"/>
  <c r="M56" i="491"/>
  <c r="G56" i="491"/>
  <c r="F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W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Y55" i="491"/>
  <c r="T55" i="491"/>
  <c r="U55" i="491" s="1"/>
  <c r="Q55" i="491"/>
  <c r="O55" i="491"/>
  <c r="N55" i="491"/>
  <c r="M55" i="491"/>
  <c r="G55" i="491"/>
  <c r="F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W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Y54" i="491"/>
  <c r="T54" i="491"/>
  <c r="U54" i="491" s="1"/>
  <c r="CU54" i="491" s="1"/>
  <c r="N54" i="491"/>
  <c r="G54" i="491"/>
  <c r="C54" i="491"/>
  <c r="HR53" i="491"/>
  <c r="HQ53" i="491"/>
  <c r="HP53" i="491"/>
  <c r="HO53" i="491"/>
  <c r="HN53" i="491"/>
  <c r="HM53" i="491"/>
  <c r="HL53" i="491"/>
  <c r="HK53" i="491"/>
  <c r="HJ53" i="491"/>
  <c r="HI53" i="491"/>
  <c r="HH53" i="491"/>
  <c r="HG53" i="491"/>
  <c r="HF53" i="491"/>
  <c r="HE53" i="491"/>
  <c r="HD53" i="491"/>
  <c r="HC53" i="491"/>
  <c r="HB53" i="491"/>
  <c r="HA53" i="491"/>
  <c r="GZ53" i="491"/>
  <c r="GY53" i="491"/>
  <c r="GX53" i="491"/>
  <c r="GW53" i="491"/>
  <c r="GV53" i="491"/>
  <c r="GU53" i="491"/>
  <c r="GT53" i="491"/>
  <c r="GS53" i="491"/>
  <c r="GR53" i="491"/>
  <c r="GQ53" i="491"/>
  <c r="GP53" i="491"/>
  <c r="GO53" i="491"/>
  <c r="GN53" i="491"/>
  <c r="GM53" i="491"/>
  <c r="GL53" i="491"/>
  <c r="GK53" i="491"/>
  <c r="GJ53" i="491"/>
  <c r="GI53" i="491"/>
  <c r="GH53" i="491"/>
  <c r="GG53" i="491"/>
  <c r="GF53" i="491"/>
  <c r="GE53" i="491"/>
  <c r="GD53" i="491"/>
  <c r="GC53" i="491"/>
  <c r="GB53" i="491"/>
  <c r="GA53" i="491"/>
  <c r="FZ53" i="491"/>
  <c r="FY53" i="491"/>
  <c r="FX53" i="491"/>
  <c r="FW53" i="491"/>
  <c r="FV53" i="491"/>
  <c r="FU53" i="491"/>
  <c r="FT53" i="491"/>
  <c r="FS53" i="491"/>
  <c r="FR53" i="491"/>
  <c r="FQ53" i="491"/>
  <c r="FP53" i="491"/>
  <c r="FO53" i="491"/>
  <c r="FN53" i="491"/>
  <c r="FM53" i="491"/>
  <c r="FL53" i="491"/>
  <c r="FK53" i="491"/>
  <c r="FJ53" i="491"/>
  <c r="FI53" i="491"/>
  <c r="FH53" i="491"/>
  <c r="FG53" i="491"/>
  <c r="FF53" i="491"/>
  <c r="FE53" i="491"/>
  <c r="FD53" i="491"/>
  <c r="FC53" i="491"/>
  <c r="FB53" i="491"/>
  <c r="FA53" i="491"/>
  <c r="EZ53" i="491"/>
  <c r="EY53" i="491"/>
  <c r="EX53" i="491"/>
  <c r="EW53" i="491"/>
  <c r="EV53" i="491"/>
  <c r="EU53" i="491"/>
  <c r="ET53" i="491"/>
  <c r="ES53" i="491"/>
  <c r="ER53" i="491"/>
  <c r="EQ53" i="491"/>
  <c r="EP53" i="491"/>
  <c r="EO53" i="491"/>
  <c r="EN53" i="491"/>
  <c r="EM53" i="491"/>
  <c r="EL53" i="491"/>
  <c r="EK53" i="491"/>
  <c r="EJ53" i="491"/>
  <c r="EI53" i="491"/>
  <c r="EH53" i="491"/>
  <c r="EG53" i="491"/>
  <c r="EF53" i="491"/>
  <c r="EE53" i="491"/>
  <c r="ED53" i="491"/>
  <c r="EC53" i="491"/>
  <c r="EB53" i="491"/>
  <c r="EA53" i="491"/>
  <c r="DZ53" i="491"/>
  <c r="DY53" i="491"/>
  <c r="DX53" i="491"/>
  <c r="DW53" i="491"/>
  <c r="DT53" i="491"/>
  <c r="DS53" i="491"/>
  <c r="DR53" i="491"/>
  <c r="DQ53" i="491"/>
  <c r="DP53" i="491"/>
  <c r="DO53" i="491"/>
  <c r="DN53" i="491"/>
  <c r="DM53" i="491"/>
  <c r="DL53" i="491"/>
  <c r="DK53" i="491"/>
  <c r="DJ53" i="491"/>
  <c r="DI53" i="491"/>
  <c r="DH53" i="491"/>
  <c r="DG53" i="491"/>
  <c r="DF53" i="491"/>
  <c r="DE53" i="491"/>
  <c r="DD53" i="491"/>
  <c r="DC53" i="491"/>
  <c r="DB53" i="491"/>
  <c r="DA53" i="491"/>
  <c r="CZ53" i="491"/>
  <c r="CY53" i="491"/>
  <c r="CX53" i="491"/>
  <c r="CW53" i="491"/>
  <c r="CV53" i="491"/>
  <c r="CU53" i="491"/>
  <c r="CT53" i="491"/>
  <c r="CS53" i="491"/>
  <c r="CR53" i="491"/>
  <c r="CQ53" i="491"/>
  <c r="CP53" i="491"/>
  <c r="CO53" i="491"/>
  <c r="CN53" i="491"/>
  <c r="CM53" i="491"/>
  <c r="CL53" i="491"/>
  <c r="CK53" i="491"/>
  <c r="CJ53" i="491"/>
  <c r="CI53" i="491"/>
  <c r="CH53" i="491"/>
  <c r="CG53" i="491"/>
  <c r="CF53" i="491"/>
  <c r="CE53" i="491"/>
  <c r="CD53" i="491"/>
  <c r="CC53" i="491"/>
  <c r="CB53" i="491"/>
  <c r="CA53" i="491"/>
  <c r="BZ53" i="491"/>
  <c r="BY53" i="491"/>
  <c r="BX53" i="491"/>
  <c r="BW53" i="491"/>
  <c r="BV53" i="491"/>
  <c r="BU53" i="491"/>
  <c r="BT53" i="491"/>
  <c r="BS53" i="491"/>
  <c r="BR53" i="491"/>
  <c r="BQ53" i="491"/>
  <c r="BP53" i="491"/>
  <c r="BO53" i="491"/>
  <c r="BN53" i="491"/>
  <c r="BM53" i="491"/>
  <c r="BL53" i="491"/>
  <c r="BK53" i="491"/>
  <c r="BJ53" i="491"/>
  <c r="BI53" i="491"/>
  <c r="BH53" i="491"/>
  <c r="BG53" i="491"/>
  <c r="BF53" i="491"/>
  <c r="BE53" i="491"/>
  <c r="BD53" i="491"/>
  <c r="BC53" i="491"/>
  <c r="BB53" i="491"/>
  <c r="BA53" i="491"/>
  <c r="AZ53" i="491"/>
  <c r="AY53" i="491"/>
  <c r="AX53" i="491"/>
  <c r="AW53" i="491"/>
  <c r="AV53" i="491"/>
  <c r="AU53" i="491"/>
  <c r="AT53" i="491"/>
  <c r="AS53" i="491"/>
  <c r="AR53" i="491"/>
  <c r="AQ53" i="491"/>
  <c r="AP53" i="491"/>
  <c r="AO53" i="491"/>
  <c r="AN53" i="491"/>
  <c r="AM53" i="491"/>
  <c r="AL53" i="491"/>
  <c r="AK53" i="491"/>
  <c r="AJ53" i="491"/>
  <c r="AI53" i="491"/>
  <c r="AH53" i="491"/>
  <c r="AG53" i="491"/>
  <c r="AF53" i="491"/>
  <c r="AE53" i="491"/>
  <c r="AD53" i="491"/>
  <c r="AC53" i="491"/>
  <c r="AB53" i="491"/>
  <c r="AA53" i="491"/>
  <c r="Z53" i="491"/>
  <c r="Y53" i="491"/>
  <c r="T53" i="491"/>
  <c r="U53" i="491" s="1"/>
  <c r="Q53" i="491"/>
  <c r="O53" i="491"/>
  <c r="N53" i="491"/>
  <c r="M53" i="491"/>
  <c r="G53" i="491"/>
  <c r="F53" i="491"/>
  <c r="C53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R47" i="491"/>
  <c r="Q47" i="491"/>
  <c r="O47" i="491"/>
  <c r="N47" i="491"/>
  <c r="M47" i="49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R46" i="491"/>
  <c r="Q46" i="491"/>
  <c r="O46" i="491"/>
  <c r="N46" i="491"/>
  <c r="M46" i="491"/>
  <c r="G46" i="491"/>
  <c r="C46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T40" i="491"/>
  <c r="U40" i="491" s="1"/>
  <c r="Y40" i="491" s="1"/>
  <c r="R40" i="491"/>
  <c r="Q40" i="491"/>
  <c r="O40" i="491"/>
  <c r="DW40" i="491" s="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DW39" i="491" s="1"/>
  <c r="N39" i="491"/>
  <c r="M39" i="49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T38" i="491"/>
  <c r="U38" i="491" s="1"/>
  <c r="Y38" i="491" s="1"/>
  <c r="R38" i="491"/>
  <c r="Q38" i="491"/>
  <c r="O38" i="491"/>
  <c r="DW38" i="491" s="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T37" i="491"/>
  <c r="U37" i="491" s="1"/>
  <c r="CG37" i="491" s="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W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CF35" i="491" s="1"/>
  <c r="R35" i="491"/>
  <c r="N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W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Y34" i="491"/>
  <c r="T34" i="491"/>
  <c r="U34" i="491" s="1"/>
  <c r="CF34" i="491" s="1"/>
  <c r="Q34" i="491"/>
  <c r="O34" i="491"/>
  <c r="GD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R33" i="491"/>
  <c r="Q33" i="491"/>
  <c r="O33" i="491"/>
  <c r="N33" i="491"/>
  <c r="M33" i="491"/>
  <c r="G33" i="491"/>
  <c r="C33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W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Y26" i="491"/>
  <c r="T26" i="491"/>
  <c r="U26" i="491" s="1"/>
  <c r="R26" i="491"/>
  <c r="Q26" i="491"/>
  <c r="O26" i="491"/>
  <c r="N26" i="491"/>
  <c r="M26" i="491"/>
  <c r="G26" i="491"/>
  <c r="C26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Q21" i="491"/>
  <c r="N21" i="491"/>
  <c r="M21" i="491"/>
  <c r="O21" i="491" s="1"/>
  <c r="DW21" i="491" s="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T18" i="491"/>
  <c r="U18" i="491" s="1"/>
  <c r="Y18" i="491" s="1"/>
  <c r="R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37" i="491" l="1"/>
  <c r="GE37" i="491" s="1"/>
  <c r="O18" i="491"/>
  <c r="DW18" i="491" s="1"/>
  <c r="Y37" i="491"/>
  <c r="DW37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Q37" i="491" s="1"/>
  <c r="R37" i="491" s="1"/>
  <c r="DX13" i="491" l="1"/>
  <c r="Y13" i="491"/>
  <c r="DW13" i="491" s="1"/>
  <c r="Z13" i="491"/>
  <c r="R16" i="491" l="1"/>
  <c r="Q18" i="491"/>
  <c r="Q29" i="491" s="1"/>
  <c r="M35" i="491" s="1"/>
  <c r="O35" i="491" s="1"/>
  <c r="GD35" i="491" s="1"/>
  <c r="GD13" i="491" s="1"/>
  <c r="Q35" i="491" s="1"/>
  <c r="R15" i="491"/>
  <c r="R17" i="491"/>
  <c r="M54" i="491" l="1"/>
  <c r="O54" i="491" s="1"/>
  <c r="GS54" i="491" s="1"/>
  <c r="GS13" i="491" s="1"/>
  <c r="Q54" i="491" s="1"/>
  <c r="Q61" i="491" s="1"/>
  <c r="F54" i="491"/>
  <c r="R29" i="491"/>
  <c r="R34" i="491"/>
  <c r="R49" i="491" s="1"/>
  <c r="Q49" i="491"/>
  <c r="Q63" i="491" l="1"/>
</calcChain>
</file>

<file path=xl/sharedStrings.xml><?xml version="1.0" encoding="utf-8"?>
<sst xmlns="http://schemas.openxmlformats.org/spreadsheetml/2006/main" count="50" uniqueCount="44">
  <si>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</si>
  <si>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</si>
  <si>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</si>
  <si>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</si>
  <si>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</si>
  <si>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</si>
  <si>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</si>
  <si>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</si>
  <si>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</si>
  <si>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</si>
  <si>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</si>
  <si>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</si>
  <si>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</si>
  <si>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</si>
  <si>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</si>
  <si>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</si>
  <si>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</si>
  <si>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</si>
  <si>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</si>
  <si>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</si>
  <si>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</si>
  <si>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</si>
  <si>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</si>
  <si>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</si>
  <si>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</si>
  <si>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</si>
  <si>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ID-1079</t>
  </si>
  <si>
    <t>CARRETERA A TESISTÁN SAN CRISTOBAL DE LA BARRANCA</t>
  </si>
  <si>
    <t>22/06/26</t>
  </si>
  <si>
    <t>28/06/26</t>
  </si>
  <si>
    <t>GENERALES</t>
  </si>
  <si>
    <t>lote10</t>
  </si>
  <si>
    <t>UNA CANTIDAD GRANDE DE ACTIVIDADES,</t>
  </si>
  <si>
    <t>LIMPIEZA, RETIRAR ESCOMBRO, RECOGER</t>
  </si>
  <si>
    <t>MADERA. CHATARRA, MONTENES, BASURA,</t>
  </si>
  <si>
    <t>CRISTALES ROTOS, BODEGUERO , ENTREGA Y</t>
  </si>
  <si>
    <t>RECEPCION DE MATERIALES.</t>
  </si>
  <si>
    <t>destaj</t>
  </si>
  <si>
    <t>RESID</t>
  </si>
  <si>
    <t>EL RESIDENTE REALIZO ACTIVIDADES DE</t>
  </si>
  <si>
    <t>DESTRUCCION DE OBRA, ROBAR, ATRACAR,</t>
  </si>
  <si>
    <t>INSINUAR, DESPOTRICAR Y ADEMAS USURPAR</t>
  </si>
  <si>
    <t>DERECHOS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</si>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</sst>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2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96"/>
  <sheetViews>
    <sheetView tabSelected="1" topLeftCell="A6" zoomScaleNormal="100" workbookViewId="0">
      <selection activeCell="D8" sqref="D8:O8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6.33203125" bestFit="1" customWidth="1"/>
    <col min="128" max="135" width="1.5546875" bestFit="1" customWidth="1"/>
    <col min="136" max="185" width="2.33203125" bestFit="1" customWidth="1"/>
    <col min="186" max="186" width="5.109375" bestFit="1" customWidth="1"/>
    <col min="187" max="187" width="7.109375" bestFit="1" customWidth="1"/>
    <col min="188" max="200" width="2.33203125" bestFit="1" customWidth="1"/>
    <col min="201" max="201" width="5.10937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1" t="s">
        <v>0</v>
      </c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3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4"/>
      <c r="B2" s="155"/>
      <c r="C2" s="156"/>
      <c r="D2" s="4"/>
      <c r="E2" s="157" t="s">
        <v>21</v>
      </c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9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7" t="s">
        <v>22</v>
      </c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115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1079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60" t="s">
        <v>2</v>
      </c>
      <c r="B6" s="161"/>
      <c r="C6" s="162"/>
      <c r="D6" s="169" t="s">
        <v>26</v>
      </c>
      <c r="E6" s="169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1" t="s">
        <v>25</v>
      </c>
      <c r="Q6" s="172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3"/>
      <c r="B7" s="164"/>
      <c r="C7" s="165"/>
      <c r="D7" s="173" t="str">
        <f>VLOOKUP($D$6,[1]OB!$A$2:$I$5052,4,FALSE)</f>
        <v>NAVES PARQUE EMAR</v>
      </c>
      <c r="E7" s="174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6" t="s">
        <v>24</v>
      </c>
      <c r="Q7" s="177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6"/>
      <c r="B8" s="167"/>
      <c r="C8" s="168"/>
      <c r="D8" s="150" t="s">
        <v>27</v>
      </c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BD13" si="0">SUM(Y14:Y59)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ref="BE13:CJ13" si="1">SUM(BE14:BE59)</f>
        <v>0</v>
      </c>
      <c r="BF13" s="57">
        <f t="shared" si="1"/>
        <v>0</v>
      </c>
      <c r="BG13" s="57">
        <f t="shared" si="1"/>
        <v>0</v>
      </c>
      <c r="BH13" s="57">
        <f t="shared" si="1"/>
        <v>0</v>
      </c>
      <c r="BI13" s="57">
        <f t="shared" si="1"/>
        <v>0</v>
      </c>
      <c r="BJ13" s="57">
        <f t="shared" si="1"/>
        <v>0</v>
      </c>
      <c r="BK13" s="57">
        <f t="shared" si="1"/>
        <v>0</v>
      </c>
      <c r="BL13" s="57">
        <f t="shared" si="1"/>
        <v>0</v>
      </c>
      <c r="BM13" s="57">
        <f t="shared" si="1"/>
        <v>0</v>
      </c>
      <c r="BN13" s="57">
        <f t="shared" si="1"/>
        <v>0</v>
      </c>
      <c r="BO13" s="57">
        <f t="shared" si="1"/>
        <v>0</v>
      </c>
      <c r="BP13" s="57">
        <f t="shared" si="1"/>
        <v>0</v>
      </c>
      <c r="BQ13" s="57">
        <f t="shared" si="1"/>
        <v>0</v>
      </c>
      <c r="BR13" s="57">
        <f t="shared" si="1"/>
        <v>0</v>
      </c>
      <c r="BS13" s="57">
        <f t="shared" si="1"/>
        <v>0</v>
      </c>
      <c r="BT13" s="57">
        <f t="shared" si="1"/>
        <v>0</v>
      </c>
      <c r="BU13" s="57">
        <f t="shared" si="1"/>
        <v>0</v>
      </c>
      <c r="BV13" s="57">
        <f t="shared" si="1"/>
        <v>0</v>
      </c>
      <c r="BW13" s="57">
        <f t="shared" si="1"/>
        <v>0</v>
      </c>
      <c r="BX13" s="57">
        <f t="shared" si="1"/>
        <v>0</v>
      </c>
      <c r="BY13" s="57">
        <f t="shared" si="1"/>
        <v>0</v>
      </c>
      <c r="BZ13" s="57">
        <f t="shared" si="1"/>
        <v>0</v>
      </c>
      <c r="CA13" s="57">
        <f t="shared" si="1"/>
        <v>0</v>
      </c>
      <c r="CB13" s="57">
        <f t="shared" si="1"/>
        <v>0</v>
      </c>
      <c r="CC13" s="57">
        <f t="shared" si="1"/>
        <v>0</v>
      </c>
      <c r="CD13" s="57">
        <f t="shared" si="1"/>
        <v>0</v>
      </c>
      <c r="CE13" s="57">
        <f t="shared" si="1"/>
        <v>0</v>
      </c>
      <c r="CF13" s="57">
        <f t="shared" si="1"/>
        <v>0</v>
      </c>
      <c r="CG13" s="57">
        <f t="shared" si="1"/>
        <v>0</v>
      </c>
      <c r="CH13" s="57">
        <f t="shared" si="1"/>
        <v>0</v>
      </c>
      <c r="CI13" s="57">
        <f t="shared" si="1"/>
        <v>0</v>
      </c>
      <c r="CJ13" s="57">
        <f t="shared" si="1"/>
        <v>0</v>
      </c>
      <c r="CK13" s="57">
        <f t="shared" ref="CK13:DP13" si="2">SUM(CK14:CK59)</f>
        <v>0</v>
      </c>
      <c r="CL13" s="57">
        <f t="shared" si="2"/>
        <v>0</v>
      </c>
      <c r="CM13" s="57">
        <f t="shared" si="2"/>
        <v>0</v>
      </c>
      <c r="CN13" s="57">
        <f t="shared" si="2"/>
        <v>0</v>
      </c>
      <c r="CO13" s="57">
        <f t="shared" si="2"/>
        <v>0</v>
      </c>
      <c r="CP13" s="57">
        <f t="shared" si="2"/>
        <v>0</v>
      </c>
      <c r="CQ13" s="57">
        <f t="shared" si="2"/>
        <v>0</v>
      </c>
      <c r="CR13" s="57">
        <f t="shared" si="2"/>
        <v>0</v>
      </c>
      <c r="CS13" s="57">
        <f t="shared" si="2"/>
        <v>0</v>
      </c>
      <c r="CT13" s="57">
        <f t="shared" si="2"/>
        <v>0</v>
      </c>
      <c r="CU13" s="57">
        <f t="shared" si="2"/>
        <v>0</v>
      </c>
      <c r="CV13" s="57">
        <f t="shared" si="2"/>
        <v>0</v>
      </c>
      <c r="CW13" s="57">
        <f t="shared" si="2"/>
        <v>0</v>
      </c>
      <c r="CX13" s="57">
        <f t="shared" si="2"/>
        <v>0</v>
      </c>
      <c r="CY13" s="57">
        <f t="shared" si="2"/>
        <v>0</v>
      </c>
      <c r="CZ13" s="57">
        <f t="shared" si="2"/>
        <v>0</v>
      </c>
      <c r="DA13" s="57">
        <f t="shared" si="2"/>
        <v>0</v>
      </c>
      <c r="DB13" s="57">
        <f t="shared" si="2"/>
        <v>0</v>
      </c>
      <c r="DC13" s="57">
        <f t="shared" si="2"/>
        <v>0</v>
      </c>
      <c r="DD13" s="57">
        <f t="shared" si="2"/>
        <v>0</v>
      </c>
      <c r="DE13" s="57">
        <f t="shared" si="2"/>
        <v>0</v>
      </c>
      <c r="DF13" s="57">
        <f t="shared" si="2"/>
        <v>0</v>
      </c>
      <c r="DG13" s="57">
        <f t="shared" si="2"/>
        <v>0</v>
      </c>
      <c r="DH13" s="57">
        <f t="shared" si="2"/>
        <v>0</v>
      </c>
      <c r="DI13" s="57">
        <f t="shared" si="2"/>
        <v>0</v>
      </c>
      <c r="DJ13" s="57">
        <f t="shared" si="2"/>
        <v>0</v>
      </c>
      <c r="DK13" s="57">
        <f t="shared" si="2"/>
        <v>0</v>
      </c>
      <c r="DL13" s="57">
        <f t="shared" si="2"/>
        <v>0</v>
      </c>
      <c r="DM13" s="57">
        <f t="shared" si="2"/>
        <v>0</v>
      </c>
      <c r="DN13" s="57">
        <f t="shared" si="2"/>
        <v>0</v>
      </c>
      <c r="DO13" s="57">
        <f t="shared" si="2"/>
        <v>0</v>
      </c>
      <c r="DP13" s="57">
        <f t="shared" si="2"/>
        <v>0</v>
      </c>
      <c r="DQ13" s="57">
        <f t="shared" ref="DQ13:EV13" si="3">SUM(DQ14:DQ59)</f>
        <v>0</v>
      </c>
      <c r="DR13" s="57">
        <f t="shared" si="3"/>
        <v>0</v>
      </c>
      <c r="DS13" s="57">
        <f t="shared" si="3"/>
        <v>0</v>
      </c>
      <c r="DT13" s="109">
        <f t="shared" si="3"/>
        <v>0</v>
      </c>
      <c r="DU13" s="54"/>
      <c r="DV13" s="58" t="s">
        <v>16</v>
      </c>
      <c r="DW13" s="56">
        <f t="shared" ref="DW13:FB13" si="4">SUM(DW14:DW59)</f>
        <v>8034.95</v>
      </c>
      <c r="DX13" s="57">
        <f t="shared" si="4"/>
        <v>0</v>
      </c>
      <c r="DY13" s="57">
        <f t="shared" si="4"/>
        <v>0</v>
      </c>
      <c r="DZ13" s="57">
        <f t="shared" si="4"/>
        <v>0</v>
      </c>
      <c r="EA13" s="57">
        <f t="shared" si="4"/>
        <v>0</v>
      </c>
      <c r="EB13" s="57">
        <f t="shared" si="4"/>
        <v>0</v>
      </c>
      <c r="EC13" s="57">
        <f t="shared" si="4"/>
        <v>0</v>
      </c>
      <c r="ED13" s="57">
        <f t="shared" si="4"/>
        <v>0</v>
      </c>
      <c r="EE13" s="57">
        <f t="shared" si="4"/>
        <v>0</v>
      </c>
      <c r="EF13" s="57">
        <f t="shared" si="4"/>
        <v>0</v>
      </c>
      <c r="EG13" s="57">
        <f t="shared" si="4"/>
        <v>0</v>
      </c>
      <c r="EH13" s="57">
        <f t="shared" si="4"/>
        <v>0</v>
      </c>
      <c r="EI13" s="57">
        <f t="shared" si="4"/>
        <v>0</v>
      </c>
      <c r="EJ13" s="57">
        <f t="shared" si="4"/>
        <v>0</v>
      </c>
      <c r="EK13" s="57">
        <f t="shared" si="4"/>
        <v>0</v>
      </c>
      <c r="EL13" s="57">
        <f t="shared" si="4"/>
        <v>0</v>
      </c>
      <c r="EM13" s="57">
        <f t="shared" si="4"/>
        <v>0</v>
      </c>
      <c r="EN13" s="57">
        <f t="shared" si="4"/>
        <v>0</v>
      </c>
      <c r="EO13" s="57">
        <f t="shared" si="4"/>
        <v>0</v>
      </c>
      <c r="EP13" s="57">
        <f t="shared" si="4"/>
        <v>0</v>
      </c>
      <c r="EQ13" s="57">
        <f t="shared" si="4"/>
        <v>0</v>
      </c>
      <c r="ER13" s="57">
        <f t="shared" si="4"/>
        <v>0</v>
      </c>
      <c r="ES13" s="57">
        <f t="shared" si="4"/>
        <v>0</v>
      </c>
      <c r="ET13" s="57">
        <f t="shared" si="4"/>
        <v>0</v>
      </c>
      <c r="EU13" s="57">
        <f t="shared" si="4"/>
        <v>0</v>
      </c>
      <c r="EV13" s="57">
        <f t="shared" si="4"/>
        <v>0</v>
      </c>
      <c r="EW13" s="57">
        <f t="shared" si="4"/>
        <v>0</v>
      </c>
      <c r="EX13" s="57">
        <f t="shared" si="4"/>
        <v>0</v>
      </c>
      <c r="EY13" s="57">
        <f t="shared" si="4"/>
        <v>0</v>
      </c>
      <c r="EZ13" s="57">
        <f t="shared" si="4"/>
        <v>0</v>
      </c>
      <c r="FA13" s="57">
        <f t="shared" si="4"/>
        <v>0</v>
      </c>
      <c r="FB13" s="57">
        <f t="shared" si="4"/>
        <v>0</v>
      </c>
      <c r="FC13" s="57">
        <f t="shared" ref="FC13:GH13" si="5">SUM(FC14:FC59)</f>
        <v>0</v>
      </c>
      <c r="FD13" s="57">
        <f t="shared" si="5"/>
        <v>0</v>
      </c>
      <c r="FE13" s="57">
        <f t="shared" si="5"/>
        <v>0</v>
      </c>
      <c r="FF13" s="57">
        <f t="shared" si="5"/>
        <v>0</v>
      </c>
      <c r="FG13" s="57">
        <f t="shared" si="5"/>
        <v>0</v>
      </c>
      <c r="FH13" s="57">
        <f t="shared" si="5"/>
        <v>0</v>
      </c>
      <c r="FI13" s="57">
        <f t="shared" si="5"/>
        <v>0</v>
      </c>
      <c r="FJ13" s="57">
        <f t="shared" si="5"/>
        <v>0</v>
      </c>
      <c r="FK13" s="57">
        <f t="shared" si="5"/>
        <v>0</v>
      </c>
      <c r="FL13" s="57">
        <f t="shared" si="5"/>
        <v>0</v>
      </c>
      <c r="FM13" s="57">
        <f t="shared" si="5"/>
        <v>0</v>
      </c>
      <c r="FN13" s="57">
        <f t="shared" si="5"/>
        <v>0</v>
      </c>
      <c r="FO13" s="57">
        <f t="shared" si="5"/>
        <v>0</v>
      </c>
      <c r="FP13" s="57">
        <f t="shared" si="5"/>
        <v>0</v>
      </c>
      <c r="FQ13" s="57">
        <f t="shared" si="5"/>
        <v>0</v>
      </c>
      <c r="FR13" s="57">
        <f t="shared" si="5"/>
        <v>0</v>
      </c>
      <c r="FS13" s="57">
        <f t="shared" si="5"/>
        <v>0</v>
      </c>
      <c r="FT13" s="57">
        <f t="shared" si="5"/>
        <v>0</v>
      </c>
      <c r="FU13" s="57">
        <f t="shared" si="5"/>
        <v>0</v>
      </c>
      <c r="FV13" s="57">
        <f t="shared" si="5"/>
        <v>0</v>
      </c>
      <c r="FW13" s="57">
        <f t="shared" si="5"/>
        <v>0</v>
      </c>
      <c r="FX13" s="57">
        <f t="shared" si="5"/>
        <v>0</v>
      </c>
      <c r="FY13" s="57">
        <f t="shared" si="5"/>
        <v>0</v>
      </c>
      <c r="FZ13" s="57">
        <f t="shared" si="5"/>
        <v>0</v>
      </c>
      <c r="GA13" s="57">
        <f t="shared" si="5"/>
        <v>0</v>
      </c>
      <c r="GB13" s="57">
        <f t="shared" si="5"/>
        <v>0</v>
      </c>
      <c r="GC13" s="57">
        <f t="shared" si="5"/>
        <v>0</v>
      </c>
      <c r="GD13" s="57">
        <f t="shared" si="5"/>
        <v>321.39800000000002</v>
      </c>
      <c r="GE13" s="57">
        <f t="shared" si="5"/>
        <v>14285.88</v>
      </c>
      <c r="GF13" s="57">
        <f t="shared" si="5"/>
        <v>0</v>
      </c>
      <c r="GG13" s="57">
        <f t="shared" si="5"/>
        <v>0</v>
      </c>
      <c r="GH13" s="57">
        <f t="shared" si="5"/>
        <v>0</v>
      </c>
      <c r="GI13" s="57">
        <f t="shared" ref="GI13:HN13" si="6">SUM(GI14:GI59)</f>
        <v>0</v>
      </c>
      <c r="GJ13" s="57">
        <f t="shared" si="6"/>
        <v>0</v>
      </c>
      <c r="GK13" s="57">
        <f t="shared" si="6"/>
        <v>0</v>
      </c>
      <c r="GL13" s="57">
        <f t="shared" si="6"/>
        <v>0</v>
      </c>
      <c r="GM13" s="57">
        <f t="shared" si="6"/>
        <v>0</v>
      </c>
      <c r="GN13" s="57">
        <f t="shared" si="6"/>
        <v>0</v>
      </c>
      <c r="GO13" s="57">
        <f t="shared" si="6"/>
        <v>0</v>
      </c>
      <c r="GP13" s="57">
        <f t="shared" si="6"/>
        <v>0</v>
      </c>
      <c r="GQ13" s="57">
        <f t="shared" si="6"/>
        <v>0</v>
      </c>
      <c r="GR13" s="57">
        <f t="shared" si="6"/>
        <v>0</v>
      </c>
      <c r="GS13" s="57">
        <f t="shared" si="6"/>
        <v>803.495</v>
      </c>
      <c r="GT13" s="57">
        <f t="shared" si="6"/>
        <v>0</v>
      </c>
      <c r="GU13" s="57">
        <f t="shared" si="6"/>
        <v>0</v>
      </c>
      <c r="GV13" s="57">
        <f t="shared" si="6"/>
        <v>0</v>
      </c>
      <c r="GW13" s="57">
        <f t="shared" si="6"/>
        <v>0</v>
      </c>
      <c r="GX13" s="57">
        <f t="shared" si="6"/>
        <v>0</v>
      </c>
      <c r="GY13" s="57">
        <f t="shared" si="6"/>
        <v>0</v>
      </c>
      <c r="GZ13" s="57">
        <f t="shared" si="6"/>
        <v>0</v>
      </c>
      <c r="HA13" s="57">
        <f t="shared" si="6"/>
        <v>0</v>
      </c>
      <c r="HB13" s="57">
        <f t="shared" si="6"/>
        <v>0</v>
      </c>
      <c r="HC13" s="57">
        <f t="shared" si="6"/>
        <v>0</v>
      </c>
      <c r="HD13" s="57">
        <f t="shared" si="6"/>
        <v>0</v>
      </c>
      <c r="HE13" s="57">
        <f t="shared" si="6"/>
        <v>0</v>
      </c>
      <c r="HF13" s="57">
        <f t="shared" si="6"/>
        <v>0</v>
      </c>
      <c r="HG13" s="57">
        <f t="shared" si="6"/>
        <v>0</v>
      </c>
      <c r="HH13" s="57">
        <f t="shared" si="6"/>
        <v>0</v>
      </c>
      <c r="HI13" s="57">
        <f t="shared" si="6"/>
        <v>0</v>
      </c>
      <c r="HJ13" s="57">
        <f t="shared" si="6"/>
        <v>0</v>
      </c>
      <c r="HK13" s="57">
        <f t="shared" si="6"/>
        <v>0</v>
      </c>
      <c r="HL13" s="57">
        <f t="shared" si="6"/>
        <v>0</v>
      </c>
      <c r="HM13" s="57">
        <f t="shared" si="6"/>
        <v>0</v>
      </c>
      <c r="HN13" s="57">
        <f t="shared" si="6"/>
        <v>0</v>
      </c>
      <c r="HO13" s="57">
        <f t="shared" ref="HO13:IT13" si="7">SUM(HO14:HO59)</f>
        <v>0</v>
      </c>
      <c r="HP13" s="57">
        <f t="shared" si="7"/>
        <v>0</v>
      </c>
      <c r="HQ13" s="57">
        <f t="shared" si="7"/>
        <v>0</v>
      </c>
      <c r="HR13" s="109">
        <f t="shared" si="7"/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7" si="8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7" si="9">IF(P14=0,"",(HLOOKUP(P14,$DW$12:$HR$13,2)))</f>
        <v/>
      </c>
      <c r="R14" s="89" t="str">
        <f t="shared" ref="R14:R27" si="10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RESIDENTE"),VLOOKUP(B14,P$14:Q$59,2),"")*S14)</f>
        <v/>
      </c>
      <c r="T14" s="53" t="str">
        <f>IF(A14=0,"",VLOOKUP(A14,[2]CO!$A$3:$F$5318,5,0))</f>
        <v/>
      </c>
      <c r="U14" s="54">
        <f t="shared" ref="U14:U27" si="11">IF(T14=1,O14*0.1,)</f>
        <v>0</v>
      </c>
      <c r="V14" s="24"/>
      <c r="Y14" s="62" t="str">
        <f t="shared" ref="Y14:CJ17" si="12">IF($B14=Y$12,$U14,"")</f>
        <v/>
      </c>
      <c r="Z14" s="63" t="str">
        <f t="shared" si="12"/>
        <v/>
      </c>
      <c r="AA14" s="63" t="str">
        <f t="shared" si="12"/>
        <v/>
      </c>
      <c r="AB14" s="63" t="str">
        <f t="shared" si="12"/>
        <v/>
      </c>
      <c r="AC14" s="63" t="str">
        <f t="shared" si="12"/>
        <v/>
      </c>
      <c r="AD14" s="63" t="str">
        <f t="shared" si="12"/>
        <v/>
      </c>
      <c r="AE14" s="63" t="str">
        <f t="shared" si="12"/>
        <v/>
      </c>
      <c r="AF14" s="63" t="str">
        <f t="shared" si="12"/>
        <v/>
      </c>
      <c r="AG14" s="63" t="str">
        <f t="shared" si="12"/>
        <v/>
      </c>
      <c r="AH14" s="63" t="str">
        <f t="shared" si="12"/>
        <v/>
      </c>
      <c r="AI14" s="63" t="str">
        <f t="shared" si="12"/>
        <v/>
      </c>
      <c r="AJ14" s="63" t="str">
        <f t="shared" si="12"/>
        <v/>
      </c>
      <c r="AK14" s="63" t="str">
        <f t="shared" si="12"/>
        <v/>
      </c>
      <c r="AL14" s="63" t="str">
        <f t="shared" si="12"/>
        <v/>
      </c>
      <c r="AM14" s="63" t="str">
        <f t="shared" si="12"/>
        <v/>
      </c>
      <c r="AN14" s="63" t="str">
        <f t="shared" si="12"/>
        <v/>
      </c>
      <c r="AO14" s="63" t="str">
        <f t="shared" si="12"/>
        <v/>
      </c>
      <c r="AP14" s="63" t="str">
        <f t="shared" si="12"/>
        <v/>
      </c>
      <c r="AQ14" s="63" t="str">
        <f t="shared" si="12"/>
        <v/>
      </c>
      <c r="AR14" s="63" t="str">
        <f t="shared" si="12"/>
        <v/>
      </c>
      <c r="AS14" s="63" t="str">
        <f t="shared" si="12"/>
        <v/>
      </c>
      <c r="AT14" s="63" t="str">
        <f t="shared" si="12"/>
        <v/>
      </c>
      <c r="AU14" s="63" t="str">
        <f t="shared" si="12"/>
        <v/>
      </c>
      <c r="AV14" s="63" t="str">
        <f t="shared" si="12"/>
        <v/>
      </c>
      <c r="AW14" s="63" t="str">
        <f t="shared" si="12"/>
        <v/>
      </c>
      <c r="AX14" s="63" t="str">
        <f t="shared" si="12"/>
        <v/>
      </c>
      <c r="AY14" s="63" t="str">
        <f t="shared" si="12"/>
        <v/>
      </c>
      <c r="AZ14" s="63" t="str">
        <f t="shared" si="12"/>
        <v/>
      </c>
      <c r="BA14" s="63" t="str">
        <f t="shared" si="12"/>
        <v/>
      </c>
      <c r="BB14" s="63" t="str">
        <f t="shared" si="12"/>
        <v/>
      </c>
      <c r="BC14" s="63" t="str">
        <f t="shared" si="12"/>
        <v/>
      </c>
      <c r="BD14" s="63" t="str">
        <f t="shared" si="12"/>
        <v/>
      </c>
      <c r="BE14" s="63" t="str">
        <f t="shared" si="12"/>
        <v/>
      </c>
      <c r="BF14" s="63" t="str">
        <f t="shared" si="12"/>
        <v/>
      </c>
      <c r="BG14" s="63" t="str">
        <f t="shared" si="12"/>
        <v/>
      </c>
      <c r="BH14" s="63" t="str">
        <f t="shared" si="12"/>
        <v/>
      </c>
      <c r="BI14" s="63" t="str">
        <f t="shared" si="12"/>
        <v/>
      </c>
      <c r="BJ14" s="63" t="str">
        <f t="shared" si="12"/>
        <v/>
      </c>
      <c r="BK14" s="63" t="str">
        <f t="shared" si="12"/>
        <v/>
      </c>
      <c r="BL14" s="63" t="str">
        <f t="shared" si="12"/>
        <v/>
      </c>
      <c r="BM14" s="63" t="str">
        <f t="shared" si="12"/>
        <v/>
      </c>
      <c r="BN14" s="63" t="str">
        <f t="shared" si="12"/>
        <v/>
      </c>
      <c r="BO14" s="63" t="str">
        <f t="shared" si="12"/>
        <v/>
      </c>
      <c r="BP14" s="63" t="str">
        <f t="shared" si="12"/>
        <v/>
      </c>
      <c r="BQ14" s="63" t="str">
        <f t="shared" si="12"/>
        <v/>
      </c>
      <c r="BR14" s="63" t="str">
        <f t="shared" si="12"/>
        <v/>
      </c>
      <c r="BS14" s="63" t="str">
        <f t="shared" si="12"/>
        <v/>
      </c>
      <c r="BT14" s="63" t="str">
        <f t="shared" si="12"/>
        <v/>
      </c>
      <c r="BU14" s="63" t="str">
        <f t="shared" si="12"/>
        <v/>
      </c>
      <c r="BV14" s="63" t="str">
        <f t="shared" si="12"/>
        <v/>
      </c>
      <c r="BW14" s="63" t="str">
        <f t="shared" si="12"/>
        <v/>
      </c>
      <c r="BX14" s="63" t="str">
        <f t="shared" si="12"/>
        <v/>
      </c>
      <c r="BY14" s="63" t="str">
        <f t="shared" si="12"/>
        <v/>
      </c>
      <c r="BZ14" s="63" t="str">
        <f t="shared" si="12"/>
        <v/>
      </c>
      <c r="CA14" s="63" t="str">
        <f t="shared" si="12"/>
        <v/>
      </c>
      <c r="CB14" s="63" t="str">
        <f t="shared" si="12"/>
        <v/>
      </c>
      <c r="CC14" s="63" t="str">
        <f t="shared" si="12"/>
        <v/>
      </c>
      <c r="CD14" s="63" t="str">
        <f t="shared" si="12"/>
        <v/>
      </c>
      <c r="CE14" s="63" t="str">
        <f t="shared" si="12"/>
        <v/>
      </c>
      <c r="CF14" s="63" t="str">
        <f t="shared" si="12"/>
        <v/>
      </c>
      <c r="CG14" s="63" t="str">
        <f t="shared" si="12"/>
        <v/>
      </c>
      <c r="CH14" s="63" t="str">
        <f t="shared" si="12"/>
        <v/>
      </c>
      <c r="CI14" s="63" t="str">
        <f t="shared" si="12"/>
        <v/>
      </c>
      <c r="CJ14" s="63" t="str">
        <f t="shared" si="12"/>
        <v/>
      </c>
      <c r="CK14" s="63" t="str">
        <f t="shared" ref="CK14:DT21" si="13">IF($B14=CK$12,$U14,"")</f>
        <v/>
      </c>
      <c r="CL14" s="63" t="str">
        <f t="shared" si="13"/>
        <v/>
      </c>
      <c r="CM14" s="63" t="str">
        <f t="shared" si="13"/>
        <v/>
      </c>
      <c r="CN14" s="63" t="str">
        <f t="shared" si="13"/>
        <v/>
      </c>
      <c r="CO14" s="63" t="str">
        <f t="shared" si="13"/>
        <v/>
      </c>
      <c r="CP14" s="63" t="str">
        <f t="shared" si="13"/>
        <v/>
      </c>
      <c r="CQ14" s="63" t="str">
        <f t="shared" si="13"/>
        <v/>
      </c>
      <c r="CR14" s="63" t="str">
        <f t="shared" si="13"/>
        <v/>
      </c>
      <c r="CS14" s="63" t="str">
        <f t="shared" si="13"/>
        <v/>
      </c>
      <c r="CT14" s="63" t="str">
        <f t="shared" si="13"/>
        <v/>
      </c>
      <c r="CU14" s="63" t="str">
        <f t="shared" si="13"/>
        <v/>
      </c>
      <c r="CV14" s="63" t="str">
        <f t="shared" si="13"/>
        <v/>
      </c>
      <c r="CW14" s="63" t="str">
        <f t="shared" si="13"/>
        <v/>
      </c>
      <c r="CX14" s="63" t="str">
        <f t="shared" si="13"/>
        <v/>
      </c>
      <c r="CY14" s="63" t="str">
        <f t="shared" si="13"/>
        <v/>
      </c>
      <c r="CZ14" s="63" t="str">
        <f t="shared" si="13"/>
        <v/>
      </c>
      <c r="DA14" s="63" t="str">
        <f t="shared" si="13"/>
        <v/>
      </c>
      <c r="DB14" s="63" t="str">
        <f t="shared" si="13"/>
        <v/>
      </c>
      <c r="DC14" s="63" t="str">
        <f t="shared" si="13"/>
        <v/>
      </c>
      <c r="DD14" s="63" t="str">
        <f t="shared" si="13"/>
        <v/>
      </c>
      <c r="DE14" s="63" t="str">
        <f t="shared" si="13"/>
        <v/>
      </c>
      <c r="DF14" s="63" t="str">
        <f t="shared" si="13"/>
        <v/>
      </c>
      <c r="DG14" s="63" t="str">
        <f t="shared" si="13"/>
        <v/>
      </c>
      <c r="DH14" s="63" t="str">
        <f t="shared" si="13"/>
        <v/>
      </c>
      <c r="DI14" s="63" t="str">
        <f t="shared" si="13"/>
        <v/>
      </c>
      <c r="DJ14" s="63" t="str">
        <f t="shared" si="13"/>
        <v/>
      </c>
      <c r="DK14" s="63" t="str">
        <f t="shared" si="13"/>
        <v/>
      </c>
      <c r="DL14" s="63" t="str">
        <f t="shared" si="13"/>
        <v/>
      </c>
      <c r="DM14" s="63" t="str">
        <f t="shared" si="13"/>
        <v/>
      </c>
      <c r="DN14" s="63" t="str">
        <f t="shared" si="13"/>
        <v/>
      </c>
      <c r="DO14" s="63" t="str">
        <f t="shared" si="13"/>
        <v/>
      </c>
      <c r="DP14" s="63" t="str">
        <f t="shared" si="13"/>
        <v/>
      </c>
      <c r="DQ14" s="63" t="str">
        <f t="shared" si="13"/>
        <v/>
      </c>
      <c r="DR14" s="63" t="str">
        <f t="shared" si="13"/>
        <v/>
      </c>
      <c r="DS14" s="63" t="str">
        <f t="shared" si="13"/>
        <v/>
      </c>
      <c r="DT14" s="110" t="str">
        <f t="shared" si="13"/>
        <v/>
      </c>
      <c r="DU14" s="54"/>
      <c r="DW14" s="59" t="str">
        <f t="shared" ref="DW14:GH17" si="14">IF($B14=DW$12,$O14,"")</f>
        <v/>
      </c>
      <c r="DX14" s="60" t="str">
        <f t="shared" si="14"/>
        <v/>
      </c>
      <c r="DY14" s="60" t="str">
        <f t="shared" si="14"/>
        <v/>
      </c>
      <c r="DZ14" s="60" t="str">
        <f t="shared" si="14"/>
        <v/>
      </c>
      <c r="EA14" s="60" t="str">
        <f t="shared" si="14"/>
        <v/>
      </c>
      <c r="EB14" s="60" t="str">
        <f t="shared" si="14"/>
        <v/>
      </c>
      <c r="EC14" s="60" t="str">
        <f t="shared" si="14"/>
        <v/>
      </c>
      <c r="ED14" s="60" t="str">
        <f t="shared" si="14"/>
        <v/>
      </c>
      <c r="EE14" s="60" t="str">
        <f t="shared" si="14"/>
        <v/>
      </c>
      <c r="EF14" s="60" t="str">
        <f t="shared" si="14"/>
        <v/>
      </c>
      <c r="EG14" s="60" t="str">
        <f t="shared" si="14"/>
        <v/>
      </c>
      <c r="EH14" s="60" t="str">
        <f t="shared" si="14"/>
        <v/>
      </c>
      <c r="EI14" s="60" t="str">
        <f t="shared" si="14"/>
        <v/>
      </c>
      <c r="EJ14" s="60" t="str">
        <f t="shared" si="14"/>
        <v/>
      </c>
      <c r="EK14" s="60" t="str">
        <f t="shared" si="14"/>
        <v/>
      </c>
      <c r="EL14" s="60" t="str">
        <f t="shared" si="14"/>
        <v/>
      </c>
      <c r="EM14" s="60" t="str">
        <f t="shared" si="14"/>
        <v/>
      </c>
      <c r="EN14" s="60" t="str">
        <f t="shared" si="14"/>
        <v/>
      </c>
      <c r="EO14" s="60" t="str">
        <f t="shared" si="14"/>
        <v/>
      </c>
      <c r="EP14" s="60" t="str">
        <f t="shared" si="14"/>
        <v/>
      </c>
      <c r="EQ14" s="60" t="str">
        <f t="shared" si="14"/>
        <v/>
      </c>
      <c r="ER14" s="60" t="str">
        <f t="shared" si="14"/>
        <v/>
      </c>
      <c r="ES14" s="60" t="str">
        <f t="shared" si="14"/>
        <v/>
      </c>
      <c r="ET14" s="60" t="str">
        <f t="shared" si="14"/>
        <v/>
      </c>
      <c r="EU14" s="60" t="str">
        <f t="shared" si="14"/>
        <v/>
      </c>
      <c r="EV14" s="60" t="str">
        <f t="shared" si="14"/>
        <v/>
      </c>
      <c r="EW14" s="60" t="str">
        <f t="shared" si="14"/>
        <v/>
      </c>
      <c r="EX14" s="60" t="str">
        <f t="shared" si="14"/>
        <v/>
      </c>
      <c r="EY14" s="60" t="str">
        <f t="shared" si="14"/>
        <v/>
      </c>
      <c r="EZ14" s="60" t="str">
        <f t="shared" si="14"/>
        <v/>
      </c>
      <c r="FA14" s="60" t="str">
        <f t="shared" si="14"/>
        <v/>
      </c>
      <c r="FB14" s="60" t="str">
        <f t="shared" si="14"/>
        <v/>
      </c>
      <c r="FC14" s="60" t="str">
        <f t="shared" si="14"/>
        <v/>
      </c>
      <c r="FD14" s="60" t="str">
        <f t="shared" si="14"/>
        <v/>
      </c>
      <c r="FE14" s="60" t="str">
        <f t="shared" si="14"/>
        <v/>
      </c>
      <c r="FF14" s="60" t="str">
        <f t="shared" si="14"/>
        <v/>
      </c>
      <c r="FG14" s="60" t="str">
        <f t="shared" si="14"/>
        <v/>
      </c>
      <c r="FH14" s="60" t="str">
        <f t="shared" si="14"/>
        <v/>
      </c>
      <c r="FI14" s="60" t="str">
        <f t="shared" si="14"/>
        <v/>
      </c>
      <c r="FJ14" s="60" t="str">
        <f t="shared" si="14"/>
        <v/>
      </c>
      <c r="FK14" s="60" t="str">
        <f t="shared" si="14"/>
        <v/>
      </c>
      <c r="FL14" s="60" t="str">
        <f t="shared" si="14"/>
        <v/>
      </c>
      <c r="FM14" s="60" t="str">
        <f t="shared" si="14"/>
        <v/>
      </c>
      <c r="FN14" s="60" t="str">
        <f t="shared" si="14"/>
        <v/>
      </c>
      <c r="FO14" s="60" t="str">
        <f t="shared" si="14"/>
        <v/>
      </c>
      <c r="FP14" s="60" t="str">
        <f t="shared" si="14"/>
        <v/>
      </c>
      <c r="FQ14" s="60" t="str">
        <f t="shared" si="14"/>
        <v/>
      </c>
      <c r="FR14" s="60" t="str">
        <f t="shared" si="14"/>
        <v/>
      </c>
      <c r="FS14" s="60" t="str">
        <f t="shared" si="14"/>
        <v/>
      </c>
      <c r="FT14" s="60" t="str">
        <f t="shared" si="14"/>
        <v/>
      </c>
      <c r="FU14" s="60" t="str">
        <f t="shared" si="14"/>
        <v/>
      </c>
      <c r="FV14" s="60" t="str">
        <f t="shared" si="14"/>
        <v/>
      </c>
      <c r="FW14" s="60" t="str">
        <f t="shared" si="14"/>
        <v/>
      </c>
      <c r="FX14" s="60" t="str">
        <f t="shared" si="14"/>
        <v/>
      </c>
      <c r="FY14" s="60" t="str">
        <f t="shared" si="14"/>
        <v/>
      </c>
      <c r="FZ14" s="60" t="str">
        <f t="shared" si="14"/>
        <v/>
      </c>
      <c r="GA14" s="60" t="str">
        <f t="shared" si="14"/>
        <v/>
      </c>
      <c r="GB14" s="60" t="str">
        <f t="shared" si="14"/>
        <v/>
      </c>
      <c r="GC14" s="60" t="str">
        <f t="shared" si="14"/>
        <v/>
      </c>
      <c r="GD14" s="60" t="str">
        <f t="shared" si="14"/>
        <v/>
      </c>
      <c r="GE14" s="60" t="str">
        <f t="shared" si="14"/>
        <v/>
      </c>
      <c r="GF14" s="60" t="str">
        <f t="shared" si="14"/>
        <v/>
      </c>
      <c r="GG14" s="60" t="str">
        <f t="shared" si="14"/>
        <v/>
      </c>
      <c r="GH14" s="60" t="str">
        <f t="shared" si="14"/>
        <v/>
      </c>
      <c r="GI14" s="60" t="str">
        <f t="shared" ref="GI14:HR21" si="15">IF($B14=GI$12,$O14,"")</f>
        <v/>
      </c>
      <c r="GJ14" s="60" t="str">
        <f t="shared" si="15"/>
        <v/>
      </c>
      <c r="GK14" s="60" t="str">
        <f t="shared" si="15"/>
        <v/>
      </c>
      <c r="GL14" s="60" t="str">
        <f t="shared" si="15"/>
        <v/>
      </c>
      <c r="GM14" s="60" t="str">
        <f t="shared" si="15"/>
        <v/>
      </c>
      <c r="GN14" s="60" t="str">
        <f t="shared" si="15"/>
        <v/>
      </c>
      <c r="GO14" s="60" t="str">
        <f t="shared" si="15"/>
        <v/>
      </c>
      <c r="GP14" s="60" t="str">
        <f t="shared" si="15"/>
        <v/>
      </c>
      <c r="GQ14" s="60" t="str">
        <f t="shared" si="15"/>
        <v/>
      </c>
      <c r="GR14" s="60" t="str">
        <f t="shared" si="15"/>
        <v/>
      </c>
      <c r="GS14" s="60" t="str">
        <f t="shared" si="15"/>
        <v/>
      </c>
      <c r="GT14" s="60" t="str">
        <f t="shared" si="15"/>
        <v/>
      </c>
      <c r="GU14" s="60" t="str">
        <f t="shared" si="15"/>
        <v/>
      </c>
      <c r="GV14" s="60" t="str">
        <f t="shared" si="15"/>
        <v/>
      </c>
      <c r="GW14" s="60" t="str">
        <f t="shared" si="15"/>
        <v/>
      </c>
      <c r="GX14" s="60" t="str">
        <f t="shared" si="15"/>
        <v/>
      </c>
      <c r="GY14" s="60" t="str">
        <f t="shared" si="15"/>
        <v/>
      </c>
      <c r="GZ14" s="60" t="str">
        <f t="shared" si="15"/>
        <v/>
      </c>
      <c r="HA14" s="60" t="str">
        <f t="shared" si="15"/>
        <v/>
      </c>
      <c r="HB14" s="60" t="str">
        <f t="shared" si="15"/>
        <v/>
      </c>
      <c r="HC14" s="60" t="str">
        <f t="shared" si="15"/>
        <v/>
      </c>
      <c r="HD14" s="60" t="str">
        <f t="shared" si="15"/>
        <v/>
      </c>
      <c r="HE14" s="60" t="str">
        <f t="shared" si="15"/>
        <v/>
      </c>
      <c r="HF14" s="60" t="str">
        <f t="shared" si="15"/>
        <v/>
      </c>
      <c r="HG14" s="60" t="str">
        <f t="shared" si="15"/>
        <v/>
      </c>
      <c r="HH14" s="60" t="str">
        <f t="shared" si="15"/>
        <v/>
      </c>
      <c r="HI14" s="60" t="str">
        <f t="shared" si="15"/>
        <v/>
      </c>
      <c r="HJ14" s="60" t="str">
        <f t="shared" si="15"/>
        <v/>
      </c>
      <c r="HK14" s="60" t="str">
        <f t="shared" si="15"/>
        <v/>
      </c>
      <c r="HL14" s="60" t="str">
        <f t="shared" si="15"/>
        <v/>
      </c>
      <c r="HM14" s="60" t="str">
        <f t="shared" si="15"/>
        <v/>
      </c>
      <c r="HN14" s="60" t="str">
        <f t="shared" si="15"/>
        <v/>
      </c>
      <c r="HO14" s="60" t="str">
        <f t="shared" si="15"/>
        <v/>
      </c>
      <c r="HP14" s="60" t="str">
        <f t="shared" si="15"/>
        <v/>
      </c>
      <c r="HQ14" s="60" t="str">
        <f t="shared" si="15"/>
        <v/>
      </c>
      <c r="HR14" s="114" t="str">
        <f t="shared" si="15"/>
        <v/>
      </c>
    </row>
    <row r="15" spans="1:226" ht="11.1" customHeight="1" x14ac:dyDescent="0.25">
      <c r="A15" s="26">
        <v>1201</v>
      </c>
      <c r="B15" s="144">
        <v>1</v>
      </c>
      <c r="C15" s="28" t="str">
        <f>IF(A15=0,"",VLOOKUP(A15,[2]CO!$A$3:$F$5327,2,0))</f>
        <v>FLORES OROPEZA ENRIQUE</v>
      </c>
      <c r="D15" s="148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/>
      <c r="M15" s="32" t="str">
        <f t="shared" si="8"/>
        <v/>
      </c>
      <c r="N15" s="32">
        <f>IF(B15=0,"",IF(H15="M",HLOOKUP(B15,$Y$12:$DT$13,2),IF(A15=0,"",VLOOKUP(A15,[2]CO!$A$3:$F$5327,4,0))))</f>
        <v>638.79999999999995</v>
      </c>
      <c r="O15" s="32" t="str">
        <f t="shared" ref="O15:O59" si="16">IF(L15=0,"",PRODUCT(M15:N15))</f>
        <v/>
      </c>
      <c r="P15" s="33"/>
      <c r="Q15" s="34" t="str">
        <f t="shared" si="9"/>
        <v/>
      </c>
      <c r="R15" s="35">
        <f t="shared" si="10"/>
        <v>4820.9699999999993</v>
      </c>
      <c r="S15" s="127">
        <v>0.6</v>
      </c>
      <c r="T15" s="53">
        <f>IF(A15=0,"",VLOOKUP(A15,[2]CO!$A$3:$F$5318,5,0))</f>
        <v>0</v>
      </c>
      <c r="U15" s="54">
        <f t="shared" si="11"/>
        <v>0</v>
      </c>
      <c r="V15" s="24"/>
      <c r="W15" s="25"/>
      <c r="X15" s="25"/>
      <c r="Y15" s="64">
        <f t="shared" si="12"/>
        <v>0</v>
      </c>
      <c r="Z15" s="55" t="str">
        <f t="shared" si="12"/>
        <v/>
      </c>
      <c r="AA15" s="55" t="str">
        <f t="shared" si="12"/>
        <v/>
      </c>
      <c r="AB15" s="55" t="str">
        <f t="shared" si="12"/>
        <v/>
      </c>
      <c r="AC15" s="55" t="str">
        <f t="shared" si="12"/>
        <v/>
      </c>
      <c r="AD15" s="55" t="str">
        <f t="shared" si="12"/>
        <v/>
      </c>
      <c r="AE15" s="55" t="str">
        <f t="shared" si="12"/>
        <v/>
      </c>
      <c r="AF15" s="55" t="str">
        <f t="shared" si="12"/>
        <v/>
      </c>
      <c r="AG15" s="55" t="str">
        <f t="shared" si="12"/>
        <v/>
      </c>
      <c r="AH15" s="55" t="str">
        <f t="shared" si="12"/>
        <v/>
      </c>
      <c r="AI15" s="55" t="str">
        <f t="shared" si="12"/>
        <v/>
      </c>
      <c r="AJ15" s="55" t="str">
        <f t="shared" si="12"/>
        <v/>
      </c>
      <c r="AK15" s="55" t="str">
        <f t="shared" si="12"/>
        <v/>
      </c>
      <c r="AL15" s="55" t="str">
        <f t="shared" si="12"/>
        <v/>
      </c>
      <c r="AM15" s="55" t="str">
        <f t="shared" si="12"/>
        <v/>
      </c>
      <c r="AN15" s="55" t="str">
        <f t="shared" si="12"/>
        <v/>
      </c>
      <c r="AO15" s="55" t="str">
        <f t="shared" si="12"/>
        <v/>
      </c>
      <c r="AP15" s="55" t="str">
        <f t="shared" si="12"/>
        <v/>
      </c>
      <c r="AQ15" s="55" t="str">
        <f t="shared" si="12"/>
        <v/>
      </c>
      <c r="AR15" s="55" t="str">
        <f t="shared" si="12"/>
        <v/>
      </c>
      <c r="AS15" s="55" t="str">
        <f t="shared" si="12"/>
        <v/>
      </c>
      <c r="AT15" s="55" t="str">
        <f t="shared" si="12"/>
        <v/>
      </c>
      <c r="AU15" s="55" t="str">
        <f t="shared" si="12"/>
        <v/>
      </c>
      <c r="AV15" s="55" t="str">
        <f t="shared" si="12"/>
        <v/>
      </c>
      <c r="AW15" s="55" t="str">
        <f t="shared" si="12"/>
        <v/>
      </c>
      <c r="AX15" s="55" t="str">
        <f t="shared" si="12"/>
        <v/>
      </c>
      <c r="AY15" s="55" t="str">
        <f t="shared" si="12"/>
        <v/>
      </c>
      <c r="AZ15" s="55" t="str">
        <f t="shared" si="12"/>
        <v/>
      </c>
      <c r="BA15" s="55" t="str">
        <f t="shared" si="12"/>
        <v/>
      </c>
      <c r="BB15" s="55" t="str">
        <f t="shared" si="12"/>
        <v/>
      </c>
      <c r="BC15" s="55" t="str">
        <f t="shared" si="12"/>
        <v/>
      </c>
      <c r="BD15" s="55" t="str">
        <f t="shared" si="12"/>
        <v/>
      </c>
      <c r="BE15" s="55" t="str">
        <f t="shared" si="12"/>
        <v/>
      </c>
      <c r="BF15" s="55" t="str">
        <f t="shared" si="12"/>
        <v/>
      </c>
      <c r="BG15" s="55" t="str">
        <f t="shared" si="12"/>
        <v/>
      </c>
      <c r="BH15" s="55" t="str">
        <f t="shared" si="12"/>
        <v/>
      </c>
      <c r="BI15" s="55" t="str">
        <f t="shared" si="12"/>
        <v/>
      </c>
      <c r="BJ15" s="55" t="str">
        <f t="shared" si="12"/>
        <v/>
      </c>
      <c r="BK15" s="55" t="str">
        <f t="shared" si="12"/>
        <v/>
      </c>
      <c r="BL15" s="55" t="str">
        <f t="shared" si="12"/>
        <v/>
      </c>
      <c r="BM15" s="55" t="str">
        <f t="shared" si="12"/>
        <v/>
      </c>
      <c r="BN15" s="55" t="str">
        <f t="shared" si="12"/>
        <v/>
      </c>
      <c r="BO15" s="55" t="str">
        <f t="shared" si="12"/>
        <v/>
      </c>
      <c r="BP15" s="55" t="str">
        <f t="shared" si="12"/>
        <v/>
      </c>
      <c r="BQ15" s="55" t="str">
        <f t="shared" si="12"/>
        <v/>
      </c>
      <c r="BR15" s="55" t="str">
        <f t="shared" si="12"/>
        <v/>
      </c>
      <c r="BS15" s="55" t="str">
        <f t="shared" si="12"/>
        <v/>
      </c>
      <c r="BT15" s="55" t="str">
        <f t="shared" si="12"/>
        <v/>
      </c>
      <c r="BU15" s="55" t="str">
        <f t="shared" si="12"/>
        <v/>
      </c>
      <c r="BV15" s="55" t="str">
        <f t="shared" si="12"/>
        <v/>
      </c>
      <c r="BW15" s="55" t="str">
        <f t="shared" si="12"/>
        <v/>
      </c>
      <c r="BX15" s="55" t="str">
        <f t="shared" si="12"/>
        <v/>
      </c>
      <c r="BY15" s="55" t="str">
        <f t="shared" si="12"/>
        <v/>
      </c>
      <c r="BZ15" s="55" t="str">
        <f t="shared" si="12"/>
        <v/>
      </c>
      <c r="CA15" s="55" t="str">
        <f t="shared" si="12"/>
        <v/>
      </c>
      <c r="CB15" s="55" t="str">
        <f t="shared" si="12"/>
        <v/>
      </c>
      <c r="CC15" s="55" t="str">
        <f t="shared" si="12"/>
        <v/>
      </c>
      <c r="CD15" s="55" t="str">
        <f t="shared" si="12"/>
        <v/>
      </c>
      <c r="CE15" s="55" t="str">
        <f t="shared" si="12"/>
        <v/>
      </c>
      <c r="CF15" s="55" t="str">
        <f t="shared" si="12"/>
        <v/>
      </c>
      <c r="CG15" s="55" t="str">
        <f t="shared" si="12"/>
        <v/>
      </c>
      <c r="CH15" s="55" t="str">
        <f t="shared" si="12"/>
        <v/>
      </c>
      <c r="CI15" s="55" t="str">
        <f t="shared" si="12"/>
        <v/>
      </c>
      <c r="CJ15" s="55" t="str">
        <f t="shared" si="12"/>
        <v/>
      </c>
      <c r="CK15" s="55" t="str">
        <f t="shared" si="13"/>
        <v/>
      </c>
      <c r="CL15" s="55" t="str">
        <f t="shared" si="13"/>
        <v/>
      </c>
      <c r="CM15" s="55" t="str">
        <f t="shared" si="13"/>
        <v/>
      </c>
      <c r="CN15" s="55" t="str">
        <f t="shared" si="13"/>
        <v/>
      </c>
      <c r="CO15" s="55" t="str">
        <f t="shared" si="13"/>
        <v/>
      </c>
      <c r="CP15" s="55" t="str">
        <f t="shared" si="13"/>
        <v/>
      </c>
      <c r="CQ15" s="55" t="str">
        <f t="shared" si="13"/>
        <v/>
      </c>
      <c r="CR15" s="55" t="str">
        <f t="shared" si="13"/>
        <v/>
      </c>
      <c r="CS15" s="55" t="str">
        <f t="shared" si="13"/>
        <v/>
      </c>
      <c r="CT15" s="55" t="str">
        <f t="shared" si="13"/>
        <v/>
      </c>
      <c r="CU15" s="55" t="str">
        <f t="shared" si="13"/>
        <v/>
      </c>
      <c r="CV15" s="55" t="str">
        <f t="shared" si="13"/>
        <v/>
      </c>
      <c r="CW15" s="55" t="str">
        <f t="shared" si="13"/>
        <v/>
      </c>
      <c r="CX15" s="55" t="str">
        <f t="shared" si="13"/>
        <v/>
      </c>
      <c r="CY15" s="55" t="str">
        <f t="shared" si="13"/>
        <v/>
      </c>
      <c r="CZ15" s="55" t="str">
        <f t="shared" si="13"/>
        <v/>
      </c>
      <c r="DA15" s="55" t="str">
        <f t="shared" si="13"/>
        <v/>
      </c>
      <c r="DB15" s="55" t="str">
        <f t="shared" si="13"/>
        <v/>
      </c>
      <c r="DC15" s="55" t="str">
        <f t="shared" si="13"/>
        <v/>
      </c>
      <c r="DD15" s="55" t="str">
        <f t="shared" si="13"/>
        <v/>
      </c>
      <c r="DE15" s="55" t="str">
        <f t="shared" si="13"/>
        <v/>
      </c>
      <c r="DF15" s="55" t="str">
        <f t="shared" si="13"/>
        <v/>
      </c>
      <c r="DG15" s="55" t="str">
        <f t="shared" si="13"/>
        <v/>
      </c>
      <c r="DH15" s="55" t="str">
        <f t="shared" si="13"/>
        <v/>
      </c>
      <c r="DI15" s="55" t="str">
        <f t="shared" si="13"/>
        <v/>
      </c>
      <c r="DJ15" s="55" t="str">
        <f t="shared" si="13"/>
        <v/>
      </c>
      <c r="DK15" s="55" t="str">
        <f t="shared" si="13"/>
        <v/>
      </c>
      <c r="DL15" s="55" t="str">
        <f t="shared" si="13"/>
        <v/>
      </c>
      <c r="DM15" s="55" t="str">
        <f t="shared" si="13"/>
        <v/>
      </c>
      <c r="DN15" s="55" t="str">
        <f t="shared" si="13"/>
        <v/>
      </c>
      <c r="DO15" s="55" t="str">
        <f t="shared" si="13"/>
        <v/>
      </c>
      <c r="DP15" s="55" t="str">
        <f t="shared" si="13"/>
        <v/>
      </c>
      <c r="DQ15" s="55" t="str">
        <f t="shared" si="13"/>
        <v/>
      </c>
      <c r="DR15" s="55" t="str">
        <f t="shared" si="13"/>
        <v/>
      </c>
      <c r="DS15" s="55" t="str">
        <f t="shared" si="13"/>
        <v/>
      </c>
      <c r="DT15" s="106" t="str">
        <f t="shared" si="13"/>
        <v/>
      </c>
      <c r="DU15" s="54"/>
      <c r="DV15" s="25"/>
      <c r="DW15" s="61" t="str">
        <f t="shared" si="14"/>
        <v/>
      </c>
      <c r="DX15" s="50" t="str">
        <f t="shared" si="14"/>
        <v/>
      </c>
      <c r="DY15" s="50" t="str">
        <f t="shared" si="14"/>
        <v/>
      </c>
      <c r="DZ15" s="50" t="str">
        <f t="shared" si="14"/>
        <v/>
      </c>
      <c r="EA15" s="50" t="str">
        <f t="shared" si="14"/>
        <v/>
      </c>
      <c r="EB15" s="50" t="str">
        <f t="shared" si="14"/>
        <v/>
      </c>
      <c r="EC15" s="50" t="str">
        <f t="shared" si="14"/>
        <v/>
      </c>
      <c r="ED15" s="50" t="str">
        <f t="shared" si="14"/>
        <v/>
      </c>
      <c r="EE15" s="50" t="str">
        <f t="shared" si="14"/>
        <v/>
      </c>
      <c r="EF15" s="50" t="str">
        <f t="shared" si="14"/>
        <v/>
      </c>
      <c r="EG15" s="50" t="str">
        <f t="shared" si="14"/>
        <v/>
      </c>
      <c r="EH15" s="50" t="str">
        <f t="shared" si="14"/>
        <v/>
      </c>
      <c r="EI15" s="50" t="str">
        <f t="shared" si="14"/>
        <v/>
      </c>
      <c r="EJ15" s="50" t="str">
        <f t="shared" si="14"/>
        <v/>
      </c>
      <c r="EK15" s="50" t="str">
        <f t="shared" si="14"/>
        <v/>
      </c>
      <c r="EL15" s="50" t="str">
        <f t="shared" si="14"/>
        <v/>
      </c>
      <c r="EM15" s="50" t="str">
        <f t="shared" si="14"/>
        <v/>
      </c>
      <c r="EN15" s="50" t="str">
        <f t="shared" si="14"/>
        <v/>
      </c>
      <c r="EO15" s="50" t="str">
        <f t="shared" si="14"/>
        <v/>
      </c>
      <c r="EP15" s="50" t="str">
        <f t="shared" si="14"/>
        <v/>
      </c>
      <c r="EQ15" s="50" t="str">
        <f t="shared" si="14"/>
        <v/>
      </c>
      <c r="ER15" s="50" t="str">
        <f t="shared" si="14"/>
        <v/>
      </c>
      <c r="ES15" s="50" t="str">
        <f t="shared" si="14"/>
        <v/>
      </c>
      <c r="ET15" s="50" t="str">
        <f t="shared" si="14"/>
        <v/>
      </c>
      <c r="EU15" s="50" t="str">
        <f t="shared" si="14"/>
        <v/>
      </c>
      <c r="EV15" s="50" t="str">
        <f t="shared" si="14"/>
        <v/>
      </c>
      <c r="EW15" s="50" t="str">
        <f t="shared" si="14"/>
        <v/>
      </c>
      <c r="EX15" s="50" t="str">
        <f t="shared" si="14"/>
        <v/>
      </c>
      <c r="EY15" s="50" t="str">
        <f t="shared" si="14"/>
        <v/>
      </c>
      <c r="EZ15" s="50" t="str">
        <f t="shared" si="14"/>
        <v/>
      </c>
      <c r="FA15" s="50" t="str">
        <f t="shared" si="14"/>
        <v/>
      </c>
      <c r="FB15" s="50" t="str">
        <f t="shared" si="14"/>
        <v/>
      </c>
      <c r="FC15" s="50" t="str">
        <f t="shared" si="14"/>
        <v/>
      </c>
      <c r="FD15" s="50" t="str">
        <f t="shared" si="14"/>
        <v/>
      </c>
      <c r="FE15" s="50" t="str">
        <f t="shared" si="14"/>
        <v/>
      </c>
      <c r="FF15" s="50" t="str">
        <f t="shared" si="14"/>
        <v/>
      </c>
      <c r="FG15" s="50" t="str">
        <f t="shared" si="14"/>
        <v/>
      </c>
      <c r="FH15" s="50" t="str">
        <f t="shared" si="14"/>
        <v/>
      </c>
      <c r="FI15" s="50" t="str">
        <f t="shared" si="14"/>
        <v/>
      </c>
      <c r="FJ15" s="50" t="str">
        <f t="shared" si="14"/>
        <v/>
      </c>
      <c r="FK15" s="50" t="str">
        <f t="shared" si="14"/>
        <v/>
      </c>
      <c r="FL15" s="50" t="str">
        <f t="shared" si="14"/>
        <v/>
      </c>
      <c r="FM15" s="50" t="str">
        <f t="shared" si="14"/>
        <v/>
      </c>
      <c r="FN15" s="50" t="str">
        <f t="shared" si="14"/>
        <v/>
      </c>
      <c r="FO15" s="50" t="str">
        <f t="shared" si="14"/>
        <v/>
      </c>
      <c r="FP15" s="50" t="str">
        <f t="shared" si="14"/>
        <v/>
      </c>
      <c r="FQ15" s="50" t="str">
        <f t="shared" si="14"/>
        <v/>
      </c>
      <c r="FR15" s="50" t="str">
        <f t="shared" si="14"/>
        <v/>
      </c>
      <c r="FS15" s="50" t="str">
        <f t="shared" si="14"/>
        <v/>
      </c>
      <c r="FT15" s="50" t="str">
        <f t="shared" si="14"/>
        <v/>
      </c>
      <c r="FU15" s="50" t="str">
        <f t="shared" si="14"/>
        <v/>
      </c>
      <c r="FV15" s="50" t="str">
        <f t="shared" si="14"/>
        <v/>
      </c>
      <c r="FW15" s="50" t="str">
        <f t="shared" si="14"/>
        <v/>
      </c>
      <c r="FX15" s="50" t="str">
        <f t="shared" si="14"/>
        <v/>
      </c>
      <c r="FY15" s="50" t="str">
        <f t="shared" si="14"/>
        <v/>
      </c>
      <c r="FZ15" s="50" t="str">
        <f t="shared" si="14"/>
        <v/>
      </c>
      <c r="GA15" s="50" t="str">
        <f t="shared" si="14"/>
        <v/>
      </c>
      <c r="GB15" s="50" t="str">
        <f t="shared" si="14"/>
        <v/>
      </c>
      <c r="GC15" s="50" t="str">
        <f t="shared" si="14"/>
        <v/>
      </c>
      <c r="GD15" s="50" t="str">
        <f t="shared" si="14"/>
        <v/>
      </c>
      <c r="GE15" s="50" t="str">
        <f t="shared" si="14"/>
        <v/>
      </c>
      <c r="GF15" s="50" t="str">
        <f t="shared" si="14"/>
        <v/>
      </c>
      <c r="GG15" s="50" t="str">
        <f t="shared" si="14"/>
        <v/>
      </c>
      <c r="GH15" s="50" t="str">
        <f t="shared" si="14"/>
        <v/>
      </c>
      <c r="GI15" s="50" t="str">
        <f t="shared" si="15"/>
        <v/>
      </c>
      <c r="GJ15" s="50" t="str">
        <f t="shared" si="15"/>
        <v/>
      </c>
      <c r="GK15" s="50" t="str">
        <f t="shared" si="15"/>
        <v/>
      </c>
      <c r="GL15" s="50" t="str">
        <f t="shared" si="15"/>
        <v/>
      </c>
      <c r="GM15" s="50" t="str">
        <f t="shared" si="15"/>
        <v/>
      </c>
      <c r="GN15" s="50" t="str">
        <f t="shared" si="15"/>
        <v/>
      </c>
      <c r="GO15" s="50" t="str">
        <f t="shared" si="15"/>
        <v/>
      </c>
      <c r="GP15" s="50" t="str">
        <f t="shared" si="15"/>
        <v/>
      </c>
      <c r="GQ15" s="50" t="str">
        <f t="shared" si="15"/>
        <v/>
      </c>
      <c r="GR15" s="50" t="str">
        <f t="shared" si="15"/>
        <v/>
      </c>
      <c r="GS15" s="50" t="str">
        <f t="shared" si="15"/>
        <v/>
      </c>
      <c r="GT15" s="50" t="str">
        <f t="shared" si="15"/>
        <v/>
      </c>
      <c r="GU15" s="50" t="str">
        <f t="shared" si="15"/>
        <v/>
      </c>
      <c r="GV15" s="50" t="str">
        <f t="shared" si="15"/>
        <v/>
      </c>
      <c r="GW15" s="50" t="str">
        <f t="shared" si="15"/>
        <v/>
      </c>
      <c r="GX15" s="50" t="str">
        <f t="shared" si="15"/>
        <v/>
      </c>
      <c r="GY15" s="50" t="str">
        <f t="shared" si="15"/>
        <v/>
      </c>
      <c r="GZ15" s="50" t="str">
        <f t="shared" si="15"/>
        <v/>
      </c>
      <c r="HA15" s="50" t="str">
        <f t="shared" si="15"/>
        <v/>
      </c>
      <c r="HB15" s="50" t="str">
        <f t="shared" si="15"/>
        <v/>
      </c>
      <c r="HC15" s="50" t="str">
        <f t="shared" si="15"/>
        <v/>
      </c>
      <c r="HD15" s="50" t="str">
        <f t="shared" si="15"/>
        <v/>
      </c>
      <c r="HE15" s="50" t="str">
        <f t="shared" si="15"/>
        <v/>
      </c>
      <c r="HF15" s="50" t="str">
        <f t="shared" si="15"/>
        <v/>
      </c>
      <c r="HG15" s="50" t="str">
        <f t="shared" si="15"/>
        <v/>
      </c>
      <c r="HH15" s="50" t="str">
        <f t="shared" si="15"/>
        <v/>
      </c>
      <c r="HI15" s="50" t="str">
        <f t="shared" si="15"/>
        <v/>
      </c>
      <c r="HJ15" s="50" t="str">
        <f t="shared" si="15"/>
        <v/>
      </c>
      <c r="HK15" s="50" t="str">
        <f t="shared" si="15"/>
        <v/>
      </c>
      <c r="HL15" s="50" t="str">
        <f t="shared" si="15"/>
        <v/>
      </c>
      <c r="HM15" s="50" t="str">
        <f t="shared" si="15"/>
        <v/>
      </c>
      <c r="HN15" s="50" t="str">
        <f t="shared" si="15"/>
        <v/>
      </c>
      <c r="HO15" s="50" t="str">
        <f t="shared" si="15"/>
        <v/>
      </c>
      <c r="HP15" s="50" t="str">
        <f t="shared" si="15"/>
        <v/>
      </c>
      <c r="HQ15" s="50" t="str">
        <f t="shared" si="15"/>
        <v/>
      </c>
      <c r="HR15" s="112" t="str">
        <f t="shared" si="15"/>
        <v/>
      </c>
    </row>
    <row r="16" spans="1:226" ht="11.1" customHeight="1" x14ac:dyDescent="0.25">
      <c r="A16" s="26">
        <v>1990</v>
      </c>
      <c r="B16" s="144">
        <v>1</v>
      </c>
      <c r="C16" s="28" t="str">
        <f>IF(A16=0,"",VLOOKUP(A16,[2]CO!$A$3:$F$5327,2,0))</f>
        <v>GUARDADO SÁNCHEZ MARTÍN</v>
      </c>
      <c r="D16" s="148"/>
      <c r="E16" s="29"/>
      <c r="F16" s="29"/>
      <c r="G16" s="30" t="str">
        <f>IF(A16=0,"",VLOOKUP(A16,[2]CO!$A$3:$F$5327,3,0))</f>
        <v>PEON</v>
      </c>
      <c r="H16" s="142"/>
      <c r="I16" s="143"/>
      <c r="J16" s="143"/>
      <c r="K16" s="143"/>
      <c r="L16" s="143"/>
      <c r="M16" s="32" t="str">
        <f t="shared" si="8"/>
        <v/>
      </c>
      <c r="N16" s="32">
        <f>IF(B16=0,"",IF(H16="M",HLOOKUP(B16,$Y$12:$DT$13,2),IF(A16=0,"",VLOOKUP(A16,[2]CO!$A$3:$F$5327,4,0))))</f>
        <v>354.88</v>
      </c>
      <c r="O16" s="32" t="str">
        <f t="shared" si="16"/>
        <v/>
      </c>
      <c r="P16" s="33"/>
      <c r="Q16" s="34" t="str">
        <f t="shared" si="9"/>
        <v/>
      </c>
      <c r="R16" s="35">
        <f t="shared" si="10"/>
        <v>3213.98</v>
      </c>
      <c r="S16" s="127">
        <v>0.4</v>
      </c>
      <c r="T16" s="53">
        <f>IF(A16=0,"",VLOOKUP(A16,[2]CO!$A$3:$F$5318,5,0))</f>
        <v>0</v>
      </c>
      <c r="U16" s="54">
        <f t="shared" si="11"/>
        <v>0</v>
      </c>
      <c r="V16" s="24"/>
      <c r="W16" s="25"/>
      <c r="X16" s="25"/>
      <c r="Y16" s="64">
        <f t="shared" si="12"/>
        <v>0</v>
      </c>
      <c r="Z16" s="55" t="str">
        <f t="shared" si="12"/>
        <v/>
      </c>
      <c r="AA16" s="55" t="str">
        <f t="shared" si="12"/>
        <v/>
      </c>
      <c r="AB16" s="55" t="str">
        <f t="shared" si="12"/>
        <v/>
      </c>
      <c r="AC16" s="55" t="str">
        <f t="shared" si="12"/>
        <v/>
      </c>
      <c r="AD16" s="55" t="str">
        <f t="shared" si="12"/>
        <v/>
      </c>
      <c r="AE16" s="55" t="str">
        <f t="shared" si="12"/>
        <v/>
      </c>
      <c r="AF16" s="55" t="str">
        <f t="shared" si="12"/>
        <v/>
      </c>
      <c r="AG16" s="55" t="str">
        <f t="shared" si="12"/>
        <v/>
      </c>
      <c r="AH16" s="55" t="str">
        <f t="shared" si="12"/>
        <v/>
      </c>
      <c r="AI16" s="55" t="str">
        <f t="shared" si="12"/>
        <v/>
      </c>
      <c r="AJ16" s="55" t="str">
        <f t="shared" si="12"/>
        <v/>
      </c>
      <c r="AK16" s="55" t="str">
        <f t="shared" si="12"/>
        <v/>
      </c>
      <c r="AL16" s="55" t="str">
        <f t="shared" si="12"/>
        <v/>
      </c>
      <c r="AM16" s="55" t="str">
        <f t="shared" si="12"/>
        <v/>
      </c>
      <c r="AN16" s="55" t="str">
        <f t="shared" si="12"/>
        <v/>
      </c>
      <c r="AO16" s="55" t="str">
        <f t="shared" si="12"/>
        <v/>
      </c>
      <c r="AP16" s="55" t="str">
        <f t="shared" si="12"/>
        <v/>
      </c>
      <c r="AQ16" s="55" t="str">
        <f t="shared" si="12"/>
        <v/>
      </c>
      <c r="AR16" s="55" t="str">
        <f t="shared" si="12"/>
        <v/>
      </c>
      <c r="AS16" s="55" t="str">
        <f t="shared" si="12"/>
        <v/>
      </c>
      <c r="AT16" s="55" t="str">
        <f t="shared" si="12"/>
        <v/>
      </c>
      <c r="AU16" s="55" t="str">
        <f t="shared" si="12"/>
        <v/>
      </c>
      <c r="AV16" s="55" t="str">
        <f t="shared" si="12"/>
        <v/>
      </c>
      <c r="AW16" s="55" t="str">
        <f t="shared" si="12"/>
        <v/>
      </c>
      <c r="AX16" s="55" t="str">
        <f t="shared" si="12"/>
        <v/>
      </c>
      <c r="AY16" s="55" t="str">
        <f t="shared" si="12"/>
        <v/>
      </c>
      <c r="AZ16" s="55" t="str">
        <f t="shared" si="12"/>
        <v/>
      </c>
      <c r="BA16" s="55" t="str">
        <f t="shared" si="12"/>
        <v/>
      </c>
      <c r="BB16" s="55" t="str">
        <f t="shared" si="12"/>
        <v/>
      </c>
      <c r="BC16" s="55" t="str">
        <f t="shared" si="12"/>
        <v/>
      </c>
      <c r="BD16" s="55" t="str">
        <f t="shared" si="12"/>
        <v/>
      </c>
      <c r="BE16" s="55" t="str">
        <f t="shared" si="12"/>
        <v/>
      </c>
      <c r="BF16" s="55" t="str">
        <f t="shared" si="12"/>
        <v/>
      </c>
      <c r="BG16" s="55" t="str">
        <f t="shared" si="12"/>
        <v/>
      </c>
      <c r="BH16" s="55" t="str">
        <f t="shared" si="12"/>
        <v/>
      </c>
      <c r="BI16" s="55" t="str">
        <f t="shared" si="12"/>
        <v/>
      </c>
      <c r="BJ16" s="55" t="str">
        <f t="shared" si="12"/>
        <v/>
      </c>
      <c r="BK16" s="55" t="str">
        <f t="shared" si="12"/>
        <v/>
      </c>
      <c r="BL16" s="55" t="str">
        <f t="shared" si="12"/>
        <v/>
      </c>
      <c r="BM16" s="55" t="str">
        <f t="shared" si="12"/>
        <v/>
      </c>
      <c r="BN16" s="55" t="str">
        <f t="shared" si="12"/>
        <v/>
      </c>
      <c r="BO16" s="55" t="str">
        <f t="shared" si="12"/>
        <v/>
      </c>
      <c r="BP16" s="55" t="str">
        <f t="shared" si="12"/>
        <v/>
      </c>
      <c r="BQ16" s="55" t="str">
        <f t="shared" si="12"/>
        <v/>
      </c>
      <c r="BR16" s="55" t="str">
        <f t="shared" si="12"/>
        <v/>
      </c>
      <c r="BS16" s="55" t="str">
        <f t="shared" si="12"/>
        <v/>
      </c>
      <c r="BT16" s="55" t="str">
        <f t="shared" si="12"/>
        <v/>
      </c>
      <c r="BU16" s="55" t="str">
        <f t="shared" si="12"/>
        <v/>
      </c>
      <c r="BV16" s="55" t="str">
        <f t="shared" si="12"/>
        <v/>
      </c>
      <c r="BW16" s="55" t="str">
        <f t="shared" si="12"/>
        <v/>
      </c>
      <c r="BX16" s="55" t="str">
        <f t="shared" si="12"/>
        <v/>
      </c>
      <c r="BY16" s="55" t="str">
        <f t="shared" si="12"/>
        <v/>
      </c>
      <c r="BZ16" s="55" t="str">
        <f t="shared" si="12"/>
        <v/>
      </c>
      <c r="CA16" s="55" t="str">
        <f t="shared" si="12"/>
        <v/>
      </c>
      <c r="CB16" s="55" t="str">
        <f t="shared" si="12"/>
        <v/>
      </c>
      <c r="CC16" s="55" t="str">
        <f t="shared" si="12"/>
        <v/>
      </c>
      <c r="CD16" s="55" t="str">
        <f t="shared" si="12"/>
        <v/>
      </c>
      <c r="CE16" s="55" t="str">
        <f t="shared" si="12"/>
        <v/>
      </c>
      <c r="CF16" s="55" t="str">
        <f t="shared" si="12"/>
        <v/>
      </c>
      <c r="CG16" s="55" t="str">
        <f t="shared" si="12"/>
        <v/>
      </c>
      <c r="CH16" s="55" t="str">
        <f t="shared" si="12"/>
        <v/>
      </c>
      <c r="CI16" s="55" t="str">
        <f t="shared" si="12"/>
        <v/>
      </c>
      <c r="CJ16" s="55" t="str">
        <f t="shared" si="12"/>
        <v/>
      </c>
      <c r="CK16" s="55" t="str">
        <f t="shared" si="13"/>
        <v/>
      </c>
      <c r="CL16" s="55" t="str">
        <f t="shared" si="13"/>
        <v/>
      </c>
      <c r="CM16" s="55" t="str">
        <f t="shared" si="13"/>
        <v/>
      </c>
      <c r="CN16" s="55" t="str">
        <f t="shared" si="13"/>
        <v/>
      </c>
      <c r="CO16" s="55" t="str">
        <f t="shared" si="13"/>
        <v/>
      </c>
      <c r="CP16" s="55" t="str">
        <f t="shared" si="13"/>
        <v/>
      </c>
      <c r="CQ16" s="55" t="str">
        <f t="shared" si="13"/>
        <v/>
      </c>
      <c r="CR16" s="55" t="str">
        <f t="shared" si="13"/>
        <v/>
      </c>
      <c r="CS16" s="55" t="str">
        <f t="shared" si="13"/>
        <v/>
      </c>
      <c r="CT16" s="55" t="str">
        <f t="shared" si="13"/>
        <v/>
      </c>
      <c r="CU16" s="55" t="str">
        <f t="shared" si="13"/>
        <v/>
      </c>
      <c r="CV16" s="55" t="str">
        <f t="shared" si="13"/>
        <v/>
      </c>
      <c r="CW16" s="55" t="str">
        <f t="shared" si="13"/>
        <v/>
      </c>
      <c r="CX16" s="55" t="str">
        <f t="shared" si="13"/>
        <v/>
      </c>
      <c r="CY16" s="55" t="str">
        <f t="shared" si="13"/>
        <v/>
      </c>
      <c r="CZ16" s="55" t="str">
        <f t="shared" si="13"/>
        <v/>
      </c>
      <c r="DA16" s="55" t="str">
        <f t="shared" si="13"/>
        <v/>
      </c>
      <c r="DB16" s="55" t="str">
        <f t="shared" si="13"/>
        <v/>
      </c>
      <c r="DC16" s="55" t="str">
        <f t="shared" si="13"/>
        <v/>
      </c>
      <c r="DD16" s="55" t="str">
        <f t="shared" si="13"/>
        <v/>
      </c>
      <c r="DE16" s="55" t="str">
        <f t="shared" si="13"/>
        <v/>
      </c>
      <c r="DF16" s="55" t="str">
        <f t="shared" si="13"/>
        <v/>
      </c>
      <c r="DG16" s="55" t="str">
        <f t="shared" si="13"/>
        <v/>
      </c>
      <c r="DH16" s="55" t="str">
        <f t="shared" si="13"/>
        <v/>
      </c>
      <c r="DI16" s="55" t="str">
        <f t="shared" si="13"/>
        <v/>
      </c>
      <c r="DJ16" s="55" t="str">
        <f t="shared" si="13"/>
        <v/>
      </c>
      <c r="DK16" s="55" t="str">
        <f t="shared" si="13"/>
        <v/>
      </c>
      <c r="DL16" s="55" t="str">
        <f t="shared" si="13"/>
        <v/>
      </c>
      <c r="DM16" s="55" t="str">
        <f t="shared" si="13"/>
        <v/>
      </c>
      <c r="DN16" s="55" t="str">
        <f t="shared" si="13"/>
        <v/>
      </c>
      <c r="DO16" s="55" t="str">
        <f t="shared" si="13"/>
        <v/>
      </c>
      <c r="DP16" s="55" t="str">
        <f t="shared" si="13"/>
        <v/>
      </c>
      <c r="DQ16" s="55" t="str">
        <f t="shared" si="13"/>
        <v/>
      </c>
      <c r="DR16" s="55" t="str">
        <f t="shared" si="13"/>
        <v/>
      </c>
      <c r="DS16" s="55" t="str">
        <f t="shared" si="13"/>
        <v/>
      </c>
      <c r="DT16" s="106" t="str">
        <f t="shared" si="13"/>
        <v/>
      </c>
      <c r="DU16" s="54"/>
      <c r="DV16" s="25"/>
      <c r="DW16" s="61" t="str">
        <f t="shared" si="14"/>
        <v/>
      </c>
      <c r="DX16" s="50" t="str">
        <f t="shared" si="14"/>
        <v/>
      </c>
      <c r="DY16" s="50" t="str">
        <f t="shared" si="14"/>
        <v/>
      </c>
      <c r="DZ16" s="50" t="str">
        <f t="shared" si="14"/>
        <v/>
      </c>
      <c r="EA16" s="50" t="str">
        <f t="shared" si="14"/>
        <v/>
      </c>
      <c r="EB16" s="50" t="str">
        <f t="shared" si="14"/>
        <v/>
      </c>
      <c r="EC16" s="50" t="str">
        <f t="shared" si="14"/>
        <v/>
      </c>
      <c r="ED16" s="50" t="str">
        <f t="shared" si="14"/>
        <v/>
      </c>
      <c r="EE16" s="50" t="str">
        <f t="shared" si="14"/>
        <v/>
      </c>
      <c r="EF16" s="50" t="str">
        <f t="shared" si="14"/>
        <v/>
      </c>
      <c r="EG16" s="50" t="str">
        <f t="shared" si="14"/>
        <v/>
      </c>
      <c r="EH16" s="50" t="str">
        <f t="shared" si="14"/>
        <v/>
      </c>
      <c r="EI16" s="50" t="str">
        <f t="shared" si="14"/>
        <v/>
      </c>
      <c r="EJ16" s="50" t="str">
        <f t="shared" si="14"/>
        <v/>
      </c>
      <c r="EK16" s="50" t="str">
        <f t="shared" si="14"/>
        <v/>
      </c>
      <c r="EL16" s="50" t="str">
        <f t="shared" si="14"/>
        <v/>
      </c>
      <c r="EM16" s="50" t="str">
        <f t="shared" si="14"/>
        <v/>
      </c>
      <c r="EN16" s="50" t="str">
        <f t="shared" si="14"/>
        <v/>
      </c>
      <c r="EO16" s="50" t="str">
        <f t="shared" si="14"/>
        <v/>
      </c>
      <c r="EP16" s="50" t="str">
        <f t="shared" si="14"/>
        <v/>
      </c>
      <c r="EQ16" s="50" t="str">
        <f t="shared" si="14"/>
        <v/>
      </c>
      <c r="ER16" s="50" t="str">
        <f t="shared" si="14"/>
        <v/>
      </c>
      <c r="ES16" s="50" t="str">
        <f t="shared" si="14"/>
        <v/>
      </c>
      <c r="ET16" s="50" t="str">
        <f t="shared" si="14"/>
        <v/>
      </c>
      <c r="EU16" s="50" t="str">
        <f t="shared" si="14"/>
        <v/>
      </c>
      <c r="EV16" s="50" t="str">
        <f t="shared" si="14"/>
        <v/>
      </c>
      <c r="EW16" s="50" t="str">
        <f t="shared" si="14"/>
        <v/>
      </c>
      <c r="EX16" s="50" t="str">
        <f t="shared" si="14"/>
        <v/>
      </c>
      <c r="EY16" s="50" t="str">
        <f t="shared" si="14"/>
        <v/>
      </c>
      <c r="EZ16" s="50" t="str">
        <f t="shared" si="14"/>
        <v/>
      </c>
      <c r="FA16" s="50" t="str">
        <f t="shared" si="14"/>
        <v/>
      </c>
      <c r="FB16" s="50" t="str">
        <f t="shared" si="14"/>
        <v/>
      </c>
      <c r="FC16" s="50" t="str">
        <f t="shared" si="14"/>
        <v/>
      </c>
      <c r="FD16" s="50" t="str">
        <f t="shared" si="14"/>
        <v/>
      </c>
      <c r="FE16" s="50" t="str">
        <f t="shared" si="14"/>
        <v/>
      </c>
      <c r="FF16" s="50" t="str">
        <f t="shared" si="14"/>
        <v/>
      </c>
      <c r="FG16" s="50" t="str">
        <f t="shared" si="14"/>
        <v/>
      </c>
      <c r="FH16" s="50" t="str">
        <f t="shared" si="14"/>
        <v/>
      </c>
      <c r="FI16" s="50" t="str">
        <f t="shared" si="14"/>
        <v/>
      </c>
      <c r="FJ16" s="50" t="str">
        <f t="shared" si="14"/>
        <v/>
      </c>
      <c r="FK16" s="50" t="str">
        <f t="shared" si="14"/>
        <v/>
      </c>
      <c r="FL16" s="50" t="str">
        <f t="shared" si="14"/>
        <v/>
      </c>
      <c r="FM16" s="50" t="str">
        <f t="shared" si="14"/>
        <v/>
      </c>
      <c r="FN16" s="50" t="str">
        <f t="shared" si="14"/>
        <v/>
      </c>
      <c r="FO16" s="50" t="str">
        <f t="shared" si="14"/>
        <v/>
      </c>
      <c r="FP16" s="50" t="str">
        <f t="shared" si="14"/>
        <v/>
      </c>
      <c r="FQ16" s="50" t="str">
        <f t="shared" si="14"/>
        <v/>
      </c>
      <c r="FR16" s="50" t="str">
        <f t="shared" si="14"/>
        <v/>
      </c>
      <c r="FS16" s="50" t="str">
        <f t="shared" si="14"/>
        <v/>
      </c>
      <c r="FT16" s="50" t="str">
        <f t="shared" si="14"/>
        <v/>
      </c>
      <c r="FU16" s="50" t="str">
        <f t="shared" si="14"/>
        <v/>
      </c>
      <c r="FV16" s="50" t="str">
        <f t="shared" si="14"/>
        <v/>
      </c>
      <c r="FW16" s="50" t="str">
        <f t="shared" si="14"/>
        <v/>
      </c>
      <c r="FX16" s="50" t="str">
        <f t="shared" si="14"/>
        <v/>
      </c>
      <c r="FY16" s="50" t="str">
        <f t="shared" si="14"/>
        <v/>
      </c>
      <c r="FZ16" s="50" t="str">
        <f t="shared" si="14"/>
        <v/>
      </c>
      <c r="GA16" s="50" t="str">
        <f t="shared" si="14"/>
        <v/>
      </c>
      <c r="GB16" s="50" t="str">
        <f t="shared" si="14"/>
        <v/>
      </c>
      <c r="GC16" s="50" t="str">
        <f t="shared" si="14"/>
        <v/>
      </c>
      <c r="GD16" s="50" t="str">
        <f t="shared" si="14"/>
        <v/>
      </c>
      <c r="GE16" s="50" t="str">
        <f t="shared" si="14"/>
        <v/>
      </c>
      <c r="GF16" s="50" t="str">
        <f t="shared" si="14"/>
        <v/>
      </c>
      <c r="GG16" s="50" t="str">
        <f t="shared" si="14"/>
        <v/>
      </c>
      <c r="GH16" s="50" t="str">
        <f t="shared" si="14"/>
        <v/>
      </c>
      <c r="GI16" s="50" t="str">
        <f t="shared" si="15"/>
        <v/>
      </c>
      <c r="GJ16" s="50" t="str">
        <f t="shared" si="15"/>
        <v/>
      </c>
      <c r="GK16" s="50" t="str">
        <f t="shared" si="15"/>
        <v/>
      </c>
      <c r="GL16" s="50" t="str">
        <f t="shared" si="15"/>
        <v/>
      </c>
      <c r="GM16" s="50" t="str">
        <f t="shared" si="15"/>
        <v/>
      </c>
      <c r="GN16" s="50" t="str">
        <f t="shared" si="15"/>
        <v/>
      </c>
      <c r="GO16" s="50" t="str">
        <f t="shared" si="15"/>
        <v/>
      </c>
      <c r="GP16" s="50" t="str">
        <f t="shared" si="15"/>
        <v/>
      </c>
      <c r="GQ16" s="50" t="str">
        <f t="shared" si="15"/>
        <v/>
      </c>
      <c r="GR16" s="50" t="str">
        <f t="shared" si="15"/>
        <v/>
      </c>
      <c r="GS16" s="50" t="str">
        <f t="shared" si="15"/>
        <v/>
      </c>
      <c r="GT16" s="50" t="str">
        <f t="shared" si="15"/>
        <v/>
      </c>
      <c r="GU16" s="50" t="str">
        <f t="shared" si="15"/>
        <v/>
      </c>
      <c r="GV16" s="50" t="str">
        <f t="shared" si="15"/>
        <v/>
      </c>
      <c r="GW16" s="50" t="str">
        <f t="shared" si="15"/>
        <v/>
      </c>
      <c r="GX16" s="50" t="str">
        <f t="shared" si="15"/>
        <v/>
      </c>
      <c r="GY16" s="50" t="str">
        <f t="shared" si="15"/>
        <v/>
      </c>
      <c r="GZ16" s="50" t="str">
        <f t="shared" si="15"/>
        <v/>
      </c>
      <c r="HA16" s="50" t="str">
        <f t="shared" si="15"/>
        <v/>
      </c>
      <c r="HB16" s="50" t="str">
        <f t="shared" si="15"/>
        <v/>
      </c>
      <c r="HC16" s="50" t="str">
        <f t="shared" si="15"/>
        <v/>
      </c>
      <c r="HD16" s="50" t="str">
        <f t="shared" si="15"/>
        <v/>
      </c>
      <c r="HE16" s="50" t="str">
        <f t="shared" si="15"/>
        <v/>
      </c>
      <c r="HF16" s="50" t="str">
        <f t="shared" si="15"/>
        <v/>
      </c>
      <c r="HG16" s="50" t="str">
        <f t="shared" si="15"/>
        <v/>
      </c>
      <c r="HH16" s="50" t="str">
        <f t="shared" si="15"/>
        <v/>
      </c>
      <c r="HI16" s="50" t="str">
        <f t="shared" si="15"/>
        <v/>
      </c>
      <c r="HJ16" s="50" t="str">
        <f t="shared" si="15"/>
        <v/>
      </c>
      <c r="HK16" s="50" t="str">
        <f t="shared" si="15"/>
        <v/>
      </c>
      <c r="HL16" s="50" t="str">
        <f t="shared" si="15"/>
        <v/>
      </c>
      <c r="HM16" s="50" t="str">
        <f t="shared" si="15"/>
        <v/>
      </c>
      <c r="HN16" s="50" t="str">
        <f t="shared" si="15"/>
        <v/>
      </c>
      <c r="HO16" s="50" t="str">
        <f t="shared" si="15"/>
        <v/>
      </c>
      <c r="HP16" s="50" t="str">
        <f t="shared" si="15"/>
        <v/>
      </c>
      <c r="HQ16" s="50" t="str">
        <f t="shared" si="15"/>
        <v/>
      </c>
      <c r="HR16" s="112" t="str">
        <f t="shared" si="15"/>
        <v/>
      </c>
    </row>
    <row r="17" spans="1:226" ht="11.1" customHeight="1" x14ac:dyDescent="0.25">
      <c r="A17" s="26"/>
      <c r="B17" s="144"/>
      <c r="C17" s="28" t="str">
        <f>IF(A17=0,"",VLOOKUP(A17,[2]CO!$A$3:$F$5327,2,0))</f>
        <v/>
      </c>
      <c r="D17" s="149" t="s">
        <v>30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8"/>
        <v/>
      </c>
      <c r="N17" s="32" t="str">
        <f>IF(B17=0,"",IF(H17="M",HLOOKUP(B17,$Y$12:$DT$13,2),IF(A17=0,"",VLOOKUP(A17,[2]CO!$A$3:$F$5327,4,0))))</f>
        <v/>
      </c>
      <c r="O17" s="32" t="str">
        <f t="shared" si="16"/>
        <v/>
      </c>
      <c r="P17" s="33"/>
      <c r="Q17" s="34" t="str">
        <f t="shared" si="9"/>
        <v/>
      </c>
      <c r="R17" s="35" t="str">
        <f t="shared" si="10"/>
        <v/>
      </c>
      <c r="S17" s="127"/>
      <c r="T17" s="53" t="str">
        <f>IF(A17=0,"",VLOOKUP(A17,[2]CO!$A$3:$F$5318,5,0))</f>
        <v/>
      </c>
      <c r="U17" s="54">
        <f t="shared" si="11"/>
        <v>0</v>
      </c>
      <c r="V17" s="24"/>
      <c r="W17" s="25"/>
      <c r="X17" s="25"/>
      <c r="Y17" s="64" t="str">
        <f t="shared" si="12"/>
        <v/>
      </c>
      <c r="Z17" s="55" t="str">
        <f t="shared" si="12"/>
        <v/>
      </c>
      <c r="AA17" s="55" t="str">
        <f t="shared" si="12"/>
        <v/>
      </c>
      <c r="AB17" s="55" t="str">
        <f t="shared" si="12"/>
        <v/>
      </c>
      <c r="AC17" s="55" t="str">
        <f t="shared" si="12"/>
        <v/>
      </c>
      <c r="AD17" s="55" t="str">
        <f t="shared" si="12"/>
        <v/>
      </c>
      <c r="AE17" s="55" t="str">
        <f t="shared" si="12"/>
        <v/>
      </c>
      <c r="AF17" s="55" t="str">
        <f t="shared" si="12"/>
        <v/>
      </c>
      <c r="AG17" s="55" t="str">
        <f t="shared" si="12"/>
        <v/>
      </c>
      <c r="AH17" s="55" t="str">
        <f t="shared" si="12"/>
        <v/>
      </c>
      <c r="AI17" s="55" t="str">
        <f t="shared" si="12"/>
        <v/>
      </c>
      <c r="AJ17" s="55" t="str">
        <f t="shared" si="12"/>
        <v/>
      </c>
      <c r="AK17" s="55" t="str">
        <f t="shared" si="12"/>
        <v/>
      </c>
      <c r="AL17" s="55" t="str">
        <f t="shared" si="12"/>
        <v/>
      </c>
      <c r="AM17" s="55" t="str">
        <f t="shared" si="12"/>
        <v/>
      </c>
      <c r="AN17" s="55" t="str">
        <f t="shared" si="12"/>
        <v/>
      </c>
      <c r="AO17" s="55" t="str">
        <f t="shared" si="12"/>
        <v/>
      </c>
      <c r="AP17" s="55" t="str">
        <f t="shared" si="12"/>
        <v/>
      </c>
      <c r="AQ17" s="55" t="str">
        <f t="shared" si="12"/>
        <v/>
      </c>
      <c r="AR17" s="55" t="str">
        <f t="shared" si="12"/>
        <v/>
      </c>
      <c r="AS17" s="55" t="str">
        <f t="shared" si="12"/>
        <v/>
      </c>
      <c r="AT17" s="55" t="str">
        <f t="shared" si="12"/>
        <v/>
      </c>
      <c r="AU17" s="55" t="str">
        <f t="shared" si="12"/>
        <v/>
      </c>
      <c r="AV17" s="55" t="str">
        <f t="shared" si="12"/>
        <v/>
      </c>
      <c r="AW17" s="55" t="str">
        <f t="shared" si="12"/>
        <v/>
      </c>
      <c r="AX17" s="55" t="str">
        <f t="shared" si="12"/>
        <v/>
      </c>
      <c r="AY17" s="55" t="str">
        <f t="shared" si="12"/>
        <v/>
      </c>
      <c r="AZ17" s="55" t="str">
        <f t="shared" si="12"/>
        <v/>
      </c>
      <c r="BA17" s="55" t="str">
        <f t="shared" si="12"/>
        <v/>
      </c>
      <c r="BB17" s="55" t="str">
        <f t="shared" si="12"/>
        <v/>
      </c>
      <c r="BC17" s="55" t="str">
        <f t="shared" si="12"/>
        <v/>
      </c>
      <c r="BD17" s="55" t="str">
        <f t="shared" si="12"/>
        <v/>
      </c>
      <c r="BE17" s="55" t="str">
        <f t="shared" si="12"/>
        <v/>
      </c>
      <c r="BF17" s="55" t="str">
        <f t="shared" si="12"/>
        <v/>
      </c>
      <c r="BG17" s="55" t="str">
        <f t="shared" si="12"/>
        <v/>
      </c>
      <c r="BH17" s="55" t="str">
        <f t="shared" si="12"/>
        <v/>
      </c>
      <c r="BI17" s="55" t="str">
        <f t="shared" si="12"/>
        <v/>
      </c>
      <c r="BJ17" s="55" t="str">
        <f t="shared" si="12"/>
        <v/>
      </c>
      <c r="BK17" s="55" t="str">
        <f t="shared" si="12"/>
        <v/>
      </c>
      <c r="BL17" s="55" t="str">
        <f t="shared" si="12"/>
        <v/>
      </c>
      <c r="BM17" s="55" t="str">
        <f t="shared" si="12"/>
        <v/>
      </c>
      <c r="BN17" s="55" t="str">
        <f t="shared" si="12"/>
        <v/>
      </c>
      <c r="BO17" s="55" t="str">
        <f t="shared" si="12"/>
        <v/>
      </c>
      <c r="BP17" s="55" t="str">
        <f t="shared" si="12"/>
        <v/>
      </c>
      <c r="BQ17" s="55" t="str">
        <f t="shared" si="12"/>
        <v/>
      </c>
      <c r="BR17" s="55" t="str">
        <f t="shared" si="12"/>
        <v/>
      </c>
      <c r="BS17" s="55" t="str">
        <f t="shared" si="12"/>
        <v/>
      </c>
      <c r="BT17" s="55" t="str">
        <f t="shared" si="12"/>
        <v/>
      </c>
      <c r="BU17" s="55" t="str">
        <f t="shared" si="12"/>
        <v/>
      </c>
      <c r="BV17" s="55" t="str">
        <f t="shared" si="12"/>
        <v/>
      </c>
      <c r="BW17" s="55" t="str">
        <f t="shared" si="12"/>
        <v/>
      </c>
      <c r="BX17" s="55" t="str">
        <f t="shared" si="12"/>
        <v/>
      </c>
      <c r="BY17" s="55" t="str">
        <f t="shared" si="12"/>
        <v/>
      </c>
      <c r="BZ17" s="55" t="str">
        <f t="shared" si="12"/>
        <v/>
      </c>
      <c r="CA17" s="55" t="str">
        <f t="shared" si="12"/>
        <v/>
      </c>
      <c r="CB17" s="55" t="str">
        <f t="shared" si="12"/>
        <v/>
      </c>
      <c r="CC17" s="55" t="str">
        <f t="shared" si="12"/>
        <v/>
      </c>
      <c r="CD17" s="55" t="str">
        <f t="shared" si="12"/>
        <v/>
      </c>
      <c r="CE17" s="55" t="str">
        <f t="shared" si="12"/>
        <v/>
      </c>
      <c r="CF17" s="55" t="str">
        <f t="shared" si="12"/>
        <v/>
      </c>
      <c r="CG17" s="55" t="str">
        <f t="shared" si="12"/>
        <v/>
      </c>
      <c r="CH17" s="55" t="str">
        <f t="shared" si="12"/>
        <v/>
      </c>
      <c r="CI17" s="55" t="str">
        <f t="shared" si="12"/>
        <v/>
      </c>
      <c r="CJ17" s="55" t="str">
        <f t="shared" ref="CJ17" si="17">IF($B17=CJ$12,$U17,"")</f>
        <v/>
      </c>
      <c r="CK17" s="55" t="str">
        <f t="shared" si="13"/>
        <v/>
      </c>
      <c r="CL17" s="55" t="str">
        <f t="shared" si="13"/>
        <v/>
      </c>
      <c r="CM17" s="55" t="str">
        <f t="shared" si="13"/>
        <v/>
      </c>
      <c r="CN17" s="55" t="str">
        <f t="shared" si="13"/>
        <v/>
      </c>
      <c r="CO17" s="55" t="str">
        <f t="shared" si="13"/>
        <v/>
      </c>
      <c r="CP17" s="55" t="str">
        <f t="shared" si="13"/>
        <v/>
      </c>
      <c r="CQ17" s="55" t="str">
        <f t="shared" si="13"/>
        <v/>
      </c>
      <c r="CR17" s="55" t="str">
        <f t="shared" si="13"/>
        <v/>
      </c>
      <c r="CS17" s="55" t="str">
        <f t="shared" si="13"/>
        <v/>
      </c>
      <c r="CT17" s="55" t="str">
        <f t="shared" si="13"/>
        <v/>
      </c>
      <c r="CU17" s="55" t="str">
        <f t="shared" si="13"/>
        <v/>
      </c>
      <c r="CV17" s="55" t="str">
        <f t="shared" si="13"/>
        <v/>
      </c>
      <c r="CW17" s="55" t="str">
        <f t="shared" si="13"/>
        <v/>
      </c>
      <c r="CX17" s="55" t="str">
        <f t="shared" si="13"/>
        <v/>
      </c>
      <c r="CY17" s="55" t="str">
        <f t="shared" si="13"/>
        <v/>
      </c>
      <c r="CZ17" s="55" t="str">
        <f t="shared" si="13"/>
        <v/>
      </c>
      <c r="DA17" s="55" t="str">
        <f t="shared" si="13"/>
        <v/>
      </c>
      <c r="DB17" s="55" t="str">
        <f t="shared" si="13"/>
        <v/>
      </c>
      <c r="DC17" s="55" t="str">
        <f t="shared" si="13"/>
        <v/>
      </c>
      <c r="DD17" s="55" t="str">
        <f t="shared" si="13"/>
        <v/>
      </c>
      <c r="DE17" s="55" t="str">
        <f t="shared" si="13"/>
        <v/>
      </c>
      <c r="DF17" s="55" t="str">
        <f t="shared" si="13"/>
        <v/>
      </c>
      <c r="DG17" s="55" t="str">
        <f t="shared" si="13"/>
        <v/>
      </c>
      <c r="DH17" s="55" t="str">
        <f t="shared" si="13"/>
        <v/>
      </c>
      <c r="DI17" s="55" t="str">
        <f t="shared" si="13"/>
        <v/>
      </c>
      <c r="DJ17" s="55" t="str">
        <f t="shared" si="13"/>
        <v/>
      </c>
      <c r="DK17" s="55" t="str">
        <f t="shared" si="13"/>
        <v/>
      </c>
      <c r="DL17" s="55" t="str">
        <f t="shared" si="13"/>
        <v/>
      </c>
      <c r="DM17" s="55" t="str">
        <f t="shared" si="13"/>
        <v/>
      </c>
      <c r="DN17" s="55" t="str">
        <f t="shared" si="13"/>
        <v/>
      </c>
      <c r="DO17" s="55" t="str">
        <f t="shared" si="13"/>
        <v/>
      </c>
      <c r="DP17" s="55" t="str">
        <f t="shared" si="13"/>
        <v/>
      </c>
      <c r="DQ17" s="55" t="str">
        <f t="shared" si="13"/>
        <v/>
      </c>
      <c r="DR17" s="55" t="str">
        <f t="shared" si="13"/>
        <v/>
      </c>
      <c r="DS17" s="55" t="str">
        <f t="shared" si="13"/>
        <v/>
      </c>
      <c r="DT17" s="106" t="str">
        <f t="shared" si="13"/>
        <v/>
      </c>
      <c r="DU17" s="54"/>
      <c r="DV17" s="25"/>
      <c r="DW17" s="61" t="str">
        <f t="shared" si="14"/>
        <v/>
      </c>
      <c r="DX17" s="50" t="str">
        <f t="shared" si="14"/>
        <v/>
      </c>
      <c r="DY17" s="50" t="str">
        <f t="shared" si="14"/>
        <v/>
      </c>
      <c r="DZ17" s="50" t="str">
        <f t="shared" si="14"/>
        <v/>
      </c>
      <c r="EA17" s="50" t="str">
        <f t="shared" si="14"/>
        <v/>
      </c>
      <c r="EB17" s="50" t="str">
        <f t="shared" si="14"/>
        <v/>
      </c>
      <c r="EC17" s="50" t="str">
        <f t="shared" si="14"/>
        <v/>
      </c>
      <c r="ED17" s="50" t="str">
        <f t="shared" si="14"/>
        <v/>
      </c>
      <c r="EE17" s="50" t="str">
        <f t="shared" si="14"/>
        <v/>
      </c>
      <c r="EF17" s="50" t="str">
        <f t="shared" si="14"/>
        <v/>
      </c>
      <c r="EG17" s="50" t="str">
        <f t="shared" si="14"/>
        <v/>
      </c>
      <c r="EH17" s="50" t="str">
        <f t="shared" si="14"/>
        <v/>
      </c>
      <c r="EI17" s="50" t="str">
        <f t="shared" si="14"/>
        <v/>
      </c>
      <c r="EJ17" s="50" t="str">
        <f t="shared" si="14"/>
        <v/>
      </c>
      <c r="EK17" s="50" t="str">
        <f t="shared" si="14"/>
        <v/>
      </c>
      <c r="EL17" s="50" t="str">
        <f t="shared" si="14"/>
        <v/>
      </c>
      <c r="EM17" s="50" t="str">
        <f t="shared" si="14"/>
        <v/>
      </c>
      <c r="EN17" s="50" t="str">
        <f t="shared" si="14"/>
        <v/>
      </c>
      <c r="EO17" s="50" t="str">
        <f t="shared" si="14"/>
        <v/>
      </c>
      <c r="EP17" s="50" t="str">
        <f t="shared" si="14"/>
        <v/>
      </c>
      <c r="EQ17" s="50" t="str">
        <f t="shared" si="14"/>
        <v/>
      </c>
      <c r="ER17" s="50" t="str">
        <f t="shared" si="14"/>
        <v/>
      </c>
      <c r="ES17" s="50" t="str">
        <f t="shared" si="14"/>
        <v/>
      </c>
      <c r="ET17" s="50" t="str">
        <f t="shared" si="14"/>
        <v/>
      </c>
      <c r="EU17" s="50" t="str">
        <f t="shared" si="14"/>
        <v/>
      </c>
      <c r="EV17" s="50" t="str">
        <f t="shared" si="14"/>
        <v/>
      </c>
      <c r="EW17" s="50" t="str">
        <f t="shared" si="14"/>
        <v/>
      </c>
      <c r="EX17" s="50" t="str">
        <f t="shared" si="14"/>
        <v/>
      </c>
      <c r="EY17" s="50" t="str">
        <f t="shared" si="14"/>
        <v/>
      </c>
      <c r="EZ17" s="50" t="str">
        <f t="shared" si="14"/>
        <v/>
      </c>
      <c r="FA17" s="50" t="str">
        <f t="shared" si="14"/>
        <v/>
      </c>
      <c r="FB17" s="50" t="str">
        <f t="shared" si="14"/>
        <v/>
      </c>
      <c r="FC17" s="50" t="str">
        <f t="shared" si="14"/>
        <v/>
      </c>
      <c r="FD17" s="50" t="str">
        <f t="shared" si="14"/>
        <v/>
      </c>
      <c r="FE17" s="50" t="str">
        <f t="shared" si="14"/>
        <v/>
      </c>
      <c r="FF17" s="50" t="str">
        <f t="shared" si="14"/>
        <v/>
      </c>
      <c r="FG17" s="50" t="str">
        <f t="shared" si="14"/>
        <v/>
      </c>
      <c r="FH17" s="50" t="str">
        <f t="shared" si="14"/>
        <v/>
      </c>
      <c r="FI17" s="50" t="str">
        <f t="shared" si="14"/>
        <v/>
      </c>
      <c r="FJ17" s="50" t="str">
        <f t="shared" si="14"/>
        <v/>
      </c>
      <c r="FK17" s="50" t="str">
        <f t="shared" si="14"/>
        <v/>
      </c>
      <c r="FL17" s="50" t="str">
        <f t="shared" si="14"/>
        <v/>
      </c>
      <c r="FM17" s="50" t="str">
        <f t="shared" si="14"/>
        <v/>
      </c>
      <c r="FN17" s="50" t="str">
        <f t="shared" si="14"/>
        <v/>
      </c>
      <c r="FO17" s="50" t="str">
        <f t="shared" si="14"/>
        <v/>
      </c>
      <c r="FP17" s="50" t="str">
        <f t="shared" si="14"/>
        <v/>
      </c>
      <c r="FQ17" s="50" t="str">
        <f t="shared" si="14"/>
        <v/>
      </c>
      <c r="FR17" s="50" t="str">
        <f t="shared" si="14"/>
        <v/>
      </c>
      <c r="FS17" s="50" t="str">
        <f t="shared" si="14"/>
        <v/>
      </c>
      <c r="FT17" s="50" t="str">
        <f t="shared" si="14"/>
        <v/>
      </c>
      <c r="FU17" s="50" t="str">
        <f t="shared" si="14"/>
        <v/>
      </c>
      <c r="FV17" s="50" t="str">
        <f t="shared" si="14"/>
        <v/>
      </c>
      <c r="FW17" s="50" t="str">
        <f t="shared" si="14"/>
        <v/>
      </c>
      <c r="FX17" s="50" t="str">
        <f t="shared" si="14"/>
        <v/>
      </c>
      <c r="FY17" s="50" t="str">
        <f t="shared" si="14"/>
        <v/>
      </c>
      <c r="FZ17" s="50" t="str">
        <f t="shared" si="14"/>
        <v/>
      </c>
      <c r="GA17" s="50" t="str">
        <f t="shared" si="14"/>
        <v/>
      </c>
      <c r="GB17" s="50" t="str">
        <f t="shared" si="14"/>
        <v/>
      </c>
      <c r="GC17" s="50" t="str">
        <f t="shared" si="14"/>
        <v/>
      </c>
      <c r="GD17" s="50" t="str">
        <f t="shared" si="14"/>
        <v/>
      </c>
      <c r="GE17" s="50" t="str">
        <f t="shared" si="14"/>
        <v/>
      </c>
      <c r="GF17" s="50" t="str">
        <f t="shared" si="14"/>
        <v/>
      </c>
      <c r="GG17" s="50" t="str">
        <f t="shared" si="14"/>
        <v/>
      </c>
      <c r="GH17" s="50" t="str">
        <f t="shared" ref="GH17" si="18">IF($B17=GH$12,$O17,"")</f>
        <v/>
      </c>
      <c r="GI17" s="50" t="str">
        <f t="shared" si="15"/>
        <v/>
      </c>
      <c r="GJ17" s="50" t="str">
        <f t="shared" si="15"/>
        <v/>
      </c>
      <c r="GK17" s="50" t="str">
        <f t="shared" si="15"/>
        <v/>
      </c>
      <c r="GL17" s="50" t="str">
        <f t="shared" si="15"/>
        <v/>
      </c>
      <c r="GM17" s="50" t="str">
        <f t="shared" si="15"/>
        <v/>
      </c>
      <c r="GN17" s="50" t="str">
        <f t="shared" si="15"/>
        <v/>
      </c>
      <c r="GO17" s="50" t="str">
        <f t="shared" si="15"/>
        <v/>
      </c>
      <c r="GP17" s="50" t="str">
        <f t="shared" si="15"/>
        <v/>
      </c>
      <c r="GQ17" s="50" t="str">
        <f t="shared" si="15"/>
        <v/>
      </c>
      <c r="GR17" s="50" t="str">
        <f t="shared" si="15"/>
        <v/>
      </c>
      <c r="GS17" s="50" t="str">
        <f t="shared" si="15"/>
        <v/>
      </c>
      <c r="GT17" s="50" t="str">
        <f t="shared" si="15"/>
        <v/>
      </c>
      <c r="GU17" s="50" t="str">
        <f t="shared" si="15"/>
        <v/>
      </c>
      <c r="GV17" s="50" t="str">
        <f t="shared" si="15"/>
        <v/>
      </c>
      <c r="GW17" s="50" t="str">
        <f t="shared" si="15"/>
        <v/>
      </c>
      <c r="GX17" s="50" t="str">
        <f t="shared" si="15"/>
        <v/>
      </c>
      <c r="GY17" s="50" t="str">
        <f t="shared" si="15"/>
        <v/>
      </c>
      <c r="GZ17" s="50" t="str">
        <f t="shared" si="15"/>
        <v/>
      </c>
      <c r="HA17" s="50" t="str">
        <f t="shared" si="15"/>
        <v/>
      </c>
      <c r="HB17" s="50" t="str">
        <f t="shared" si="15"/>
        <v/>
      </c>
      <c r="HC17" s="50" t="str">
        <f t="shared" si="15"/>
        <v/>
      </c>
      <c r="HD17" s="50" t="str">
        <f t="shared" si="15"/>
        <v/>
      </c>
      <c r="HE17" s="50" t="str">
        <f t="shared" si="15"/>
        <v/>
      </c>
      <c r="HF17" s="50" t="str">
        <f t="shared" si="15"/>
        <v/>
      </c>
      <c r="HG17" s="50" t="str">
        <f t="shared" si="15"/>
        <v/>
      </c>
      <c r="HH17" s="50" t="str">
        <f t="shared" si="15"/>
        <v/>
      </c>
      <c r="HI17" s="50" t="str">
        <f t="shared" si="15"/>
        <v/>
      </c>
      <c r="HJ17" s="50" t="str">
        <f t="shared" si="15"/>
        <v/>
      </c>
      <c r="HK17" s="50" t="str">
        <f t="shared" si="15"/>
        <v/>
      </c>
      <c r="HL17" s="50" t="str">
        <f t="shared" si="15"/>
        <v/>
      </c>
      <c r="HM17" s="50" t="str">
        <f t="shared" si="15"/>
        <v/>
      </c>
      <c r="HN17" s="50" t="str">
        <f t="shared" si="15"/>
        <v/>
      </c>
      <c r="HO17" s="50" t="str">
        <f t="shared" si="15"/>
        <v/>
      </c>
      <c r="HP17" s="50" t="str">
        <f t="shared" si="15"/>
        <v/>
      </c>
      <c r="HQ17" s="50" t="str">
        <f t="shared" si="15"/>
        <v/>
      </c>
      <c r="HR17" s="112" t="str">
        <f t="shared" si="15"/>
        <v/>
      </c>
    </row>
    <row r="18" spans="1:226" ht="11.1" customHeight="1" x14ac:dyDescent="0.25">
      <c r="A18" s="26" t="s">
        <v>31</v>
      </c>
      <c r="B18" s="144">
        <v>1</v>
      </c>
      <c r="C18" s="28" t="str">
        <f>IF(A18=0,"",VLOOKUP(A18,[2]CO!$A$3:$F$5327,2,0))</f>
        <v>Lote</v>
      </c>
      <c r="D18" s="148" t="s">
        <v>32</v>
      </c>
      <c r="E18" s="29"/>
      <c r="F18" s="29"/>
      <c r="G18" s="30" t="str">
        <f>IF(A18=0,"",VLOOKUP(A18,[2]CO!$A$3:$F$5327,3,0))</f>
        <v>LOTE</v>
      </c>
      <c r="H18" s="142"/>
      <c r="I18" s="143"/>
      <c r="J18" s="143"/>
      <c r="K18" s="143"/>
      <c r="L18" s="143">
        <v>8.0349500000000003</v>
      </c>
      <c r="M18" s="32">
        <f t="shared" si="8"/>
        <v>8.0349500000000003</v>
      </c>
      <c r="N18" s="32">
        <f>IF(B18=0,"",IF(H18="M",HLOOKUP(B18,$Y$12:$DT$13,2),IF(A18=0,"",VLOOKUP(A18,[2]CO!$A$3:$F$5327,4,0))))</f>
        <v>1000</v>
      </c>
      <c r="O18" s="32">
        <f t="shared" si="16"/>
        <v>8034.95</v>
      </c>
      <c r="P18" s="33">
        <v>1</v>
      </c>
      <c r="Q18" s="34">
        <f t="shared" si="9"/>
        <v>8034.95</v>
      </c>
      <c r="R18" s="35" t="str">
        <f t="shared" si="10"/>
        <v/>
      </c>
      <c r="S18" s="127"/>
      <c r="T18" s="53">
        <f>IF(A18=0,"",VLOOKUP(A18,[2]CO!$A$3:$F$5318,5,0))</f>
        <v>0</v>
      </c>
      <c r="U18" s="54">
        <f t="shared" si="11"/>
        <v>0</v>
      </c>
      <c r="V18" s="24"/>
      <c r="W18" s="25"/>
      <c r="X18" s="25"/>
      <c r="Y18" s="64">
        <f t="shared" ref="Y18:CJ21" si="19">IF($B18=Y$12,$U18,"")</f>
        <v>0</v>
      </c>
      <c r="Z18" s="55" t="str">
        <f t="shared" si="19"/>
        <v/>
      </c>
      <c r="AA18" s="55" t="str">
        <f t="shared" si="19"/>
        <v/>
      </c>
      <c r="AB18" s="55" t="str">
        <f t="shared" si="19"/>
        <v/>
      </c>
      <c r="AC18" s="55" t="str">
        <f t="shared" si="19"/>
        <v/>
      </c>
      <c r="AD18" s="55" t="str">
        <f t="shared" si="19"/>
        <v/>
      </c>
      <c r="AE18" s="55" t="str">
        <f t="shared" si="19"/>
        <v/>
      </c>
      <c r="AF18" s="55" t="str">
        <f t="shared" si="19"/>
        <v/>
      </c>
      <c r="AG18" s="55" t="str">
        <f t="shared" si="19"/>
        <v/>
      </c>
      <c r="AH18" s="55" t="str">
        <f t="shared" si="19"/>
        <v/>
      </c>
      <c r="AI18" s="55" t="str">
        <f t="shared" si="19"/>
        <v/>
      </c>
      <c r="AJ18" s="55" t="str">
        <f t="shared" si="19"/>
        <v/>
      </c>
      <c r="AK18" s="55" t="str">
        <f t="shared" si="19"/>
        <v/>
      </c>
      <c r="AL18" s="55" t="str">
        <f t="shared" si="19"/>
        <v/>
      </c>
      <c r="AM18" s="55" t="str">
        <f t="shared" si="19"/>
        <v/>
      </c>
      <c r="AN18" s="55" t="str">
        <f t="shared" si="19"/>
        <v/>
      </c>
      <c r="AO18" s="55" t="str">
        <f t="shared" si="19"/>
        <v/>
      </c>
      <c r="AP18" s="55" t="str">
        <f t="shared" si="19"/>
        <v/>
      </c>
      <c r="AQ18" s="55" t="str">
        <f t="shared" si="19"/>
        <v/>
      </c>
      <c r="AR18" s="55" t="str">
        <f t="shared" si="19"/>
        <v/>
      </c>
      <c r="AS18" s="55" t="str">
        <f t="shared" si="19"/>
        <v/>
      </c>
      <c r="AT18" s="55" t="str">
        <f t="shared" si="19"/>
        <v/>
      </c>
      <c r="AU18" s="55" t="str">
        <f t="shared" si="19"/>
        <v/>
      </c>
      <c r="AV18" s="55" t="str">
        <f t="shared" si="19"/>
        <v/>
      </c>
      <c r="AW18" s="55" t="str">
        <f t="shared" si="19"/>
        <v/>
      </c>
      <c r="AX18" s="55" t="str">
        <f t="shared" si="19"/>
        <v/>
      </c>
      <c r="AY18" s="55" t="str">
        <f t="shared" si="19"/>
        <v/>
      </c>
      <c r="AZ18" s="55" t="str">
        <f t="shared" si="19"/>
        <v/>
      </c>
      <c r="BA18" s="55" t="str">
        <f t="shared" si="19"/>
        <v/>
      </c>
      <c r="BB18" s="55" t="str">
        <f t="shared" si="19"/>
        <v/>
      </c>
      <c r="BC18" s="55" t="str">
        <f t="shared" si="19"/>
        <v/>
      </c>
      <c r="BD18" s="55" t="str">
        <f t="shared" si="19"/>
        <v/>
      </c>
      <c r="BE18" s="55" t="str">
        <f t="shared" si="19"/>
        <v/>
      </c>
      <c r="BF18" s="55" t="str">
        <f t="shared" si="19"/>
        <v/>
      </c>
      <c r="BG18" s="55" t="str">
        <f t="shared" si="19"/>
        <v/>
      </c>
      <c r="BH18" s="55" t="str">
        <f t="shared" si="19"/>
        <v/>
      </c>
      <c r="BI18" s="55" t="str">
        <f t="shared" si="19"/>
        <v/>
      </c>
      <c r="BJ18" s="55" t="str">
        <f t="shared" si="19"/>
        <v/>
      </c>
      <c r="BK18" s="55" t="str">
        <f t="shared" si="19"/>
        <v/>
      </c>
      <c r="BL18" s="55" t="str">
        <f t="shared" si="19"/>
        <v/>
      </c>
      <c r="BM18" s="55" t="str">
        <f t="shared" si="19"/>
        <v/>
      </c>
      <c r="BN18" s="55" t="str">
        <f t="shared" si="19"/>
        <v/>
      </c>
      <c r="BO18" s="55" t="str">
        <f t="shared" si="19"/>
        <v/>
      </c>
      <c r="BP18" s="55" t="str">
        <f t="shared" si="19"/>
        <v/>
      </c>
      <c r="BQ18" s="55" t="str">
        <f t="shared" si="19"/>
        <v/>
      </c>
      <c r="BR18" s="55" t="str">
        <f t="shared" si="19"/>
        <v/>
      </c>
      <c r="BS18" s="55" t="str">
        <f t="shared" si="19"/>
        <v/>
      </c>
      <c r="BT18" s="55" t="str">
        <f t="shared" si="19"/>
        <v/>
      </c>
      <c r="BU18" s="55" t="str">
        <f t="shared" si="19"/>
        <v/>
      </c>
      <c r="BV18" s="55" t="str">
        <f t="shared" si="19"/>
        <v/>
      </c>
      <c r="BW18" s="55" t="str">
        <f t="shared" si="19"/>
        <v/>
      </c>
      <c r="BX18" s="55" t="str">
        <f t="shared" si="19"/>
        <v/>
      </c>
      <c r="BY18" s="55" t="str">
        <f t="shared" si="19"/>
        <v/>
      </c>
      <c r="BZ18" s="55" t="str">
        <f t="shared" si="19"/>
        <v/>
      </c>
      <c r="CA18" s="55" t="str">
        <f t="shared" si="19"/>
        <v/>
      </c>
      <c r="CB18" s="55" t="str">
        <f t="shared" si="19"/>
        <v/>
      </c>
      <c r="CC18" s="55" t="str">
        <f t="shared" si="19"/>
        <v/>
      </c>
      <c r="CD18" s="55" t="str">
        <f t="shared" si="19"/>
        <v/>
      </c>
      <c r="CE18" s="55" t="str">
        <f t="shared" si="19"/>
        <v/>
      </c>
      <c r="CF18" s="55" t="str">
        <f t="shared" si="19"/>
        <v/>
      </c>
      <c r="CG18" s="55" t="str">
        <f t="shared" si="19"/>
        <v/>
      </c>
      <c r="CH18" s="55" t="str">
        <f t="shared" si="19"/>
        <v/>
      </c>
      <c r="CI18" s="55" t="str">
        <f t="shared" si="19"/>
        <v/>
      </c>
      <c r="CJ18" s="55" t="str">
        <f t="shared" si="19"/>
        <v/>
      </c>
      <c r="CK18" s="55" t="str">
        <f t="shared" si="13"/>
        <v/>
      </c>
      <c r="CL18" s="55" t="str">
        <f t="shared" si="13"/>
        <v/>
      </c>
      <c r="CM18" s="55" t="str">
        <f t="shared" si="13"/>
        <v/>
      </c>
      <c r="CN18" s="55" t="str">
        <f t="shared" si="13"/>
        <v/>
      </c>
      <c r="CO18" s="55" t="str">
        <f t="shared" si="13"/>
        <v/>
      </c>
      <c r="CP18" s="55" t="str">
        <f t="shared" si="13"/>
        <v/>
      </c>
      <c r="CQ18" s="55" t="str">
        <f t="shared" si="13"/>
        <v/>
      </c>
      <c r="CR18" s="55" t="str">
        <f t="shared" si="13"/>
        <v/>
      </c>
      <c r="CS18" s="55" t="str">
        <f t="shared" si="13"/>
        <v/>
      </c>
      <c r="CT18" s="55" t="str">
        <f t="shared" si="13"/>
        <v/>
      </c>
      <c r="CU18" s="55" t="str">
        <f t="shared" si="13"/>
        <v/>
      </c>
      <c r="CV18" s="55" t="str">
        <f t="shared" si="13"/>
        <v/>
      </c>
      <c r="CW18" s="55" t="str">
        <f t="shared" si="13"/>
        <v/>
      </c>
      <c r="CX18" s="55" t="str">
        <f t="shared" si="13"/>
        <v/>
      </c>
      <c r="CY18" s="55" t="str">
        <f t="shared" si="13"/>
        <v/>
      </c>
      <c r="CZ18" s="55" t="str">
        <f t="shared" si="13"/>
        <v/>
      </c>
      <c r="DA18" s="55" t="str">
        <f t="shared" si="13"/>
        <v/>
      </c>
      <c r="DB18" s="55" t="str">
        <f t="shared" si="13"/>
        <v/>
      </c>
      <c r="DC18" s="55" t="str">
        <f t="shared" si="13"/>
        <v/>
      </c>
      <c r="DD18" s="55" t="str">
        <f t="shared" si="13"/>
        <v/>
      </c>
      <c r="DE18" s="55" t="str">
        <f t="shared" si="13"/>
        <v/>
      </c>
      <c r="DF18" s="55" t="str">
        <f t="shared" si="13"/>
        <v/>
      </c>
      <c r="DG18" s="55" t="str">
        <f t="shared" si="13"/>
        <v/>
      </c>
      <c r="DH18" s="55" t="str">
        <f t="shared" si="13"/>
        <v/>
      </c>
      <c r="DI18" s="55" t="str">
        <f t="shared" si="13"/>
        <v/>
      </c>
      <c r="DJ18" s="55" t="str">
        <f t="shared" si="13"/>
        <v/>
      </c>
      <c r="DK18" s="55" t="str">
        <f t="shared" si="13"/>
        <v/>
      </c>
      <c r="DL18" s="55" t="str">
        <f t="shared" si="13"/>
        <v/>
      </c>
      <c r="DM18" s="55" t="str">
        <f t="shared" si="13"/>
        <v/>
      </c>
      <c r="DN18" s="55" t="str">
        <f t="shared" si="13"/>
        <v/>
      </c>
      <c r="DO18" s="55" t="str">
        <f t="shared" si="13"/>
        <v/>
      </c>
      <c r="DP18" s="55" t="str">
        <f t="shared" si="13"/>
        <v/>
      </c>
      <c r="DQ18" s="55" t="str">
        <f t="shared" si="13"/>
        <v/>
      </c>
      <c r="DR18" s="55" t="str">
        <f t="shared" si="13"/>
        <v/>
      </c>
      <c r="DS18" s="55" t="str">
        <f t="shared" si="13"/>
        <v/>
      </c>
      <c r="DT18" s="106" t="str">
        <f t="shared" si="13"/>
        <v/>
      </c>
      <c r="DU18" s="54"/>
      <c r="DV18" s="25"/>
      <c r="DW18" s="61">
        <f t="shared" ref="DW18:GH21" si="20">IF($B18=DW$12,$O18,"")</f>
        <v>8034.95</v>
      </c>
      <c r="DX18" s="50" t="str">
        <f t="shared" si="20"/>
        <v/>
      </c>
      <c r="DY18" s="50" t="str">
        <f t="shared" si="20"/>
        <v/>
      </c>
      <c r="DZ18" s="50" t="str">
        <f t="shared" si="20"/>
        <v/>
      </c>
      <c r="EA18" s="50" t="str">
        <f t="shared" si="20"/>
        <v/>
      </c>
      <c r="EB18" s="50" t="str">
        <f t="shared" si="20"/>
        <v/>
      </c>
      <c r="EC18" s="50" t="str">
        <f t="shared" si="20"/>
        <v/>
      </c>
      <c r="ED18" s="50" t="str">
        <f t="shared" si="20"/>
        <v/>
      </c>
      <c r="EE18" s="50" t="str">
        <f t="shared" si="20"/>
        <v/>
      </c>
      <c r="EF18" s="50" t="str">
        <f t="shared" si="20"/>
        <v/>
      </c>
      <c r="EG18" s="50" t="str">
        <f t="shared" si="20"/>
        <v/>
      </c>
      <c r="EH18" s="50" t="str">
        <f t="shared" si="20"/>
        <v/>
      </c>
      <c r="EI18" s="50" t="str">
        <f t="shared" si="20"/>
        <v/>
      </c>
      <c r="EJ18" s="50" t="str">
        <f t="shared" si="20"/>
        <v/>
      </c>
      <c r="EK18" s="50" t="str">
        <f t="shared" si="20"/>
        <v/>
      </c>
      <c r="EL18" s="50" t="str">
        <f t="shared" si="20"/>
        <v/>
      </c>
      <c r="EM18" s="50" t="str">
        <f t="shared" si="20"/>
        <v/>
      </c>
      <c r="EN18" s="50" t="str">
        <f t="shared" si="20"/>
        <v/>
      </c>
      <c r="EO18" s="50" t="str">
        <f t="shared" si="20"/>
        <v/>
      </c>
      <c r="EP18" s="50" t="str">
        <f t="shared" si="20"/>
        <v/>
      </c>
      <c r="EQ18" s="50" t="str">
        <f t="shared" si="20"/>
        <v/>
      </c>
      <c r="ER18" s="50" t="str">
        <f t="shared" si="20"/>
        <v/>
      </c>
      <c r="ES18" s="50" t="str">
        <f t="shared" si="20"/>
        <v/>
      </c>
      <c r="ET18" s="50" t="str">
        <f t="shared" si="20"/>
        <v/>
      </c>
      <c r="EU18" s="50" t="str">
        <f t="shared" si="20"/>
        <v/>
      </c>
      <c r="EV18" s="50" t="str">
        <f t="shared" si="20"/>
        <v/>
      </c>
      <c r="EW18" s="50" t="str">
        <f t="shared" si="20"/>
        <v/>
      </c>
      <c r="EX18" s="50" t="str">
        <f t="shared" si="20"/>
        <v/>
      </c>
      <c r="EY18" s="50" t="str">
        <f t="shared" si="20"/>
        <v/>
      </c>
      <c r="EZ18" s="50" t="str">
        <f t="shared" si="20"/>
        <v/>
      </c>
      <c r="FA18" s="50" t="str">
        <f t="shared" si="20"/>
        <v/>
      </c>
      <c r="FB18" s="50" t="str">
        <f t="shared" si="20"/>
        <v/>
      </c>
      <c r="FC18" s="50" t="str">
        <f t="shared" si="20"/>
        <v/>
      </c>
      <c r="FD18" s="50" t="str">
        <f t="shared" si="20"/>
        <v/>
      </c>
      <c r="FE18" s="50" t="str">
        <f t="shared" si="20"/>
        <v/>
      </c>
      <c r="FF18" s="50" t="str">
        <f t="shared" si="20"/>
        <v/>
      </c>
      <c r="FG18" s="50" t="str">
        <f t="shared" si="20"/>
        <v/>
      </c>
      <c r="FH18" s="50" t="str">
        <f t="shared" si="20"/>
        <v/>
      </c>
      <c r="FI18" s="50" t="str">
        <f t="shared" si="20"/>
        <v/>
      </c>
      <c r="FJ18" s="50" t="str">
        <f t="shared" si="20"/>
        <v/>
      </c>
      <c r="FK18" s="50" t="str">
        <f t="shared" si="20"/>
        <v/>
      </c>
      <c r="FL18" s="50" t="str">
        <f t="shared" si="20"/>
        <v/>
      </c>
      <c r="FM18" s="50" t="str">
        <f t="shared" si="20"/>
        <v/>
      </c>
      <c r="FN18" s="50" t="str">
        <f t="shared" si="20"/>
        <v/>
      </c>
      <c r="FO18" s="50" t="str">
        <f t="shared" si="20"/>
        <v/>
      </c>
      <c r="FP18" s="50" t="str">
        <f t="shared" si="20"/>
        <v/>
      </c>
      <c r="FQ18" s="50" t="str">
        <f t="shared" si="20"/>
        <v/>
      </c>
      <c r="FR18" s="50" t="str">
        <f t="shared" si="20"/>
        <v/>
      </c>
      <c r="FS18" s="50" t="str">
        <f t="shared" si="20"/>
        <v/>
      </c>
      <c r="FT18" s="50" t="str">
        <f t="shared" si="20"/>
        <v/>
      </c>
      <c r="FU18" s="50" t="str">
        <f t="shared" si="20"/>
        <v/>
      </c>
      <c r="FV18" s="50" t="str">
        <f t="shared" si="20"/>
        <v/>
      </c>
      <c r="FW18" s="50" t="str">
        <f t="shared" si="20"/>
        <v/>
      </c>
      <c r="FX18" s="50" t="str">
        <f t="shared" si="20"/>
        <v/>
      </c>
      <c r="FY18" s="50" t="str">
        <f t="shared" si="20"/>
        <v/>
      </c>
      <c r="FZ18" s="50" t="str">
        <f t="shared" si="20"/>
        <v/>
      </c>
      <c r="GA18" s="50" t="str">
        <f t="shared" si="20"/>
        <v/>
      </c>
      <c r="GB18" s="50" t="str">
        <f t="shared" si="20"/>
        <v/>
      </c>
      <c r="GC18" s="50" t="str">
        <f t="shared" si="20"/>
        <v/>
      </c>
      <c r="GD18" s="50" t="str">
        <f t="shared" si="20"/>
        <v/>
      </c>
      <c r="GE18" s="50" t="str">
        <f t="shared" si="20"/>
        <v/>
      </c>
      <c r="GF18" s="50" t="str">
        <f t="shared" si="20"/>
        <v/>
      </c>
      <c r="GG18" s="50" t="str">
        <f t="shared" si="20"/>
        <v/>
      </c>
      <c r="GH18" s="50" t="str">
        <f t="shared" si="20"/>
        <v/>
      </c>
      <c r="GI18" s="50" t="str">
        <f t="shared" si="15"/>
        <v/>
      </c>
      <c r="GJ18" s="50" t="str">
        <f t="shared" si="15"/>
        <v/>
      </c>
      <c r="GK18" s="50" t="str">
        <f t="shared" si="15"/>
        <v/>
      </c>
      <c r="GL18" s="50" t="str">
        <f t="shared" si="15"/>
        <v/>
      </c>
      <c r="GM18" s="50" t="str">
        <f t="shared" si="15"/>
        <v/>
      </c>
      <c r="GN18" s="50" t="str">
        <f t="shared" si="15"/>
        <v/>
      </c>
      <c r="GO18" s="50" t="str">
        <f t="shared" si="15"/>
        <v/>
      </c>
      <c r="GP18" s="50" t="str">
        <f t="shared" si="15"/>
        <v/>
      </c>
      <c r="GQ18" s="50" t="str">
        <f t="shared" si="15"/>
        <v/>
      </c>
      <c r="GR18" s="50" t="str">
        <f t="shared" si="15"/>
        <v/>
      </c>
      <c r="GS18" s="50" t="str">
        <f t="shared" si="15"/>
        <v/>
      </c>
      <c r="GT18" s="50" t="str">
        <f t="shared" si="15"/>
        <v/>
      </c>
      <c r="GU18" s="50" t="str">
        <f t="shared" si="15"/>
        <v/>
      </c>
      <c r="GV18" s="50" t="str">
        <f t="shared" si="15"/>
        <v/>
      </c>
      <c r="GW18" s="50" t="str">
        <f t="shared" si="15"/>
        <v/>
      </c>
      <c r="GX18" s="50" t="str">
        <f t="shared" si="15"/>
        <v/>
      </c>
      <c r="GY18" s="50" t="str">
        <f t="shared" si="15"/>
        <v/>
      </c>
      <c r="GZ18" s="50" t="str">
        <f t="shared" si="15"/>
        <v/>
      </c>
      <c r="HA18" s="50" t="str">
        <f t="shared" si="15"/>
        <v/>
      </c>
      <c r="HB18" s="50" t="str">
        <f t="shared" si="15"/>
        <v/>
      </c>
      <c r="HC18" s="50" t="str">
        <f t="shared" si="15"/>
        <v/>
      </c>
      <c r="HD18" s="50" t="str">
        <f t="shared" si="15"/>
        <v/>
      </c>
      <c r="HE18" s="50" t="str">
        <f t="shared" si="15"/>
        <v/>
      </c>
      <c r="HF18" s="50" t="str">
        <f t="shared" si="15"/>
        <v/>
      </c>
      <c r="HG18" s="50" t="str">
        <f t="shared" si="15"/>
        <v/>
      </c>
      <c r="HH18" s="50" t="str">
        <f t="shared" si="15"/>
        <v/>
      </c>
      <c r="HI18" s="50" t="str">
        <f t="shared" si="15"/>
        <v/>
      </c>
      <c r="HJ18" s="50" t="str">
        <f t="shared" si="15"/>
        <v/>
      </c>
      <c r="HK18" s="50" t="str">
        <f t="shared" si="15"/>
        <v/>
      </c>
      <c r="HL18" s="50" t="str">
        <f t="shared" si="15"/>
        <v/>
      </c>
      <c r="HM18" s="50" t="str">
        <f t="shared" si="15"/>
        <v/>
      </c>
      <c r="HN18" s="50" t="str">
        <f t="shared" si="15"/>
        <v/>
      </c>
      <c r="HO18" s="50" t="str">
        <f t="shared" si="15"/>
        <v/>
      </c>
      <c r="HP18" s="50" t="str">
        <f t="shared" si="15"/>
        <v/>
      </c>
      <c r="HQ18" s="50" t="str">
        <f t="shared" si="15"/>
        <v/>
      </c>
      <c r="HR18" s="112" t="str">
        <f t="shared" si="15"/>
        <v/>
      </c>
    </row>
    <row r="19" spans="1:226" ht="11.1" customHeight="1" x14ac:dyDescent="0.25">
      <c r="A19" s="26"/>
      <c r="B19" s="144"/>
      <c r="C19" s="28" t="str">
        <f>IF(A19=0,"",VLOOKUP(A19,[2]CO!$A$3:$F$5327,2,0))</f>
        <v/>
      </c>
      <c r="D19" s="148" t="s">
        <v>33</v>
      </c>
      <c r="E19" s="29"/>
      <c r="F19" s="29"/>
      <c r="G19" s="30" t="str">
        <f>IF(A19=0,"",VLOOKUP(A19,[2]CO!$A$3:$F$5327,3,0))</f>
        <v/>
      </c>
      <c r="H19" s="142"/>
      <c r="I19" s="143"/>
      <c r="J19" s="143"/>
      <c r="K19" s="143"/>
      <c r="L19" s="143"/>
      <c r="M19" s="32" t="str">
        <f t="shared" si="8"/>
        <v/>
      </c>
      <c r="N19" s="32" t="str">
        <f>IF(B19=0,"",IF(H19="M",HLOOKUP(B19,$Y$12:$DT$13,2),IF(A19=0,"",VLOOKUP(A19,[2]CO!$A$3:$F$5327,4,0))))</f>
        <v/>
      </c>
      <c r="O19" s="32" t="str">
        <f t="shared" si="16"/>
        <v/>
      </c>
      <c r="P19" s="33"/>
      <c r="Q19" s="34" t="str">
        <f t="shared" si="9"/>
        <v/>
      </c>
      <c r="R19" s="35" t="str">
        <f t="shared" si="10"/>
        <v/>
      </c>
      <c r="T19" s="53" t="str">
        <f>IF(A19=0,"",VLOOKUP(A19,[2]CO!$A$3:$F$5318,5,0))</f>
        <v/>
      </c>
      <c r="U19" s="54">
        <f t="shared" si="11"/>
        <v>0</v>
      </c>
      <c r="V19" s="24"/>
      <c r="W19" s="25"/>
      <c r="X19" s="25"/>
      <c r="Y19" s="64" t="str">
        <f t="shared" si="19"/>
        <v/>
      </c>
      <c r="Z19" s="55" t="str">
        <f t="shared" si="19"/>
        <v/>
      </c>
      <c r="AA19" s="55" t="str">
        <f t="shared" si="19"/>
        <v/>
      </c>
      <c r="AB19" s="55" t="str">
        <f t="shared" si="19"/>
        <v/>
      </c>
      <c r="AC19" s="55" t="str">
        <f t="shared" si="19"/>
        <v/>
      </c>
      <c r="AD19" s="55" t="str">
        <f t="shared" si="19"/>
        <v/>
      </c>
      <c r="AE19" s="55" t="str">
        <f t="shared" si="19"/>
        <v/>
      </c>
      <c r="AF19" s="55" t="str">
        <f t="shared" si="19"/>
        <v/>
      </c>
      <c r="AG19" s="55" t="str">
        <f t="shared" si="19"/>
        <v/>
      </c>
      <c r="AH19" s="55" t="str">
        <f t="shared" si="19"/>
        <v/>
      </c>
      <c r="AI19" s="55" t="str">
        <f t="shared" si="19"/>
        <v/>
      </c>
      <c r="AJ19" s="55" t="str">
        <f t="shared" si="19"/>
        <v/>
      </c>
      <c r="AK19" s="55" t="str">
        <f t="shared" si="19"/>
        <v/>
      </c>
      <c r="AL19" s="55" t="str">
        <f t="shared" si="19"/>
        <v/>
      </c>
      <c r="AM19" s="55" t="str">
        <f t="shared" si="19"/>
        <v/>
      </c>
      <c r="AN19" s="55" t="str">
        <f t="shared" si="19"/>
        <v/>
      </c>
      <c r="AO19" s="55" t="str">
        <f t="shared" si="19"/>
        <v/>
      </c>
      <c r="AP19" s="55" t="str">
        <f t="shared" si="19"/>
        <v/>
      </c>
      <c r="AQ19" s="55" t="str">
        <f t="shared" si="19"/>
        <v/>
      </c>
      <c r="AR19" s="55" t="str">
        <f t="shared" si="19"/>
        <v/>
      </c>
      <c r="AS19" s="55" t="str">
        <f t="shared" si="19"/>
        <v/>
      </c>
      <c r="AT19" s="55" t="str">
        <f t="shared" si="19"/>
        <v/>
      </c>
      <c r="AU19" s="55" t="str">
        <f t="shared" si="19"/>
        <v/>
      </c>
      <c r="AV19" s="55" t="str">
        <f t="shared" si="19"/>
        <v/>
      </c>
      <c r="AW19" s="55" t="str">
        <f t="shared" si="19"/>
        <v/>
      </c>
      <c r="AX19" s="55" t="str">
        <f t="shared" si="19"/>
        <v/>
      </c>
      <c r="AY19" s="55" t="str">
        <f t="shared" si="19"/>
        <v/>
      </c>
      <c r="AZ19" s="55" t="str">
        <f t="shared" si="19"/>
        <v/>
      </c>
      <c r="BA19" s="55" t="str">
        <f t="shared" si="19"/>
        <v/>
      </c>
      <c r="BB19" s="55" t="str">
        <f t="shared" si="19"/>
        <v/>
      </c>
      <c r="BC19" s="55" t="str">
        <f t="shared" si="19"/>
        <v/>
      </c>
      <c r="BD19" s="55" t="str">
        <f t="shared" si="19"/>
        <v/>
      </c>
      <c r="BE19" s="55" t="str">
        <f t="shared" si="19"/>
        <v/>
      </c>
      <c r="BF19" s="55" t="str">
        <f t="shared" si="19"/>
        <v/>
      </c>
      <c r="BG19" s="55" t="str">
        <f t="shared" si="19"/>
        <v/>
      </c>
      <c r="BH19" s="55" t="str">
        <f t="shared" si="19"/>
        <v/>
      </c>
      <c r="BI19" s="55" t="str">
        <f t="shared" si="19"/>
        <v/>
      </c>
      <c r="BJ19" s="55" t="str">
        <f t="shared" si="19"/>
        <v/>
      </c>
      <c r="BK19" s="55" t="str">
        <f t="shared" si="19"/>
        <v/>
      </c>
      <c r="BL19" s="55" t="str">
        <f t="shared" si="19"/>
        <v/>
      </c>
      <c r="BM19" s="55" t="str">
        <f t="shared" si="19"/>
        <v/>
      </c>
      <c r="BN19" s="55" t="str">
        <f t="shared" si="19"/>
        <v/>
      </c>
      <c r="BO19" s="55" t="str">
        <f t="shared" si="19"/>
        <v/>
      </c>
      <c r="BP19" s="55" t="str">
        <f t="shared" si="19"/>
        <v/>
      </c>
      <c r="BQ19" s="55" t="str">
        <f t="shared" si="19"/>
        <v/>
      </c>
      <c r="BR19" s="55" t="str">
        <f t="shared" si="19"/>
        <v/>
      </c>
      <c r="BS19" s="55" t="str">
        <f t="shared" si="19"/>
        <v/>
      </c>
      <c r="BT19" s="55" t="str">
        <f t="shared" si="19"/>
        <v/>
      </c>
      <c r="BU19" s="55" t="str">
        <f t="shared" si="19"/>
        <v/>
      </c>
      <c r="BV19" s="55" t="str">
        <f t="shared" si="19"/>
        <v/>
      </c>
      <c r="BW19" s="55" t="str">
        <f t="shared" si="19"/>
        <v/>
      </c>
      <c r="BX19" s="55" t="str">
        <f t="shared" si="19"/>
        <v/>
      </c>
      <c r="BY19" s="55" t="str">
        <f t="shared" si="19"/>
        <v/>
      </c>
      <c r="BZ19" s="55" t="str">
        <f t="shared" si="19"/>
        <v/>
      </c>
      <c r="CA19" s="55" t="str">
        <f t="shared" si="19"/>
        <v/>
      </c>
      <c r="CB19" s="55" t="str">
        <f t="shared" si="19"/>
        <v/>
      </c>
      <c r="CC19" s="55" t="str">
        <f t="shared" si="19"/>
        <v/>
      </c>
      <c r="CD19" s="55" t="str">
        <f t="shared" si="19"/>
        <v/>
      </c>
      <c r="CE19" s="55" t="str">
        <f t="shared" si="19"/>
        <v/>
      </c>
      <c r="CF19" s="55" t="str">
        <f t="shared" si="19"/>
        <v/>
      </c>
      <c r="CG19" s="55" t="str">
        <f t="shared" si="19"/>
        <v/>
      </c>
      <c r="CH19" s="55" t="str">
        <f t="shared" si="19"/>
        <v/>
      </c>
      <c r="CI19" s="55" t="str">
        <f t="shared" si="19"/>
        <v/>
      </c>
      <c r="CJ19" s="55" t="str">
        <f t="shared" si="19"/>
        <v/>
      </c>
      <c r="CK19" s="55" t="str">
        <f t="shared" si="13"/>
        <v/>
      </c>
      <c r="CL19" s="55" t="str">
        <f t="shared" si="13"/>
        <v/>
      </c>
      <c r="CM19" s="55" t="str">
        <f t="shared" si="13"/>
        <v/>
      </c>
      <c r="CN19" s="55" t="str">
        <f t="shared" si="13"/>
        <v/>
      </c>
      <c r="CO19" s="55" t="str">
        <f t="shared" si="13"/>
        <v/>
      </c>
      <c r="CP19" s="55" t="str">
        <f t="shared" si="13"/>
        <v/>
      </c>
      <c r="CQ19" s="55" t="str">
        <f t="shared" si="13"/>
        <v/>
      </c>
      <c r="CR19" s="55" t="str">
        <f t="shared" si="13"/>
        <v/>
      </c>
      <c r="CS19" s="55" t="str">
        <f t="shared" si="13"/>
        <v/>
      </c>
      <c r="CT19" s="55" t="str">
        <f t="shared" si="13"/>
        <v/>
      </c>
      <c r="CU19" s="55" t="str">
        <f t="shared" si="13"/>
        <v/>
      </c>
      <c r="CV19" s="55" t="str">
        <f t="shared" si="13"/>
        <v/>
      </c>
      <c r="CW19" s="55" t="str">
        <f t="shared" si="13"/>
        <v/>
      </c>
      <c r="CX19" s="55" t="str">
        <f t="shared" si="13"/>
        <v/>
      </c>
      <c r="CY19" s="55" t="str">
        <f t="shared" si="13"/>
        <v/>
      </c>
      <c r="CZ19" s="55" t="str">
        <f t="shared" si="13"/>
        <v/>
      </c>
      <c r="DA19" s="55" t="str">
        <f t="shared" si="13"/>
        <v/>
      </c>
      <c r="DB19" s="55" t="str">
        <f t="shared" si="13"/>
        <v/>
      </c>
      <c r="DC19" s="55" t="str">
        <f t="shared" si="13"/>
        <v/>
      </c>
      <c r="DD19" s="55" t="str">
        <f t="shared" si="13"/>
        <v/>
      </c>
      <c r="DE19" s="55" t="str">
        <f t="shared" si="13"/>
        <v/>
      </c>
      <c r="DF19" s="55" t="str">
        <f t="shared" si="13"/>
        <v/>
      </c>
      <c r="DG19" s="55" t="str">
        <f t="shared" si="13"/>
        <v/>
      </c>
      <c r="DH19" s="55" t="str">
        <f t="shared" si="13"/>
        <v/>
      </c>
      <c r="DI19" s="55" t="str">
        <f t="shared" si="13"/>
        <v/>
      </c>
      <c r="DJ19" s="55" t="str">
        <f t="shared" si="13"/>
        <v/>
      </c>
      <c r="DK19" s="55" t="str">
        <f t="shared" si="13"/>
        <v/>
      </c>
      <c r="DL19" s="55" t="str">
        <f t="shared" si="13"/>
        <v/>
      </c>
      <c r="DM19" s="55" t="str">
        <f t="shared" si="13"/>
        <v/>
      </c>
      <c r="DN19" s="55" t="str">
        <f t="shared" si="13"/>
        <v/>
      </c>
      <c r="DO19" s="55" t="str">
        <f t="shared" si="13"/>
        <v/>
      </c>
      <c r="DP19" s="55" t="str">
        <f t="shared" si="13"/>
        <v/>
      </c>
      <c r="DQ19" s="55" t="str">
        <f t="shared" si="13"/>
        <v/>
      </c>
      <c r="DR19" s="55" t="str">
        <f t="shared" si="13"/>
        <v/>
      </c>
      <c r="DS19" s="55" t="str">
        <f t="shared" si="13"/>
        <v/>
      </c>
      <c r="DT19" s="106" t="str">
        <f t="shared" si="13"/>
        <v/>
      </c>
      <c r="DU19" s="54"/>
      <c r="DV19" s="25"/>
      <c r="DW19" s="61" t="str">
        <f t="shared" si="20"/>
        <v/>
      </c>
      <c r="DX19" s="50" t="str">
        <f t="shared" si="20"/>
        <v/>
      </c>
      <c r="DY19" s="50" t="str">
        <f t="shared" si="20"/>
        <v/>
      </c>
      <c r="DZ19" s="50" t="str">
        <f t="shared" si="20"/>
        <v/>
      </c>
      <c r="EA19" s="50" t="str">
        <f t="shared" si="20"/>
        <v/>
      </c>
      <c r="EB19" s="50" t="str">
        <f t="shared" si="20"/>
        <v/>
      </c>
      <c r="EC19" s="50" t="str">
        <f t="shared" si="20"/>
        <v/>
      </c>
      <c r="ED19" s="50" t="str">
        <f t="shared" si="20"/>
        <v/>
      </c>
      <c r="EE19" s="50" t="str">
        <f t="shared" si="20"/>
        <v/>
      </c>
      <c r="EF19" s="50" t="str">
        <f t="shared" si="20"/>
        <v/>
      </c>
      <c r="EG19" s="50" t="str">
        <f t="shared" si="20"/>
        <v/>
      </c>
      <c r="EH19" s="50" t="str">
        <f t="shared" si="20"/>
        <v/>
      </c>
      <c r="EI19" s="50" t="str">
        <f t="shared" si="20"/>
        <v/>
      </c>
      <c r="EJ19" s="50" t="str">
        <f t="shared" si="20"/>
        <v/>
      </c>
      <c r="EK19" s="50" t="str">
        <f t="shared" si="20"/>
        <v/>
      </c>
      <c r="EL19" s="50" t="str">
        <f t="shared" si="20"/>
        <v/>
      </c>
      <c r="EM19" s="50" t="str">
        <f t="shared" si="20"/>
        <v/>
      </c>
      <c r="EN19" s="50" t="str">
        <f t="shared" si="20"/>
        <v/>
      </c>
      <c r="EO19" s="50" t="str">
        <f t="shared" si="20"/>
        <v/>
      </c>
      <c r="EP19" s="50" t="str">
        <f t="shared" si="20"/>
        <v/>
      </c>
      <c r="EQ19" s="50" t="str">
        <f t="shared" si="20"/>
        <v/>
      </c>
      <c r="ER19" s="50" t="str">
        <f t="shared" si="20"/>
        <v/>
      </c>
      <c r="ES19" s="50" t="str">
        <f t="shared" si="20"/>
        <v/>
      </c>
      <c r="ET19" s="50" t="str">
        <f t="shared" si="20"/>
        <v/>
      </c>
      <c r="EU19" s="50" t="str">
        <f t="shared" si="20"/>
        <v/>
      </c>
      <c r="EV19" s="50" t="str">
        <f t="shared" si="20"/>
        <v/>
      </c>
      <c r="EW19" s="50" t="str">
        <f t="shared" si="20"/>
        <v/>
      </c>
      <c r="EX19" s="50" t="str">
        <f t="shared" si="20"/>
        <v/>
      </c>
      <c r="EY19" s="50" t="str">
        <f t="shared" si="20"/>
        <v/>
      </c>
      <c r="EZ19" s="50" t="str">
        <f t="shared" si="20"/>
        <v/>
      </c>
      <c r="FA19" s="50" t="str">
        <f t="shared" si="20"/>
        <v/>
      </c>
      <c r="FB19" s="50" t="str">
        <f t="shared" si="20"/>
        <v/>
      </c>
      <c r="FC19" s="50" t="str">
        <f t="shared" si="20"/>
        <v/>
      </c>
      <c r="FD19" s="50" t="str">
        <f t="shared" si="20"/>
        <v/>
      </c>
      <c r="FE19" s="50" t="str">
        <f t="shared" si="20"/>
        <v/>
      </c>
      <c r="FF19" s="50" t="str">
        <f t="shared" si="20"/>
        <v/>
      </c>
      <c r="FG19" s="50" t="str">
        <f t="shared" si="20"/>
        <v/>
      </c>
      <c r="FH19" s="50" t="str">
        <f t="shared" si="20"/>
        <v/>
      </c>
      <c r="FI19" s="50" t="str">
        <f t="shared" si="20"/>
        <v/>
      </c>
      <c r="FJ19" s="50" t="str">
        <f t="shared" si="20"/>
        <v/>
      </c>
      <c r="FK19" s="50" t="str">
        <f t="shared" si="20"/>
        <v/>
      </c>
      <c r="FL19" s="50" t="str">
        <f t="shared" si="20"/>
        <v/>
      </c>
      <c r="FM19" s="50" t="str">
        <f t="shared" si="20"/>
        <v/>
      </c>
      <c r="FN19" s="50" t="str">
        <f t="shared" si="20"/>
        <v/>
      </c>
      <c r="FO19" s="50" t="str">
        <f t="shared" si="20"/>
        <v/>
      </c>
      <c r="FP19" s="50" t="str">
        <f t="shared" si="20"/>
        <v/>
      </c>
      <c r="FQ19" s="50" t="str">
        <f t="shared" si="20"/>
        <v/>
      </c>
      <c r="FR19" s="50" t="str">
        <f t="shared" si="20"/>
        <v/>
      </c>
      <c r="FS19" s="50" t="str">
        <f t="shared" si="20"/>
        <v/>
      </c>
      <c r="FT19" s="50" t="str">
        <f t="shared" si="20"/>
        <v/>
      </c>
      <c r="FU19" s="50" t="str">
        <f t="shared" si="20"/>
        <v/>
      </c>
      <c r="FV19" s="50" t="str">
        <f t="shared" si="20"/>
        <v/>
      </c>
      <c r="FW19" s="50" t="str">
        <f t="shared" si="20"/>
        <v/>
      </c>
      <c r="FX19" s="50" t="str">
        <f t="shared" si="20"/>
        <v/>
      </c>
      <c r="FY19" s="50" t="str">
        <f t="shared" si="20"/>
        <v/>
      </c>
      <c r="FZ19" s="50" t="str">
        <f t="shared" si="20"/>
        <v/>
      </c>
      <c r="GA19" s="50" t="str">
        <f t="shared" si="20"/>
        <v/>
      </c>
      <c r="GB19" s="50" t="str">
        <f t="shared" si="20"/>
        <v/>
      </c>
      <c r="GC19" s="50" t="str">
        <f t="shared" si="20"/>
        <v/>
      </c>
      <c r="GD19" s="50" t="str">
        <f t="shared" si="20"/>
        <v/>
      </c>
      <c r="GE19" s="50" t="str">
        <f t="shared" si="20"/>
        <v/>
      </c>
      <c r="GF19" s="50" t="str">
        <f t="shared" si="20"/>
        <v/>
      </c>
      <c r="GG19" s="50" t="str">
        <f t="shared" si="20"/>
        <v/>
      </c>
      <c r="GH19" s="50" t="str">
        <f t="shared" si="20"/>
        <v/>
      </c>
      <c r="GI19" s="50" t="str">
        <f t="shared" si="15"/>
        <v/>
      </c>
      <c r="GJ19" s="50" t="str">
        <f t="shared" si="15"/>
        <v/>
      </c>
      <c r="GK19" s="50" t="str">
        <f t="shared" si="15"/>
        <v/>
      </c>
      <c r="GL19" s="50" t="str">
        <f t="shared" si="15"/>
        <v/>
      </c>
      <c r="GM19" s="50" t="str">
        <f t="shared" si="15"/>
        <v/>
      </c>
      <c r="GN19" s="50" t="str">
        <f t="shared" si="15"/>
        <v/>
      </c>
      <c r="GO19" s="50" t="str">
        <f t="shared" si="15"/>
        <v/>
      </c>
      <c r="GP19" s="50" t="str">
        <f t="shared" si="15"/>
        <v/>
      </c>
      <c r="GQ19" s="50" t="str">
        <f t="shared" si="15"/>
        <v/>
      </c>
      <c r="GR19" s="50" t="str">
        <f t="shared" si="15"/>
        <v/>
      </c>
      <c r="GS19" s="50" t="str">
        <f t="shared" si="15"/>
        <v/>
      </c>
      <c r="GT19" s="50" t="str">
        <f t="shared" si="15"/>
        <v/>
      </c>
      <c r="GU19" s="50" t="str">
        <f t="shared" si="15"/>
        <v/>
      </c>
      <c r="GV19" s="50" t="str">
        <f t="shared" si="15"/>
        <v/>
      </c>
      <c r="GW19" s="50" t="str">
        <f t="shared" si="15"/>
        <v/>
      </c>
      <c r="GX19" s="50" t="str">
        <f t="shared" si="15"/>
        <v/>
      </c>
      <c r="GY19" s="50" t="str">
        <f t="shared" si="15"/>
        <v/>
      </c>
      <c r="GZ19" s="50" t="str">
        <f t="shared" si="15"/>
        <v/>
      </c>
      <c r="HA19" s="50" t="str">
        <f t="shared" si="15"/>
        <v/>
      </c>
      <c r="HB19" s="50" t="str">
        <f t="shared" si="15"/>
        <v/>
      </c>
      <c r="HC19" s="50" t="str">
        <f t="shared" si="15"/>
        <v/>
      </c>
      <c r="HD19" s="50" t="str">
        <f t="shared" si="15"/>
        <v/>
      </c>
      <c r="HE19" s="50" t="str">
        <f t="shared" si="15"/>
        <v/>
      </c>
      <c r="HF19" s="50" t="str">
        <f t="shared" si="15"/>
        <v/>
      </c>
      <c r="HG19" s="50" t="str">
        <f t="shared" si="15"/>
        <v/>
      </c>
      <c r="HH19" s="50" t="str">
        <f t="shared" si="15"/>
        <v/>
      </c>
      <c r="HI19" s="50" t="str">
        <f t="shared" si="15"/>
        <v/>
      </c>
      <c r="HJ19" s="50" t="str">
        <f t="shared" si="15"/>
        <v/>
      </c>
      <c r="HK19" s="50" t="str">
        <f t="shared" si="15"/>
        <v/>
      </c>
      <c r="HL19" s="50" t="str">
        <f t="shared" si="15"/>
        <v/>
      </c>
      <c r="HM19" s="50" t="str">
        <f t="shared" si="15"/>
        <v/>
      </c>
      <c r="HN19" s="50" t="str">
        <f t="shared" si="15"/>
        <v/>
      </c>
      <c r="HO19" s="50" t="str">
        <f t="shared" si="15"/>
        <v/>
      </c>
      <c r="HP19" s="50" t="str">
        <f t="shared" si="15"/>
        <v/>
      </c>
      <c r="HQ19" s="50" t="str">
        <f t="shared" si="15"/>
        <v/>
      </c>
      <c r="HR19" s="112" t="str">
        <f t="shared" si="15"/>
        <v/>
      </c>
    </row>
    <row r="20" spans="1:226" ht="11.1" customHeight="1" x14ac:dyDescent="0.25">
      <c r="A20" s="26"/>
      <c r="B20" s="144"/>
      <c r="C20" s="28" t="str">
        <f>IF(A20=0,"",VLOOKUP(A20,[2]CO!$A$3:$F$5327,2,0))</f>
        <v/>
      </c>
      <c r="D20" s="148" t="s">
        <v>34</v>
      </c>
      <c r="E20" s="29"/>
      <c r="F20" s="29"/>
      <c r="G20" s="30" t="str">
        <f>IF(A20=0,"",VLOOKUP(A20,[2]CO!$A$3:$F$5327,3,0))</f>
        <v/>
      </c>
      <c r="H20" s="142"/>
      <c r="I20" s="143"/>
      <c r="J20" s="143"/>
      <c r="K20" s="143"/>
      <c r="L20" s="143"/>
      <c r="M20" s="32" t="str">
        <f t="shared" si="8"/>
        <v/>
      </c>
      <c r="N20" s="32" t="str">
        <f>IF(B20=0,"",IF(H20="M",HLOOKUP(B20,$Y$12:$DT$13,2),IF(A20=0,"",VLOOKUP(A20,[2]CO!$A$3:$F$5327,4,0))))</f>
        <v/>
      </c>
      <c r="O20" s="32" t="str">
        <f t="shared" si="16"/>
        <v/>
      </c>
      <c r="P20" s="33"/>
      <c r="Q20" s="34" t="str">
        <f t="shared" si="9"/>
        <v/>
      </c>
      <c r="R20" s="35" t="str">
        <f t="shared" si="10"/>
        <v/>
      </c>
      <c r="T20" s="53" t="str">
        <f>IF(A20=0,"",VLOOKUP(A20,[2]CO!$A$3:$F$5318,5,0))</f>
        <v/>
      </c>
      <c r="U20" s="54">
        <f t="shared" si="11"/>
        <v>0</v>
      </c>
      <c r="V20" s="24"/>
      <c r="W20" s="25"/>
      <c r="X20" s="25"/>
      <c r="Y20" s="64" t="str">
        <f t="shared" si="19"/>
        <v/>
      </c>
      <c r="Z20" s="55" t="str">
        <f t="shared" si="19"/>
        <v/>
      </c>
      <c r="AA20" s="55" t="str">
        <f t="shared" si="19"/>
        <v/>
      </c>
      <c r="AB20" s="55" t="str">
        <f t="shared" si="19"/>
        <v/>
      </c>
      <c r="AC20" s="55" t="str">
        <f t="shared" si="19"/>
        <v/>
      </c>
      <c r="AD20" s="55" t="str">
        <f t="shared" si="19"/>
        <v/>
      </c>
      <c r="AE20" s="55" t="str">
        <f t="shared" si="19"/>
        <v/>
      </c>
      <c r="AF20" s="55" t="str">
        <f t="shared" si="19"/>
        <v/>
      </c>
      <c r="AG20" s="55" t="str">
        <f t="shared" si="19"/>
        <v/>
      </c>
      <c r="AH20" s="55" t="str">
        <f t="shared" si="19"/>
        <v/>
      </c>
      <c r="AI20" s="55" t="str">
        <f t="shared" si="19"/>
        <v/>
      </c>
      <c r="AJ20" s="55" t="str">
        <f t="shared" si="19"/>
        <v/>
      </c>
      <c r="AK20" s="55" t="str">
        <f t="shared" si="19"/>
        <v/>
      </c>
      <c r="AL20" s="55" t="str">
        <f t="shared" si="19"/>
        <v/>
      </c>
      <c r="AM20" s="55" t="str">
        <f t="shared" si="19"/>
        <v/>
      </c>
      <c r="AN20" s="55" t="str">
        <f t="shared" si="19"/>
        <v/>
      </c>
      <c r="AO20" s="55" t="str">
        <f t="shared" si="19"/>
        <v/>
      </c>
      <c r="AP20" s="55" t="str">
        <f t="shared" si="19"/>
        <v/>
      </c>
      <c r="AQ20" s="55" t="str">
        <f t="shared" si="19"/>
        <v/>
      </c>
      <c r="AR20" s="55" t="str">
        <f t="shared" si="19"/>
        <v/>
      </c>
      <c r="AS20" s="55" t="str">
        <f t="shared" si="19"/>
        <v/>
      </c>
      <c r="AT20" s="55" t="str">
        <f t="shared" si="19"/>
        <v/>
      </c>
      <c r="AU20" s="55" t="str">
        <f t="shared" si="19"/>
        <v/>
      </c>
      <c r="AV20" s="55" t="str">
        <f t="shared" si="19"/>
        <v/>
      </c>
      <c r="AW20" s="55" t="str">
        <f t="shared" si="19"/>
        <v/>
      </c>
      <c r="AX20" s="55" t="str">
        <f t="shared" si="19"/>
        <v/>
      </c>
      <c r="AY20" s="55" t="str">
        <f t="shared" si="19"/>
        <v/>
      </c>
      <c r="AZ20" s="55" t="str">
        <f t="shared" si="19"/>
        <v/>
      </c>
      <c r="BA20" s="55" t="str">
        <f t="shared" si="19"/>
        <v/>
      </c>
      <c r="BB20" s="55" t="str">
        <f t="shared" si="19"/>
        <v/>
      </c>
      <c r="BC20" s="55" t="str">
        <f t="shared" si="19"/>
        <v/>
      </c>
      <c r="BD20" s="55" t="str">
        <f t="shared" si="19"/>
        <v/>
      </c>
      <c r="BE20" s="55" t="str">
        <f t="shared" si="19"/>
        <v/>
      </c>
      <c r="BF20" s="55" t="str">
        <f t="shared" si="19"/>
        <v/>
      </c>
      <c r="BG20" s="55" t="str">
        <f t="shared" si="19"/>
        <v/>
      </c>
      <c r="BH20" s="55" t="str">
        <f t="shared" si="19"/>
        <v/>
      </c>
      <c r="BI20" s="55" t="str">
        <f t="shared" si="19"/>
        <v/>
      </c>
      <c r="BJ20" s="55" t="str">
        <f t="shared" si="19"/>
        <v/>
      </c>
      <c r="BK20" s="55" t="str">
        <f t="shared" si="19"/>
        <v/>
      </c>
      <c r="BL20" s="55" t="str">
        <f t="shared" si="19"/>
        <v/>
      </c>
      <c r="BM20" s="55" t="str">
        <f t="shared" si="19"/>
        <v/>
      </c>
      <c r="BN20" s="55" t="str">
        <f t="shared" si="19"/>
        <v/>
      </c>
      <c r="BO20" s="55" t="str">
        <f t="shared" si="19"/>
        <v/>
      </c>
      <c r="BP20" s="55" t="str">
        <f t="shared" si="19"/>
        <v/>
      </c>
      <c r="BQ20" s="55" t="str">
        <f t="shared" si="19"/>
        <v/>
      </c>
      <c r="BR20" s="55" t="str">
        <f t="shared" si="19"/>
        <v/>
      </c>
      <c r="BS20" s="55" t="str">
        <f t="shared" si="19"/>
        <v/>
      </c>
      <c r="BT20" s="55" t="str">
        <f t="shared" si="19"/>
        <v/>
      </c>
      <c r="BU20" s="55" t="str">
        <f t="shared" si="19"/>
        <v/>
      </c>
      <c r="BV20" s="55" t="str">
        <f t="shared" si="19"/>
        <v/>
      </c>
      <c r="BW20" s="55" t="str">
        <f t="shared" si="19"/>
        <v/>
      </c>
      <c r="BX20" s="55" t="str">
        <f t="shared" si="19"/>
        <v/>
      </c>
      <c r="BY20" s="55" t="str">
        <f t="shared" si="19"/>
        <v/>
      </c>
      <c r="BZ20" s="55" t="str">
        <f t="shared" si="19"/>
        <v/>
      </c>
      <c r="CA20" s="55" t="str">
        <f t="shared" si="19"/>
        <v/>
      </c>
      <c r="CB20" s="55" t="str">
        <f t="shared" si="19"/>
        <v/>
      </c>
      <c r="CC20" s="55" t="str">
        <f t="shared" si="19"/>
        <v/>
      </c>
      <c r="CD20" s="55" t="str">
        <f t="shared" si="19"/>
        <v/>
      </c>
      <c r="CE20" s="55" t="str">
        <f t="shared" si="19"/>
        <v/>
      </c>
      <c r="CF20" s="55" t="str">
        <f t="shared" si="19"/>
        <v/>
      </c>
      <c r="CG20" s="55" t="str">
        <f t="shared" si="19"/>
        <v/>
      </c>
      <c r="CH20" s="55" t="str">
        <f t="shared" si="19"/>
        <v/>
      </c>
      <c r="CI20" s="55" t="str">
        <f t="shared" si="19"/>
        <v/>
      </c>
      <c r="CJ20" s="55" t="str">
        <f t="shared" si="19"/>
        <v/>
      </c>
      <c r="CK20" s="55" t="str">
        <f t="shared" si="13"/>
        <v/>
      </c>
      <c r="CL20" s="55" t="str">
        <f t="shared" si="13"/>
        <v/>
      </c>
      <c r="CM20" s="55" t="str">
        <f t="shared" si="13"/>
        <v/>
      </c>
      <c r="CN20" s="55" t="str">
        <f t="shared" si="13"/>
        <v/>
      </c>
      <c r="CO20" s="55" t="str">
        <f t="shared" si="13"/>
        <v/>
      </c>
      <c r="CP20" s="55" t="str">
        <f t="shared" si="13"/>
        <v/>
      </c>
      <c r="CQ20" s="55" t="str">
        <f t="shared" si="13"/>
        <v/>
      </c>
      <c r="CR20" s="55" t="str">
        <f t="shared" si="13"/>
        <v/>
      </c>
      <c r="CS20" s="55" t="str">
        <f t="shared" si="13"/>
        <v/>
      </c>
      <c r="CT20" s="55" t="str">
        <f t="shared" si="13"/>
        <v/>
      </c>
      <c r="CU20" s="55" t="str">
        <f t="shared" si="13"/>
        <v/>
      </c>
      <c r="CV20" s="55" t="str">
        <f t="shared" si="13"/>
        <v/>
      </c>
      <c r="CW20" s="55" t="str">
        <f t="shared" si="13"/>
        <v/>
      </c>
      <c r="CX20" s="55" t="str">
        <f t="shared" si="13"/>
        <v/>
      </c>
      <c r="CY20" s="55" t="str">
        <f t="shared" si="13"/>
        <v/>
      </c>
      <c r="CZ20" s="55" t="str">
        <f t="shared" si="13"/>
        <v/>
      </c>
      <c r="DA20" s="55" t="str">
        <f t="shared" si="13"/>
        <v/>
      </c>
      <c r="DB20" s="55" t="str">
        <f t="shared" si="13"/>
        <v/>
      </c>
      <c r="DC20" s="55" t="str">
        <f t="shared" si="13"/>
        <v/>
      </c>
      <c r="DD20" s="55" t="str">
        <f t="shared" si="13"/>
        <v/>
      </c>
      <c r="DE20" s="55" t="str">
        <f t="shared" si="13"/>
        <v/>
      </c>
      <c r="DF20" s="55" t="str">
        <f t="shared" si="13"/>
        <v/>
      </c>
      <c r="DG20" s="55" t="str">
        <f t="shared" si="13"/>
        <v/>
      </c>
      <c r="DH20" s="55" t="str">
        <f t="shared" si="13"/>
        <v/>
      </c>
      <c r="DI20" s="55" t="str">
        <f t="shared" si="13"/>
        <v/>
      </c>
      <c r="DJ20" s="55" t="str">
        <f t="shared" si="13"/>
        <v/>
      </c>
      <c r="DK20" s="55" t="str">
        <f t="shared" si="13"/>
        <v/>
      </c>
      <c r="DL20" s="55" t="str">
        <f t="shared" si="13"/>
        <v/>
      </c>
      <c r="DM20" s="55" t="str">
        <f t="shared" si="13"/>
        <v/>
      </c>
      <c r="DN20" s="55" t="str">
        <f t="shared" si="13"/>
        <v/>
      </c>
      <c r="DO20" s="55" t="str">
        <f t="shared" si="13"/>
        <v/>
      </c>
      <c r="DP20" s="55" t="str">
        <f t="shared" si="13"/>
        <v/>
      </c>
      <c r="DQ20" s="55" t="str">
        <f t="shared" si="13"/>
        <v/>
      </c>
      <c r="DR20" s="55" t="str">
        <f t="shared" si="13"/>
        <v/>
      </c>
      <c r="DS20" s="55" t="str">
        <f t="shared" si="13"/>
        <v/>
      </c>
      <c r="DT20" s="106" t="str">
        <f t="shared" si="13"/>
        <v/>
      </c>
      <c r="DU20" s="54"/>
      <c r="DV20" s="25"/>
      <c r="DW20" s="61" t="str">
        <f t="shared" si="20"/>
        <v/>
      </c>
      <c r="DX20" s="50" t="str">
        <f t="shared" si="20"/>
        <v/>
      </c>
      <c r="DY20" s="50" t="str">
        <f t="shared" si="20"/>
        <v/>
      </c>
      <c r="DZ20" s="50" t="str">
        <f t="shared" si="20"/>
        <v/>
      </c>
      <c r="EA20" s="50" t="str">
        <f t="shared" si="20"/>
        <v/>
      </c>
      <c r="EB20" s="50" t="str">
        <f t="shared" si="20"/>
        <v/>
      </c>
      <c r="EC20" s="50" t="str">
        <f t="shared" si="20"/>
        <v/>
      </c>
      <c r="ED20" s="50" t="str">
        <f t="shared" si="20"/>
        <v/>
      </c>
      <c r="EE20" s="50" t="str">
        <f t="shared" si="20"/>
        <v/>
      </c>
      <c r="EF20" s="50" t="str">
        <f t="shared" si="20"/>
        <v/>
      </c>
      <c r="EG20" s="50" t="str">
        <f t="shared" si="20"/>
        <v/>
      </c>
      <c r="EH20" s="50" t="str">
        <f t="shared" si="20"/>
        <v/>
      </c>
      <c r="EI20" s="50" t="str">
        <f t="shared" si="20"/>
        <v/>
      </c>
      <c r="EJ20" s="50" t="str">
        <f t="shared" si="20"/>
        <v/>
      </c>
      <c r="EK20" s="50" t="str">
        <f t="shared" si="20"/>
        <v/>
      </c>
      <c r="EL20" s="50" t="str">
        <f t="shared" si="20"/>
        <v/>
      </c>
      <c r="EM20" s="50" t="str">
        <f t="shared" si="20"/>
        <v/>
      </c>
      <c r="EN20" s="50" t="str">
        <f t="shared" si="20"/>
        <v/>
      </c>
      <c r="EO20" s="50" t="str">
        <f t="shared" si="20"/>
        <v/>
      </c>
      <c r="EP20" s="50" t="str">
        <f t="shared" si="20"/>
        <v/>
      </c>
      <c r="EQ20" s="50" t="str">
        <f t="shared" si="20"/>
        <v/>
      </c>
      <c r="ER20" s="50" t="str">
        <f t="shared" si="20"/>
        <v/>
      </c>
      <c r="ES20" s="50" t="str">
        <f t="shared" si="20"/>
        <v/>
      </c>
      <c r="ET20" s="50" t="str">
        <f t="shared" si="20"/>
        <v/>
      </c>
      <c r="EU20" s="50" t="str">
        <f t="shared" si="20"/>
        <v/>
      </c>
      <c r="EV20" s="50" t="str">
        <f t="shared" si="20"/>
        <v/>
      </c>
      <c r="EW20" s="50" t="str">
        <f t="shared" si="20"/>
        <v/>
      </c>
      <c r="EX20" s="50" t="str">
        <f t="shared" si="20"/>
        <v/>
      </c>
      <c r="EY20" s="50" t="str">
        <f t="shared" si="20"/>
        <v/>
      </c>
      <c r="EZ20" s="50" t="str">
        <f t="shared" si="20"/>
        <v/>
      </c>
      <c r="FA20" s="50" t="str">
        <f t="shared" si="20"/>
        <v/>
      </c>
      <c r="FB20" s="50" t="str">
        <f t="shared" si="20"/>
        <v/>
      </c>
      <c r="FC20" s="50" t="str">
        <f t="shared" si="20"/>
        <v/>
      </c>
      <c r="FD20" s="50" t="str">
        <f t="shared" si="20"/>
        <v/>
      </c>
      <c r="FE20" s="50" t="str">
        <f t="shared" si="20"/>
        <v/>
      </c>
      <c r="FF20" s="50" t="str">
        <f t="shared" si="20"/>
        <v/>
      </c>
      <c r="FG20" s="50" t="str">
        <f t="shared" si="20"/>
        <v/>
      </c>
      <c r="FH20" s="50" t="str">
        <f t="shared" si="20"/>
        <v/>
      </c>
      <c r="FI20" s="50" t="str">
        <f t="shared" si="20"/>
        <v/>
      </c>
      <c r="FJ20" s="50" t="str">
        <f t="shared" si="20"/>
        <v/>
      </c>
      <c r="FK20" s="50" t="str">
        <f t="shared" si="20"/>
        <v/>
      </c>
      <c r="FL20" s="50" t="str">
        <f t="shared" si="20"/>
        <v/>
      </c>
      <c r="FM20" s="50" t="str">
        <f t="shared" si="20"/>
        <v/>
      </c>
      <c r="FN20" s="50" t="str">
        <f t="shared" si="20"/>
        <v/>
      </c>
      <c r="FO20" s="50" t="str">
        <f t="shared" si="20"/>
        <v/>
      </c>
      <c r="FP20" s="50" t="str">
        <f t="shared" si="20"/>
        <v/>
      </c>
      <c r="FQ20" s="50" t="str">
        <f t="shared" si="20"/>
        <v/>
      </c>
      <c r="FR20" s="50" t="str">
        <f t="shared" si="20"/>
        <v/>
      </c>
      <c r="FS20" s="50" t="str">
        <f t="shared" si="20"/>
        <v/>
      </c>
      <c r="FT20" s="50" t="str">
        <f t="shared" si="20"/>
        <v/>
      </c>
      <c r="FU20" s="50" t="str">
        <f t="shared" si="20"/>
        <v/>
      </c>
      <c r="FV20" s="50" t="str">
        <f t="shared" si="20"/>
        <v/>
      </c>
      <c r="FW20" s="50" t="str">
        <f t="shared" si="20"/>
        <v/>
      </c>
      <c r="FX20" s="50" t="str">
        <f t="shared" si="20"/>
        <v/>
      </c>
      <c r="FY20" s="50" t="str">
        <f t="shared" si="20"/>
        <v/>
      </c>
      <c r="FZ20" s="50" t="str">
        <f t="shared" si="20"/>
        <v/>
      </c>
      <c r="GA20" s="50" t="str">
        <f t="shared" si="20"/>
        <v/>
      </c>
      <c r="GB20" s="50" t="str">
        <f t="shared" si="20"/>
        <v/>
      </c>
      <c r="GC20" s="50" t="str">
        <f t="shared" si="20"/>
        <v/>
      </c>
      <c r="GD20" s="50" t="str">
        <f t="shared" si="20"/>
        <v/>
      </c>
      <c r="GE20" s="50" t="str">
        <f t="shared" si="20"/>
        <v/>
      </c>
      <c r="GF20" s="50" t="str">
        <f t="shared" si="20"/>
        <v/>
      </c>
      <c r="GG20" s="50" t="str">
        <f t="shared" si="20"/>
        <v/>
      </c>
      <c r="GH20" s="50" t="str">
        <f t="shared" si="20"/>
        <v/>
      </c>
      <c r="GI20" s="50" t="str">
        <f t="shared" si="15"/>
        <v/>
      </c>
      <c r="GJ20" s="50" t="str">
        <f t="shared" si="15"/>
        <v/>
      </c>
      <c r="GK20" s="50" t="str">
        <f t="shared" si="15"/>
        <v/>
      </c>
      <c r="GL20" s="50" t="str">
        <f t="shared" si="15"/>
        <v/>
      </c>
      <c r="GM20" s="50" t="str">
        <f t="shared" si="15"/>
        <v/>
      </c>
      <c r="GN20" s="50" t="str">
        <f t="shared" si="15"/>
        <v/>
      </c>
      <c r="GO20" s="50" t="str">
        <f t="shared" si="15"/>
        <v/>
      </c>
      <c r="GP20" s="50" t="str">
        <f t="shared" si="15"/>
        <v/>
      </c>
      <c r="GQ20" s="50" t="str">
        <f t="shared" si="15"/>
        <v/>
      </c>
      <c r="GR20" s="50" t="str">
        <f t="shared" si="15"/>
        <v/>
      </c>
      <c r="GS20" s="50" t="str">
        <f t="shared" si="15"/>
        <v/>
      </c>
      <c r="GT20" s="50" t="str">
        <f t="shared" si="15"/>
        <v/>
      </c>
      <c r="GU20" s="50" t="str">
        <f t="shared" si="15"/>
        <v/>
      </c>
      <c r="GV20" s="50" t="str">
        <f t="shared" si="15"/>
        <v/>
      </c>
      <c r="GW20" s="50" t="str">
        <f t="shared" si="15"/>
        <v/>
      </c>
      <c r="GX20" s="50" t="str">
        <f t="shared" si="15"/>
        <v/>
      </c>
      <c r="GY20" s="50" t="str">
        <f t="shared" si="15"/>
        <v/>
      </c>
      <c r="GZ20" s="50" t="str">
        <f t="shared" si="15"/>
        <v/>
      </c>
      <c r="HA20" s="50" t="str">
        <f t="shared" si="15"/>
        <v/>
      </c>
      <c r="HB20" s="50" t="str">
        <f t="shared" si="15"/>
        <v/>
      </c>
      <c r="HC20" s="50" t="str">
        <f t="shared" si="15"/>
        <v/>
      </c>
      <c r="HD20" s="50" t="str">
        <f t="shared" si="15"/>
        <v/>
      </c>
      <c r="HE20" s="50" t="str">
        <f t="shared" si="15"/>
        <v/>
      </c>
      <c r="HF20" s="50" t="str">
        <f t="shared" si="15"/>
        <v/>
      </c>
      <c r="HG20" s="50" t="str">
        <f t="shared" si="15"/>
        <v/>
      </c>
      <c r="HH20" s="50" t="str">
        <f t="shared" si="15"/>
        <v/>
      </c>
      <c r="HI20" s="50" t="str">
        <f t="shared" si="15"/>
        <v/>
      </c>
      <c r="HJ20" s="50" t="str">
        <f t="shared" si="15"/>
        <v/>
      </c>
      <c r="HK20" s="50" t="str">
        <f t="shared" si="15"/>
        <v/>
      </c>
      <c r="HL20" s="50" t="str">
        <f t="shared" si="15"/>
        <v/>
      </c>
      <c r="HM20" s="50" t="str">
        <f t="shared" si="15"/>
        <v/>
      </c>
      <c r="HN20" s="50" t="str">
        <f t="shared" si="15"/>
        <v/>
      </c>
      <c r="HO20" s="50" t="str">
        <f t="shared" si="15"/>
        <v/>
      </c>
      <c r="HP20" s="50" t="str">
        <f t="shared" si="15"/>
        <v/>
      </c>
      <c r="HQ20" s="50" t="str">
        <f t="shared" si="15"/>
        <v/>
      </c>
      <c r="HR20" s="112" t="str">
        <f t="shared" si="15"/>
        <v/>
      </c>
    </row>
    <row r="21" spans="1:226" ht="11.1" customHeight="1" x14ac:dyDescent="0.25">
      <c r="A21" s="26"/>
      <c r="B21" s="144"/>
      <c r="C21" s="28" t="str">
        <f>IF(A21=0,"",VLOOKUP(A21,[2]CO!$A$3:$F$5327,2,0))</f>
        <v/>
      </c>
      <c r="D21" s="148" t="s">
        <v>35</v>
      </c>
      <c r="E21" s="29"/>
      <c r="F21" s="29"/>
      <c r="G21" s="30" t="str">
        <f>IF(A21=0,"",VLOOKUP(A21,[2]CO!$A$3:$F$5327,3,0))</f>
        <v/>
      </c>
      <c r="H21" s="142"/>
      <c r="I21" s="143"/>
      <c r="J21" s="143"/>
      <c r="K21" s="143"/>
      <c r="L21" s="143"/>
      <c r="M21" s="32" t="str">
        <f t="shared" si="8"/>
        <v/>
      </c>
      <c r="N21" s="32" t="str">
        <f>IF(B21=0,"",IF(H21="M",HLOOKUP(B21,$Y$12:$DT$13,2),IF(A21=0,"",VLOOKUP(A21,[2]CO!$A$3:$F$5327,4,0))))</f>
        <v/>
      </c>
      <c r="O21" s="32" t="str">
        <f t="shared" si="16"/>
        <v/>
      </c>
      <c r="P21" s="33"/>
      <c r="Q21" s="34" t="str">
        <f t="shared" si="9"/>
        <v/>
      </c>
      <c r="R21" s="35" t="str">
        <f t="shared" si="10"/>
        <v/>
      </c>
      <c r="T21" s="53" t="str">
        <f>IF(A21=0,"",VLOOKUP(A21,[2]CO!$A$3:$F$5318,5,0))</f>
        <v/>
      </c>
      <c r="U21" s="54">
        <f t="shared" si="11"/>
        <v>0</v>
      </c>
      <c r="V21" s="24"/>
      <c r="W21" s="25"/>
      <c r="X21" s="25"/>
      <c r="Y21" s="64" t="str">
        <f t="shared" si="19"/>
        <v/>
      </c>
      <c r="Z21" s="55" t="str">
        <f t="shared" si="19"/>
        <v/>
      </c>
      <c r="AA21" s="55" t="str">
        <f t="shared" si="19"/>
        <v/>
      </c>
      <c r="AB21" s="55" t="str">
        <f t="shared" si="19"/>
        <v/>
      </c>
      <c r="AC21" s="55" t="str">
        <f t="shared" si="19"/>
        <v/>
      </c>
      <c r="AD21" s="55" t="str">
        <f t="shared" si="19"/>
        <v/>
      </c>
      <c r="AE21" s="55" t="str">
        <f t="shared" si="19"/>
        <v/>
      </c>
      <c r="AF21" s="55" t="str">
        <f t="shared" si="19"/>
        <v/>
      </c>
      <c r="AG21" s="55" t="str">
        <f t="shared" si="19"/>
        <v/>
      </c>
      <c r="AH21" s="55" t="str">
        <f t="shared" si="19"/>
        <v/>
      </c>
      <c r="AI21" s="55" t="str">
        <f t="shared" si="19"/>
        <v/>
      </c>
      <c r="AJ21" s="55" t="str">
        <f t="shared" si="19"/>
        <v/>
      </c>
      <c r="AK21" s="55" t="str">
        <f t="shared" si="19"/>
        <v/>
      </c>
      <c r="AL21" s="55" t="str">
        <f t="shared" si="19"/>
        <v/>
      </c>
      <c r="AM21" s="55" t="str">
        <f t="shared" si="19"/>
        <v/>
      </c>
      <c r="AN21" s="55" t="str">
        <f t="shared" si="19"/>
        <v/>
      </c>
      <c r="AO21" s="55" t="str">
        <f t="shared" si="19"/>
        <v/>
      </c>
      <c r="AP21" s="55" t="str">
        <f t="shared" si="19"/>
        <v/>
      </c>
      <c r="AQ21" s="55" t="str">
        <f t="shared" si="19"/>
        <v/>
      </c>
      <c r="AR21" s="55" t="str">
        <f t="shared" si="19"/>
        <v/>
      </c>
      <c r="AS21" s="55" t="str">
        <f t="shared" si="19"/>
        <v/>
      </c>
      <c r="AT21" s="55" t="str">
        <f t="shared" si="19"/>
        <v/>
      </c>
      <c r="AU21" s="55" t="str">
        <f t="shared" si="19"/>
        <v/>
      </c>
      <c r="AV21" s="55" t="str">
        <f t="shared" si="19"/>
        <v/>
      </c>
      <c r="AW21" s="55" t="str">
        <f t="shared" si="19"/>
        <v/>
      </c>
      <c r="AX21" s="55" t="str">
        <f t="shared" si="19"/>
        <v/>
      </c>
      <c r="AY21" s="55" t="str">
        <f t="shared" si="19"/>
        <v/>
      </c>
      <c r="AZ21" s="55" t="str">
        <f t="shared" si="19"/>
        <v/>
      </c>
      <c r="BA21" s="55" t="str">
        <f t="shared" si="19"/>
        <v/>
      </c>
      <c r="BB21" s="55" t="str">
        <f t="shared" si="19"/>
        <v/>
      </c>
      <c r="BC21" s="55" t="str">
        <f t="shared" si="19"/>
        <v/>
      </c>
      <c r="BD21" s="55" t="str">
        <f t="shared" si="19"/>
        <v/>
      </c>
      <c r="BE21" s="55" t="str">
        <f t="shared" si="19"/>
        <v/>
      </c>
      <c r="BF21" s="55" t="str">
        <f t="shared" si="19"/>
        <v/>
      </c>
      <c r="BG21" s="55" t="str">
        <f t="shared" si="19"/>
        <v/>
      </c>
      <c r="BH21" s="55" t="str">
        <f t="shared" si="19"/>
        <v/>
      </c>
      <c r="BI21" s="55" t="str">
        <f t="shared" si="19"/>
        <v/>
      </c>
      <c r="BJ21" s="55" t="str">
        <f t="shared" si="19"/>
        <v/>
      </c>
      <c r="BK21" s="55" t="str">
        <f t="shared" si="19"/>
        <v/>
      </c>
      <c r="BL21" s="55" t="str">
        <f t="shared" si="19"/>
        <v/>
      </c>
      <c r="BM21" s="55" t="str">
        <f t="shared" si="19"/>
        <v/>
      </c>
      <c r="BN21" s="55" t="str">
        <f t="shared" si="19"/>
        <v/>
      </c>
      <c r="BO21" s="55" t="str">
        <f t="shared" si="19"/>
        <v/>
      </c>
      <c r="BP21" s="55" t="str">
        <f t="shared" si="19"/>
        <v/>
      </c>
      <c r="BQ21" s="55" t="str">
        <f t="shared" si="19"/>
        <v/>
      </c>
      <c r="BR21" s="55" t="str">
        <f t="shared" si="19"/>
        <v/>
      </c>
      <c r="BS21" s="55" t="str">
        <f t="shared" si="19"/>
        <v/>
      </c>
      <c r="BT21" s="55" t="str">
        <f t="shared" si="19"/>
        <v/>
      </c>
      <c r="BU21" s="55" t="str">
        <f t="shared" si="19"/>
        <v/>
      </c>
      <c r="BV21" s="55" t="str">
        <f t="shared" si="19"/>
        <v/>
      </c>
      <c r="BW21" s="55" t="str">
        <f t="shared" si="19"/>
        <v/>
      </c>
      <c r="BX21" s="55" t="str">
        <f t="shared" si="19"/>
        <v/>
      </c>
      <c r="BY21" s="55" t="str">
        <f t="shared" si="19"/>
        <v/>
      </c>
      <c r="BZ21" s="55" t="str">
        <f t="shared" si="19"/>
        <v/>
      </c>
      <c r="CA21" s="55" t="str">
        <f t="shared" si="19"/>
        <v/>
      </c>
      <c r="CB21" s="55" t="str">
        <f t="shared" si="19"/>
        <v/>
      </c>
      <c r="CC21" s="55" t="str">
        <f t="shared" si="19"/>
        <v/>
      </c>
      <c r="CD21" s="55" t="str">
        <f t="shared" si="19"/>
        <v/>
      </c>
      <c r="CE21" s="55" t="str">
        <f t="shared" si="19"/>
        <v/>
      </c>
      <c r="CF21" s="55" t="str">
        <f t="shared" si="19"/>
        <v/>
      </c>
      <c r="CG21" s="55" t="str">
        <f t="shared" si="19"/>
        <v/>
      </c>
      <c r="CH21" s="55" t="str">
        <f t="shared" si="19"/>
        <v/>
      </c>
      <c r="CI21" s="55" t="str">
        <f t="shared" si="19"/>
        <v/>
      </c>
      <c r="CJ21" s="55" t="str">
        <f t="shared" ref="CJ21:CM22" si="21">IF($B21=CJ$12,$U21,"")</f>
        <v/>
      </c>
      <c r="CK21" s="55" t="str">
        <f t="shared" si="13"/>
        <v/>
      </c>
      <c r="CL21" s="55" t="str">
        <f t="shared" si="13"/>
        <v/>
      </c>
      <c r="CM21" s="55" t="str">
        <f t="shared" si="13"/>
        <v/>
      </c>
      <c r="CN21" s="55" t="str">
        <f t="shared" ref="CN21:DT22" si="22">IF($B21=CN$12,$U21,"")</f>
        <v/>
      </c>
      <c r="CO21" s="55" t="str">
        <f t="shared" si="22"/>
        <v/>
      </c>
      <c r="CP21" s="55" t="str">
        <f t="shared" si="22"/>
        <v/>
      </c>
      <c r="CQ21" s="55" t="str">
        <f t="shared" si="22"/>
        <v/>
      </c>
      <c r="CR21" s="55" t="str">
        <f t="shared" si="22"/>
        <v/>
      </c>
      <c r="CS21" s="55" t="str">
        <f t="shared" si="22"/>
        <v/>
      </c>
      <c r="CT21" s="55" t="str">
        <f t="shared" si="22"/>
        <v/>
      </c>
      <c r="CU21" s="55" t="str">
        <f t="shared" si="22"/>
        <v/>
      </c>
      <c r="CV21" s="55" t="str">
        <f t="shared" si="22"/>
        <v/>
      </c>
      <c r="CW21" s="55" t="str">
        <f t="shared" si="22"/>
        <v/>
      </c>
      <c r="CX21" s="55" t="str">
        <f t="shared" si="22"/>
        <v/>
      </c>
      <c r="CY21" s="55" t="str">
        <f t="shared" si="22"/>
        <v/>
      </c>
      <c r="CZ21" s="55" t="str">
        <f t="shared" si="22"/>
        <v/>
      </c>
      <c r="DA21" s="55" t="str">
        <f t="shared" si="22"/>
        <v/>
      </c>
      <c r="DB21" s="55" t="str">
        <f t="shared" si="22"/>
        <v/>
      </c>
      <c r="DC21" s="55" t="str">
        <f t="shared" si="22"/>
        <v/>
      </c>
      <c r="DD21" s="55" t="str">
        <f t="shared" si="22"/>
        <v/>
      </c>
      <c r="DE21" s="55" t="str">
        <f t="shared" si="22"/>
        <v/>
      </c>
      <c r="DF21" s="55" t="str">
        <f t="shared" si="22"/>
        <v/>
      </c>
      <c r="DG21" s="55" t="str">
        <f t="shared" si="22"/>
        <v/>
      </c>
      <c r="DH21" s="55" t="str">
        <f t="shared" si="22"/>
        <v/>
      </c>
      <c r="DI21" s="55" t="str">
        <f t="shared" si="22"/>
        <v/>
      </c>
      <c r="DJ21" s="55" t="str">
        <f t="shared" si="22"/>
        <v/>
      </c>
      <c r="DK21" s="55" t="str">
        <f t="shared" si="22"/>
        <v/>
      </c>
      <c r="DL21" s="55" t="str">
        <f t="shared" si="22"/>
        <v/>
      </c>
      <c r="DM21" s="55" t="str">
        <f t="shared" si="22"/>
        <v/>
      </c>
      <c r="DN21" s="55" t="str">
        <f t="shared" si="22"/>
        <v/>
      </c>
      <c r="DO21" s="55" t="str">
        <f t="shared" si="22"/>
        <v/>
      </c>
      <c r="DP21" s="55" t="str">
        <f t="shared" si="22"/>
        <v/>
      </c>
      <c r="DQ21" s="55" t="str">
        <f t="shared" si="22"/>
        <v/>
      </c>
      <c r="DR21" s="55" t="str">
        <f t="shared" si="22"/>
        <v/>
      </c>
      <c r="DS21" s="55" t="str">
        <f t="shared" si="22"/>
        <v/>
      </c>
      <c r="DT21" s="106" t="str">
        <f t="shared" si="22"/>
        <v/>
      </c>
      <c r="DU21" s="54"/>
      <c r="DV21" s="25"/>
      <c r="DW21" s="61" t="str">
        <f t="shared" si="20"/>
        <v/>
      </c>
      <c r="DX21" s="50" t="str">
        <f t="shared" si="20"/>
        <v/>
      </c>
      <c r="DY21" s="50" t="str">
        <f t="shared" si="20"/>
        <v/>
      </c>
      <c r="DZ21" s="50" t="str">
        <f t="shared" si="20"/>
        <v/>
      </c>
      <c r="EA21" s="50" t="str">
        <f t="shared" si="20"/>
        <v/>
      </c>
      <c r="EB21" s="50" t="str">
        <f t="shared" si="20"/>
        <v/>
      </c>
      <c r="EC21" s="50" t="str">
        <f t="shared" si="20"/>
        <v/>
      </c>
      <c r="ED21" s="50" t="str">
        <f t="shared" si="20"/>
        <v/>
      </c>
      <c r="EE21" s="50" t="str">
        <f t="shared" si="20"/>
        <v/>
      </c>
      <c r="EF21" s="50" t="str">
        <f t="shared" si="20"/>
        <v/>
      </c>
      <c r="EG21" s="50" t="str">
        <f t="shared" si="20"/>
        <v/>
      </c>
      <c r="EH21" s="50" t="str">
        <f t="shared" si="20"/>
        <v/>
      </c>
      <c r="EI21" s="50" t="str">
        <f t="shared" si="20"/>
        <v/>
      </c>
      <c r="EJ21" s="50" t="str">
        <f t="shared" si="20"/>
        <v/>
      </c>
      <c r="EK21" s="50" t="str">
        <f t="shared" si="20"/>
        <v/>
      </c>
      <c r="EL21" s="50" t="str">
        <f t="shared" si="20"/>
        <v/>
      </c>
      <c r="EM21" s="50" t="str">
        <f t="shared" si="20"/>
        <v/>
      </c>
      <c r="EN21" s="50" t="str">
        <f t="shared" si="20"/>
        <v/>
      </c>
      <c r="EO21" s="50" t="str">
        <f t="shared" si="20"/>
        <v/>
      </c>
      <c r="EP21" s="50" t="str">
        <f t="shared" si="20"/>
        <v/>
      </c>
      <c r="EQ21" s="50" t="str">
        <f t="shared" si="20"/>
        <v/>
      </c>
      <c r="ER21" s="50" t="str">
        <f t="shared" si="20"/>
        <v/>
      </c>
      <c r="ES21" s="50" t="str">
        <f t="shared" si="20"/>
        <v/>
      </c>
      <c r="ET21" s="50" t="str">
        <f t="shared" si="20"/>
        <v/>
      </c>
      <c r="EU21" s="50" t="str">
        <f t="shared" si="20"/>
        <v/>
      </c>
      <c r="EV21" s="50" t="str">
        <f t="shared" si="20"/>
        <v/>
      </c>
      <c r="EW21" s="50" t="str">
        <f t="shared" si="20"/>
        <v/>
      </c>
      <c r="EX21" s="50" t="str">
        <f t="shared" si="20"/>
        <v/>
      </c>
      <c r="EY21" s="50" t="str">
        <f t="shared" si="20"/>
        <v/>
      </c>
      <c r="EZ21" s="50" t="str">
        <f t="shared" si="20"/>
        <v/>
      </c>
      <c r="FA21" s="50" t="str">
        <f t="shared" si="20"/>
        <v/>
      </c>
      <c r="FB21" s="50" t="str">
        <f t="shared" si="20"/>
        <v/>
      </c>
      <c r="FC21" s="50" t="str">
        <f t="shared" si="20"/>
        <v/>
      </c>
      <c r="FD21" s="50" t="str">
        <f t="shared" si="20"/>
        <v/>
      </c>
      <c r="FE21" s="50" t="str">
        <f t="shared" si="20"/>
        <v/>
      </c>
      <c r="FF21" s="50" t="str">
        <f t="shared" si="20"/>
        <v/>
      </c>
      <c r="FG21" s="50" t="str">
        <f t="shared" si="20"/>
        <v/>
      </c>
      <c r="FH21" s="50" t="str">
        <f t="shared" si="20"/>
        <v/>
      </c>
      <c r="FI21" s="50" t="str">
        <f t="shared" si="20"/>
        <v/>
      </c>
      <c r="FJ21" s="50" t="str">
        <f t="shared" si="20"/>
        <v/>
      </c>
      <c r="FK21" s="50" t="str">
        <f t="shared" si="20"/>
        <v/>
      </c>
      <c r="FL21" s="50" t="str">
        <f t="shared" si="20"/>
        <v/>
      </c>
      <c r="FM21" s="50" t="str">
        <f t="shared" si="20"/>
        <v/>
      </c>
      <c r="FN21" s="50" t="str">
        <f t="shared" si="20"/>
        <v/>
      </c>
      <c r="FO21" s="50" t="str">
        <f t="shared" si="20"/>
        <v/>
      </c>
      <c r="FP21" s="50" t="str">
        <f t="shared" si="20"/>
        <v/>
      </c>
      <c r="FQ21" s="50" t="str">
        <f t="shared" si="20"/>
        <v/>
      </c>
      <c r="FR21" s="50" t="str">
        <f t="shared" si="20"/>
        <v/>
      </c>
      <c r="FS21" s="50" t="str">
        <f t="shared" si="20"/>
        <v/>
      </c>
      <c r="FT21" s="50" t="str">
        <f t="shared" si="20"/>
        <v/>
      </c>
      <c r="FU21" s="50" t="str">
        <f t="shared" si="20"/>
        <v/>
      </c>
      <c r="FV21" s="50" t="str">
        <f t="shared" si="20"/>
        <v/>
      </c>
      <c r="FW21" s="50" t="str">
        <f t="shared" si="20"/>
        <v/>
      </c>
      <c r="FX21" s="50" t="str">
        <f t="shared" si="20"/>
        <v/>
      </c>
      <c r="FY21" s="50" t="str">
        <f t="shared" si="20"/>
        <v/>
      </c>
      <c r="FZ21" s="50" t="str">
        <f t="shared" si="20"/>
        <v/>
      </c>
      <c r="GA21" s="50" t="str">
        <f t="shared" si="20"/>
        <v/>
      </c>
      <c r="GB21" s="50" t="str">
        <f t="shared" si="20"/>
        <v/>
      </c>
      <c r="GC21" s="50" t="str">
        <f t="shared" si="20"/>
        <v/>
      </c>
      <c r="GD21" s="50" t="str">
        <f t="shared" si="20"/>
        <v/>
      </c>
      <c r="GE21" s="50" t="str">
        <f t="shared" si="20"/>
        <v/>
      </c>
      <c r="GF21" s="50" t="str">
        <f t="shared" si="20"/>
        <v/>
      </c>
      <c r="GG21" s="50" t="str">
        <f t="shared" si="20"/>
        <v/>
      </c>
      <c r="GH21" s="50" t="str">
        <f t="shared" ref="GH21:GK22" si="23">IF($B21=GH$12,$O21,"")</f>
        <v/>
      </c>
      <c r="GI21" s="50" t="str">
        <f t="shared" si="15"/>
        <v/>
      </c>
      <c r="GJ21" s="50" t="str">
        <f t="shared" si="15"/>
        <v/>
      </c>
      <c r="GK21" s="50" t="str">
        <f t="shared" si="15"/>
        <v/>
      </c>
      <c r="GL21" s="50" t="str">
        <f t="shared" ref="GL21:HR22" si="24">IF($B21=GL$12,$O21,"")</f>
        <v/>
      </c>
      <c r="GM21" s="50" t="str">
        <f t="shared" si="24"/>
        <v/>
      </c>
      <c r="GN21" s="50" t="str">
        <f t="shared" si="24"/>
        <v/>
      </c>
      <c r="GO21" s="50" t="str">
        <f t="shared" si="24"/>
        <v/>
      </c>
      <c r="GP21" s="50" t="str">
        <f t="shared" si="24"/>
        <v/>
      </c>
      <c r="GQ21" s="50" t="str">
        <f t="shared" si="24"/>
        <v/>
      </c>
      <c r="GR21" s="50" t="str">
        <f t="shared" si="24"/>
        <v/>
      </c>
      <c r="GS21" s="50" t="str">
        <f t="shared" si="24"/>
        <v/>
      </c>
      <c r="GT21" s="50" t="str">
        <f t="shared" si="24"/>
        <v/>
      </c>
      <c r="GU21" s="50" t="str">
        <f t="shared" si="24"/>
        <v/>
      </c>
      <c r="GV21" s="50" t="str">
        <f t="shared" si="24"/>
        <v/>
      </c>
      <c r="GW21" s="50" t="str">
        <f t="shared" si="24"/>
        <v/>
      </c>
      <c r="GX21" s="50" t="str">
        <f t="shared" si="24"/>
        <v/>
      </c>
      <c r="GY21" s="50" t="str">
        <f t="shared" si="24"/>
        <v/>
      </c>
      <c r="GZ21" s="50" t="str">
        <f t="shared" si="24"/>
        <v/>
      </c>
      <c r="HA21" s="50" t="str">
        <f t="shared" si="24"/>
        <v/>
      </c>
      <c r="HB21" s="50" t="str">
        <f t="shared" si="24"/>
        <v/>
      </c>
      <c r="HC21" s="50" t="str">
        <f t="shared" si="24"/>
        <v/>
      </c>
      <c r="HD21" s="50" t="str">
        <f t="shared" si="24"/>
        <v/>
      </c>
      <c r="HE21" s="50" t="str">
        <f t="shared" si="24"/>
        <v/>
      </c>
      <c r="HF21" s="50" t="str">
        <f t="shared" si="24"/>
        <v/>
      </c>
      <c r="HG21" s="50" t="str">
        <f t="shared" si="24"/>
        <v/>
      </c>
      <c r="HH21" s="50" t="str">
        <f t="shared" si="24"/>
        <v/>
      </c>
      <c r="HI21" s="50" t="str">
        <f t="shared" si="24"/>
        <v/>
      </c>
      <c r="HJ21" s="50" t="str">
        <f t="shared" si="24"/>
        <v/>
      </c>
      <c r="HK21" s="50" t="str">
        <f t="shared" si="24"/>
        <v/>
      </c>
      <c r="HL21" s="50" t="str">
        <f t="shared" si="24"/>
        <v/>
      </c>
      <c r="HM21" s="50" t="str">
        <f t="shared" si="24"/>
        <v/>
      </c>
      <c r="HN21" s="50" t="str">
        <f t="shared" si="24"/>
        <v/>
      </c>
      <c r="HO21" s="50" t="str">
        <f t="shared" si="24"/>
        <v/>
      </c>
      <c r="HP21" s="50" t="str">
        <f t="shared" si="24"/>
        <v/>
      </c>
      <c r="HQ21" s="50" t="str">
        <f t="shared" si="24"/>
        <v/>
      </c>
      <c r="HR21" s="112" t="str">
        <f t="shared" si="24"/>
        <v/>
      </c>
    </row>
    <row r="22" spans="1:226" ht="11.1" customHeight="1" x14ac:dyDescent="0.25">
      <c r="A22" s="26"/>
      <c r="B22" s="144"/>
      <c r="C22" s="28" t="str">
        <f>IF(A22=0,"",VLOOKUP(A22,[2]CO!$A$3:$F$5327,2,0))</f>
        <v/>
      </c>
      <c r="D22" s="148" t="s">
        <v>36</v>
      </c>
      <c r="F22" s="29"/>
      <c r="G22" s="30" t="str">
        <f>IF(A22=0,"",VLOOKUP(A22,[2]CO!$A$3:$F$5327,3,0))</f>
        <v/>
      </c>
      <c r="H22" s="142"/>
      <c r="I22" s="143"/>
      <c r="J22" s="143"/>
      <c r="K22" s="143"/>
      <c r="L22" s="143"/>
      <c r="M22" s="32" t="str">
        <f t="shared" si="8"/>
        <v/>
      </c>
      <c r="N22" s="32" t="str">
        <f>IF(B22=0,"",IF(H22="M",HLOOKUP(B22,$Y$12:$DT$13,2),IF(A22=0,"",VLOOKUP(A22,[2]CO!$A$3:$F$5327,4,0))))</f>
        <v/>
      </c>
      <c r="O22" s="32" t="str">
        <f t="shared" si="16"/>
        <v/>
      </c>
      <c r="P22" s="33"/>
      <c r="Q22" s="34" t="str">
        <f t="shared" si="9"/>
        <v/>
      </c>
      <c r="R22" s="35" t="str">
        <f t="shared" si="10"/>
        <v/>
      </c>
      <c r="T22" s="53" t="str">
        <f>IF(A22=0,"",VLOOKUP(A22,[2]CO!$A$3:$F$5318,5,0))</f>
        <v/>
      </c>
      <c r="U22" s="54">
        <f t="shared" si="11"/>
        <v>0</v>
      </c>
      <c r="V22" s="24"/>
      <c r="W22" s="25"/>
      <c r="X22" s="25"/>
      <c r="Y22" s="64" t="str">
        <f t="shared" ref="Y22:CI22" si="25">IF($B22=Y$12,$U22,"")</f>
        <v/>
      </c>
      <c r="Z22" s="55" t="str">
        <f t="shared" si="25"/>
        <v/>
      </c>
      <c r="AA22" s="55" t="str">
        <f t="shared" si="25"/>
        <v/>
      </c>
      <c r="AB22" s="55" t="str">
        <f t="shared" si="25"/>
        <v/>
      </c>
      <c r="AC22" s="55" t="str">
        <f t="shared" si="25"/>
        <v/>
      </c>
      <c r="AD22" s="55" t="str">
        <f t="shared" si="25"/>
        <v/>
      </c>
      <c r="AE22" s="55" t="str">
        <f t="shared" si="25"/>
        <v/>
      </c>
      <c r="AF22" s="55" t="str">
        <f t="shared" si="25"/>
        <v/>
      </c>
      <c r="AG22" s="55" t="str">
        <f t="shared" si="25"/>
        <v/>
      </c>
      <c r="AH22" s="55" t="str">
        <f t="shared" si="25"/>
        <v/>
      </c>
      <c r="AI22" s="55" t="str">
        <f t="shared" si="25"/>
        <v/>
      </c>
      <c r="AJ22" s="55" t="str">
        <f t="shared" si="25"/>
        <v/>
      </c>
      <c r="AK22" s="55" t="str">
        <f t="shared" si="25"/>
        <v/>
      </c>
      <c r="AL22" s="55" t="str">
        <f t="shared" si="25"/>
        <v/>
      </c>
      <c r="AM22" s="55" t="str">
        <f t="shared" si="25"/>
        <v/>
      </c>
      <c r="AN22" s="55" t="str">
        <f t="shared" si="25"/>
        <v/>
      </c>
      <c r="AO22" s="55" t="str">
        <f t="shared" si="25"/>
        <v/>
      </c>
      <c r="AP22" s="55" t="str">
        <f t="shared" si="25"/>
        <v/>
      </c>
      <c r="AQ22" s="55" t="str">
        <f t="shared" si="25"/>
        <v/>
      </c>
      <c r="AR22" s="55" t="str">
        <f t="shared" si="25"/>
        <v/>
      </c>
      <c r="AS22" s="55" t="str">
        <f t="shared" si="25"/>
        <v/>
      </c>
      <c r="AT22" s="55" t="str">
        <f t="shared" si="25"/>
        <v/>
      </c>
      <c r="AU22" s="55" t="str">
        <f t="shared" si="25"/>
        <v/>
      </c>
      <c r="AV22" s="55" t="str">
        <f t="shared" si="25"/>
        <v/>
      </c>
      <c r="AW22" s="55" t="str">
        <f t="shared" si="25"/>
        <v/>
      </c>
      <c r="AX22" s="55" t="str">
        <f t="shared" si="25"/>
        <v/>
      </c>
      <c r="AY22" s="55" t="str">
        <f t="shared" si="25"/>
        <v/>
      </c>
      <c r="AZ22" s="55" t="str">
        <f t="shared" si="25"/>
        <v/>
      </c>
      <c r="BA22" s="55" t="str">
        <f t="shared" si="25"/>
        <v/>
      </c>
      <c r="BB22" s="55" t="str">
        <f t="shared" si="25"/>
        <v/>
      </c>
      <c r="BC22" s="55" t="str">
        <f t="shared" si="25"/>
        <v/>
      </c>
      <c r="BD22" s="55" t="str">
        <f t="shared" si="25"/>
        <v/>
      </c>
      <c r="BE22" s="55" t="str">
        <f t="shared" si="25"/>
        <v/>
      </c>
      <c r="BF22" s="55" t="str">
        <f t="shared" si="25"/>
        <v/>
      </c>
      <c r="BG22" s="55" t="str">
        <f t="shared" si="25"/>
        <v/>
      </c>
      <c r="BH22" s="55" t="str">
        <f t="shared" si="25"/>
        <v/>
      </c>
      <c r="BI22" s="55" t="str">
        <f t="shared" si="25"/>
        <v/>
      </c>
      <c r="BJ22" s="55" t="str">
        <f t="shared" si="25"/>
        <v/>
      </c>
      <c r="BK22" s="55" t="str">
        <f t="shared" si="25"/>
        <v/>
      </c>
      <c r="BL22" s="55" t="str">
        <f t="shared" si="25"/>
        <v/>
      </c>
      <c r="BM22" s="55" t="str">
        <f t="shared" si="25"/>
        <v/>
      </c>
      <c r="BN22" s="55" t="str">
        <f t="shared" si="25"/>
        <v/>
      </c>
      <c r="BO22" s="55" t="str">
        <f t="shared" si="25"/>
        <v/>
      </c>
      <c r="BP22" s="55" t="str">
        <f t="shared" si="25"/>
        <v/>
      </c>
      <c r="BQ22" s="55" t="str">
        <f t="shared" si="25"/>
        <v/>
      </c>
      <c r="BR22" s="55" t="str">
        <f t="shared" si="25"/>
        <v/>
      </c>
      <c r="BS22" s="55" t="str">
        <f t="shared" si="25"/>
        <v/>
      </c>
      <c r="BT22" s="55" t="str">
        <f t="shared" si="25"/>
        <v/>
      </c>
      <c r="BU22" s="55" t="str">
        <f t="shared" si="25"/>
        <v/>
      </c>
      <c r="BV22" s="55" t="str">
        <f t="shared" si="25"/>
        <v/>
      </c>
      <c r="BW22" s="55" t="str">
        <f t="shared" si="25"/>
        <v/>
      </c>
      <c r="BX22" s="55" t="str">
        <f t="shared" si="25"/>
        <v/>
      </c>
      <c r="BY22" s="55" t="str">
        <f t="shared" si="25"/>
        <v/>
      </c>
      <c r="BZ22" s="55" t="str">
        <f t="shared" si="25"/>
        <v/>
      </c>
      <c r="CA22" s="55" t="str">
        <f t="shared" si="25"/>
        <v/>
      </c>
      <c r="CB22" s="55" t="str">
        <f t="shared" si="25"/>
        <v/>
      </c>
      <c r="CC22" s="55" t="str">
        <f t="shared" si="25"/>
        <v/>
      </c>
      <c r="CD22" s="55" t="str">
        <f t="shared" si="25"/>
        <v/>
      </c>
      <c r="CE22" s="55" t="str">
        <f t="shared" si="25"/>
        <v/>
      </c>
      <c r="CF22" s="55" t="str">
        <f t="shared" si="25"/>
        <v/>
      </c>
      <c r="CG22" s="55" t="str">
        <f t="shared" si="25"/>
        <v/>
      </c>
      <c r="CH22" s="55" t="str">
        <f t="shared" si="25"/>
        <v/>
      </c>
      <c r="CI22" s="55" t="str">
        <f t="shared" si="25"/>
        <v/>
      </c>
      <c r="CJ22" s="55" t="str">
        <f t="shared" si="21"/>
        <v/>
      </c>
      <c r="CK22" s="55" t="str">
        <f t="shared" si="21"/>
        <v/>
      </c>
      <c r="CL22" s="55" t="str">
        <f t="shared" si="21"/>
        <v/>
      </c>
      <c r="CM22" s="55" t="str">
        <f t="shared" si="21"/>
        <v/>
      </c>
      <c r="CN22" s="55" t="str">
        <f t="shared" si="22"/>
        <v/>
      </c>
      <c r="CO22" s="55" t="str">
        <f t="shared" si="22"/>
        <v/>
      </c>
      <c r="CP22" s="55" t="str">
        <f t="shared" si="22"/>
        <v/>
      </c>
      <c r="CQ22" s="55" t="str">
        <f t="shared" si="22"/>
        <v/>
      </c>
      <c r="CR22" s="55" t="str">
        <f t="shared" si="22"/>
        <v/>
      </c>
      <c r="CS22" s="55" t="str">
        <f t="shared" si="22"/>
        <v/>
      </c>
      <c r="CT22" s="55" t="str">
        <f t="shared" si="22"/>
        <v/>
      </c>
      <c r="CU22" s="55" t="str">
        <f t="shared" si="22"/>
        <v/>
      </c>
      <c r="CV22" s="55" t="str">
        <f t="shared" si="22"/>
        <v/>
      </c>
      <c r="CW22" s="55" t="str">
        <f t="shared" si="22"/>
        <v/>
      </c>
      <c r="CX22" s="55" t="str">
        <f t="shared" si="22"/>
        <v/>
      </c>
      <c r="CY22" s="55" t="str">
        <f t="shared" si="22"/>
        <v/>
      </c>
      <c r="CZ22" s="55" t="str">
        <f t="shared" si="22"/>
        <v/>
      </c>
      <c r="DA22" s="55" t="str">
        <f t="shared" si="22"/>
        <v/>
      </c>
      <c r="DB22" s="55" t="str">
        <f t="shared" si="22"/>
        <v/>
      </c>
      <c r="DC22" s="55" t="str">
        <f t="shared" si="22"/>
        <v/>
      </c>
      <c r="DD22" s="55" t="str">
        <f t="shared" si="22"/>
        <v/>
      </c>
      <c r="DE22" s="55" t="str">
        <f t="shared" si="22"/>
        <v/>
      </c>
      <c r="DF22" s="55" t="str">
        <f t="shared" si="22"/>
        <v/>
      </c>
      <c r="DG22" s="55" t="str">
        <f t="shared" si="22"/>
        <v/>
      </c>
      <c r="DH22" s="55" t="str">
        <f t="shared" si="22"/>
        <v/>
      </c>
      <c r="DI22" s="55" t="str">
        <f t="shared" si="22"/>
        <v/>
      </c>
      <c r="DJ22" s="55" t="str">
        <f t="shared" si="22"/>
        <v/>
      </c>
      <c r="DK22" s="55" t="str">
        <f t="shared" si="22"/>
        <v/>
      </c>
      <c r="DL22" s="55" t="str">
        <f t="shared" si="22"/>
        <v/>
      </c>
      <c r="DM22" s="55" t="str">
        <f t="shared" si="22"/>
        <v/>
      </c>
      <c r="DN22" s="55" t="str">
        <f t="shared" si="22"/>
        <v/>
      </c>
      <c r="DO22" s="55" t="str">
        <f t="shared" si="22"/>
        <v/>
      </c>
      <c r="DP22" s="55" t="str">
        <f t="shared" si="22"/>
        <v/>
      </c>
      <c r="DQ22" s="55" t="str">
        <f t="shared" si="22"/>
        <v/>
      </c>
      <c r="DR22" s="55" t="str">
        <f t="shared" si="22"/>
        <v/>
      </c>
      <c r="DS22" s="55" t="str">
        <f t="shared" si="22"/>
        <v/>
      </c>
      <c r="DT22" s="106" t="str">
        <f t="shared" si="22"/>
        <v/>
      </c>
      <c r="DU22" s="54"/>
      <c r="DV22" s="25"/>
      <c r="DW22" s="61" t="str">
        <f t="shared" ref="DW22:GG22" si="26">IF($B22=DW$12,$O22,"")</f>
        <v/>
      </c>
      <c r="DX22" s="50" t="str">
        <f t="shared" si="26"/>
        <v/>
      </c>
      <c r="DY22" s="50" t="str">
        <f t="shared" si="26"/>
        <v/>
      </c>
      <c r="DZ22" s="50" t="str">
        <f t="shared" si="26"/>
        <v/>
      </c>
      <c r="EA22" s="50" t="str">
        <f t="shared" si="26"/>
        <v/>
      </c>
      <c r="EB22" s="50" t="str">
        <f t="shared" si="26"/>
        <v/>
      </c>
      <c r="EC22" s="50" t="str">
        <f t="shared" si="26"/>
        <v/>
      </c>
      <c r="ED22" s="50" t="str">
        <f t="shared" si="26"/>
        <v/>
      </c>
      <c r="EE22" s="50" t="str">
        <f t="shared" si="26"/>
        <v/>
      </c>
      <c r="EF22" s="50" t="str">
        <f t="shared" si="26"/>
        <v/>
      </c>
      <c r="EG22" s="50" t="str">
        <f t="shared" si="26"/>
        <v/>
      </c>
      <c r="EH22" s="50" t="str">
        <f t="shared" si="26"/>
        <v/>
      </c>
      <c r="EI22" s="50" t="str">
        <f t="shared" si="26"/>
        <v/>
      </c>
      <c r="EJ22" s="50" t="str">
        <f t="shared" si="26"/>
        <v/>
      </c>
      <c r="EK22" s="50" t="str">
        <f t="shared" si="26"/>
        <v/>
      </c>
      <c r="EL22" s="50" t="str">
        <f t="shared" si="26"/>
        <v/>
      </c>
      <c r="EM22" s="50" t="str">
        <f t="shared" si="26"/>
        <v/>
      </c>
      <c r="EN22" s="50" t="str">
        <f t="shared" si="26"/>
        <v/>
      </c>
      <c r="EO22" s="50" t="str">
        <f t="shared" si="26"/>
        <v/>
      </c>
      <c r="EP22" s="50" t="str">
        <f t="shared" si="26"/>
        <v/>
      </c>
      <c r="EQ22" s="50" t="str">
        <f t="shared" si="26"/>
        <v/>
      </c>
      <c r="ER22" s="50" t="str">
        <f t="shared" si="26"/>
        <v/>
      </c>
      <c r="ES22" s="50" t="str">
        <f t="shared" si="26"/>
        <v/>
      </c>
      <c r="ET22" s="50" t="str">
        <f t="shared" si="26"/>
        <v/>
      </c>
      <c r="EU22" s="50" t="str">
        <f t="shared" si="26"/>
        <v/>
      </c>
      <c r="EV22" s="50" t="str">
        <f t="shared" si="26"/>
        <v/>
      </c>
      <c r="EW22" s="50" t="str">
        <f t="shared" si="26"/>
        <v/>
      </c>
      <c r="EX22" s="50" t="str">
        <f t="shared" si="26"/>
        <v/>
      </c>
      <c r="EY22" s="50" t="str">
        <f t="shared" si="26"/>
        <v/>
      </c>
      <c r="EZ22" s="50" t="str">
        <f t="shared" si="26"/>
        <v/>
      </c>
      <c r="FA22" s="50" t="str">
        <f t="shared" si="26"/>
        <v/>
      </c>
      <c r="FB22" s="50" t="str">
        <f t="shared" si="26"/>
        <v/>
      </c>
      <c r="FC22" s="50" t="str">
        <f t="shared" si="26"/>
        <v/>
      </c>
      <c r="FD22" s="50" t="str">
        <f t="shared" si="26"/>
        <v/>
      </c>
      <c r="FE22" s="50" t="str">
        <f t="shared" si="26"/>
        <v/>
      </c>
      <c r="FF22" s="50" t="str">
        <f t="shared" si="26"/>
        <v/>
      </c>
      <c r="FG22" s="50" t="str">
        <f t="shared" si="26"/>
        <v/>
      </c>
      <c r="FH22" s="50" t="str">
        <f t="shared" si="26"/>
        <v/>
      </c>
      <c r="FI22" s="50" t="str">
        <f t="shared" si="26"/>
        <v/>
      </c>
      <c r="FJ22" s="50" t="str">
        <f t="shared" si="26"/>
        <v/>
      </c>
      <c r="FK22" s="50" t="str">
        <f t="shared" si="26"/>
        <v/>
      </c>
      <c r="FL22" s="50" t="str">
        <f t="shared" si="26"/>
        <v/>
      </c>
      <c r="FM22" s="50" t="str">
        <f t="shared" si="26"/>
        <v/>
      </c>
      <c r="FN22" s="50" t="str">
        <f t="shared" si="26"/>
        <v/>
      </c>
      <c r="FO22" s="50" t="str">
        <f t="shared" si="26"/>
        <v/>
      </c>
      <c r="FP22" s="50" t="str">
        <f t="shared" si="26"/>
        <v/>
      </c>
      <c r="FQ22" s="50" t="str">
        <f t="shared" si="26"/>
        <v/>
      </c>
      <c r="FR22" s="50" t="str">
        <f t="shared" si="26"/>
        <v/>
      </c>
      <c r="FS22" s="50" t="str">
        <f t="shared" si="26"/>
        <v/>
      </c>
      <c r="FT22" s="50" t="str">
        <f t="shared" si="26"/>
        <v/>
      </c>
      <c r="FU22" s="50" t="str">
        <f t="shared" si="26"/>
        <v/>
      </c>
      <c r="FV22" s="50" t="str">
        <f t="shared" si="26"/>
        <v/>
      </c>
      <c r="FW22" s="50" t="str">
        <f t="shared" si="26"/>
        <v/>
      </c>
      <c r="FX22" s="50" t="str">
        <f t="shared" si="26"/>
        <v/>
      </c>
      <c r="FY22" s="50" t="str">
        <f t="shared" si="26"/>
        <v/>
      </c>
      <c r="FZ22" s="50" t="str">
        <f t="shared" si="26"/>
        <v/>
      </c>
      <c r="GA22" s="50" t="str">
        <f t="shared" si="26"/>
        <v/>
      </c>
      <c r="GB22" s="50" t="str">
        <f t="shared" si="26"/>
        <v/>
      </c>
      <c r="GC22" s="50" t="str">
        <f t="shared" si="26"/>
        <v/>
      </c>
      <c r="GD22" s="50" t="str">
        <f t="shared" si="26"/>
        <v/>
      </c>
      <c r="GE22" s="50" t="str">
        <f t="shared" si="26"/>
        <v/>
      </c>
      <c r="GF22" s="50" t="str">
        <f t="shared" si="26"/>
        <v/>
      </c>
      <c r="GG22" s="50" t="str">
        <f t="shared" si="26"/>
        <v/>
      </c>
      <c r="GH22" s="50" t="str">
        <f t="shared" si="23"/>
        <v/>
      </c>
      <c r="GI22" s="50" t="str">
        <f t="shared" si="23"/>
        <v/>
      </c>
      <c r="GJ22" s="50" t="str">
        <f t="shared" si="23"/>
        <v/>
      </c>
      <c r="GK22" s="50" t="str">
        <f t="shared" si="23"/>
        <v/>
      </c>
      <c r="GL22" s="50" t="str">
        <f t="shared" si="24"/>
        <v/>
      </c>
      <c r="GM22" s="50" t="str">
        <f t="shared" si="24"/>
        <v/>
      </c>
      <c r="GN22" s="50" t="str">
        <f t="shared" si="24"/>
        <v/>
      </c>
      <c r="GO22" s="50" t="str">
        <f t="shared" si="24"/>
        <v/>
      </c>
      <c r="GP22" s="50" t="str">
        <f t="shared" si="24"/>
        <v/>
      </c>
      <c r="GQ22" s="50" t="str">
        <f t="shared" si="24"/>
        <v/>
      </c>
      <c r="GR22" s="50" t="str">
        <f t="shared" si="24"/>
        <v/>
      </c>
      <c r="GS22" s="50" t="str">
        <f t="shared" si="24"/>
        <v/>
      </c>
      <c r="GT22" s="50" t="str">
        <f t="shared" si="24"/>
        <v/>
      </c>
      <c r="GU22" s="50" t="str">
        <f t="shared" si="24"/>
        <v/>
      </c>
      <c r="GV22" s="50" t="str">
        <f t="shared" si="24"/>
        <v/>
      </c>
      <c r="GW22" s="50" t="str">
        <f t="shared" si="24"/>
        <v/>
      </c>
      <c r="GX22" s="50" t="str">
        <f t="shared" si="24"/>
        <v/>
      </c>
      <c r="GY22" s="50" t="str">
        <f t="shared" si="24"/>
        <v/>
      </c>
      <c r="GZ22" s="50" t="str">
        <f t="shared" si="24"/>
        <v/>
      </c>
      <c r="HA22" s="50" t="str">
        <f t="shared" si="24"/>
        <v/>
      </c>
      <c r="HB22" s="50" t="str">
        <f t="shared" si="24"/>
        <v/>
      </c>
      <c r="HC22" s="50" t="str">
        <f t="shared" si="24"/>
        <v/>
      </c>
      <c r="HD22" s="50" t="str">
        <f t="shared" si="24"/>
        <v/>
      </c>
      <c r="HE22" s="50" t="str">
        <f t="shared" si="24"/>
        <v/>
      </c>
      <c r="HF22" s="50" t="str">
        <f t="shared" si="24"/>
        <v/>
      </c>
      <c r="HG22" s="50" t="str">
        <f t="shared" si="24"/>
        <v/>
      </c>
      <c r="HH22" s="50" t="str">
        <f t="shared" si="24"/>
        <v/>
      </c>
      <c r="HI22" s="50" t="str">
        <f t="shared" si="24"/>
        <v/>
      </c>
      <c r="HJ22" s="50" t="str">
        <f t="shared" si="24"/>
        <v/>
      </c>
      <c r="HK22" s="50" t="str">
        <f t="shared" si="24"/>
        <v/>
      </c>
      <c r="HL22" s="50" t="str">
        <f t="shared" si="24"/>
        <v/>
      </c>
      <c r="HM22" s="50" t="str">
        <f t="shared" si="24"/>
        <v/>
      </c>
      <c r="HN22" s="50" t="str">
        <f t="shared" si="24"/>
        <v/>
      </c>
      <c r="HO22" s="50" t="str">
        <f t="shared" si="24"/>
        <v/>
      </c>
      <c r="HP22" s="50" t="str">
        <f t="shared" si="24"/>
        <v/>
      </c>
      <c r="HQ22" s="50" t="str">
        <f t="shared" si="24"/>
        <v/>
      </c>
      <c r="HR22" s="112" t="str">
        <f t="shared" si="24"/>
        <v/>
      </c>
    </row>
    <row r="23" spans="1:226" ht="11.1" customHeight="1" x14ac:dyDescent="0.25">
      <c r="A23" s="26"/>
      <c r="B23" s="27"/>
      <c r="C23" s="28" t="str">
        <f>IF(A23=0,"",VLOOKUP(A23,[2]CO!$A$3:$F$5327,2,0))</f>
        <v/>
      </c>
      <c r="D23" s="29"/>
      <c r="E23" s="29"/>
      <c r="F23" s="29"/>
      <c r="G23" s="30" t="str">
        <f>IF(A23=0,"",VLOOKUP(A23,[2]CO!$A$3:$F$5327,3,0))</f>
        <v/>
      </c>
      <c r="H23" s="29"/>
      <c r="I23" s="31"/>
      <c r="J23" s="31"/>
      <c r="K23" s="31"/>
      <c r="L23" s="31"/>
      <c r="M23" s="32" t="str">
        <f t="shared" ref="M23:M25" si="27">IF(L23=0,"",PRODUCT(I23:L23))</f>
        <v/>
      </c>
      <c r="N23" s="32" t="str">
        <f>IF(B23=0,"",IF(H23="M",HLOOKUP(B23,$Y$12:$DT$13,2),IF(A23=0,"",VLOOKUP(A23,[2]CO!$A$3:$F$5327,4,0))))</f>
        <v/>
      </c>
      <c r="O23" s="32" t="str">
        <f t="shared" ref="O23:O25" si="28">IF(L23=0,"",PRODUCT(M23:N23))</f>
        <v/>
      </c>
      <c r="P23" s="33"/>
      <c r="Q23" s="34" t="str">
        <f t="shared" ref="Q23:Q25" si="29">IF(P23=0,"",(HLOOKUP(P23,$DW$12:$HR$13,2)))</f>
        <v/>
      </c>
      <c r="R23" s="35" t="str">
        <f t="shared" si="10"/>
        <v/>
      </c>
      <c r="T23" s="53" t="str">
        <f>IF(A23=0,"",VLOOKUP(A23,[2]CO!$A$3:$F$5318,5,0))</f>
        <v/>
      </c>
      <c r="U23" s="54">
        <f t="shared" ref="U23:U25" si="30">IF(T23=1,O23*0.1,)</f>
        <v>0</v>
      </c>
      <c r="V23" s="24"/>
      <c r="W23" s="25"/>
      <c r="X23" s="25"/>
      <c r="Y23" s="64" t="str">
        <f t="shared" ref="Y23:AA23" si="31">IF($B23=Y$12,$U23,"")</f>
        <v/>
      </c>
      <c r="Z23" s="55" t="str">
        <f t="shared" si="31"/>
        <v/>
      </c>
      <c r="AA23" s="55" t="str">
        <f t="shared" si="31"/>
        <v/>
      </c>
      <c r="AB23" s="55" t="str">
        <f t="shared" ref="AB23:CI23" si="32">IF($B23=AB$12,$U23,"")</f>
        <v/>
      </c>
      <c r="AC23" s="55" t="str">
        <f t="shared" si="32"/>
        <v/>
      </c>
      <c r="AD23" s="55" t="str">
        <f t="shared" si="32"/>
        <v/>
      </c>
      <c r="AE23" s="55" t="str">
        <f t="shared" si="32"/>
        <v/>
      </c>
      <c r="AF23" s="55" t="str">
        <f t="shared" si="32"/>
        <v/>
      </c>
      <c r="AG23" s="55" t="str">
        <f t="shared" si="32"/>
        <v/>
      </c>
      <c r="AH23" s="55" t="str">
        <f t="shared" si="32"/>
        <v/>
      </c>
      <c r="AI23" s="55" t="str">
        <f t="shared" si="32"/>
        <v/>
      </c>
      <c r="AJ23" s="55" t="str">
        <f t="shared" si="32"/>
        <v/>
      </c>
      <c r="AK23" s="55" t="str">
        <f t="shared" si="32"/>
        <v/>
      </c>
      <c r="AL23" s="55" t="str">
        <f t="shared" si="32"/>
        <v/>
      </c>
      <c r="AM23" s="55" t="str">
        <f t="shared" si="32"/>
        <v/>
      </c>
      <c r="AN23" s="55" t="str">
        <f t="shared" si="32"/>
        <v/>
      </c>
      <c r="AO23" s="55" t="str">
        <f t="shared" si="32"/>
        <v/>
      </c>
      <c r="AP23" s="55" t="str">
        <f t="shared" si="32"/>
        <v/>
      </c>
      <c r="AQ23" s="55" t="str">
        <f t="shared" si="32"/>
        <v/>
      </c>
      <c r="AR23" s="55" t="str">
        <f t="shared" si="32"/>
        <v/>
      </c>
      <c r="AS23" s="55" t="str">
        <f t="shared" si="32"/>
        <v/>
      </c>
      <c r="AT23" s="55" t="str">
        <f t="shared" si="32"/>
        <v/>
      </c>
      <c r="AU23" s="55" t="str">
        <f t="shared" si="32"/>
        <v/>
      </c>
      <c r="AV23" s="55" t="str">
        <f t="shared" si="32"/>
        <v/>
      </c>
      <c r="AW23" s="55" t="str">
        <f t="shared" si="32"/>
        <v/>
      </c>
      <c r="AX23" s="55" t="str">
        <f t="shared" si="32"/>
        <v/>
      </c>
      <c r="AY23" s="55" t="str">
        <f t="shared" si="32"/>
        <v/>
      </c>
      <c r="AZ23" s="55" t="str">
        <f t="shared" si="32"/>
        <v/>
      </c>
      <c r="BA23" s="55" t="str">
        <f t="shared" si="32"/>
        <v/>
      </c>
      <c r="BB23" s="55" t="str">
        <f t="shared" si="32"/>
        <v/>
      </c>
      <c r="BC23" s="55" t="str">
        <f t="shared" si="32"/>
        <v/>
      </c>
      <c r="BD23" s="55" t="str">
        <f t="shared" si="32"/>
        <v/>
      </c>
      <c r="BE23" s="55" t="str">
        <f t="shared" si="32"/>
        <v/>
      </c>
      <c r="BF23" s="55" t="str">
        <f t="shared" si="32"/>
        <v/>
      </c>
      <c r="BG23" s="55" t="str">
        <f t="shared" si="32"/>
        <v/>
      </c>
      <c r="BH23" s="55" t="str">
        <f t="shared" si="32"/>
        <v/>
      </c>
      <c r="BI23" s="55" t="str">
        <f t="shared" si="32"/>
        <v/>
      </c>
      <c r="BJ23" s="55" t="str">
        <f t="shared" si="32"/>
        <v/>
      </c>
      <c r="BK23" s="55" t="str">
        <f t="shared" si="32"/>
        <v/>
      </c>
      <c r="BL23" s="55" t="str">
        <f t="shared" si="32"/>
        <v/>
      </c>
      <c r="BM23" s="55" t="str">
        <f t="shared" si="32"/>
        <v/>
      </c>
      <c r="BN23" s="55" t="str">
        <f t="shared" si="32"/>
        <v/>
      </c>
      <c r="BO23" s="55" t="str">
        <f t="shared" si="32"/>
        <v/>
      </c>
      <c r="BP23" s="55" t="str">
        <f t="shared" si="32"/>
        <v/>
      </c>
      <c r="BQ23" s="55" t="str">
        <f t="shared" si="32"/>
        <v/>
      </c>
      <c r="BR23" s="55" t="str">
        <f t="shared" si="32"/>
        <v/>
      </c>
      <c r="BS23" s="55" t="str">
        <f t="shared" si="32"/>
        <v/>
      </c>
      <c r="BT23" s="55" t="str">
        <f t="shared" si="32"/>
        <v/>
      </c>
      <c r="BU23" s="55" t="str">
        <f t="shared" si="32"/>
        <v/>
      </c>
      <c r="BV23" s="55" t="str">
        <f t="shared" si="32"/>
        <v/>
      </c>
      <c r="BW23" s="55" t="str">
        <f t="shared" si="32"/>
        <v/>
      </c>
      <c r="BX23" s="55" t="str">
        <f t="shared" si="32"/>
        <v/>
      </c>
      <c r="BY23" s="55" t="str">
        <f t="shared" si="32"/>
        <v/>
      </c>
      <c r="BZ23" s="55" t="str">
        <f t="shared" si="32"/>
        <v/>
      </c>
      <c r="CA23" s="55" t="str">
        <f t="shared" si="32"/>
        <v/>
      </c>
      <c r="CB23" s="55" t="str">
        <f t="shared" si="32"/>
        <v/>
      </c>
      <c r="CC23" s="55" t="str">
        <f t="shared" si="32"/>
        <v/>
      </c>
      <c r="CD23" s="55" t="str">
        <f t="shared" si="32"/>
        <v/>
      </c>
      <c r="CE23" s="55" t="str">
        <f t="shared" si="32"/>
        <v/>
      </c>
      <c r="CF23" s="55" t="str">
        <f t="shared" si="32"/>
        <v/>
      </c>
      <c r="CG23" s="55" t="str">
        <f t="shared" si="32"/>
        <v/>
      </c>
      <c r="CH23" s="55" t="str">
        <f t="shared" si="32"/>
        <v/>
      </c>
      <c r="CI23" s="55" t="str">
        <f t="shared" si="32"/>
        <v/>
      </c>
      <c r="CJ23" s="55" t="str">
        <f t="shared" ref="CJ23:CY25" si="33">IF($B23=CJ$12,$U23,"")</f>
        <v/>
      </c>
      <c r="CK23" s="55" t="str">
        <f t="shared" si="33"/>
        <v/>
      </c>
      <c r="CL23" s="55" t="str">
        <f t="shared" si="33"/>
        <v/>
      </c>
      <c r="CM23" s="55" t="str">
        <f t="shared" si="33"/>
        <v/>
      </c>
      <c r="CN23" s="55" t="str">
        <f t="shared" ref="CN23:CY24" si="34">IF($B23=CN$12,$U23,"")</f>
        <v/>
      </c>
      <c r="CO23" s="55" t="str">
        <f t="shared" si="34"/>
        <v/>
      </c>
      <c r="CP23" s="55" t="str">
        <f t="shared" si="34"/>
        <v/>
      </c>
      <c r="CQ23" s="55" t="str">
        <f t="shared" si="34"/>
        <v/>
      </c>
      <c r="CR23" s="55" t="str">
        <f t="shared" si="34"/>
        <v/>
      </c>
      <c r="CS23" s="55" t="str">
        <f t="shared" si="34"/>
        <v/>
      </c>
      <c r="CT23" s="55" t="str">
        <f t="shared" si="34"/>
        <v/>
      </c>
      <c r="CU23" s="55" t="str">
        <f t="shared" si="34"/>
        <v/>
      </c>
      <c r="CV23" s="55" t="str">
        <f t="shared" si="34"/>
        <v/>
      </c>
      <c r="CW23" s="55" t="str">
        <f t="shared" si="34"/>
        <v/>
      </c>
      <c r="CX23" s="55" t="str">
        <f t="shared" si="34"/>
        <v/>
      </c>
      <c r="CY23" s="55" t="str">
        <f t="shared" si="34"/>
        <v/>
      </c>
      <c r="CZ23" s="55" t="str">
        <f t="shared" ref="CZ23:DN25" si="35">IF($B23=CZ$12,$U23,"")</f>
        <v/>
      </c>
      <c r="DA23" s="55" t="str">
        <f t="shared" si="35"/>
        <v/>
      </c>
      <c r="DB23" s="55" t="str">
        <f t="shared" si="35"/>
        <v/>
      </c>
      <c r="DC23" s="55" t="str">
        <f t="shared" si="35"/>
        <v/>
      </c>
      <c r="DD23" s="55" t="str">
        <f t="shared" si="35"/>
        <v/>
      </c>
      <c r="DE23" s="55" t="str">
        <f t="shared" si="35"/>
        <v/>
      </c>
      <c r="DF23" s="55" t="str">
        <f t="shared" si="35"/>
        <v/>
      </c>
      <c r="DG23" s="55" t="str">
        <f t="shared" si="35"/>
        <v/>
      </c>
      <c r="DH23" s="55" t="str">
        <f t="shared" si="35"/>
        <v/>
      </c>
      <c r="DI23" s="55" t="str">
        <f t="shared" si="35"/>
        <v/>
      </c>
      <c r="DJ23" s="55" t="str">
        <f t="shared" si="35"/>
        <v/>
      </c>
      <c r="DK23" s="55" t="str">
        <f t="shared" si="35"/>
        <v/>
      </c>
      <c r="DL23" s="55" t="str">
        <f t="shared" si="35"/>
        <v/>
      </c>
      <c r="DM23" s="55" t="str">
        <f t="shared" si="35"/>
        <v/>
      </c>
      <c r="DN23" s="55" t="str">
        <f t="shared" si="35"/>
        <v/>
      </c>
      <c r="DO23" s="55" t="str">
        <f t="shared" ref="DO23:DT25" si="36">IF($B23=DO$12,$U23,"")</f>
        <v/>
      </c>
      <c r="DP23" s="55" t="str">
        <f t="shared" si="36"/>
        <v/>
      </c>
      <c r="DQ23" s="55" t="str">
        <f t="shared" si="36"/>
        <v/>
      </c>
      <c r="DR23" s="55" t="str">
        <f t="shared" si="36"/>
        <v/>
      </c>
      <c r="DS23" s="55" t="str">
        <f t="shared" si="36"/>
        <v/>
      </c>
      <c r="DT23" s="106" t="str">
        <f t="shared" si="36"/>
        <v/>
      </c>
      <c r="DU23" s="54"/>
      <c r="DV23" s="25"/>
      <c r="DW23" s="61" t="str">
        <f t="shared" ref="DW23:DY23" si="37">IF($B23=DW$12,$O23,"")</f>
        <v/>
      </c>
      <c r="DX23" s="50" t="str">
        <f t="shared" si="37"/>
        <v/>
      </c>
      <c r="DY23" s="50" t="str">
        <f t="shared" si="37"/>
        <v/>
      </c>
      <c r="DZ23" s="50" t="str">
        <f t="shared" ref="DZ23:GG23" si="38">IF($B23=DZ$12,$O23,"")</f>
        <v/>
      </c>
      <c r="EA23" s="50" t="str">
        <f t="shared" si="38"/>
        <v/>
      </c>
      <c r="EB23" s="50" t="str">
        <f t="shared" si="38"/>
        <v/>
      </c>
      <c r="EC23" s="50" t="str">
        <f t="shared" si="38"/>
        <v/>
      </c>
      <c r="ED23" s="50" t="str">
        <f t="shared" si="38"/>
        <v/>
      </c>
      <c r="EE23" s="50" t="str">
        <f t="shared" si="38"/>
        <v/>
      </c>
      <c r="EF23" s="50" t="str">
        <f t="shared" si="38"/>
        <v/>
      </c>
      <c r="EG23" s="50" t="str">
        <f t="shared" si="38"/>
        <v/>
      </c>
      <c r="EH23" s="50" t="str">
        <f t="shared" si="38"/>
        <v/>
      </c>
      <c r="EI23" s="50" t="str">
        <f t="shared" si="38"/>
        <v/>
      </c>
      <c r="EJ23" s="50" t="str">
        <f t="shared" si="38"/>
        <v/>
      </c>
      <c r="EK23" s="50" t="str">
        <f t="shared" si="38"/>
        <v/>
      </c>
      <c r="EL23" s="50" t="str">
        <f t="shared" si="38"/>
        <v/>
      </c>
      <c r="EM23" s="50" t="str">
        <f t="shared" si="38"/>
        <v/>
      </c>
      <c r="EN23" s="50" t="str">
        <f t="shared" si="38"/>
        <v/>
      </c>
      <c r="EO23" s="50" t="str">
        <f t="shared" si="38"/>
        <v/>
      </c>
      <c r="EP23" s="50" t="str">
        <f t="shared" si="38"/>
        <v/>
      </c>
      <c r="EQ23" s="50" t="str">
        <f t="shared" si="38"/>
        <v/>
      </c>
      <c r="ER23" s="50" t="str">
        <f t="shared" si="38"/>
        <v/>
      </c>
      <c r="ES23" s="50" t="str">
        <f t="shared" si="38"/>
        <v/>
      </c>
      <c r="ET23" s="50" t="str">
        <f t="shared" si="38"/>
        <v/>
      </c>
      <c r="EU23" s="50" t="str">
        <f t="shared" si="38"/>
        <v/>
      </c>
      <c r="EV23" s="50" t="str">
        <f t="shared" si="38"/>
        <v/>
      </c>
      <c r="EW23" s="50" t="str">
        <f t="shared" si="38"/>
        <v/>
      </c>
      <c r="EX23" s="50" t="str">
        <f t="shared" si="38"/>
        <v/>
      </c>
      <c r="EY23" s="50" t="str">
        <f t="shared" si="38"/>
        <v/>
      </c>
      <c r="EZ23" s="50" t="str">
        <f t="shared" si="38"/>
        <v/>
      </c>
      <c r="FA23" s="50" t="str">
        <f t="shared" si="38"/>
        <v/>
      </c>
      <c r="FB23" s="50" t="str">
        <f t="shared" si="38"/>
        <v/>
      </c>
      <c r="FC23" s="50" t="str">
        <f t="shared" si="38"/>
        <v/>
      </c>
      <c r="FD23" s="50" t="str">
        <f t="shared" si="38"/>
        <v/>
      </c>
      <c r="FE23" s="50" t="str">
        <f t="shared" si="38"/>
        <v/>
      </c>
      <c r="FF23" s="50" t="str">
        <f t="shared" si="38"/>
        <v/>
      </c>
      <c r="FG23" s="50" t="str">
        <f t="shared" si="38"/>
        <v/>
      </c>
      <c r="FH23" s="50" t="str">
        <f t="shared" si="38"/>
        <v/>
      </c>
      <c r="FI23" s="50" t="str">
        <f t="shared" si="38"/>
        <v/>
      </c>
      <c r="FJ23" s="50" t="str">
        <f t="shared" si="38"/>
        <v/>
      </c>
      <c r="FK23" s="50" t="str">
        <f t="shared" si="38"/>
        <v/>
      </c>
      <c r="FL23" s="50" t="str">
        <f t="shared" si="38"/>
        <v/>
      </c>
      <c r="FM23" s="50" t="str">
        <f t="shared" si="38"/>
        <v/>
      </c>
      <c r="FN23" s="50" t="str">
        <f t="shared" si="38"/>
        <v/>
      </c>
      <c r="FO23" s="50" t="str">
        <f t="shared" si="38"/>
        <v/>
      </c>
      <c r="FP23" s="50" t="str">
        <f t="shared" si="38"/>
        <v/>
      </c>
      <c r="FQ23" s="50" t="str">
        <f t="shared" si="38"/>
        <v/>
      </c>
      <c r="FR23" s="50" t="str">
        <f t="shared" si="38"/>
        <v/>
      </c>
      <c r="FS23" s="50" t="str">
        <f t="shared" si="38"/>
        <v/>
      </c>
      <c r="FT23" s="50" t="str">
        <f t="shared" si="38"/>
        <v/>
      </c>
      <c r="FU23" s="50" t="str">
        <f t="shared" si="38"/>
        <v/>
      </c>
      <c r="FV23" s="50" t="str">
        <f t="shared" si="38"/>
        <v/>
      </c>
      <c r="FW23" s="50" t="str">
        <f t="shared" si="38"/>
        <v/>
      </c>
      <c r="FX23" s="50" t="str">
        <f t="shared" si="38"/>
        <v/>
      </c>
      <c r="FY23" s="50" t="str">
        <f t="shared" si="38"/>
        <v/>
      </c>
      <c r="FZ23" s="50" t="str">
        <f t="shared" si="38"/>
        <v/>
      </c>
      <c r="GA23" s="50" t="str">
        <f t="shared" si="38"/>
        <v/>
      </c>
      <c r="GB23" s="50" t="str">
        <f t="shared" si="38"/>
        <v/>
      </c>
      <c r="GC23" s="50" t="str">
        <f t="shared" si="38"/>
        <v/>
      </c>
      <c r="GD23" s="50" t="str">
        <f t="shared" si="38"/>
        <v/>
      </c>
      <c r="GE23" s="50" t="str">
        <f t="shared" si="38"/>
        <v/>
      </c>
      <c r="GF23" s="50" t="str">
        <f t="shared" si="38"/>
        <v/>
      </c>
      <c r="GG23" s="50" t="str">
        <f t="shared" si="38"/>
        <v/>
      </c>
      <c r="GH23" s="50" t="str">
        <f t="shared" ref="GH23:GW25" si="39">IF($B23=GH$12,$O23,"")</f>
        <v/>
      </c>
      <c r="GI23" s="50" t="str">
        <f t="shared" si="39"/>
        <v/>
      </c>
      <c r="GJ23" s="50" t="str">
        <f t="shared" si="39"/>
        <v/>
      </c>
      <c r="GK23" s="50" t="str">
        <f t="shared" si="39"/>
        <v/>
      </c>
      <c r="GL23" s="50" t="str">
        <f t="shared" ref="GL23:GW24" si="40">IF($B23=GL$12,$O23,"")</f>
        <v/>
      </c>
      <c r="GM23" s="50" t="str">
        <f t="shared" si="40"/>
        <v/>
      </c>
      <c r="GN23" s="50" t="str">
        <f t="shared" si="40"/>
        <v/>
      </c>
      <c r="GO23" s="50" t="str">
        <f t="shared" si="40"/>
        <v/>
      </c>
      <c r="GP23" s="50" t="str">
        <f t="shared" si="40"/>
        <v/>
      </c>
      <c r="GQ23" s="50" t="str">
        <f t="shared" si="40"/>
        <v/>
      </c>
      <c r="GR23" s="50" t="str">
        <f t="shared" si="40"/>
        <v/>
      </c>
      <c r="GS23" s="50" t="str">
        <f t="shared" si="40"/>
        <v/>
      </c>
      <c r="GT23" s="50" t="str">
        <f t="shared" si="40"/>
        <v/>
      </c>
      <c r="GU23" s="50" t="str">
        <f t="shared" si="40"/>
        <v/>
      </c>
      <c r="GV23" s="50" t="str">
        <f t="shared" si="40"/>
        <v/>
      </c>
      <c r="GW23" s="50" t="str">
        <f t="shared" si="40"/>
        <v/>
      </c>
      <c r="GX23" s="50" t="str">
        <f t="shared" ref="GX23:HL25" si="41">IF($B23=GX$12,$O23,"")</f>
        <v/>
      </c>
      <c r="GY23" s="50" t="str">
        <f t="shared" si="41"/>
        <v/>
      </c>
      <c r="GZ23" s="50" t="str">
        <f t="shared" si="41"/>
        <v/>
      </c>
      <c r="HA23" s="50" t="str">
        <f t="shared" si="41"/>
        <v/>
      </c>
      <c r="HB23" s="50" t="str">
        <f t="shared" si="41"/>
        <v/>
      </c>
      <c r="HC23" s="50" t="str">
        <f t="shared" si="41"/>
        <v/>
      </c>
      <c r="HD23" s="50" t="str">
        <f t="shared" si="41"/>
        <v/>
      </c>
      <c r="HE23" s="50" t="str">
        <f t="shared" si="41"/>
        <v/>
      </c>
      <c r="HF23" s="50" t="str">
        <f t="shared" si="41"/>
        <v/>
      </c>
      <c r="HG23" s="50" t="str">
        <f t="shared" si="41"/>
        <v/>
      </c>
      <c r="HH23" s="50" t="str">
        <f t="shared" si="41"/>
        <v/>
      </c>
      <c r="HI23" s="50" t="str">
        <f t="shared" si="41"/>
        <v/>
      </c>
      <c r="HJ23" s="50" t="str">
        <f t="shared" si="41"/>
        <v/>
      </c>
      <c r="HK23" s="50" t="str">
        <f t="shared" si="41"/>
        <v/>
      </c>
      <c r="HL23" s="50" t="str">
        <f t="shared" si="41"/>
        <v/>
      </c>
      <c r="HM23" s="50" t="str">
        <f t="shared" ref="HM23:HR25" si="42">IF($B23=HM$12,$O23,"")</f>
        <v/>
      </c>
      <c r="HN23" s="50" t="str">
        <f t="shared" si="42"/>
        <v/>
      </c>
      <c r="HO23" s="50" t="str">
        <f t="shared" si="42"/>
        <v/>
      </c>
      <c r="HP23" s="50" t="str">
        <f t="shared" si="42"/>
        <v/>
      </c>
      <c r="HQ23" s="50" t="str">
        <f t="shared" si="42"/>
        <v/>
      </c>
      <c r="HR23" s="112" t="str">
        <f t="shared" si="42"/>
        <v/>
      </c>
    </row>
    <row r="24" spans="1:226" ht="11.1" customHeight="1" x14ac:dyDescent="0.25">
      <c r="A24" s="26"/>
      <c r="B24" s="27"/>
      <c r="C24" s="28" t="str">
        <f>IF(A24=0,"",VLOOKUP(A24,[2]CO!$A$3:$F$5327,2,0))</f>
        <v/>
      </c>
      <c r="D24" s="29"/>
      <c r="E24" s="29"/>
      <c r="F24" s="29"/>
      <c r="G24" s="30" t="str">
        <f>IF(A24=0,"",VLOOKUP(A24,[2]CO!$A$3:$F$5327,3,0))</f>
        <v/>
      </c>
      <c r="H24" s="29"/>
      <c r="I24" s="31"/>
      <c r="J24" s="31"/>
      <c r="K24" s="31"/>
      <c r="L24" s="31"/>
      <c r="M24" s="32" t="str">
        <f t="shared" si="27"/>
        <v/>
      </c>
      <c r="N24" s="32" t="str">
        <f>IF(B24=0,"",IF(H24="M",HLOOKUP(B24,$Y$12:$DT$13,2),IF(A24=0,"",VLOOKUP(A24,[2]CO!$A$3:$F$5327,4,0))))</f>
        <v/>
      </c>
      <c r="O24" s="32" t="str">
        <f t="shared" si="28"/>
        <v/>
      </c>
      <c r="P24" s="33"/>
      <c r="Q24" s="34" t="str">
        <f t="shared" si="29"/>
        <v/>
      </c>
      <c r="R24" s="35" t="str">
        <f t="shared" si="10"/>
        <v/>
      </c>
      <c r="T24" s="53" t="str">
        <f>IF(A24=0,"",VLOOKUP(A24,[2]CO!$A$3:$F$5318,5,0))</f>
        <v/>
      </c>
      <c r="U24" s="54">
        <f t="shared" si="30"/>
        <v>0</v>
      </c>
      <c r="V24" s="24"/>
      <c r="W24" s="25"/>
      <c r="X24" s="25"/>
      <c r="Y24" s="64" t="str">
        <f t="shared" ref="Y24:CI25" si="43">IF($B24=Y$12,$U24,"")</f>
        <v/>
      </c>
      <c r="Z24" s="55" t="str">
        <f t="shared" si="43"/>
        <v/>
      </c>
      <c r="AA24" s="55" t="str">
        <f t="shared" si="43"/>
        <v/>
      </c>
      <c r="AB24" s="55" t="str">
        <f t="shared" si="43"/>
        <v/>
      </c>
      <c r="AC24" s="55" t="str">
        <f t="shared" si="43"/>
        <v/>
      </c>
      <c r="AD24" s="55" t="str">
        <f t="shared" si="43"/>
        <v/>
      </c>
      <c r="AE24" s="55" t="str">
        <f t="shared" si="43"/>
        <v/>
      </c>
      <c r="AF24" s="55" t="str">
        <f t="shared" si="43"/>
        <v/>
      </c>
      <c r="AG24" s="55" t="str">
        <f t="shared" si="43"/>
        <v/>
      </c>
      <c r="AH24" s="55" t="str">
        <f t="shared" si="43"/>
        <v/>
      </c>
      <c r="AI24" s="55" t="str">
        <f t="shared" si="43"/>
        <v/>
      </c>
      <c r="AJ24" s="55" t="str">
        <f t="shared" si="43"/>
        <v/>
      </c>
      <c r="AK24" s="55" t="str">
        <f t="shared" si="43"/>
        <v/>
      </c>
      <c r="AL24" s="55" t="str">
        <f t="shared" si="43"/>
        <v/>
      </c>
      <c r="AM24" s="55" t="str">
        <f t="shared" si="43"/>
        <v/>
      </c>
      <c r="AN24" s="55" t="str">
        <f t="shared" si="43"/>
        <v/>
      </c>
      <c r="AO24" s="55" t="str">
        <f t="shared" si="43"/>
        <v/>
      </c>
      <c r="AP24" s="55" t="str">
        <f t="shared" si="43"/>
        <v/>
      </c>
      <c r="AQ24" s="55" t="str">
        <f t="shared" si="43"/>
        <v/>
      </c>
      <c r="AR24" s="55" t="str">
        <f t="shared" si="43"/>
        <v/>
      </c>
      <c r="AS24" s="55" t="str">
        <f t="shared" si="43"/>
        <v/>
      </c>
      <c r="AT24" s="55" t="str">
        <f t="shared" si="43"/>
        <v/>
      </c>
      <c r="AU24" s="55" t="str">
        <f t="shared" si="43"/>
        <v/>
      </c>
      <c r="AV24" s="55" t="str">
        <f t="shared" si="43"/>
        <v/>
      </c>
      <c r="AW24" s="55" t="str">
        <f t="shared" si="43"/>
        <v/>
      </c>
      <c r="AX24" s="55" t="str">
        <f t="shared" si="43"/>
        <v/>
      </c>
      <c r="AY24" s="55" t="str">
        <f t="shared" si="43"/>
        <v/>
      </c>
      <c r="AZ24" s="55" t="str">
        <f t="shared" si="43"/>
        <v/>
      </c>
      <c r="BA24" s="55" t="str">
        <f t="shared" si="43"/>
        <v/>
      </c>
      <c r="BB24" s="55" t="str">
        <f t="shared" si="43"/>
        <v/>
      </c>
      <c r="BC24" s="55" t="str">
        <f t="shared" si="43"/>
        <v/>
      </c>
      <c r="BD24" s="55" t="str">
        <f t="shared" si="43"/>
        <v/>
      </c>
      <c r="BE24" s="55" t="str">
        <f t="shared" si="43"/>
        <v/>
      </c>
      <c r="BF24" s="55" t="str">
        <f t="shared" si="43"/>
        <v/>
      </c>
      <c r="BG24" s="55" t="str">
        <f t="shared" si="43"/>
        <v/>
      </c>
      <c r="BH24" s="55" t="str">
        <f t="shared" si="43"/>
        <v/>
      </c>
      <c r="BI24" s="55" t="str">
        <f t="shared" si="43"/>
        <v/>
      </c>
      <c r="BJ24" s="55" t="str">
        <f t="shared" si="43"/>
        <v/>
      </c>
      <c r="BK24" s="55" t="str">
        <f t="shared" si="43"/>
        <v/>
      </c>
      <c r="BL24" s="55" t="str">
        <f t="shared" si="43"/>
        <v/>
      </c>
      <c r="BM24" s="55" t="str">
        <f t="shared" si="43"/>
        <v/>
      </c>
      <c r="BN24" s="55" t="str">
        <f t="shared" si="43"/>
        <v/>
      </c>
      <c r="BO24" s="55" t="str">
        <f t="shared" si="43"/>
        <v/>
      </c>
      <c r="BP24" s="55" t="str">
        <f t="shared" si="43"/>
        <v/>
      </c>
      <c r="BQ24" s="55" t="str">
        <f t="shared" si="43"/>
        <v/>
      </c>
      <c r="BR24" s="55" t="str">
        <f t="shared" si="43"/>
        <v/>
      </c>
      <c r="BS24" s="55" t="str">
        <f t="shared" si="43"/>
        <v/>
      </c>
      <c r="BT24" s="55" t="str">
        <f t="shared" si="43"/>
        <v/>
      </c>
      <c r="BU24" s="55" t="str">
        <f t="shared" si="43"/>
        <v/>
      </c>
      <c r="BV24" s="55" t="str">
        <f t="shared" si="43"/>
        <v/>
      </c>
      <c r="BW24" s="55" t="str">
        <f t="shared" si="43"/>
        <v/>
      </c>
      <c r="BX24" s="55" t="str">
        <f t="shared" si="43"/>
        <v/>
      </c>
      <c r="BY24" s="55" t="str">
        <f t="shared" si="43"/>
        <v/>
      </c>
      <c r="BZ24" s="55" t="str">
        <f t="shared" si="43"/>
        <v/>
      </c>
      <c r="CA24" s="55" t="str">
        <f t="shared" si="43"/>
        <v/>
      </c>
      <c r="CB24" s="55" t="str">
        <f t="shared" si="43"/>
        <v/>
      </c>
      <c r="CC24" s="55" t="str">
        <f t="shared" si="43"/>
        <v/>
      </c>
      <c r="CD24" s="55" t="str">
        <f t="shared" si="43"/>
        <v/>
      </c>
      <c r="CE24" s="55" t="str">
        <f t="shared" si="43"/>
        <v/>
      </c>
      <c r="CF24" s="55" t="str">
        <f t="shared" si="43"/>
        <v/>
      </c>
      <c r="CG24" s="55" t="str">
        <f t="shared" si="43"/>
        <v/>
      </c>
      <c r="CH24" s="55" t="str">
        <f t="shared" si="43"/>
        <v/>
      </c>
      <c r="CI24" s="55" t="str">
        <f t="shared" si="43"/>
        <v/>
      </c>
      <c r="CJ24" s="55" t="str">
        <f t="shared" si="33"/>
        <v/>
      </c>
      <c r="CK24" s="55" t="str">
        <f t="shared" si="33"/>
        <v/>
      </c>
      <c r="CL24" s="55" t="str">
        <f t="shared" si="33"/>
        <v/>
      </c>
      <c r="CM24" s="55" t="str">
        <f t="shared" si="33"/>
        <v/>
      </c>
      <c r="CN24" s="55" t="str">
        <f t="shared" si="34"/>
        <v/>
      </c>
      <c r="CO24" s="55" t="str">
        <f t="shared" si="34"/>
        <v/>
      </c>
      <c r="CP24" s="55" t="str">
        <f t="shared" si="34"/>
        <v/>
      </c>
      <c r="CQ24" s="55" t="str">
        <f t="shared" si="34"/>
        <v/>
      </c>
      <c r="CR24" s="55" t="str">
        <f t="shared" si="34"/>
        <v/>
      </c>
      <c r="CS24" s="55" t="str">
        <f t="shared" si="34"/>
        <v/>
      </c>
      <c r="CT24" s="55" t="str">
        <f t="shared" si="34"/>
        <v/>
      </c>
      <c r="CU24" s="55" t="str">
        <f t="shared" si="34"/>
        <v/>
      </c>
      <c r="CV24" s="55" t="str">
        <f t="shared" si="34"/>
        <v/>
      </c>
      <c r="CW24" s="55" t="str">
        <f t="shared" si="34"/>
        <v/>
      </c>
      <c r="CX24" s="55" t="str">
        <f t="shared" si="34"/>
        <v/>
      </c>
      <c r="CY24" s="55" t="str">
        <f t="shared" si="34"/>
        <v/>
      </c>
      <c r="CZ24" s="55" t="str">
        <f t="shared" si="35"/>
        <v/>
      </c>
      <c r="DA24" s="55" t="str">
        <f t="shared" si="35"/>
        <v/>
      </c>
      <c r="DB24" s="55" t="str">
        <f t="shared" si="35"/>
        <v/>
      </c>
      <c r="DC24" s="55" t="str">
        <f t="shared" si="35"/>
        <v/>
      </c>
      <c r="DD24" s="55" t="str">
        <f t="shared" si="35"/>
        <v/>
      </c>
      <c r="DE24" s="55" t="str">
        <f t="shared" si="35"/>
        <v/>
      </c>
      <c r="DF24" s="55" t="str">
        <f t="shared" si="35"/>
        <v/>
      </c>
      <c r="DG24" s="55" t="str">
        <f t="shared" si="35"/>
        <v/>
      </c>
      <c r="DH24" s="55" t="str">
        <f t="shared" si="35"/>
        <v/>
      </c>
      <c r="DI24" s="55" t="str">
        <f t="shared" si="35"/>
        <v/>
      </c>
      <c r="DJ24" s="55" t="str">
        <f t="shared" si="35"/>
        <v/>
      </c>
      <c r="DK24" s="55" t="str">
        <f t="shared" si="35"/>
        <v/>
      </c>
      <c r="DL24" s="55" t="str">
        <f t="shared" si="35"/>
        <v/>
      </c>
      <c r="DM24" s="55" t="str">
        <f t="shared" si="35"/>
        <v/>
      </c>
      <c r="DN24" s="55" t="str">
        <f t="shared" si="35"/>
        <v/>
      </c>
      <c r="DO24" s="55" t="str">
        <f t="shared" si="36"/>
        <v/>
      </c>
      <c r="DP24" s="55" t="str">
        <f t="shared" si="36"/>
        <v/>
      </c>
      <c r="DQ24" s="55" t="str">
        <f t="shared" si="36"/>
        <v/>
      </c>
      <c r="DR24" s="55" t="str">
        <f t="shared" si="36"/>
        <v/>
      </c>
      <c r="DS24" s="55" t="str">
        <f t="shared" si="36"/>
        <v/>
      </c>
      <c r="DT24" s="106" t="str">
        <f t="shared" si="36"/>
        <v/>
      </c>
      <c r="DU24" s="54"/>
      <c r="DV24" s="25"/>
      <c r="DW24" s="61" t="str">
        <f t="shared" ref="DW24:GG25" si="44">IF($B24=DW$12,$O24,"")</f>
        <v/>
      </c>
      <c r="DX24" s="50" t="str">
        <f t="shared" si="44"/>
        <v/>
      </c>
      <c r="DY24" s="50" t="str">
        <f t="shared" si="44"/>
        <v/>
      </c>
      <c r="DZ24" s="50" t="str">
        <f t="shared" si="44"/>
        <v/>
      </c>
      <c r="EA24" s="50" t="str">
        <f t="shared" si="44"/>
        <v/>
      </c>
      <c r="EB24" s="50" t="str">
        <f t="shared" si="44"/>
        <v/>
      </c>
      <c r="EC24" s="50" t="str">
        <f t="shared" si="44"/>
        <v/>
      </c>
      <c r="ED24" s="50" t="str">
        <f t="shared" si="44"/>
        <v/>
      </c>
      <c r="EE24" s="50" t="str">
        <f t="shared" si="44"/>
        <v/>
      </c>
      <c r="EF24" s="50" t="str">
        <f t="shared" si="44"/>
        <v/>
      </c>
      <c r="EG24" s="50" t="str">
        <f t="shared" si="44"/>
        <v/>
      </c>
      <c r="EH24" s="50" t="str">
        <f t="shared" si="44"/>
        <v/>
      </c>
      <c r="EI24" s="50" t="str">
        <f t="shared" si="44"/>
        <v/>
      </c>
      <c r="EJ24" s="50" t="str">
        <f t="shared" si="44"/>
        <v/>
      </c>
      <c r="EK24" s="50" t="str">
        <f t="shared" si="44"/>
        <v/>
      </c>
      <c r="EL24" s="50" t="str">
        <f t="shared" si="44"/>
        <v/>
      </c>
      <c r="EM24" s="50" t="str">
        <f t="shared" si="44"/>
        <v/>
      </c>
      <c r="EN24" s="50" t="str">
        <f t="shared" si="44"/>
        <v/>
      </c>
      <c r="EO24" s="50" t="str">
        <f t="shared" si="44"/>
        <v/>
      </c>
      <c r="EP24" s="50" t="str">
        <f t="shared" si="44"/>
        <v/>
      </c>
      <c r="EQ24" s="50" t="str">
        <f t="shared" si="44"/>
        <v/>
      </c>
      <c r="ER24" s="50" t="str">
        <f t="shared" si="44"/>
        <v/>
      </c>
      <c r="ES24" s="50" t="str">
        <f t="shared" si="44"/>
        <v/>
      </c>
      <c r="ET24" s="50" t="str">
        <f t="shared" si="44"/>
        <v/>
      </c>
      <c r="EU24" s="50" t="str">
        <f t="shared" si="44"/>
        <v/>
      </c>
      <c r="EV24" s="50" t="str">
        <f t="shared" si="44"/>
        <v/>
      </c>
      <c r="EW24" s="50" t="str">
        <f t="shared" si="44"/>
        <v/>
      </c>
      <c r="EX24" s="50" t="str">
        <f t="shared" si="44"/>
        <v/>
      </c>
      <c r="EY24" s="50" t="str">
        <f t="shared" si="44"/>
        <v/>
      </c>
      <c r="EZ24" s="50" t="str">
        <f t="shared" si="44"/>
        <v/>
      </c>
      <c r="FA24" s="50" t="str">
        <f t="shared" si="44"/>
        <v/>
      </c>
      <c r="FB24" s="50" t="str">
        <f t="shared" si="44"/>
        <v/>
      </c>
      <c r="FC24" s="50" t="str">
        <f t="shared" si="44"/>
        <v/>
      </c>
      <c r="FD24" s="50" t="str">
        <f t="shared" si="44"/>
        <v/>
      </c>
      <c r="FE24" s="50" t="str">
        <f t="shared" si="44"/>
        <v/>
      </c>
      <c r="FF24" s="50" t="str">
        <f t="shared" si="44"/>
        <v/>
      </c>
      <c r="FG24" s="50" t="str">
        <f t="shared" si="44"/>
        <v/>
      </c>
      <c r="FH24" s="50" t="str">
        <f t="shared" si="44"/>
        <v/>
      </c>
      <c r="FI24" s="50" t="str">
        <f t="shared" si="44"/>
        <v/>
      </c>
      <c r="FJ24" s="50" t="str">
        <f t="shared" si="44"/>
        <v/>
      </c>
      <c r="FK24" s="50" t="str">
        <f t="shared" si="44"/>
        <v/>
      </c>
      <c r="FL24" s="50" t="str">
        <f t="shared" si="44"/>
        <v/>
      </c>
      <c r="FM24" s="50" t="str">
        <f t="shared" si="44"/>
        <v/>
      </c>
      <c r="FN24" s="50" t="str">
        <f t="shared" si="44"/>
        <v/>
      </c>
      <c r="FO24" s="50" t="str">
        <f t="shared" si="44"/>
        <v/>
      </c>
      <c r="FP24" s="50" t="str">
        <f t="shared" si="44"/>
        <v/>
      </c>
      <c r="FQ24" s="50" t="str">
        <f t="shared" si="44"/>
        <v/>
      </c>
      <c r="FR24" s="50" t="str">
        <f t="shared" si="44"/>
        <v/>
      </c>
      <c r="FS24" s="50" t="str">
        <f t="shared" si="44"/>
        <v/>
      </c>
      <c r="FT24" s="50" t="str">
        <f t="shared" si="44"/>
        <v/>
      </c>
      <c r="FU24" s="50" t="str">
        <f t="shared" si="44"/>
        <v/>
      </c>
      <c r="FV24" s="50" t="str">
        <f t="shared" si="44"/>
        <v/>
      </c>
      <c r="FW24" s="50" t="str">
        <f t="shared" si="44"/>
        <v/>
      </c>
      <c r="FX24" s="50" t="str">
        <f t="shared" si="44"/>
        <v/>
      </c>
      <c r="FY24" s="50" t="str">
        <f t="shared" si="44"/>
        <v/>
      </c>
      <c r="FZ24" s="50" t="str">
        <f t="shared" si="44"/>
        <v/>
      </c>
      <c r="GA24" s="50" t="str">
        <f t="shared" si="44"/>
        <v/>
      </c>
      <c r="GB24" s="50" t="str">
        <f t="shared" si="44"/>
        <v/>
      </c>
      <c r="GC24" s="50" t="str">
        <f t="shared" si="44"/>
        <v/>
      </c>
      <c r="GD24" s="50" t="str">
        <f t="shared" si="44"/>
        <v/>
      </c>
      <c r="GE24" s="50" t="str">
        <f t="shared" si="44"/>
        <v/>
      </c>
      <c r="GF24" s="50" t="str">
        <f t="shared" si="44"/>
        <v/>
      </c>
      <c r="GG24" s="50" t="str">
        <f t="shared" si="44"/>
        <v/>
      </c>
      <c r="GH24" s="50" t="str">
        <f t="shared" si="39"/>
        <v/>
      </c>
      <c r="GI24" s="50" t="str">
        <f t="shared" si="39"/>
        <v/>
      </c>
      <c r="GJ24" s="50" t="str">
        <f t="shared" si="39"/>
        <v/>
      </c>
      <c r="GK24" s="50" t="str">
        <f t="shared" si="39"/>
        <v/>
      </c>
      <c r="GL24" s="50" t="str">
        <f t="shared" si="40"/>
        <v/>
      </c>
      <c r="GM24" s="50" t="str">
        <f t="shared" si="40"/>
        <v/>
      </c>
      <c r="GN24" s="50" t="str">
        <f t="shared" si="40"/>
        <v/>
      </c>
      <c r="GO24" s="50" t="str">
        <f t="shared" si="40"/>
        <v/>
      </c>
      <c r="GP24" s="50" t="str">
        <f t="shared" si="40"/>
        <v/>
      </c>
      <c r="GQ24" s="50" t="str">
        <f t="shared" si="40"/>
        <v/>
      </c>
      <c r="GR24" s="50" t="str">
        <f t="shared" si="40"/>
        <v/>
      </c>
      <c r="GS24" s="50" t="str">
        <f t="shared" si="40"/>
        <v/>
      </c>
      <c r="GT24" s="50" t="str">
        <f t="shared" si="40"/>
        <v/>
      </c>
      <c r="GU24" s="50" t="str">
        <f t="shared" si="40"/>
        <v/>
      </c>
      <c r="GV24" s="50" t="str">
        <f t="shared" si="40"/>
        <v/>
      </c>
      <c r="GW24" s="50" t="str">
        <f t="shared" si="40"/>
        <v/>
      </c>
      <c r="GX24" s="50" t="str">
        <f t="shared" si="41"/>
        <v/>
      </c>
      <c r="GY24" s="50" t="str">
        <f t="shared" si="41"/>
        <v/>
      </c>
      <c r="GZ24" s="50" t="str">
        <f t="shared" si="41"/>
        <v/>
      </c>
      <c r="HA24" s="50" t="str">
        <f t="shared" si="41"/>
        <v/>
      </c>
      <c r="HB24" s="50" t="str">
        <f t="shared" si="41"/>
        <v/>
      </c>
      <c r="HC24" s="50" t="str">
        <f t="shared" si="41"/>
        <v/>
      </c>
      <c r="HD24" s="50" t="str">
        <f t="shared" si="41"/>
        <v/>
      </c>
      <c r="HE24" s="50" t="str">
        <f t="shared" si="41"/>
        <v/>
      </c>
      <c r="HF24" s="50" t="str">
        <f t="shared" si="41"/>
        <v/>
      </c>
      <c r="HG24" s="50" t="str">
        <f t="shared" si="41"/>
        <v/>
      </c>
      <c r="HH24" s="50" t="str">
        <f t="shared" si="41"/>
        <v/>
      </c>
      <c r="HI24" s="50" t="str">
        <f t="shared" si="41"/>
        <v/>
      </c>
      <c r="HJ24" s="50" t="str">
        <f t="shared" si="41"/>
        <v/>
      </c>
      <c r="HK24" s="50" t="str">
        <f t="shared" si="41"/>
        <v/>
      </c>
      <c r="HL24" s="50" t="str">
        <f t="shared" si="41"/>
        <v/>
      </c>
      <c r="HM24" s="50" t="str">
        <f t="shared" si="42"/>
        <v/>
      </c>
      <c r="HN24" s="50" t="str">
        <f t="shared" si="42"/>
        <v/>
      </c>
      <c r="HO24" s="50" t="str">
        <f t="shared" si="42"/>
        <v/>
      </c>
      <c r="HP24" s="50" t="str">
        <f t="shared" si="42"/>
        <v/>
      </c>
      <c r="HQ24" s="50" t="str">
        <f t="shared" si="42"/>
        <v/>
      </c>
      <c r="HR24" s="112" t="str">
        <f t="shared" si="42"/>
        <v/>
      </c>
    </row>
    <row r="25" spans="1:226" ht="11.1" customHeight="1" x14ac:dyDescent="0.25">
      <c r="A25" s="26"/>
      <c r="B25" s="27"/>
      <c r="C25" s="28" t="str">
        <f>IF(A25=0,"",VLOOKUP(A25,[2]CO!$A$3:$F$5327,2,0))</f>
        <v/>
      </c>
      <c r="D25" s="29"/>
      <c r="E25" s="29"/>
      <c r="F25" s="29"/>
      <c r="G25" s="30" t="str">
        <f>IF(A25=0,"",VLOOKUP(A25,[2]CO!$A$3:$F$5327,3,0))</f>
        <v/>
      </c>
      <c r="H25" s="29"/>
      <c r="I25" s="31"/>
      <c r="J25" s="31"/>
      <c r="K25" s="31"/>
      <c r="L25" s="31"/>
      <c r="M25" s="32" t="str">
        <f t="shared" si="27"/>
        <v/>
      </c>
      <c r="N25" s="32" t="str">
        <f>IF(B25=0,"",IF(H25="M",HLOOKUP(B25,$Y$12:$DT$13,2),IF(A25=0,"",VLOOKUP(A25,[2]CO!$A$3:$F$5327,4,0))))</f>
        <v/>
      </c>
      <c r="O25" s="32" t="str">
        <f t="shared" si="28"/>
        <v/>
      </c>
      <c r="P25" s="33"/>
      <c r="Q25" s="34" t="str">
        <f t="shared" si="29"/>
        <v/>
      </c>
      <c r="R25" s="35" t="str">
        <f t="shared" si="10"/>
        <v/>
      </c>
      <c r="T25" s="53" t="str">
        <f>IF(A25=0,"",VLOOKUP(A25,[2]CO!$A$3:$F$5318,5,0))</f>
        <v/>
      </c>
      <c r="U25" s="54">
        <f t="shared" si="30"/>
        <v>0</v>
      </c>
      <c r="V25" s="24"/>
      <c r="W25" s="25"/>
      <c r="X25" s="25"/>
      <c r="Y25" s="64" t="str">
        <f t="shared" si="43"/>
        <v/>
      </c>
      <c r="Z25" s="55" t="str">
        <f t="shared" si="43"/>
        <v/>
      </c>
      <c r="AA25" s="55" t="str">
        <f t="shared" si="43"/>
        <v/>
      </c>
      <c r="AB25" s="55" t="str">
        <f t="shared" si="43"/>
        <v/>
      </c>
      <c r="AC25" s="55" t="str">
        <f t="shared" si="43"/>
        <v/>
      </c>
      <c r="AD25" s="55" t="str">
        <f t="shared" si="43"/>
        <v/>
      </c>
      <c r="AE25" s="55" t="str">
        <f t="shared" si="43"/>
        <v/>
      </c>
      <c r="AF25" s="55" t="str">
        <f t="shared" si="43"/>
        <v/>
      </c>
      <c r="AG25" s="55" t="str">
        <f t="shared" si="43"/>
        <v/>
      </c>
      <c r="AH25" s="55" t="str">
        <f t="shared" si="43"/>
        <v/>
      </c>
      <c r="AI25" s="55" t="str">
        <f t="shared" si="43"/>
        <v/>
      </c>
      <c r="AJ25" s="55" t="str">
        <f t="shared" si="43"/>
        <v/>
      </c>
      <c r="AK25" s="55" t="str">
        <f t="shared" si="43"/>
        <v/>
      </c>
      <c r="AL25" s="55" t="str">
        <f t="shared" si="43"/>
        <v/>
      </c>
      <c r="AM25" s="55" t="str">
        <f t="shared" si="43"/>
        <v/>
      </c>
      <c r="AN25" s="55" t="str">
        <f t="shared" si="43"/>
        <v/>
      </c>
      <c r="AO25" s="55" t="str">
        <f t="shared" si="43"/>
        <v/>
      </c>
      <c r="AP25" s="55" t="str">
        <f t="shared" si="43"/>
        <v/>
      </c>
      <c r="AQ25" s="55" t="str">
        <f t="shared" si="43"/>
        <v/>
      </c>
      <c r="AR25" s="55" t="str">
        <f t="shared" si="43"/>
        <v/>
      </c>
      <c r="AS25" s="55" t="str">
        <f t="shared" si="43"/>
        <v/>
      </c>
      <c r="AT25" s="55" t="str">
        <f t="shared" si="43"/>
        <v/>
      </c>
      <c r="AU25" s="55" t="str">
        <f t="shared" si="43"/>
        <v/>
      </c>
      <c r="AV25" s="55" t="str">
        <f t="shared" si="43"/>
        <v/>
      </c>
      <c r="AW25" s="55" t="str">
        <f t="shared" si="43"/>
        <v/>
      </c>
      <c r="AX25" s="55" t="str">
        <f t="shared" si="43"/>
        <v/>
      </c>
      <c r="AY25" s="55" t="str">
        <f t="shared" si="43"/>
        <v/>
      </c>
      <c r="AZ25" s="55" t="str">
        <f t="shared" si="43"/>
        <v/>
      </c>
      <c r="BA25" s="55" t="str">
        <f t="shared" si="43"/>
        <v/>
      </c>
      <c r="BB25" s="55" t="str">
        <f t="shared" si="43"/>
        <v/>
      </c>
      <c r="BC25" s="55" t="str">
        <f t="shared" si="43"/>
        <v/>
      </c>
      <c r="BD25" s="55" t="str">
        <f t="shared" si="43"/>
        <v/>
      </c>
      <c r="BE25" s="55" t="str">
        <f t="shared" si="43"/>
        <v/>
      </c>
      <c r="BF25" s="55" t="str">
        <f t="shared" si="43"/>
        <v/>
      </c>
      <c r="BG25" s="55" t="str">
        <f t="shared" si="43"/>
        <v/>
      </c>
      <c r="BH25" s="55" t="str">
        <f t="shared" si="43"/>
        <v/>
      </c>
      <c r="BI25" s="55" t="str">
        <f t="shared" si="43"/>
        <v/>
      </c>
      <c r="BJ25" s="55" t="str">
        <f t="shared" si="43"/>
        <v/>
      </c>
      <c r="BK25" s="55" t="str">
        <f t="shared" si="43"/>
        <v/>
      </c>
      <c r="BL25" s="55" t="str">
        <f t="shared" si="43"/>
        <v/>
      </c>
      <c r="BM25" s="55" t="str">
        <f t="shared" si="43"/>
        <v/>
      </c>
      <c r="BN25" s="55" t="str">
        <f t="shared" si="43"/>
        <v/>
      </c>
      <c r="BO25" s="55" t="str">
        <f t="shared" si="43"/>
        <v/>
      </c>
      <c r="BP25" s="55" t="str">
        <f t="shared" si="43"/>
        <v/>
      </c>
      <c r="BQ25" s="55" t="str">
        <f t="shared" si="43"/>
        <v/>
      </c>
      <c r="BR25" s="55" t="str">
        <f t="shared" si="43"/>
        <v/>
      </c>
      <c r="BS25" s="55" t="str">
        <f t="shared" si="43"/>
        <v/>
      </c>
      <c r="BT25" s="55" t="str">
        <f t="shared" si="43"/>
        <v/>
      </c>
      <c r="BU25" s="55" t="str">
        <f t="shared" si="43"/>
        <v/>
      </c>
      <c r="BV25" s="55" t="str">
        <f t="shared" si="43"/>
        <v/>
      </c>
      <c r="BW25" s="55" t="str">
        <f t="shared" si="43"/>
        <v/>
      </c>
      <c r="BX25" s="55" t="str">
        <f t="shared" si="43"/>
        <v/>
      </c>
      <c r="BY25" s="55" t="str">
        <f t="shared" si="43"/>
        <v/>
      </c>
      <c r="BZ25" s="55" t="str">
        <f t="shared" si="43"/>
        <v/>
      </c>
      <c r="CA25" s="55" t="str">
        <f t="shared" si="43"/>
        <v/>
      </c>
      <c r="CB25" s="55" t="str">
        <f t="shared" si="43"/>
        <v/>
      </c>
      <c r="CC25" s="55" t="str">
        <f t="shared" si="43"/>
        <v/>
      </c>
      <c r="CD25" s="55" t="str">
        <f t="shared" si="43"/>
        <v/>
      </c>
      <c r="CE25" s="55" t="str">
        <f t="shared" si="43"/>
        <v/>
      </c>
      <c r="CF25" s="55" t="str">
        <f t="shared" si="43"/>
        <v/>
      </c>
      <c r="CG25" s="55" t="str">
        <f t="shared" si="43"/>
        <v/>
      </c>
      <c r="CH25" s="55" t="str">
        <f t="shared" si="43"/>
        <v/>
      </c>
      <c r="CI25" s="55" t="str">
        <f t="shared" si="43"/>
        <v/>
      </c>
      <c r="CJ25" s="55" t="str">
        <f t="shared" si="33"/>
        <v/>
      </c>
      <c r="CK25" s="55" t="str">
        <f t="shared" si="33"/>
        <v/>
      </c>
      <c r="CL25" s="55" t="str">
        <f t="shared" si="33"/>
        <v/>
      </c>
      <c r="CM25" s="55" t="str">
        <f t="shared" si="33"/>
        <v/>
      </c>
      <c r="CN25" s="55" t="str">
        <f t="shared" si="33"/>
        <v/>
      </c>
      <c r="CO25" s="55" t="str">
        <f t="shared" si="33"/>
        <v/>
      </c>
      <c r="CP25" s="55" t="str">
        <f t="shared" si="33"/>
        <v/>
      </c>
      <c r="CQ25" s="55" t="str">
        <f t="shared" si="33"/>
        <v/>
      </c>
      <c r="CR25" s="55" t="str">
        <f t="shared" si="33"/>
        <v/>
      </c>
      <c r="CS25" s="55" t="str">
        <f t="shared" si="33"/>
        <v/>
      </c>
      <c r="CT25" s="55" t="str">
        <f t="shared" si="33"/>
        <v/>
      </c>
      <c r="CU25" s="55" t="str">
        <f t="shared" si="33"/>
        <v/>
      </c>
      <c r="CV25" s="55" t="str">
        <f t="shared" si="33"/>
        <v/>
      </c>
      <c r="CW25" s="55" t="str">
        <f t="shared" si="33"/>
        <v/>
      </c>
      <c r="CX25" s="55" t="str">
        <f t="shared" si="33"/>
        <v/>
      </c>
      <c r="CY25" s="55" t="str">
        <f t="shared" si="33"/>
        <v/>
      </c>
      <c r="CZ25" s="55" t="str">
        <f t="shared" si="35"/>
        <v/>
      </c>
      <c r="DA25" s="55" t="str">
        <f t="shared" si="35"/>
        <v/>
      </c>
      <c r="DB25" s="55" t="str">
        <f t="shared" si="35"/>
        <v/>
      </c>
      <c r="DC25" s="55" t="str">
        <f t="shared" si="35"/>
        <v/>
      </c>
      <c r="DD25" s="55" t="str">
        <f t="shared" si="35"/>
        <v/>
      </c>
      <c r="DE25" s="55" t="str">
        <f t="shared" si="35"/>
        <v/>
      </c>
      <c r="DF25" s="55" t="str">
        <f t="shared" si="35"/>
        <v/>
      </c>
      <c r="DG25" s="55" t="str">
        <f t="shared" si="35"/>
        <v/>
      </c>
      <c r="DH25" s="55" t="str">
        <f t="shared" si="35"/>
        <v/>
      </c>
      <c r="DI25" s="55" t="str">
        <f t="shared" si="35"/>
        <v/>
      </c>
      <c r="DJ25" s="55" t="str">
        <f t="shared" si="35"/>
        <v/>
      </c>
      <c r="DK25" s="55" t="str">
        <f t="shared" si="35"/>
        <v/>
      </c>
      <c r="DL25" s="55" t="str">
        <f t="shared" si="35"/>
        <v/>
      </c>
      <c r="DM25" s="55" t="str">
        <f t="shared" si="35"/>
        <v/>
      </c>
      <c r="DN25" s="55" t="str">
        <f t="shared" si="35"/>
        <v/>
      </c>
      <c r="DO25" s="55" t="str">
        <f t="shared" si="36"/>
        <v/>
      </c>
      <c r="DP25" s="55" t="str">
        <f t="shared" si="36"/>
        <v/>
      </c>
      <c r="DQ25" s="55" t="str">
        <f t="shared" si="36"/>
        <v/>
      </c>
      <c r="DR25" s="55" t="str">
        <f t="shared" si="36"/>
        <v/>
      </c>
      <c r="DS25" s="55" t="str">
        <f t="shared" si="36"/>
        <v/>
      </c>
      <c r="DT25" s="106" t="str">
        <f t="shared" si="36"/>
        <v/>
      </c>
      <c r="DU25" s="54"/>
      <c r="DV25" s="25"/>
      <c r="DW25" s="61" t="str">
        <f t="shared" si="44"/>
        <v/>
      </c>
      <c r="DX25" s="50" t="str">
        <f t="shared" si="44"/>
        <v/>
      </c>
      <c r="DY25" s="50" t="str">
        <f t="shared" si="44"/>
        <v/>
      </c>
      <c r="DZ25" s="50" t="str">
        <f t="shared" si="44"/>
        <v/>
      </c>
      <c r="EA25" s="50" t="str">
        <f t="shared" si="44"/>
        <v/>
      </c>
      <c r="EB25" s="50" t="str">
        <f t="shared" si="44"/>
        <v/>
      </c>
      <c r="EC25" s="50" t="str">
        <f t="shared" si="44"/>
        <v/>
      </c>
      <c r="ED25" s="50" t="str">
        <f t="shared" si="44"/>
        <v/>
      </c>
      <c r="EE25" s="50" t="str">
        <f t="shared" si="44"/>
        <v/>
      </c>
      <c r="EF25" s="50" t="str">
        <f t="shared" si="44"/>
        <v/>
      </c>
      <c r="EG25" s="50" t="str">
        <f t="shared" si="44"/>
        <v/>
      </c>
      <c r="EH25" s="50" t="str">
        <f t="shared" si="44"/>
        <v/>
      </c>
      <c r="EI25" s="50" t="str">
        <f t="shared" si="44"/>
        <v/>
      </c>
      <c r="EJ25" s="50" t="str">
        <f t="shared" si="44"/>
        <v/>
      </c>
      <c r="EK25" s="50" t="str">
        <f t="shared" si="44"/>
        <v/>
      </c>
      <c r="EL25" s="50" t="str">
        <f t="shared" si="44"/>
        <v/>
      </c>
      <c r="EM25" s="50" t="str">
        <f t="shared" si="44"/>
        <v/>
      </c>
      <c r="EN25" s="50" t="str">
        <f t="shared" si="44"/>
        <v/>
      </c>
      <c r="EO25" s="50" t="str">
        <f t="shared" si="44"/>
        <v/>
      </c>
      <c r="EP25" s="50" t="str">
        <f t="shared" si="44"/>
        <v/>
      </c>
      <c r="EQ25" s="50" t="str">
        <f t="shared" si="44"/>
        <v/>
      </c>
      <c r="ER25" s="50" t="str">
        <f t="shared" si="44"/>
        <v/>
      </c>
      <c r="ES25" s="50" t="str">
        <f t="shared" si="44"/>
        <v/>
      </c>
      <c r="ET25" s="50" t="str">
        <f t="shared" si="44"/>
        <v/>
      </c>
      <c r="EU25" s="50" t="str">
        <f t="shared" si="44"/>
        <v/>
      </c>
      <c r="EV25" s="50" t="str">
        <f t="shared" si="44"/>
        <v/>
      </c>
      <c r="EW25" s="50" t="str">
        <f t="shared" si="44"/>
        <v/>
      </c>
      <c r="EX25" s="50" t="str">
        <f t="shared" si="44"/>
        <v/>
      </c>
      <c r="EY25" s="50" t="str">
        <f t="shared" si="44"/>
        <v/>
      </c>
      <c r="EZ25" s="50" t="str">
        <f t="shared" si="44"/>
        <v/>
      </c>
      <c r="FA25" s="50" t="str">
        <f t="shared" si="44"/>
        <v/>
      </c>
      <c r="FB25" s="50" t="str">
        <f t="shared" si="44"/>
        <v/>
      </c>
      <c r="FC25" s="50" t="str">
        <f t="shared" si="44"/>
        <v/>
      </c>
      <c r="FD25" s="50" t="str">
        <f t="shared" si="44"/>
        <v/>
      </c>
      <c r="FE25" s="50" t="str">
        <f t="shared" si="44"/>
        <v/>
      </c>
      <c r="FF25" s="50" t="str">
        <f t="shared" si="44"/>
        <v/>
      </c>
      <c r="FG25" s="50" t="str">
        <f t="shared" si="44"/>
        <v/>
      </c>
      <c r="FH25" s="50" t="str">
        <f t="shared" si="44"/>
        <v/>
      </c>
      <c r="FI25" s="50" t="str">
        <f t="shared" si="44"/>
        <v/>
      </c>
      <c r="FJ25" s="50" t="str">
        <f t="shared" si="44"/>
        <v/>
      </c>
      <c r="FK25" s="50" t="str">
        <f t="shared" si="44"/>
        <v/>
      </c>
      <c r="FL25" s="50" t="str">
        <f t="shared" si="44"/>
        <v/>
      </c>
      <c r="FM25" s="50" t="str">
        <f t="shared" si="44"/>
        <v/>
      </c>
      <c r="FN25" s="50" t="str">
        <f t="shared" si="44"/>
        <v/>
      </c>
      <c r="FO25" s="50" t="str">
        <f t="shared" si="44"/>
        <v/>
      </c>
      <c r="FP25" s="50" t="str">
        <f t="shared" si="44"/>
        <v/>
      </c>
      <c r="FQ25" s="50" t="str">
        <f t="shared" si="44"/>
        <v/>
      </c>
      <c r="FR25" s="50" t="str">
        <f t="shared" si="44"/>
        <v/>
      </c>
      <c r="FS25" s="50" t="str">
        <f t="shared" si="44"/>
        <v/>
      </c>
      <c r="FT25" s="50" t="str">
        <f t="shared" si="44"/>
        <v/>
      </c>
      <c r="FU25" s="50" t="str">
        <f t="shared" si="44"/>
        <v/>
      </c>
      <c r="FV25" s="50" t="str">
        <f t="shared" si="44"/>
        <v/>
      </c>
      <c r="FW25" s="50" t="str">
        <f t="shared" si="44"/>
        <v/>
      </c>
      <c r="FX25" s="50" t="str">
        <f t="shared" si="44"/>
        <v/>
      </c>
      <c r="FY25" s="50" t="str">
        <f t="shared" si="44"/>
        <v/>
      </c>
      <c r="FZ25" s="50" t="str">
        <f t="shared" si="44"/>
        <v/>
      </c>
      <c r="GA25" s="50" t="str">
        <f t="shared" si="44"/>
        <v/>
      </c>
      <c r="GB25" s="50" t="str">
        <f t="shared" si="44"/>
        <v/>
      </c>
      <c r="GC25" s="50" t="str">
        <f t="shared" si="44"/>
        <v/>
      </c>
      <c r="GD25" s="50" t="str">
        <f t="shared" si="44"/>
        <v/>
      </c>
      <c r="GE25" s="50" t="str">
        <f t="shared" si="44"/>
        <v/>
      </c>
      <c r="GF25" s="50" t="str">
        <f t="shared" si="44"/>
        <v/>
      </c>
      <c r="GG25" s="50" t="str">
        <f t="shared" si="44"/>
        <v/>
      </c>
      <c r="GH25" s="50" t="str">
        <f t="shared" si="39"/>
        <v/>
      </c>
      <c r="GI25" s="50" t="str">
        <f t="shared" si="39"/>
        <v/>
      </c>
      <c r="GJ25" s="50" t="str">
        <f t="shared" si="39"/>
        <v/>
      </c>
      <c r="GK25" s="50" t="str">
        <f t="shared" si="39"/>
        <v/>
      </c>
      <c r="GL25" s="50" t="str">
        <f t="shared" si="39"/>
        <v/>
      </c>
      <c r="GM25" s="50" t="str">
        <f t="shared" si="39"/>
        <v/>
      </c>
      <c r="GN25" s="50" t="str">
        <f t="shared" si="39"/>
        <v/>
      </c>
      <c r="GO25" s="50" t="str">
        <f t="shared" si="39"/>
        <v/>
      </c>
      <c r="GP25" s="50" t="str">
        <f t="shared" si="39"/>
        <v/>
      </c>
      <c r="GQ25" s="50" t="str">
        <f t="shared" si="39"/>
        <v/>
      </c>
      <c r="GR25" s="50" t="str">
        <f t="shared" si="39"/>
        <v/>
      </c>
      <c r="GS25" s="50" t="str">
        <f t="shared" si="39"/>
        <v/>
      </c>
      <c r="GT25" s="50" t="str">
        <f t="shared" si="39"/>
        <v/>
      </c>
      <c r="GU25" s="50" t="str">
        <f t="shared" si="39"/>
        <v/>
      </c>
      <c r="GV25" s="50" t="str">
        <f t="shared" si="39"/>
        <v/>
      </c>
      <c r="GW25" s="50" t="str">
        <f t="shared" si="39"/>
        <v/>
      </c>
      <c r="GX25" s="50" t="str">
        <f t="shared" si="41"/>
        <v/>
      </c>
      <c r="GY25" s="50" t="str">
        <f t="shared" si="41"/>
        <v/>
      </c>
      <c r="GZ25" s="50" t="str">
        <f t="shared" si="41"/>
        <v/>
      </c>
      <c r="HA25" s="50" t="str">
        <f t="shared" si="41"/>
        <v/>
      </c>
      <c r="HB25" s="50" t="str">
        <f t="shared" si="41"/>
        <v/>
      </c>
      <c r="HC25" s="50" t="str">
        <f t="shared" si="41"/>
        <v/>
      </c>
      <c r="HD25" s="50" t="str">
        <f t="shared" si="41"/>
        <v/>
      </c>
      <c r="HE25" s="50" t="str">
        <f t="shared" si="41"/>
        <v/>
      </c>
      <c r="HF25" s="50" t="str">
        <f t="shared" si="41"/>
        <v/>
      </c>
      <c r="HG25" s="50" t="str">
        <f t="shared" si="41"/>
        <v/>
      </c>
      <c r="HH25" s="50" t="str">
        <f t="shared" si="41"/>
        <v/>
      </c>
      <c r="HI25" s="50" t="str">
        <f t="shared" si="41"/>
        <v/>
      </c>
      <c r="HJ25" s="50" t="str">
        <f t="shared" si="41"/>
        <v/>
      </c>
      <c r="HK25" s="50" t="str">
        <f t="shared" si="41"/>
        <v/>
      </c>
      <c r="HL25" s="50" t="str">
        <f t="shared" si="41"/>
        <v/>
      </c>
      <c r="HM25" s="50" t="str">
        <f t="shared" si="42"/>
        <v/>
      </c>
      <c r="HN25" s="50" t="str">
        <f t="shared" si="42"/>
        <v/>
      </c>
      <c r="HO25" s="50" t="str">
        <f t="shared" si="42"/>
        <v/>
      </c>
      <c r="HP25" s="50" t="str">
        <f t="shared" si="42"/>
        <v/>
      </c>
      <c r="HQ25" s="50" t="str">
        <f t="shared" si="42"/>
        <v/>
      </c>
      <c r="HR25" s="112" t="str">
        <f t="shared" si="42"/>
        <v/>
      </c>
    </row>
    <row r="26" spans="1:226" ht="11.1" customHeight="1" x14ac:dyDescent="0.25">
      <c r="A26" s="26"/>
      <c r="B26" s="27"/>
      <c r="C26" s="28" t="str">
        <f>IF(A26=0,"",VLOOKUP(A26,[2]CO!$A$3:$F$5327,2,0))</f>
        <v/>
      </c>
      <c r="D26" s="29"/>
      <c r="E26" s="29"/>
      <c r="F26" s="29"/>
      <c r="G26" s="30" t="str">
        <f>IF(A26=0,"",VLOOKUP(A26,[2]CO!$A$3:$F$5327,3,0))</f>
        <v/>
      </c>
      <c r="H26" s="29"/>
      <c r="I26" s="31"/>
      <c r="J26" s="31"/>
      <c r="K26" s="31"/>
      <c r="L26" s="31"/>
      <c r="M26" s="32" t="str">
        <f t="shared" si="8"/>
        <v/>
      </c>
      <c r="N26" s="32" t="str">
        <f>IF(B26=0,"",IF(H26="M",HLOOKUP(B26,$Y$12:$DT$13,2),IF(A26=0,"",VLOOKUP(A26,[2]CO!$A$3:$F$5327,4,0))))</f>
        <v/>
      </c>
      <c r="O26" s="32" t="str">
        <f t="shared" si="16"/>
        <v/>
      </c>
      <c r="P26" s="33"/>
      <c r="Q26" s="34" t="str">
        <f t="shared" si="9"/>
        <v/>
      </c>
      <c r="R26" s="35" t="str">
        <f t="shared" si="10"/>
        <v/>
      </c>
      <c r="T26" s="53" t="str">
        <f>IF(A26=0,"",VLOOKUP(A26,[2]CO!$A$3:$F$5318,5,0))</f>
        <v/>
      </c>
      <c r="U26" s="54">
        <f t="shared" si="11"/>
        <v>0</v>
      </c>
      <c r="V26" s="24"/>
      <c r="W26" s="25"/>
      <c r="X26" s="25"/>
      <c r="Y26" s="64" t="str">
        <f t="shared" ref="Y26:CI27" si="45">IF($B26=Y$12,$U26,"")</f>
        <v/>
      </c>
      <c r="Z26" s="55" t="str">
        <f t="shared" si="45"/>
        <v/>
      </c>
      <c r="AA26" s="55" t="str">
        <f t="shared" si="45"/>
        <v/>
      </c>
      <c r="AB26" s="55" t="str">
        <f t="shared" si="45"/>
        <v/>
      </c>
      <c r="AC26" s="55" t="str">
        <f t="shared" si="45"/>
        <v/>
      </c>
      <c r="AD26" s="55" t="str">
        <f t="shared" si="45"/>
        <v/>
      </c>
      <c r="AE26" s="55" t="str">
        <f t="shared" si="45"/>
        <v/>
      </c>
      <c r="AF26" s="55" t="str">
        <f t="shared" si="45"/>
        <v/>
      </c>
      <c r="AG26" s="55" t="str">
        <f t="shared" si="45"/>
        <v/>
      </c>
      <c r="AH26" s="55" t="str">
        <f t="shared" si="45"/>
        <v/>
      </c>
      <c r="AI26" s="55" t="str">
        <f t="shared" si="45"/>
        <v/>
      </c>
      <c r="AJ26" s="55" t="str">
        <f t="shared" si="45"/>
        <v/>
      </c>
      <c r="AK26" s="55" t="str">
        <f t="shared" si="45"/>
        <v/>
      </c>
      <c r="AL26" s="55" t="str">
        <f t="shared" si="45"/>
        <v/>
      </c>
      <c r="AM26" s="55" t="str">
        <f t="shared" si="45"/>
        <v/>
      </c>
      <c r="AN26" s="55" t="str">
        <f t="shared" si="45"/>
        <v/>
      </c>
      <c r="AO26" s="55" t="str">
        <f t="shared" si="45"/>
        <v/>
      </c>
      <c r="AP26" s="55" t="str">
        <f t="shared" si="45"/>
        <v/>
      </c>
      <c r="AQ26" s="55" t="str">
        <f t="shared" si="45"/>
        <v/>
      </c>
      <c r="AR26" s="55" t="str">
        <f t="shared" si="45"/>
        <v/>
      </c>
      <c r="AS26" s="55" t="str">
        <f t="shared" si="45"/>
        <v/>
      </c>
      <c r="AT26" s="55" t="str">
        <f t="shared" si="45"/>
        <v/>
      </c>
      <c r="AU26" s="55" t="str">
        <f t="shared" si="45"/>
        <v/>
      </c>
      <c r="AV26" s="55" t="str">
        <f t="shared" si="45"/>
        <v/>
      </c>
      <c r="AW26" s="55" t="str">
        <f t="shared" si="45"/>
        <v/>
      </c>
      <c r="AX26" s="55" t="str">
        <f t="shared" si="45"/>
        <v/>
      </c>
      <c r="AY26" s="55" t="str">
        <f t="shared" si="45"/>
        <v/>
      </c>
      <c r="AZ26" s="55" t="str">
        <f t="shared" si="45"/>
        <v/>
      </c>
      <c r="BA26" s="55" t="str">
        <f t="shared" si="45"/>
        <v/>
      </c>
      <c r="BB26" s="55" t="str">
        <f t="shared" si="45"/>
        <v/>
      </c>
      <c r="BC26" s="55" t="str">
        <f t="shared" si="45"/>
        <v/>
      </c>
      <c r="BD26" s="55" t="str">
        <f t="shared" si="45"/>
        <v/>
      </c>
      <c r="BE26" s="55" t="str">
        <f t="shared" si="45"/>
        <v/>
      </c>
      <c r="BF26" s="55" t="str">
        <f t="shared" si="45"/>
        <v/>
      </c>
      <c r="BG26" s="55" t="str">
        <f t="shared" si="45"/>
        <v/>
      </c>
      <c r="BH26" s="55" t="str">
        <f t="shared" si="45"/>
        <v/>
      </c>
      <c r="BI26" s="55" t="str">
        <f t="shared" si="45"/>
        <v/>
      </c>
      <c r="BJ26" s="55" t="str">
        <f t="shared" si="45"/>
        <v/>
      </c>
      <c r="BK26" s="55" t="str">
        <f t="shared" si="45"/>
        <v/>
      </c>
      <c r="BL26" s="55" t="str">
        <f t="shared" si="45"/>
        <v/>
      </c>
      <c r="BM26" s="55" t="str">
        <f t="shared" si="45"/>
        <v/>
      </c>
      <c r="BN26" s="55" t="str">
        <f t="shared" si="45"/>
        <v/>
      </c>
      <c r="BO26" s="55" t="str">
        <f t="shared" si="45"/>
        <v/>
      </c>
      <c r="BP26" s="55" t="str">
        <f t="shared" si="45"/>
        <v/>
      </c>
      <c r="BQ26" s="55" t="str">
        <f t="shared" si="45"/>
        <v/>
      </c>
      <c r="BR26" s="55" t="str">
        <f t="shared" si="45"/>
        <v/>
      </c>
      <c r="BS26" s="55" t="str">
        <f t="shared" si="45"/>
        <v/>
      </c>
      <c r="BT26" s="55" t="str">
        <f t="shared" si="45"/>
        <v/>
      </c>
      <c r="BU26" s="55" t="str">
        <f t="shared" si="45"/>
        <v/>
      </c>
      <c r="BV26" s="55" t="str">
        <f t="shared" si="45"/>
        <v/>
      </c>
      <c r="BW26" s="55" t="str">
        <f t="shared" si="45"/>
        <v/>
      </c>
      <c r="BX26" s="55" t="str">
        <f t="shared" si="45"/>
        <v/>
      </c>
      <c r="BY26" s="55" t="str">
        <f t="shared" si="45"/>
        <v/>
      </c>
      <c r="BZ26" s="55" t="str">
        <f t="shared" si="45"/>
        <v/>
      </c>
      <c r="CA26" s="55" t="str">
        <f t="shared" si="45"/>
        <v/>
      </c>
      <c r="CB26" s="55" t="str">
        <f t="shared" si="45"/>
        <v/>
      </c>
      <c r="CC26" s="55" t="str">
        <f t="shared" si="45"/>
        <v/>
      </c>
      <c r="CD26" s="55" t="str">
        <f t="shared" si="45"/>
        <v/>
      </c>
      <c r="CE26" s="55" t="str">
        <f t="shared" si="45"/>
        <v/>
      </c>
      <c r="CF26" s="55" t="str">
        <f t="shared" si="45"/>
        <v/>
      </c>
      <c r="CG26" s="55" t="str">
        <f t="shared" si="45"/>
        <v/>
      </c>
      <c r="CH26" s="55" t="str">
        <f t="shared" si="45"/>
        <v/>
      </c>
      <c r="CI26" s="55" t="str">
        <f t="shared" si="45"/>
        <v/>
      </c>
      <c r="CJ26" s="55" t="str">
        <f t="shared" ref="CJ26:CY27" si="46">IF($B26=CJ$12,$U26,"")</f>
        <v/>
      </c>
      <c r="CK26" s="55" t="str">
        <f t="shared" si="46"/>
        <v/>
      </c>
      <c r="CL26" s="55" t="str">
        <f t="shared" si="46"/>
        <v/>
      </c>
      <c r="CM26" s="55" t="str">
        <f t="shared" si="46"/>
        <v/>
      </c>
      <c r="CN26" s="55" t="str">
        <f t="shared" si="46"/>
        <v/>
      </c>
      <c r="CO26" s="55" t="str">
        <f t="shared" si="46"/>
        <v/>
      </c>
      <c r="CP26" s="55" t="str">
        <f t="shared" si="46"/>
        <v/>
      </c>
      <c r="CQ26" s="55" t="str">
        <f t="shared" si="46"/>
        <v/>
      </c>
      <c r="CR26" s="55" t="str">
        <f t="shared" si="46"/>
        <v/>
      </c>
      <c r="CS26" s="55" t="str">
        <f t="shared" si="46"/>
        <v/>
      </c>
      <c r="CT26" s="55" t="str">
        <f t="shared" si="46"/>
        <v/>
      </c>
      <c r="CU26" s="55" t="str">
        <f t="shared" si="46"/>
        <v/>
      </c>
      <c r="CV26" s="55" t="str">
        <f t="shared" si="46"/>
        <v/>
      </c>
      <c r="CW26" s="55" t="str">
        <f t="shared" si="46"/>
        <v/>
      </c>
      <c r="CX26" s="55" t="str">
        <f t="shared" si="46"/>
        <v/>
      </c>
      <c r="CY26" s="55" t="str">
        <f t="shared" si="46"/>
        <v/>
      </c>
      <c r="CZ26" s="55" t="str">
        <f t="shared" ref="CZ26:DO27" si="47">IF($B26=CZ$12,$U26,"")</f>
        <v/>
      </c>
      <c r="DA26" s="55" t="str">
        <f t="shared" si="47"/>
        <v/>
      </c>
      <c r="DB26" s="55" t="str">
        <f t="shared" si="47"/>
        <v/>
      </c>
      <c r="DC26" s="55" t="str">
        <f t="shared" si="47"/>
        <v/>
      </c>
      <c r="DD26" s="55" t="str">
        <f t="shared" si="47"/>
        <v/>
      </c>
      <c r="DE26" s="55" t="str">
        <f t="shared" si="47"/>
        <v/>
      </c>
      <c r="DF26" s="55" t="str">
        <f t="shared" si="47"/>
        <v/>
      </c>
      <c r="DG26" s="55" t="str">
        <f t="shared" si="47"/>
        <v/>
      </c>
      <c r="DH26" s="55" t="str">
        <f t="shared" si="47"/>
        <v/>
      </c>
      <c r="DI26" s="55" t="str">
        <f t="shared" si="47"/>
        <v/>
      </c>
      <c r="DJ26" s="55" t="str">
        <f t="shared" si="47"/>
        <v/>
      </c>
      <c r="DK26" s="55" t="str">
        <f t="shared" si="47"/>
        <v/>
      </c>
      <c r="DL26" s="55" t="str">
        <f t="shared" si="47"/>
        <v/>
      </c>
      <c r="DM26" s="55" t="str">
        <f t="shared" si="47"/>
        <v/>
      </c>
      <c r="DN26" s="55" t="str">
        <f t="shared" si="47"/>
        <v/>
      </c>
      <c r="DO26" s="55" t="str">
        <f t="shared" ref="DO26:DT27" si="48">IF($B26=DO$12,$U26,"")</f>
        <v/>
      </c>
      <c r="DP26" s="55" t="str">
        <f t="shared" si="48"/>
        <v/>
      </c>
      <c r="DQ26" s="55" t="str">
        <f t="shared" si="48"/>
        <v/>
      </c>
      <c r="DR26" s="55" t="str">
        <f t="shared" si="48"/>
        <v/>
      </c>
      <c r="DS26" s="55" t="str">
        <f t="shared" si="48"/>
        <v/>
      </c>
      <c r="DT26" s="106" t="str">
        <f t="shared" si="48"/>
        <v/>
      </c>
      <c r="DU26" s="54"/>
      <c r="DV26" s="25"/>
      <c r="DW26" s="61" t="str">
        <f t="shared" ref="DW26:GG27" si="49">IF($B26=DW$12,$O26,"")</f>
        <v/>
      </c>
      <c r="DX26" s="50" t="str">
        <f t="shared" si="49"/>
        <v/>
      </c>
      <c r="DY26" s="50" t="str">
        <f t="shared" si="49"/>
        <v/>
      </c>
      <c r="DZ26" s="50" t="str">
        <f t="shared" si="49"/>
        <v/>
      </c>
      <c r="EA26" s="50" t="str">
        <f t="shared" si="49"/>
        <v/>
      </c>
      <c r="EB26" s="50" t="str">
        <f t="shared" si="49"/>
        <v/>
      </c>
      <c r="EC26" s="50" t="str">
        <f t="shared" si="49"/>
        <v/>
      </c>
      <c r="ED26" s="50" t="str">
        <f t="shared" si="49"/>
        <v/>
      </c>
      <c r="EE26" s="50" t="str">
        <f t="shared" si="49"/>
        <v/>
      </c>
      <c r="EF26" s="50" t="str">
        <f t="shared" si="49"/>
        <v/>
      </c>
      <c r="EG26" s="50" t="str">
        <f t="shared" si="49"/>
        <v/>
      </c>
      <c r="EH26" s="50" t="str">
        <f t="shared" si="49"/>
        <v/>
      </c>
      <c r="EI26" s="50" t="str">
        <f t="shared" si="49"/>
        <v/>
      </c>
      <c r="EJ26" s="50" t="str">
        <f t="shared" si="49"/>
        <v/>
      </c>
      <c r="EK26" s="50" t="str">
        <f t="shared" si="49"/>
        <v/>
      </c>
      <c r="EL26" s="50" t="str">
        <f t="shared" si="49"/>
        <v/>
      </c>
      <c r="EM26" s="50" t="str">
        <f t="shared" si="49"/>
        <v/>
      </c>
      <c r="EN26" s="50" t="str">
        <f t="shared" si="49"/>
        <v/>
      </c>
      <c r="EO26" s="50" t="str">
        <f t="shared" si="49"/>
        <v/>
      </c>
      <c r="EP26" s="50" t="str">
        <f t="shared" si="49"/>
        <v/>
      </c>
      <c r="EQ26" s="50" t="str">
        <f t="shared" si="49"/>
        <v/>
      </c>
      <c r="ER26" s="50" t="str">
        <f t="shared" si="49"/>
        <v/>
      </c>
      <c r="ES26" s="50" t="str">
        <f t="shared" si="49"/>
        <v/>
      </c>
      <c r="ET26" s="50" t="str">
        <f t="shared" si="49"/>
        <v/>
      </c>
      <c r="EU26" s="50" t="str">
        <f t="shared" si="49"/>
        <v/>
      </c>
      <c r="EV26" s="50" t="str">
        <f t="shared" si="49"/>
        <v/>
      </c>
      <c r="EW26" s="50" t="str">
        <f t="shared" si="49"/>
        <v/>
      </c>
      <c r="EX26" s="50" t="str">
        <f t="shared" si="49"/>
        <v/>
      </c>
      <c r="EY26" s="50" t="str">
        <f t="shared" si="49"/>
        <v/>
      </c>
      <c r="EZ26" s="50" t="str">
        <f t="shared" si="49"/>
        <v/>
      </c>
      <c r="FA26" s="50" t="str">
        <f t="shared" si="49"/>
        <v/>
      </c>
      <c r="FB26" s="50" t="str">
        <f t="shared" si="49"/>
        <v/>
      </c>
      <c r="FC26" s="50" t="str">
        <f t="shared" si="49"/>
        <v/>
      </c>
      <c r="FD26" s="50" t="str">
        <f t="shared" si="49"/>
        <v/>
      </c>
      <c r="FE26" s="50" t="str">
        <f t="shared" si="49"/>
        <v/>
      </c>
      <c r="FF26" s="50" t="str">
        <f t="shared" si="49"/>
        <v/>
      </c>
      <c r="FG26" s="50" t="str">
        <f t="shared" si="49"/>
        <v/>
      </c>
      <c r="FH26" s="50" t="str">
        <f t="shared" si="49"/>
        <v/>
      </c>
      <c r="FI26" s="50" t="str">
        <f t="shared" si="49"/>
        <v/>
      </c>
      <c r="FJ26" s="50" t="str">
        <f t="shared" si="49"/>
        <v/>
      </c>
      <c r="FK26" s="50" t="str">
        <f t="shared" si="49"/>
        <v/>
      </c>
      <c r="FL26" s="50" t="str">
        <f t="shared" si="49"/>
        <v/>
      </c>
      <c r="FM26" s="50" t="str">
        <f t="shared" si="49"/>
        <v/>
      </c>
      <c r="FN26" s="50" t="str">
        <f t="shared" si="49"/>
        <v/>
      </c>
      <c r="FO26" s="50" t="str">
        <f t="shared" si="49"/>
        <v/>
      </c>
      <c r="FP26" s="50" t="str">
        <f t="shared" si="49"/>
        <v/>
      </c>
      <c r="FQ26" s="50" t="str">
        <f t="shared" si="49"/>
        <v/>
      </c>
      <c r="FR26" s="50" t="str">
        <f t="shared" si="49"/>
        <v/>
      </c>
      <c r="FS26" s="50" t="str">
        <f t="shared" si="49"/>
        <v/>
      </c>
      <c r="FT26" s="50" t="str">
        <f t="shared" si="49"/>
        <v/>
      </c>
      <c r="FU26" s="50" t="str">
        <f t="shared" si="49"/>
        <v/>
      </c>
      <c r="FV26" s="50" t="str">
        <f t="shared" si="49"/>
        <v/>
      </c>
      <c r="FW26" s="50" t="str">
        <f t="shared" si="49"/>
        <v/>
      </c>
      <c r="FX26" s="50" t="str">
        <f t="shared" si="49"/>
        <v/>
      </c>
      <c r="FY26" s="50" t="str">
        <f t="shared" si="49"/>
        <v/>
      </c>
      <c r="FZ26" s="50" t="str">
        <f t="shared" si="49"/>
        <v/>
      </c>
      <c r="GA26" s="50" t="str">
        <f t="shared" si="49"/>
        <v/>
      </c>
      <c r="GB26" s="50" t="str">
        <f t="shared" si="49"/>
        <v/>
      </c>
      <c r="GC26" s="50" t="str">
        <f t="shared" si="49"/>
        <v/>
      </c>
      <c r="GD26" s="50" t="str">
        <f t="shared" si="49"/>
        <v/>
      </c>
      <c r="GE26" s="50" t="str">
        <f t="shared" si="49"/>
        <v/>
      </c>
      <c r="GF26" s="50" t="str">
        <f t="shared" si="49"/>
        <v/>
      </c>
      <c r="GG26" s="50" t="str">
        <f t="shared" si="49"/>
        <v/>
      </c>
      <c r="GH26" s="50" t="str">
        <f t="shared" ref="GH26:GW27" si="50">IF($B26=GH$12,$O26,"")</f>
        <v/>
      </c>
      <c r="GI26" s="50" t="str">
        <f t="shared" si="50"/>
        <v/>
      </c>
      <c r="GJ26" s="50" t="str">
        <f t="shared" si="50"/>
        <v/>
      </c>
      <c r="GK26" s="50" t="str">
        <f t="shared" si="50"/>
        <v/>
      </c>
      <c r="GL26" s="50" t="str">
        <f t="shared" si="50"/>
        <v/>
      </c>
      <c r="GM26" s="50" t="str">
        <f t="shared" si="50"/>
        <v/>
      </c>
      <c r="GN26" s="50" t="str">
        <f t="shared" si="50"/>
        <v/>
      </c>
      <c r="GO26" s="50" t="str">
        <f t="shared" si="50"/>
        <v/>
      </c>
      <c r="GP26" s="50" t="str">
        <f t="shared" si="50"/>
        <v/>
      </c>
      <c r="GQ26" s="50" t="str">
        <f t="shared" si="50"/>
        <v/>
      </c>
      <c r="GR26" s="50" t="str">
        <f t="shared" si="50"/>
        <v/>
      </c>
      <c r="GS26" s="50" t="str">
        <f t="shared" si="50"/>
        <v/>
      </c>
      <c r="GT26" s="50" t="str">
        <f t="shared" si="50"/>
        <v/>
      </c>
      <c r="GU26" s="50" t="str">
        <f t="shared" si="50"/>
        <v/>
      </c>
      <c r="GV26" s="50" t="str">
        <f t="shared" si="50"/>
        <v/>
      </c>
      <c r="GW26" s="50" t="str">
        <f t="shared" si="50"/>
        <v/>
      </c>
      <c r="GX26" s="50" t="str">
        <f t="shared" ref="GX26:HM27" si="51">IF($B26=GX$12,$O26,"")</f>
        <v/>
      </c>
      <c r="GY26" s="50" t="str">
        <f t="shared" si="51"/>
        <v/>
      </c>
      <c r="GZ26" s="50" t="str">
        <f t="shared" si="51"/>
        <v/>
      </c>
      <c r="HA26" s="50" t="str">
        <f t="shared" si="51"/>
        <v/>
      </c>
      <c r="HB26" s="50" t="str">
        <f t="shared" si="51"/>
        <v/>
      </c>
      <c r="HC26" s="50" t="str">
        <f t="shared" si="51"/>
        <v/>
      </c>
      <c r="HD26" s="50" t="str">
        <f t="shared" si="51"/>
        <v/>
      </c>
      <c r="HE26" s="50" t="str">
        <f t="shared" si="51"/>
        <v/>
      </c>
      <c r="HF26" s="50" t="str">
        <f t="shared" si="51"/>
        <v/>
      </c>
      <c r="HG26" s="50" t="str">
        <f t="shared" si="51"/>
        <v/>
      </c>
      <c r="HH26" s="50" t="str">
        <f t="shared" si="51"/>
        <v/>
      </c>
      <c r="HI26" s="50" t="str">
        <f t="shared" si="51"/>
        <v/>
      </c>
      <c r="HJ26" s="50" t="str">
        <f t="shared" si="51"/>
        <v/>
      </c>
      <c r="HK26" s="50" t="str">
        <f t="shared" si="51"/>
        <v/>
      </c>
      <c r="HL26" s="50" t="str">
        <f t="shared" si="51"/>
        <v/>
      </c>
      <c r="HM26" s="50" t="str">
        <f t="shared" ref="HM26:HR27" si="52">IF($B26=HM$12,$O26,"")</f>
        <v/>
      </c>
      <c r="HN26" s="50" t="str">
        <f t="shared" si="52"/>
        <v/>
      </c>
      <c r="HO26" s="50" t="str">
        <f t="shared" si="52"/>
        <v/>
      </c>
      <c r="HP26" s="50" t="str">
        <f t="shared" si="52"/>
        <v/>
      </c>
      <c r="HQ26" s="50" t="str">
        <f t="shared" si="52"/>
        <v/>
      </c>
      <c r="HR26" s="112" t="str">
        <f t="shared" si="52"/>
        <v/>
      </c>
    </row>
    <row r="27" spans="1:226" ht="11.1" customHeight="1" thickBot="1" x14ac:dyDescent="0.3">
      <c r="A27" s="66"/>
      <c r="B27" s="67"/>
      <c r="C27" s="68" t="str">
        <f>IF(A27=0,"",VLOOKUP(A27,[2]CO!$A$3:$F$5311,2,0))</f>
        <v/>
      </c>
      <c r="D27" s="69"/>
      <c r="E27" s="69"/>
      <c r="F27" s="69"/>
      <c r="G27" s="70" t="str">
        <f>IF(A27=0,"",VLOOKUP(A27,[2]CO!$A$3:$F$5327,3,0))</f>
        <v/>
      </c>
      <c r="H27" s="69"/>
      <c r="I27" s="71"/>
      <c r="J27" s="71"/>
      <c r="K27" s="71"/>
      <c r="L27" s="71"/>
      <c r="M27" s="72" t="str">
        <f t="shared" si="8"/>
        <v/>
      </c>
      <c r="N27" s="72" t="str">
        <f>IF(B27=0,"",IF(H27="M",HLOOKUP(B27,$Y$12:$DT$13,2),IF(A27=0,"",VLOOKUP(A27,[2]CO!$A$3:$F$5327,4,0))))</f>
        <v/>
      </c>
      <c r="O27" s="72" t="str">
        <f t="shared" si="16"/>
        <v/>
      </c>
      <c r="P27" s="73"/>
      <c r="Q27" s="74" t="str">
        <f t="shared" si="9"/>
        <v/>
      </c>
      <c r="R27" s="75" t="str">
        <f t="shared" si="10"/>
        <v/>
      </c>
      <c r="T27" s="53" t="str">
        <f>IF(A27=0,"",VLOOKUP(A27,[2]CO!$A$3:$F$5318,5,0))</f>
        <v/>
      </c>
      <c r="U27" s="54">
        <f t="shared" si="11"/>
        <v>0</v>
      </c>
      <c r="V27" s="24"/>
      <c r="W27" s="25"/>
      <c r="X27" s="25"/>
      <c r="Y27" s="76" t="str">
        <f t="shared" si="45"/>
        <v/>
      </c>
      <c r="Z27" s="77" t="str">
        <f t="shared" si="45"/>
        <v/>
      </c>
      <c r="AA27" s="77" t="str">
        <f t="shared" si="45"/>
        <v/>
      </c>
      <c r="AB27" s="77" t="str">
        <f t="shared" ref="AB27:CI27" si="53">IF($B27=AB$12,$U27,"")</f>
        <v/>
      </c>
      <c r="AC27" s="77" t="str">
        <f t="shared" si="53"/>
        <v/>
      </c>
      <c r="AD27" s="77" t="str">
        <f t="shared" si="53"/>
        <v/>
      </c>
      <c r="AE27" s="77" t="str">
        <f t="shared" si="53"/>
        <v/>
      </c>
      <c r="AF27" s="77" t="str">
        <f t="shared" si="53"/>
        <v/>
      </c>
      <c r="AG27" s="77" t="str">
        <f t="shared" si="53"/>
        <v/>
      </c>
      <c r="AH27" s="77" t="str">
        <f t="shared" si="53"/>
        <v/>
      </c>
      <c r="AI27" s="77" t="str">
        <f t="shared" si="53"/>
        <v/>
      </c>
      <c r="AJ27" s="77" t="str">
        <f t="shared" si="53"/>
        <v/>
      </c>
      <c r="AK27" s="77" t="str">
        <f t="shared" si="53"/>
        <v/>
      </c>
      <c r="AL27" s="77" t="str">
        <f t="shared" si="53"/>
        <v/>
      </c>
      <c r="AM27" s="77" t="str">
        <f t="shared" si="53"/>
        <v/>
      </c>
      <c r="AN27" s="77" t="str">
        <f t="shared" si="53"/>
        <v/>
      </c>
      <c r="AO27" s="77" t="str">
        <f t="shared" si="53"/>
        <v/>
      </c>
      <c r="AP27" s="77" t="str">
        <f t="shared" si="53"/>
        <v/>
      </c>
      <c r="AQ27" s="77" t="str">
        <f t="shared" si="53"/>
        <v/>
      </c>
      <c r="AR27" s="77" t="str">
        <f t="shared" si="53"/>
        <v/>
      </c>
      <c r="AS27" s="77" t="str">
        <f t="shared" si="53"/>
        <v/>
      </c>
      <c r="AT27" s="77" t="str">
        <f t="shared" si="53"/>
        <v/>
      </c>
      <c r="AU27" s="77" t="str">
        <f t="shared" si="53"/>
        <v/>
      </c>
      <c r="AV27" s="77" t="str">
        <f t="shared" si="53"/>
        <v/>
      </c>
      <c r="AW27" s="77" t="str">
        <f t="shared" si="53"/>
        <v/>
      </c>
      <c r="AX27" s="77" t="str">
        <f t="shared" si="53"/>
        <v/>
      </c>
      <c r="AY27" s="77" t="str">
        <f t="shared" si="53"/>
        <v/>
      </c>
      <c r="AZ27" s="77" t="str">
        <f t="shared" si="53"/>
        <v/>
      </c>
      <c r="BA27" s="77" t="str">
        <f t="shared" si="53"/>
        <v/>
      </c>
      <c r="BB27" s="77" t="str">
        <f t="shared" si="53"/>
        <v/>
      </c>
      <c r="BC27" s="77" t="str">
        <f t="shared" si="53"/>
        <v/>
      </c>
      <c r="BD27" s="77" t="str">
        <f t="shared" si="53"/>
        <v/>
      </c>
      <c r="BE27" s="77" t="str">
        <f t="shared" si="53"/>
        <v/>
      </c>
      <c r="BF27" s="77" t="str">
        <f t="shared" si="53"/>
        <v/>
      </c>
      <c r="BG27" s="77" t="str">
        <f t="shared" si="53"/>
        <v/>
      </c>
      <c r="BH27" s="77" t="str">
        <f t="shared" si="53"/>
        <v/>
      </c>
      <c r="BI27" s="77" t="str">
        <f t="shared" si="53"/>
        <v/>
      </c>
      <c r="BJ27" s="77" t="str">
        <f t="shared" si="53"/>
        <v/>
      </c>
      <c r="BK27" s="77" t="str">
        <f t="shared" si="53"/>
        <v/>
      </c>
      <c r="BL27" s="77" t="str">
        <f t="shared" si="53"/>
        <v/>
      </c>
      <c r="BM27" s="77" t="str">
        <f t="shared" si="53"/>
        <v/>
      </c>
      <c r="BN27" s="77" t="str">
        <f t="shared" si="53"/>
        <v/>
      </c>
      <c r="BO27" s="77" t="str">
        <f t="shared" si="53"/>
        <v/>
      </c>
      <c r="BP27" s="77" t="str">
        <f t="shared" si="53"/>
        <v/>
      </c>
      <c r="BQ27" s="77" t="str">
        <f t="shared" si="53"/>
        <v/>
      </c>
      <c r="BR27" s="77" t="str">
        <f t="shared" si="53"/>
        <v/>
      </c>
      <c r="BS27" s="77" t="str">
        <f t="shared" si="53"/>
        <v/>
      </c>
      <c r="BT27" s="77" t="str">
        <f t="shared" si="53"/>
        <v/>
      </c>
      <c r="BU27" s="77" t="str">
        <f t="shared" si="53"/>
        <v/>
      </c>
      <c r="BV27" s="77" t="str">
        <f t="shared" si="53"/>
        <v/>
      </c>
      <c r="BW27" s="77" t="str">
        <f t="shared" si="53"/>
        <v/>
      </c>
      <c r="BX27" s="77" t="str">
        <f t="shared" si="53"/>
        <v/>
      </c>
      <c r="BY27" s="77" t="str">
        <f t="shared" si="53"/>
        <v/>
      </c>
      <c r="BZ27" s="77" t="str">
        <f t="shared" si="53"/>
        <v/>
      </c>
      <c r="CA27" s="77" t="str">
        <f t="shared" si="53"/>
        <v/>
      </c>
      <c r="CB27" s="77" t="str">
        <f t="shared" si="53"/>
        <v/>
      </c>
      <c r="CC27" s="77" t="str">
        <f t="shared" si="53"/>
        <v/>
      </c>
      <c r="CD27" s="77" t="str">
        <f t="shared" si="53"/>
        <v/>
      </c>
      <c r="CE27" s="77" t="str">
        <f t="shared" si="53"/>
        <v/>
      </c>
      <c r="CF27" s="77" t="str">
        <f t="shared" si="53"/>
        <v/>
      </c>
      <c r="CG27" s="77" t="str">
        <f t="shared" si="53"/>
        <v/>
      </c>
      <c r="CH27" s="77" t="str">
        <f t="shared" si="53"/>
        <v/>
      </c>
      <c r="CI27" s="77" t="str">
        <f t="shared" si="53"/>
        <v/>
      </c>
      <c r="CJ27" s="77" t="str">
        <f t="shared" si="46"/>
        <v/>
      </c>
      <c r="CK27" s="77" t="str">
        <f t="shared" si="46"/>
        <v/>
      </c>
      <c r="CL27" s="77" t="str">
        <f t="shared" si="46"/>
        <v/>
      </c>
      <c r="CM27" s="77" t="str">
        <f t="shared" si="46"/>
        <v/>
      </c>
      <c r="CN27" s="77" t="str">
        <f t="shared" si="46"/>
        <v/>
      </c>
      <c r="CO27" s="77" t="str">
        <f t="shared" si="46"/>
        <v/>
      </c>
      <c r="CP27" s="77" t="str">
        <f t="shared" si="46"/>
        <v/>
      </c>
      <c r="CQ27" s="77" t="str">
        <f t="shared" si="46"/>
        <v/>
      </c>
      <c r="CR27" s="77" t="str">
        <f t="shared" si="46"/>
        <v/>
      </c>
      <c r="CS27" s="77" t="str">
        <f t="shared" si="46"/>
        <v/>
      </c>
      <c r="CT27" s="77" t="str">
        <f t="shared" si="46"/>
        <v/>
      </c>
      <c r="CU27" s="77" t="str">
        <f t="shared" si="46"/>
        <v/>
      </c>
      <c r="CV27" s="77" t="str">
        <f t="shared" si="46"/>
        <v/>
      </c>
      <c r="CW27" s="77" t="str">
        <f t="shared" si="46"/>
        <v/>
      </c>
      <c r="CX27" s="77" t="str">
        <f t="shared" si="46"/>
        <v/>
      </c>
      <c r="CY27" s="77" t="str">
        <f t="shared" si="46"/>
        <v/>
      </c>
      <c r="CZ27" s="77" t="str">
        <f t="shared" si="47"/>
        <v/>
      </c>
      <c r="DA27" s="77" t="str">
        <f t="shared" si="47"/>
        <v/>
      </c>
      <c r="DB27" s="77" t="str">
        <f t="shared" si="47"/>
        <v/>
      </c>
      <c r="DC27" s="77" t="str">
        <f t="shared" si="47"/>
        <v/>
      </c>
      <c r="DD27" s="77" t="str">
        <f t="shared" si="47"/>
        <v/>
      </c>
      <c r="DE27" s="77" t="str">
        <f t="shared" si="47"/>
        <v/>
      </c>
      <c r="DF27" s="77" t="str">
        <f t="shared" si="47"/>
        <v/>
      </c>
      <c r="DG27" s="77" t="str">
        <f t="shared" si="47"/>
        <v/>
      </c>
      <c r="DH27" s="77" t="str">
        <f t="shared" si="47"/>
        <v/>
      </c>
      <c r="DI27" s="77" t="str">
        <f t="shared" si="47"/>
        <v/>
      </c>
      <c r="DJ27" s="77" t="str">
        <f t="shared" si="47"/>
        <v/>
      </c>
      <c r="DK27" s="77" t="str">
        <f t="shared" si="47"/>
        <v/>
      </c>
      <c r="DL27" s="77" t="str">
        <f t="shared" si="47"/>
        <v/>
      </c>
      <c r="DM27" s="77" t="str">
        <f t="shared" si="47"/>
        <v/>
      </c>
      <c r="DN27" s="77" t="str">
        <f t="shared" si="47"/>
        <v/>
      </c>
      <c r="DO27" s="77" t="str">
        <f t="shared" si="47"/>
        <v/>
      </c>
      <c r="DP27" s="77" t="str">
        <f t="shared" si="48"/>
        <v/>
      </c>
      <c r="DQ27" s="77" t="str">
        <f t="shared" si="48"/>
        <v/>
      </c>
      <c r="DR27" s="77" t="str">
        <f t="shared" si="48"/>
        <v/>
      </c>
      <c r="DS27" s="77" t="str">
        <f t="shared" si="48"/>
        <v/>
      </c>
      <c r="DT27" s="107" t="str">
        <f t="shared" si="48"/>
        <v/>
      </c>
      <c r="DU27" s="54"/>
      <c r="DV27" s="25"/>
      <c r="DW27" s="78" t="str">
        <f t="shared" si="49"/>
        <v/>
      </c>
      <c r="DX27" s="79" t="str">
        <f t="shared" si="49"/>
        <v/>
      </c>
      <c r="DY27" s="79" t="str">
        <f t="shared" si="49"/>
        <v/>
      </c>
      <c r="DZ27" s="79" t="str">
        <f t="shared" ref="DZ27:GG27" si="54">IF($B27=DZ$12,$O27,"")</f>
        <v/>
      </c>
      <c r="EA27" s="79" t="str">
        <f t="shared" si="54"/>
        <v/>
      </c>
      <c r="EB27" s="79" t="str">
        <f t="shared" si="54"/>
        <v/>
      </c>
      <c r="EC27" s="79" t="str">
        <f t="shared" si="54"/>
        <v/>
      </c>
      <c r="ED27" s="79" t="str">
        <f t="shared" si="54"/>
        <v/>
      </c>
      <c r="EE27" s="79" t="str">
        <f t="shared" si="54"/>
        <v/>
      </c>
      <c r="EF27" s="79" t="str">
        <f t="shared" si="54"/>
        <v/>
      </c>
      <c r="EG27" s="79" t="str">
        <f t="shared" si="54"/>
        <v/>
      </c>
      <c r="EH27" s="79" t="str">
        <f t="shared" si="54"/>
        <v/>
      </c>
      <c r="EI27" s="79" t="str">
        <f t="shared" si="54"/>
        <v/>
      </c>
      <c r="EJ27" s="79" t="str">
        <f t="shared" si="54"/>
        <v/>
      </c>
      <c r="EK27" s="79" t="str">
        <f t="shared" si="54"/>
        <v/>
      </c>
      <c r="EL27" s="79" t="str">
        <f t="shared" si="54"/>
        <v/>
      </c>
      <c r="EM27" s="79" t="str">
        <f t="shared" si="54"/>
        <v/>
      </c>
      <c r="EN27" s="79" t="str">
        <f t="shared" si="54"/>
        <v/>
      </c>
      <c r="EO27" s="79" t="str">
        <f t="shared" si="54"/>
        <v/>
      </c>
      <c r="EP27" s="79" t="str">
        <f t="shared" si="54"/>
        <v/>
      </c>
      <c r="EQ27" s="79" t="str">
        <f t="shared" si="54"/>
        <v/>
      </c>
      <c r="ER27" s="79" t="str">
        <f t="shared" si="54"/>
        <v/>
      </c>
      <c r="ES27" s="79" t="str">
        <f t="shared" si="54"/>
        <v/>
      </c>
      <c r="ET27" s="79" t="str">
        <f t="shared" si="54"/>
        <v/>
      </c>
      <c r="EU27" s="79" t="str">
        <f t="shared" si="54"/>
        <v/>
      </c>
      <c r="EV27" s="79" t="str">
        <f t="shared" si="54"/>
        <v/>
      </c>
      <c r="EW27" s="79" t="str">
        <f t="shared" si="54"/>
        <v/>
      </c>
      <c r="EX27" s="79" t="str">
        <f t="shared" si="54"/>
        <v/>
      </c>
      <c r="EY27" s="79" t="str">
        <f t="shared" si="54"/>
        <v/>
      </c>
      <c r="EZ27" s="79" t="str">
        <f t="shared" si="54"/>
        <v/>
      </c>
      <c r="FA27" s="79" t="str">
        <f t="shared" si="54"/>
        <v/>
      </c>
      <c r="FB27" s="79" t="str">
        <f t="shared" si="54"/>
        <v/>
      </c>
      <c r="FC27" s="79" t="str">
        <f t="shared" si="54"/>
        <v/>
      </c>
      <c r="FD27" s="79" t="str">
        <f t="shared" si="54"/>
        <v/>
      </c>
      <c r="FE27" s="79" t="str">
        <f t="shared" si="54"/>
        <v/>
      </c>
      <c r="FF27" s="79" t="str">
        <f t="shared" si="54"/>
        <v/>
      </c>
      <c r="FG27" s="79" t="str">
        <f t="shared" si="54"/>
        <v/>
      </c>
      <c r="FH27" s="79" t="str">
        <f t="shared" si="54"/>
        <v/>
      </c>
      <c r="FI27" s="79" t="str">
        <f t="shared" si="54"/>
        <v/>
      </c>
      <c r="FJ27" s="79" t="str">
        <f t="shared" si="54"/>
        <v/>
      </c>
      <c r="FK27" s="79" t="str">
        <f t="shared" si="54"/>
        <v/>
      </c>
      <c r="FL27" s="79" t="str">
        <f t="shared" si="54"/>
        <v/>
      </c>
      <c r="FM27" s="79" t="str">
        <f t="shared" si="54"/>
        <v/>
      </c>
      <c r="FN27" s="79" t="str">
        <f t="shared" si="54"/>
        <v/>
      </c>
      <c r="FO27" s="79" t="str">
        <f t="shared" si="54"/>
        <v/>
      </c>
      <c r="FP27" s="79" t="str">
        <f t="shared" si="54"/>
        <v/>
      </c>
      <c r="FQ27" s="79" t="str">
        <f t="shared" si="54"/>
        <v/>
      </c>
      <c r="FR27" s="79" t="str">
        <f t="shared" si="54"/>
        <v/>
      </c>
      <c r="FS27" s="79" t="str">
        <f t="shared" si="54"/>
        <v/>
      </c>
      <c r="FT27" s="79" t="str">
        <f t="shared" si="54"/>
        <v/>
      </c>
      <c r="FU27" s="79" t="str">
        <f t="shared" si="54"/>
        <v/>
      </c>
      <c r="FV27" s="79" t="str">
        <f t="shared" si="54"/>
        <v/>
      </c>
      <c r="FW27" s="79" t="str">
        <f t="shared" si="54"/>
        <v/>
      </c>
      <c r="FX27" s="79" t="str">
        <f t="shared" si="54"/>
        <v/>
      </c>
      <c r="FY27" s="79" t="str">
        <f t="shared" si="54"/>
        <v/>
      </c>
      <c r="FZ27" s="79" t="str">
        <f t="shared" si="54"/>
        <v/>
      </c>
      <c r="GA27" s="79" t="str">
        <f t="shared" si="54"/>
        <v/>
      </c>
      <c r="GB27" s="79" t="str">
        <f t="shared" si="54"/>
        <v/>
      </c>
      <c r="GC27" s="79" t="str">
        <f t="shared" si="54"/>
        <v/>
      </c>
      <c r="GD27" s="79" t="str">
        <f t="shared" si="54"/>
        <v/>
      </c>
      <c r="GE27" s="79" t="str">
        <f t="shared" si="54"/>
        <v/>
      </c>
      <c r="GF27" s="79" t="str">
        <f t="shared" si="54"/>
        <v/>
      </c>
      <c r="GG27" s="79" t="str">
        <f t="shared" si="54"/>
        <v/>
      </c>
      <c r="GH27" s="79" t="str">
        <f t="shared" si="50"/>
        <v/>
      </c>
      <c r="GI27" s="79" t="str">
        <f t="shared" si="50"/>
        <v/>
      </c>
      <c r="GJ27" s="79" t="str">
        <f t="shared" si="50"/>
        <v/>
      </c>
      <c r="GK27" s="79" t="str">
        <f t="shared" si="50"/>
        <v/>
      </c>
      <c r="GL27" s="79" t="str">
        <f t="shared" si="50"/>
        <v/>
      </c>
      <c r="GM27" s="79" t="str">
        <f t="shared" si="50"/>
        <v/>
      </c>
      <c r="GN27" s="79" t="str">
        <f t="shared" si="50"/>
        <v/>
      </c>
      <c r="GO27" s="79" t="str">
        <f t="shared" si="50"/>
        <v/>
      </c>
      <c r="GP27" s="79" t="str">
        <f t="shared" si="50"/>
        <v/>
      </c>
      <c r="GQ27" s="79" t="str">
        <f t="shared" si="50"/>
        <v/>
      </c>
      <c r="GR27" s="79" t="str">
        <f t="shared" si="50"/>
        <v/>
      </c>
      <c r="GS27" s="79" t="str">
        <f t="shared" si="50"/>
        <v/>
      </c>
      <c r="GT27" s="79" t="str">
        <f t="shared" si="50"/>
        <v/>
      </c>
      <c r="GU27" s="79" t="str">
        <f t="shared" si="50"/>
        <v/>
      </c>
      <c r="GV27" s="79" t="str">
        <f t="shared" si="50"/>
        <v/>
      </c>
      <c r="GW27" s="79" t="str">
        <f t="shared" si="50"/>
        <v/>
      </c>
      <c r="GX27" s="79" t="str">
        <f t="shared" si="51"/>
        <v/>
      </c>
      <c r="GY27" s="79" t="str">
        <f t="shared" si="51"/>
        <v/>
      </c>
      <c r="GZ27" s="79" t="str">
        <f t="shared" si="51"/>
        <v/>
      </c>
      <c r="HA27" s="79" t="str">
        <f t="shared" si="51"/>
        <v/>
      </c>
      <c r="HB27" s="79" t="str">
        <f t="shared" si="51"/>
        <v/>
      </c>
      <c r="HC27" s="79" t="str">
        <f t="shared" si="51"/>
        <v/>
      </c>
      <c r="HD27" s="79" t="str">
        <f t="shared" si="51"/>
        <v/>
      </c>
      <c r="HE27" s="79" t="str">
        <f t="shared" si="51"/>
        <v/>
      </c>
      <c r="HF27" s="79" t="str">
        <f t="shared" si="51"/>
        <v/>
      </c>
      <c r="HG27" s="79" t="str">
        <f t="shared" si="51"/>
        <v/>
      </c>
      <c r="HH27" s="79" t="str">
        <f t="shared" si="51"/>
        <v/>
      </c>
      <c r="HI27" s="79" t="str">
        <f t="shared" si="51"/>
        <v/>
      </c>
      <c r="HJ27" s="79" t="str">
        <f t="shared" si="51"/>
        <v/>
      </c>
      <c r="HK27" s="79" t="str">
        <f t="shared" si="51"/>
        <v/>
      </c>
      <c r="HL27" s="79" t="str">
        <f t="shared" si="51"/>
        <v/>
      </c>
      <c r="HM27" s="79" t="str">
        <f t="shared" si="51"/>
        <v/>
      </c>
      <c r="HN27" s="79" t="str">
        <f t="shared" si="52"/>
        <v/>
      </c>
      <c r="HO27" s="79" t="str">
        <f t="shared" si="52"/>
        <v/>
      </c>
      <c r="HP27" s="79" t="str">
        <f t="shared" si="52"/>
        <v/>
      </c>
      <c r="HQ27" s="79" t="str">
        <f t="shared" si="52"/>
        <v/>
      </c>
      <c r="HR27" s="113" t="str">
        <f t="shared" si="52"/>
        <v/>
      </c>
    </row>
    <row r="28" spans="1:226" ht="11.1" customHeight="1" thickTop="1" x14ac:dyDescent="0.25"/>
    <row r="29" spans="1:226" x14ac:dyDescent="0.25">
      <c r="O29" s="48" t="s">
        <v>17</v>
      </c>
      <c r="P29" s="49"/>
      <c r="Q29" s="104">
        <f>SUM(Q14:Q27)</f>
        <v>8034.95</v>
      </c>
      <c r="R29" s="104">
        <f>SUM(R14:R27)</f>
        <v>8034.9499999999989</v>
      </c>
    </row>
    <row r="30" spans="1:226" ht="11.1" customHeight="1" thickBot="1" x14ac:dyDescent="0.3"/>
    <row r="31" spans="1:226" ht="16.2" thickBot="1" x14ac:dyDescent="0.3">
      <c r="A31" s="146"/>
      <c r="B31" s="147"/>
      <c r="C31" s="99"/>
      <c r="D31" s="147"/>
      <c r="E31" s="99"/>
      <c r="F31" s="99"/>
      <c r="G31" s="99" t="s">
        <v>20</v>
      </c>
      <c r="H31" s="99"/>
      <c r="I31" s="99"/>
      <c r="J31" s="125"/>
      <c r="K31" s="99"/>
      <c r="L31" s="99"/>
      <c r="M31" s="99"/>
      <c r="N31" s="99"/>
      <c r="O31" s="99"/>
      <c r="P31" s="99"/>
      <c r="Q31" s="99"/>
      <c r="R31" s="100"/>
    </row>
    <row r="32" spans="1:226" ht="11.1" customHeight="1" thickBot="1" x14ac:dyDescent="0.3"/>
    <row r="33" spans="1:226" ht="11.1" customHeight="1" thickTop="1" x14ac:dyDescent="0.25">
      <c r="A33" s="80"/>
      <c r="B33" s="81"/>
      <c r="C33" s="82" t="str">
        <f>IF(A33=0,"",VLOOKUP(A33,[2]CO!$A$3:$F$5327,2,0))</f>
        <v/>
      </c>
      <c r="D33" s="83"/>
      <c r="E33" s="83"/>
      <c r="F33" s="83"/>
      <c r="G33" s="84" t="str">
        <f>IF(A33=0,"",VLOOKUP(A33,[2]CO!$A$3:$F$5327,3,0))</f>
        <v/>
      </c>
      <c r="H33" s="94"/>
      <c r="I33" s="85"/>
      <c r="J33" s="85"/>
      <c r="K33" s="85"/>
      <c r="L33" s="85"/>
      <c r="M33" s="86" t="str">
        <f t="shared" ref="M33:M47" si="55">IF(H33&gt;0,H33*Q$29/N33,IF(AND(L33&gt;0,I33&gt;0),L33*I33,IF(L33&gt;0,L33,"")))</f>
        <v/>
      </c>
      <c r="N33" s="86" t="str">
        <f>IF(B33=0,"",IF(H33="M",HLOOKUP(B33,$Y$12:$DT$13,2),IF(A33=0,"",VLOOKUP(A33,[2]CO!$A$3:$F$5327,4,0))))</f>
        <v/>
      </c>
      <c r="O33" s="86" t="str">
        <f t="shared" si="16"/>
        <v/>
      </c>
      <c r="P33" s="87"/>
      <c r="Q33" s="88" t="str">
        <f t="shared" ref="Q33:Q47" si="56">IF(P33=0,"",(HLOOKUP(P33,$DW$12:$HR$13,2)))</f>
        <v/>
      </c>
      <c r="R33" s="89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RESIDENTE",G33="TOPOGRAFIA"),VLOOKUP(B33,P$14:Q$66,2),"")*S33)</f>
        <v/>
      </c>
      <c r="T33" s="53" t="str">
        <f>IF(A33=0,"",VLOOKUP(A33,[2]CO!$A$3:$F$5318,5,0))</f>
        <v/>
      </c>
      <c r="U33" s="54">
        <f t="shared" ref="U33:U59" si="57">IF(T33=1,O33*0.1,)</f>
        <v>0</v>
      </c>
      <c r="V33" s="24"/>
      <c r="W33" s="25"/>
      <c r="X33" s="25"/>
      <c r="Y33" s="90" t="str">
        <f t="shared" ref="Y33:AN47" si="58">IF($B33=Y$12,$U33,"")</f>
        <v/>
      </c>
      <c r="Z33" s="91" t="str">
        <f t="shared" si="58"/>
        <v/>
      </c>
      <c r="AA33" s="91" t="str">
        <f t="shared" si="58"/>
        <v/>
      </c>
      <c r="AB33" s="91" t="str">
        <f t="shared" si="58"/>
        <v/>
      </c>
      <c r="AC33" s="91" t="str">
        <f t="shared" si="58"/>
        <v/>
      </c>
      <c r="AD33" s="91" t="str">
        <f t="shared" si="58"/>
        <v/>
      </c>
      <c r="AE33" s="91" t="str">
        <f t="shared" si="58"/>
        <v/>
      </c>
      <c r="AF33" s="91" t="str">
        <f t="shared" si="58"/>
        <v/>
      </c>
      <c r="AG33" s="91" t="str">
        <f t="shared" si="58"/>
        <v/>
      </c>
      <c r="AH33" s="91" t="str">
        <f t="shared" si="58"/>
        <v/>
      </c>
      <c r="AI33" s="91" t="str">
        <f t="shared" si="58"/>
        <v/>
      </c>
      <c r="AJ33" s="91" t="str">
        <f t="shared" si="58"/>
        <v/>
      </c>
      <c r="AK33" s="91" t="str">
        <f t="shared" si="58"/>
        <v/>
      </c>
      <c r="AL33" s="91" t="str">
        <f t="shared" si="58"/>
        <v/>
      </c>
      <c r="AM33" s="91" t="str">
        <f t="shared" si="58"/>
        <v/>
      </c>
      <c r="AN33" s="91" t="str">
        <f t="shared" si="58"/>
        <v/>
      </c>
      <c r="AO33" s="91" t="str">
        <f t="shared" ref="AO33:CZ36" si="59">IF($B33=AO$12,$U33,"")</f>
        <v/>
      </c>
      <c r="AP33" s="91" t="str">
        <f t="shared" si="59"/>
        <v/>
      </c>
      <c r="AQ33" s="91" t="str">
        <f t="shared" si="59"/>
        <v/>
      </c>
      <c r="AR33" s="91" t="str">
        <f t="shared" si="59"/>
        <v/>
      </c>
      <c r="AS33" s="91" t="str">
        <f t="shared" si="59"/>
        <v/>
      </c>
      <c r="AT33" s="91" t="str">
        <f t="shared" si="59"/>
        <v/>
      </c>
      <c r="AU33" s="91" t="str">
        <f t="shared" si="59"/>
        <v/>
      </c>
      <c r="AV33" s="91" t="str">
        <f t="shared" si="59"/>
        <v/>
      </c>
      <c r="AW33" s="91" t="str">
        <f t="shared" si="59"/>
        <v/>
      </c>
      <c r="AX33" s="91" t="str">
        <f t="shared" si="59"/>
        <v/>
      </c>
      <c r="AY33" s="91" t="str">
        <f t="shared" si="59"/>
        <v/>
      </c>
      <c r="AZ33" s="91" t="str">
        <f t="shared" si="59"/>
        <v/>
      </c>
      <c r="BA33" s="91" t="str">
        <f t="shared" si="59"/>
        <v/>
      </c>
      <c r="BB33" s="91" t="str">
        <f t="shared" si="59"/>
        <v/>
      </c>
      <c r="BC33" s="91" t="str">
        <f t="shared" si="59"/>
        <v/>
      </c>
      <c r="BD33" s="91" t="str">
        <f t="shared" si="59"/>
        <v/>
      </c>
      <c r="BE33" s="91" t="str">
        <f t="shared" si="59"/>
        <v/>
      </c>
      <c r="BF33" s="91" t="str">
        <f t="shared" si="59"/>
        <v/>
      </c>
      <c r="BG33" s="91" t="str">
        <f t="shared" si="59"/>
        <v/>
      </c>
      <c r="BH33" s="91" t="str">
        <f t="shared" si="59"/>
        <v/>
      </c>
      <c r="BI33" s="91" t="str">
        <f t="shared" si="59"/>
        <v/>
      </c>
      <c r="BJ33" s="91" t="str">
        <f t="shared" si="59"/>
        <v/>
      </c>
      <c r="BK33" s="91" t="str">
        <f t="shared" si="59"/>
        <v/>
      </c>
      <c r="BL33" s="91" t="str">
        <f t="shared" si="59"/>
        <v/>
      </c>
      <c r="BM33" s="91" t="str">
        <f t="shared" si="59"/>
        <v/>
      </c>
      <c r="BN33" s="91" t="str">
        <f t="shared" si="59"/>
        <v/>
      </c>
      <c r="BO33" s="91" t="str">
        <f t="shared" si="59"/>
        <v/>
      </c>
      <c r="BP33" s="91" t="str">
        <f t="shared" si="59"/>
        <v/>
      </c>
      <c r="BQ33" s="91" t="str">
        <f t="shared" si="59"/>
        <v/>
      </c>
      <c r="BR33" s="91" t="str">
        <f t="shared" si="59"/>
        <v/>
      </c>
      <c r="BS33" s="91" t="str">
        <f t="shared" si="59"/>
        <v/>
      </c>
      <c r="BT33" s="91" t="str">
        <f t="shared" si="59"/>
        <v/>
      </c>
      <c r="BU33" s="91" t="str">
        <f t="shared" si="59"/>
        <v/>
      </c>
      <c r="BV33" s="91" t="str">
        <f t="shared" si="59"/>
        <v/>
      </c>
      <c r="BW33" s="91" t="str">
        <f t="shared" si="59"/>
        <v/>
      </c>
      <c r="BX33" s="91" t="str">
        <f t="shared" si="59"/>
        <v/>
      </c>
      <c r="BY33" s="91" t="str">
        <f t="shared" si="59"/>
        <v/>
      </c>
      <c r="BZ33" s="91" t="str">
        <f t="shared" si="59"/>
        <v/>
      </c>
      <c r="CA33" s="91" t="str">
        <f t="shared" si="59"/>
        <v/>
      </c>
      <c r="CB33" s="91" t="str">
        <f t="shared" si="59"/>
        <v/>
      </c>
      <c r="CC33" s="91" t="str">
        <f t="shared" si="59"/>
        <v/>
      </c>
      <c r="CD33" s="91" t="str">
        <f t="shared" si="59"/>
        <v/>
      </c>
      <c r="CE33" s="91" t="str">
        <f t="shared" si="59"/>
        <v/>
      </c>
      <c r="CF33" s="91" t="str">
        <f t="shared" si="59"/>
        <v/>
      </c>
      <c r="CG33" s="91" t="str">
        <f t="shared" si="59"/>
        <v/>
      </c>
      <c r="CH33" s="91" t="str">
        <f t="shared" si="59"/>
        <v/>
      </c>
      <c r="CI33" s="91" t="str">
        <f t="shared" si="59"/>
        <v/>
      </c>
      <c r="CJ33" s="91" t="str">
        <f t="shared" si="59"/>
        <v/>
      </c>
      <c r="CK33" s="91" t="str">
        <f t="shared" si="59"/>
        <v/>
      </c>
      <c r="CL33" s="91" t="str">
        <f t="shared" si="59"/>
        <v/>
      </c>
      <c r="CM33" s="91" t="str">
        <f t="shared" si="59"/>
        <v/>
      </c>
      <c r="CN33" s="91" t="str">
        <f t="shared" si="59"/>
        <v/>
      </c>
      <c r="CO33" s="91" t="str">
        <f t="shared" si="59"/>
        <v/>
      </c>
      <c r="CP33" s="91" t="str">
        <f t="shared" si="59"/>
        <v/>
      </c>
      <c r="CQ33" s="91" t="str">
        <f t="shared" si="59"/>
        <v/>
      </c>
      <c r="CR33" s="91" t="str">
        <f t="shared" si="59"/>
        <v/>
      </c>
      <c r="CS33" s="91" t="str">
        <f t="shared" si="59"/>
        <v/>
      </c>
      <c r="CT33" s="91" t="str">
        <f t="shared" si="59"/>
        <v/>
      </c>
      <c r="CU33" s="91" t="str">
        <f t="shared" si="59"/>
        <v/>
      </c>
      <c r="CV33" s="91" t="str">
        <f t="shared" si="59"/>
        <v/>
      </c>
      <c r="CW33" s="91" t="str">
        <f t="shared" si="59"/>
        <v/>
      </c>
      <c r="CX33" s="91" t="str">
        <f t="shared" si="59"/>
        <v/>
      </c>
      <c r="CY33" s="91" t="str">
        <f t="shared" si="59"/>
        <v/>
      </c>
      <c r="CZ33" s="91" t="str">
        <f t="shared" si="59"/>
        <v/>
      </c>
      <c r="DA33" s="91" t="str">
        <f t="shared" ref="DA33:DP47" si="60">IF($B33=DA$12,$U33,"")</f>
        <v/>
      </c>
      <c r="DB33" s="91" t="str">
        <f t="shared" si="60"/>
        <v/>
      </c>
      <c r="DC33" s="91" t="str">
        <f t="shared" si="60"/>
        <v/>
      </c>
      <c r="DD33" s="91" t="str">
        <f t="shared" si="60"/>
        <v/>
      </c>
      <c r="DE33" s="91" t="str">
        <f t="shared" si="60"/>
        <v/>
      </c>
      <c r="DF33" s="91" t="str">
        <f t="shared" si="60"/>
        <v/>
      </c>
      <c r="DG33" s="91" t="str">
        <f t="shared" si="60"/>
        <v/>
      </c>
      <c r="DH33" s="91" t="str">
        <f t="shared" si="60"/>
        <v/>
      </c>
      <c r="DI33" s="91" t="str">
        <f t="shared" si="60"/>
        <v/>
      </c>
      <c r="DJ33" s="91" t="str">
        <f t="shared" si="60"/>
        <v/>
      </c>
      <c r="DK33" s="91" t="str">
        <f t="shared" si="60"/>
        <v/>
      </c>
      <c r="DL33" s="91" t="str">
        <f t="shared" si="60"/>
        <v/>
      </c>
      <c r="DM33" s="91" t="str">
        <f t="shared" si="60"/>
        <v/>
      </c>
      <c r="DN33" s="91" t="str">
        <f t="shared" si="60"/>
        <v/>
      </c>
      <c r="DO33" s="91" t="str">
        <f t="shared" si="60"/>
        <v/>
      </c>
      <c r="DP33" s="91" t="str">
        <f t="shared" si="60"/>
        <v/>
      </c>
      <c r="DQ33" s="91" t="str">
        <f t="shared" ref="DQ33:DT47" si="61">IF($B33=DQ$12,$U33,"")</f>
        <v/>
      </c>
      <c r="DR33" s="91" t="str">
        <f t="shared" si="61"/>
        <v/>
      </c>
      <c r="DS33" s="91" t="str">
        <f t="shared" si="61"/>
        <v/>
      </c>
      <c r="DT33" s="105" t="str">
        <f t="shared" si="61"/>
        <v/>
      </c>
      <c r="DU33" s="54"/>
      <c r="DV33" s="25"/>
      <c r="DW33" s="92" t="str">
        <f t="shared" ref="DW33:EL47" si="62">IF($B33=DW$12,$O33,"")</f>
        <v/>
      </c>
      <c r="DX33" s="93" t="str">
        <f t="shared" si="62"/>
        <v/>
      </c>
      <c r="DY33" s="93" t="str">
        <f t="shared" si="62"/>
        <v/>
      </c>
      <c r="DZ33" s="93" t="str">
        <f t="shared" si="62"/>
        <v/>
      </c>
      <c r="EA33" s="93" t="str">
        <f t="shared" si="62"/>
        <v/>
      </c>
      <c r="EB33" s="93" t="str">
        <f t="shared" si="62"/>
        <v/>
      </c>
      <c r="EC33" s="93" t="str">
        <f t="shared" si="62"/>
        <v/>
      </c>
      <c r="ED33" s="93" t="str">
        <f t="shared" si="62"/>
        <v/>
      </c>
      <c r="EE33" s="93" t="str">
        <f t="shared" si="62"/>
        <v/>
      </c>
      <c r="EF33" s="93" t="str">
        <f t="shared" si="62"/>
        <v/>
      </c>
      <c r="EG33" s="93" t="str">
        <f t="shared" si="62"/>
        <v/>
      </c>
      <c r="EH33" s="93" t="str">
        <f t="shared" si="62"/>
        <v/>
      </c>
      <c r="EI33" s="93" t="str">
        <f t="shared" si="62"/>
        <v/>
      </c>
      <c r="EJ33" s="93" t="str">
        <f t="shared" si="62"/>
        <v/>
      </c>
      <c r="EK33" s="93" t="str">
        <f t="shared" si="62"/>
        <v/>
      </c>
      <c r="EL33" s="93" t="str">
        <f t="shared" si="62"/>
        <v/>
      </c>
      <c r="EM33" s="93" t="str">
        <f t="shared" ref="EM33:GX36" si="63">IF($B33=EM$12,$O33,"")</f>
        <v/>
      </c>
      <c r="EN33" s="93" t="str">
        <f t="shared" si="63"/>
        <v/>
      </c>
      <c r="EO33" s="93" t="str">
        <f t="shared" si="63"/>
        <v/>
      </c>
      <c r="EP33" s="93" t="str">
        <f t="shared" si="63"/>
        <v/>
      </c>
      <c r="EQ33" s="93" t="str">
        <f t="shared" si="63"/>
        <v/>
      </c>
      <c r="ER33" s="93" t="str">
        <f t="shared" si="63"/>
        <v/>
      </c>
      <c r="ES33" s="93" t="str">
        <f t="shared" si="63"/>
        <v/>
      </c>
      <c r="ET33" s="93" t="str">
        <f t="shared" si="63"/>
        <v/>
      </c>
      <c r="EU33" s="93" t="str">
        <f t="shared" si="63"/>
        <v/>
      </c>
      <c r="EV33" s="93" t="str">
        <f t="shared" si="63"/>
        <v/>
      </c>
      <c r="EW33" s="93" t="str">
        <f t="shared" si="63"/>
        <v/>
      </c>
      <c r="EX33" s="93" t="str">
        <f t="shared" si="63"/>
        <v/>
      </c>
      <c r="EY33" s="93" t="str">
        <f t="shared" si="63"/>
        <v/>
      </c>
      <c r="EZ33" s="93" t="str">
        <f t="shared" si="63"/>
        <v/>
      </c>
      <c r="FA33" s="93" t="str">
        <f t="shared" si="63"/>
        <v/>
      </c>
      <c r="FB33" s="93" t="str">
        <f t="shared" si="63"/>
        <v/>
      </c>
      <c r="FC33" s="93" t="str">
        <f t="shared" si="63"/>
        <v/>
      </c>
      <c r="FD33" s="93" t="str">
        <f t="shared" si="63"/>
        <v/>
      </c>
      <c r="FE33" s="93" t="str">
        <f t="shared" si="63"/>
        <v/>
      </c>
      <c r="FF33" s="93" t="str">
        <f t="shared" si="63"/>
        <v/>
      </c>
      <c r="FG33" s="93" t="str">
        <f t="shared" si="63"/>
        <v/>
      </c>
      <c r="FH33" s="93" t="str">
        <f t="shared" si="63"/>
        <v/>
      </c>
      <c r="FI33" s="93" t="str">
        <f t="shared" si="63"/>
        <v/>
      </c>
      <c r="FJ33" s="93" t="str">
        <f t="shared" si="63"/>
        <v/>
      </c>
      <c r="FK33" s="93" t="str">
        <f t="shared" si="63"/>
        <v/>
      </c>
      <c r="FL33" s="93" t="str">
        <f t="shared" si="63"/>
        <v/>
      </c>
      <c r="FM33" s="93" t="str">
        <f t="shared" si="63"/>
        <v/>
      </c>
      <c r="FN33" s="93" t="str">
        <f t="shared" si="63"/>
        <v/>
      </c>
      <c r="FO33" s="93" t="str">
        <f t="shared" si="63"/>
        <v/>
      </c>
      <c r="FP33" s="93" t="str">
        <f t="shared" si="63"/>
        <v/>
      </c>
      <c r="FQ33" s="93" t="str">
        <f t="shared" si="63"/>
        <v/>
      </c>
      <c r="FR33" s="93" t="str">
        <f t="shared" si="63"/>
        <v/>
      </c>
      <c r="FS33" s="93" t="str">
        <f t="shared" si="63"/>
        <v/>
      </c>
      <c r="FT33" s="93" t="str">
        <f t="shared" si="63"/>
        <v/>
      </c>
      <c r="FU33" s="93" t="str">
        <f t="shared" si="63"/>
        <v/>
      </c>
      <c r="FV33" s="93" t="str">
        <f t="shared" si="63"/>
        <v/>
      </c>
      <c r="FW33" s="93" t="str">
        <f t="shared" si="63"/>
        <v/>
      </c>
      <c r="FX33" s="93" t="str">
        <f t="shared" si="63"/>
        <v/>
      </c>
      <c r="FY33" s="93" t="str">
        <f t="shared" si="63"/>
        <v/>
      </c>
      <c r="FZ33" s="93" t="str">
        <f t="shared" si="63"/>
        <v/>
      </c>
      <c r="GA33" s="93" t="str">
        <f t="shared" si="63"/>
        <v/>
      </c>
      <c r="GB33" s="93" t="str">
        <f t="shared" si="63"/>
        <v/>
      </c>
      <c r="GC33" s="93" t="str">
        <f t="shared" si="63"/>
        <v/>
      </c>
      <c r="GD33" s="93" t="str">
        <f t="shared" si="63"/>
        <v/>
      </c>
      <c r="GE33" s="93" t="str">
        <f t="shared" si="63"/>
        <v/>
      </c>
      <c r="GF33" s="93" t="str">
        <f t="shared" si="63"/>
        <v/>
      </c>
      <c r="GG33" s="93" t="str">
        <f t="shared" si="63"/>
        <v/>
      </c>
      <c r="GH33" s="93" t="str">
        <f t="shared" si="63"/>
        <v/>
      </c>
      <c r="GI33" s="93" t="str">
        <f t="shared" si="63"/>
        <v/>
      </c>
      <c r="GJ33" s="93" t="str">
        <f t="shared" si="63"/>
        <v/>
      </c>
      <c r="GK33" s="93" t="str">
        <f t="shared" si="63"/>
        <v/>
      </c>
      <c r="GL33" s="93" t="str">
        <f t="shared" si="63"/>
        <v/>
      </c>
      <c r="GM33" s="93" t="str">
        <f t="shared" si="63"/>
        <v/>
      </c>
      <c r="GN33" s="93" t="str">
        <f t="shared" si="63"/>
        <v/>
      </c>
      <c r="GO33" s="93" t="str">
        <f t="shared" si="63"/>
        <v/>
      </c>
      <c r="GP33" s="93" t="str">
        <f t="shared" si="63"/>
        <v/>
      </c>
      <c r="GQ33" s="93" t="str">
        <f t="shared" si="63"/>
        <v/>
      </c>
      <c r="GR33" s="93" t="str">
        <f t="shared" si="63"/>
        <v/>
      </c>
      <c r="GS33" s="93" t="str">
        <f t="shared" si="63"/>
        <v/>
      </c>
      <c r="GT33" s="93" t="str">
        <f t="shared" si="63"/>
        <v/>
      </c>
      <c r="GU33" s="93" t="str">
        <f t="shared" si="63"/>
        <v/>
      </c>
      <c r="GV33" s="93" t="str">
        <f t="shared" si="63"/>
        <v/>
      </c>
      <c r="GW33" s="93" t="str">
        <f t="shared" si="63"/>
        <v/>
      </c>
      <c r="GX33" s="93" t="str">
        <f t="shared" si="63"/>
        <v/>
      </c>
      <c r="GY33" s="93" t="str">
        <f t="shared" ref="GY33:HN35" si="64">IF($B33=GY$12,$O33,"")</f>
        <v/>
      </c>
      <c r="GZ33" s="93" t="str">
        <f t="shared" si="64"/>
        <v/>
      </c>
      <c r="HA33" s="93" t="str">
        <f t="shared" si="64"/>
        <v/>
      </c>
      <c r="HB33" s="93" t="str">
        <f t="shared" si="64"/>
        <v/>
      </c>
      <c r="HC33" s="93" t="str">
        <f t="shared" si="64"/>
        <v/>
      </c>
      <c r="HD33" s="93" t="str">
        <f t="shared" si="64"/>
        <v/>
      </c>
      <c r="HE33" s="93" t="str">
        <f t="shared" si="64"/>
        <v/>
      </c>
      <c r="HF33" s="93" t="str">
        <f t="shared" si="64"/>
        <v/>
      </c>
      <c r="HG33" s="93" t="str">
        <f t="shared" si="64"/>
        <v/>
      </c>
      <c r="HH33" s="93" t="str">
        <f t="shared" si="64"/>
        <v/>
      </c>
      <c r="HI33" s="93" t="str">
        <f t="shared" si="64"/>
        <v/>
      </c>
      <c r="HJ33" s="93" t="str">
        <f t="shared" si="64"/>
        <v/>
      </c>
      <c r="HK33" s="93" t="str">
        <f t="shared" si="64"/>
        <v/>
      </c>
      <c r="HL33" s="93" t="str">
        <f t="shared" si="64"/>
        <v/>
      </c>
      <c r="HM33" s="93" t="str">
        <f t="shared" si="64"/>
        <v/>
      </c>
      <c r="HN33" s="93" t="str">
        <f t="shared" si="64"/>
        <v/>
      </c>
      <c r="HO33" s="93" t="str">
        <f t="shared" ref="HI33:HR47" si="65">IF($B33=HO$12,$O33,"")</f>
        <v/>
      </c>
      <c r="HP33" s="93" t="str">
        <f t="shared" si="65"/>
        <v/>
      </c>
      <c r="HQ33" s="93" t="str">
        <f t="shared" si="65"/>
        <v/>
      </c>
      <c r="HR33" s="111" t="str">
        <f t="shared" si="65"/>
        <v/>
      </c>
    </row>
    <row r="34" spans="1:226" ht="11.1" customHeight="1" x14ac:dyDescent="0.25">
      <c r="A34" s="26">
        <v>34</v>
      </c>
      <c r="B34" s="27">
        <v>60</v>
      </c>
      <c r="C34" s="28" t="str">
        <f>IF(A34=0,"",VLOOKUP(A34,[2]CO!$A$3:$F$5327,2,0))</f>
        <v>VIDAL OCHOA ROBERTO ENRIQUE</v>
      </c>
      <c r="D34" s="29"/>
      <c r="E34" s="29"/>
      <c r="F34" s="29"/>
      <c r="G34" s="30" t="str">
        <f>IF(A34=0,"",VLOOKUP(A34,[2]CO!$A$3:$F$5327,3,0))</f>
        <v>DESTAJOS</v>
      </c>
      <c r="H34" s="95"/>
      <c r="I34" s="31"/>
      <c r="J34" s="31"/>
      <c r="K34" s="31"/>
      <c r="L34" s="31"/>
      <c r="M34" s="32" t="str">
        <f t="shared" si="55"/>
        <v/>
      </c>
      <c r="N34" s="32">
        <f>IF(B34=0,"",IF(H34="M",HLOOKUP(B34,$Y$12:$DT$13,2),IF(A34=0,"",VLOOKUP(A34,[2]CO!$A$3:$F$5327,4,0))))</f>
        <v>0</v>
      </c>
      <c r="O34" s="32" t="str">
        <f t="shared" si="16"/>
        <v/>
      </c>
      <c r="P34" s="33"/>
      <c r="Q34" s="34" t="str">
        <f t="shared" si="56"/>
        <v/>
      </c>
      <c r="R34" s="35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RESIDENTE",G34="TOPOGRAFIA",G34="DESTAJOS"),VLOOKUP(B34,P$14:Q$59,2),"")*S34)</f>
        <v>321.39800000000002</v>
      </c>
      <c r="S34" s="118">
        <v>1</v>
      </c>
      <c r="T34" s="53">
        <f>IF(A34=0,"",VLOOKUP(A34,[2]CO!$A$3:$F$5318,5,0))</f>
        <v>0</v>
      </c>
      <c r="U34" s="54">
        <f t="shared" si="57"/>
        <v>0</v>
      </c>
      <c r="V34" s="24"/>
      <c r="W34" s="25"/>
      <c r="X34" s="25"/>
      <c r="Y34" s="64" t="str">
        <f t="shared" si="58"/>
        <v/>
      </c>
      <c r="Z34" s="55" t="str">
        <f t="shared" si="58"/>
        <v/>
      </c>
      <c r="AA34" s="55" t="str">
        <f t="shared" si="58"/>
        <v/>
      </c>
      <c r="AB34" s="55" t="str">
        <f t="shared" si="58"/>
        <v/>
      </c>
      <c r="AC34" s="55" t="str">
        <f t="shared" si="58"/>
        <v/>
      </c>
      <c r="AD34" s="55" t="str">
        <f t="shared" si="58"/>
        <v/>
      </c>
      <c r="AE34" s="55" t="str">
        <f t="shared" si="58"/>
        <v/>
      </c>
      <c r="AF34" s="55" t="str">
        <f t="shared" si="58"/>
        <v/>
      </c>
      <c r="AG34" s="55" t="str">
        <f t="shared" si="58"/>
        <v/>
      </c>
      <c r="AH34" s="55" t="str">
        <f t="shared" si="58"/>
        <v/>
      </c>
      <c r="AI34" s="55" t="str">
        <f t="shared" si="58"/>
        <v/>
      </c>
      <c r="AJ34" s="55" t="str">
        <f t="shared" si="58"/>
        <v/>
      </c>
      <c r="AK34" s="55" t="str">
        <f t="shared" si="58"/>
        <v/>
      </c>
      <c r="AL34" s="55" t="str">
        <f t="shared" si="58"/>
        <v/>
      </c>
      <c r="AM34" s="55" t="str">
        <f t="shared" si="58"/>
        <v/>
      </c>
      <c r="AN34" s="55" t="str">
        <f t="shared" si="58"/>
        <v/>
      </c>
      <c r="AO34" s="55" t="str">
        <f t="shared" si="59"/>
        <v/>
      </c>
      <c r="AP34" s="55" t="str">
        <f t="shared" si="59"/>
        <v/>
      </c>
      <c r="AQ34" s="55" t="str">
        <f t="shared" si="59"/>
        <v/>
      </c>
      <c r="AR34" s="55" t="str">
        <f t="shared" si="59"/>
        <v/>
      </c>
      <c r="AS34" s="55" t="str">
        <f t="shared" si="59"/>
        <v/>
      </c>
      <c r="AT34" s="55" t="str">
        <f t="shared" si="59"/>
        <v/>
      </c>
      <c r="AU34" s="55" t="str">
        <f t="shared" si="59"/>
        <v/>
      </c>
      <c r="AV34" s="55" t="str">
        <f t="shared" si="59"/>
        <v/>
      </c>
      <c r="AW34" s="55" t="str">
        <f t="shared" si="59"/>
        <v/>
      </c>
      <c r="AX34" s="55" t="str">
        <f t="shared" si="59"/>
        <v/>
      </c>
      <c r="AY34" s="55" t="str">
        <f t="shared" si="59"/>
        <v/>
      </c>
      <c r="AZ34" s="55" t="str">
        <f t="shared" si="59"/>
        <v/>
      </c>
      <c r="BA34" s="55" t="str">
        <f t="shared" si="59"/>
        <v/>
      </c>
      <c r="BB34" s="55" t="str">
        <f t="shared" si="59"/>
        <v/>
      </c>
      <c r="BC34" s="55" t="str">
        <f t="shared" si="59"/>
        <v/>
      </c>
      <c r="BD34" s="55" t="str">
        <f t="shared" si="59"/>
        <v/>
      </c>
      <c r="BE34" s="55" t="str">
        <f t="shared" si="59"/>
        <v/>
      </c>
      <c r="BF34" s="55" t="str">
        <f t="shared" si="59"/>
        <v/>
      </c>
      <c r="BG34" s="55" t="str">
        <f t="shared" si="59"/>
        <v/>
      </c>
      <c r="BH34" s="55" t="str">
        <f t="shared" si="59"/>
        <v/>
      </c>
      <c r="BI34" s="55" t="str">
        <f t="shared" si="59"/>
        <v/>
      </c>
      <c r="BJ34" s="55" t="str">
        <f t="shared" si="59"/>
        <v/>
      </c>
      <c r="BK34" s="55" t="str">
        <f t="shared" si="59"/>
        <v/>
      </c>
      <c r="BL34" s="55" t="str">
        <f t="shared" si="59"/>
        <v/>
      </c>
      <c r="BM34" s="55" t="str">
        <f t="shared" si="59"/>
        <v/>
      </c>
      <c r="BN34" s="55" t="str">
        <f t="shared" si="59"/>
        <v/>
      </c>
      <c r="BO34" s="55" t="str">
        <f t="shared" si="59"/>
        <v/>
      </c>
      <c r="BP34" s="55" t="str">
        <f t="shared" si="59"/>
        <v/>
      </c>
      <c r="BQ34" s="55" t="str">
        <f t="shared" si="59"/>
        <v/>
      </c>
      <c r="BR34" s="55" t="str">
        <f t="shared" si="59"/>
        <v/>
      </c>
      <c r="BS34" s="55" t="str">
        <f t="shared" si="59"/>
        <v/>
      </c>
      <c r="BT34" s="55" t="str">
        <f t="shared" si="59"/>
        <v/>
      </c>
      <c r="BU34" s="55" t="str">
        <f t="shared" si="59"/>
        <v/>
      </c>
      <c r="BV34" s="55" t="str">
        <f t="shared" si="59"/>
        <v/>
      </c>
      <c r="BW34" s="55" t="str">
        <f t="shared" si="59"/>
        <v/>
      </c>
      <c r="BX34" s="55" t="str">
        <f t="shared" si="59"/>
        <v/>
      </c>
      <c r="BY34" s="55" t="str">
        <f t="shared" si="59"/>
        <v/>
      </c>
      <c r="BZ34" s="55" t="str">
        <f t="shared" si="59"/>
        <v/>
      </c>
      <c r="CA34" s="55" t="str">
        <f t="shared" si="59"/>
        <v/>
      </c>
      <c r="CB34" s="55" t="str">
        <f t="shared" si="59"/>
        <v/>
      </c>
      <c r="CC34" s="55" t="str">
        <f t="shared" si="59"/>
        <v/>
      </c>
      <c r="CD34" s="55" t="str">
        <f t="shared" si="59"/>
        <v/>
      </c>
      <c r="CE34" s="55" t="str">
        <f t="shared" si="59"/>
        <v/>
      </c>
      <c r="CF34" s="55">
        <f t="shared" si="59"/>
        <v>0</v>
      </c>
      <c r="CG34" s="55" t="str">
        <f t="shared" si="59"/>
        <v/>
      </c>
      <c r="CH34" s="55" t="str">
        <f t="shared" si="59"/>
        <v/>
      </c>
      <c r="CI34" s="55" t="str">
        <f t="shared" si="59"/>
        <v/>
      </c>
      <c r="CJ34" s="55" t="str">
        <f t="shared" si="59"/>
        <v/>
      </c>
      <c r="CK34" s="55" t="str">
        <f t="shared" si="59"/>
        <v/>
      </c>
      <c r="CL34" s="55" t="str">
        <f t="shared" si="59"/>
        <v/>
      </c>
      <c r="CM34" s="55" t="str">
        <f t="shared" si="59"/>
        <v/>
      </c>
      <c r="CN34" s="55" t="str">
        <f t="shared" si="59"/>
        <v/>
      </c>
      <c r="CO34" s="55" t="str">
        <f t="shared" si="59"/>
        <v/>
      </c>
      <c r="CP34" s="55" t="str">
        <f t="shared" si="59"/>
        <v/>
      </c>
      <c r="CQ34" s="55" t="str">
        <f t="shared" si="59"/>
        <v/>
      </c>
      <c r="CR34" s="55" t="str">
        <f t="shared" si="59"/>
        <v/>
      </c>
      <c r="CS34" s="55" t="str">
        <f t="shared" si="59"/>
        <v/>
      </c>
      <c r="CT34" s="55" t="str">
        <f t="shared" si="59"/>
        <v/>
      </c>
      <c r="CU34" s="55" t="str">
        <f t="shared" si="59"/>
        <v/>
      </c>
      <c r="CV34" s="55" t="str">
        <f t="shared" si="59"/>
        <v/>
      </c>
      <c r="CW34" s="55" t="str">
        <f t="shared" si="59"/>
        <v/>
      </c>
      <c r="CX34" s="55" t="str">
        <f t="shared" si="59"/>
        <v/>
      </c>
      <c r="CY34" s="55" t="str">
        <f t="shared" si="59"/>
        <v/>
      </c>
      <c r="CZ34" s="55" t="str">
        <f t="shared" si="59"/>
        <v/>
      </c>
      <c r="DA34" s="55" t="str">
        <f t="shared" si="60"/>
        <v/>
      </c>
      <c r="DB34" s="55" t="str">
        <f t="shared" si="60"/>
        <v/>
      </c>
      <c r="DC34" s="55" t="str">
        <f t="shared" si="60"/>
        <v/>
      </c>
      <c r="DD34" s="55" t="str">
        <f t="shared" si="60"/>
        <v/>
      </c>
      <c r="DE34" s="55" t="str">
        <f t="shared" si="60"/>
        <v/>
      </c>
      <c r="DF34" s="55" t="str">
        <f t="shared" si="60"/>
        <v/>
      </c>
      <c r="DG34" s="55" t="str">
        <f t="shared" si="60"/>
        <v/>
      </c>
      <c r="DH34" s="55" t="str">
        <f t="shared" si="60"/>
        <v/>
      </c>
      <c r="DI34" s="55" t="str">
        <f t="shared" si="60"/>
        <v/>
      </c>
      <c r="DJ34" s="55" t="str">
        <f t="shared" si="60"/>
        <v/>
      </c>
      <c r="DK34" s="55" t="str">
        <f t="shared" si="60"/>
        <v/>
      </c>
      <c r="DL34" s="55" t="str">
        <f t="shared" si="60"/>
        <v/>
      </c>
      <c r="DM34" s="55" t="str">
        <f t="shared" si="60"/>
        <v/>
      </c>
      <c r="DN34" s="55" t="str">
        <f t="shared" si="60"/>
        <v/>
      </c>
      <c r="DO34" s="55" t="str">
        <f t="shared" si="60"/>
        <v/>
      </c>
      <c r="DP34" s="55" t="str">
        <f t="shared" si="60"/>
        <v/>
      </c>
      <c r="DQ34" s="55" t="str">
        <f t="shared" si="61"/>
        <v/>
      </c>
      <c r="DR34" s="55" t="str">
        <f t="shared" si="61"/>
        <v/>
      </c>
      <c r="DS34" s="55" t="str">
        <f t="shared" si="61"/>
        <v/>
      </c>
      <c r="DT34" s="106" t="str">
        <f t="shared" si="61"/>
        <v/>
      </c>
      <c r="DU34" s="54"/>
      <c r="DV34" s="25"/>
      <c r="DW34" s="61" t="str">
        <f t="shared" si="62"/>
        <v/>
      </c>
      <c r="DX34" s="50" t="str">
        <f t="shared" si="62"/>
        <v/>
      </c>
      <c r="DY34" s="50" t="str">
        <f t="shared" si="62"/>
        <v/>
      </c>
      <c r="DZ34" s="50" t="str">
        <f t="shared" si="62"/>
        <v/>
      </c>
      <c r="EA34" s="50" t="str">
        <f t="shared" si="62"/>
        <v/>
      </c>
      <c r="EB34" s="50" t="str">
        <f t="shared" si="62"/>
        <v/>
      </c>
      <c r="EC34" s="50" t="str">
        <f t="shared" si="62"/>
        <v/>
      </c>
      <c r="ED34" s="50" t="str">
        <f t="shared" si="62"/>
        <v/>
      </c>
      <c r="EE34" s="50" t="str">
        <f t="shared" si="62"/>
        <v/>
      </c>
      <c r="EF34" s="50" t="str">
        <f t="shared" si="62"/>
        <v/>
      </c>
      <c r="EG34" s="50" t="str">
        <f t="shared" si="62"/>
        <v/>
      </c>
      <c r="EH34" s="50" t="str">
        <f t="shared" si="62"/>
        <v/>
      </c>
      <c r="EI34" s="50" t="str">
        <f t="shared" si="62"/>
        <v/>
      </c>
      <c r="EJ34" s="50" t="str">
        <f t="shared" si="62"/>
        <v/>
      </c>
      <c r="EK34" s="50" t="str">
        <f t="shared" si="62"/>
        <v/>
      </c>
      <c r="EL34" s="50" t="str">
        <f t="shared" si="62"/>
        <v/>
      </c>
      <c r="EM34" s="50" t="str">
        <f t="shared" si="63"/>
        <v/>
      </c>
      <c r="EN34" s="50" t="str">
        <f t="shared" si="63"/>
        <v/>
      </c>
      <c r="EO34" s="50" t="str">
        <f t="shared" si="63"/>
        <v/>
      </c>
      <c r="EP34" s="50" t="str">
        <f t="shared" si="63"/>
        <v/>
      </c>
      <c r="EQ34" s="50" t="str">
        <f t="shared" si="63"/>
        <v/>
      </c>
      <c r="ER34" s="50" t="str">
        <f t="shared" si="63"/>
        <v/>
      </c>
      <c r="ES34" s="50" t="str">
        <f t="shared" si="63"/>
        <v/>
      </c>
      <c r="ET34" s="50" t="str">
        <f t="shared" si="63"/>
        <v/>
      </c>
      <c r="EU34" s="50" t="str">
        <f t="shared" si="63"/>
        <v/>
      </c>
      <c r="EV34" s="50" t="str">
        <f t="shared" si="63"/>
        <v/>
      </c>
      <c r="EW34" s="50" t="str">
        <f t="shared" si="63"/>
        <v/>
      </c>
      <c r="EX34" s="50" t="str">
        <f t="shared" si="63"/>
        <v/>
      </c>
      <c r="EY34" s="50" t="str">
        <f t="shared" si="63"/>
        <v/>
      </c>
      <c r="EZ34" s="50" t="str">
        <f t="shared" si="63"/>
        <v/>
      </c>
      <c r="FA34" s="50" t="str">
        <f t="shared" si="63"/>
        <v/>
      </c>
      <c r="FB34" s="50" t="str">
        <f t="shared" si="63"/>
        <v/>
      </c>
      <c r="FC34" s="50" t="str">
        <f t="shared" si="63"/>
        <v/>
      </c>
      <c r="FD34" s="50" t="str">
        <f t="shared" si="63"/>
        <v/>
      </c>
      <c r="FE34" s="50" t="str">
        <f t="shared" si="63"/>
        <v/>
      </c>
      <c r="FF34" s="50" t="str">
        <f t="shared" si="63"/>
        <v/>
      </c>
      <c r="FG34" s="50" t="str">
        <f t="shared" si="63"/>
        <v/>
      </c>
      <c r="FH34" s="50" t="str">
        <f t="shared" si="63"/>
        <v/>
      </c>
      <c r="FI34" s="50" t="str">
        <f t="shared" si="63"/>
        <v/>
      </c>
      <c r="FJ34" s="50" t="str">
        <f t="shared" si="63"/>
        <v/>
      </c>
      <c r="FK34" s="50" t="str">
        <f t="shared" si="63"/>
        <v/>
      </c>
      <c r="FL34" s="50" t="str">
        <f t="shared" si="63"/>
        <v/>
      </c>
      <c r="FM34" s="50" t="str">
        <f t="shared" si="63"/>
        <v/>
      </c>
      <c r="FN34" s="50" t="str">
        <f t="shared" si="63"/>
        <v/>
      </c>
      <c r="FO34" s="50" t="str">
        <f t="shared" si="63"/>
        <v/>
      </c>
      <c r="FP34" s="50" t="str">
        <f t="shared" si="63"/>
        <v/>
      </c>
      <c r="FQ34" s="50" t="str">
        <f t="shared" si="63"/>
        <v/>
      </c>
      <c r="FR34" s="50" t="str">
        <f t="shared" si="63"/>
        <v/>
      </c>
      <c r="FS34" s="50" t="str">
        <f t="shared" si="63"/>
        <v/>
      </c>
      <c r="FT34" s="50" t="str">
        <f t="shared" si="63"/>
        <v/>
      </c>
      <c r="FU34" s="50" t="str">
        <f t="shared" si="63"/>
        <v/>
      </c>
      <c r="FV34" s="50" t="str">
        <f t="shared" si="63"/>
        <v/>
      </c>
      <c r="FW34" s="50" t="str">
        <f t="shared" si="63"/>
        <v/>
      </c>
      <c r="FX34" s="50" t="str">
        <f t="shared" si="63"/>
        <v/>
      </c>
      <c r="FY34" s="50" t="str">
        <f t="shared" si="63"/>
        <v/>
      </c>
      <c r="FZ34" s="50" t="str">
        <f t="shared" si="63"/>
        <v/>
      </c>
      <c r="GA34" s="50" t="str">
        <f t="shared" si="63"/>
        <v/>
      </c>
      <c r="GB34" s="50" t="str">
        <f t="shared" si="63"/>
        <v/>
      </c>
      <c r="GC34" s="50" t="str">
        <f t="shared" si="63"/>
        <v/>
      </c>
      <c r="GD34" s="50" t="str">
        <f t="shared" si="63"/>
        <v/>
      </c>
      <c r="GE34" s="50" t="str">
        <f t="shared" si="63"/>
        <v/>
      </c>
      <c r="GF34" s="50" t="str">
        <f t="shared" si="63"/>
        <v/>
      </c>
      <c r="GG34" s="50" t="str">
        <f t="shared" si="63"/>
        <v/>
      </c>
      <c r="GH34" s="50" t="str">
        <f t="shared" si="63"/>
        <v/>
      </c>
      <c r="GI34" s="50" t="str">
        <f t="shared" si="63"/>
        <v/>
      </c>
      <c r="GJ34" s="50" t="str">
        <f t="shared" si="63"/>
        <v/>
      </c>
      <c r="GK34" s="50" t="str">
        <f t="shared" si="63"/>
        <v/>
      </c>
      <c r="GL34" s="50" t="str">
        <f t="shared" si="63"/>
        <v/>
      </c>
      <c r="GM34" s="50" t="str">
        <f t="shared" si="63"/>
        <v/>
      </c>
      <c r="GN34" s="50" t="str">
        <f t="shared" si="63"/>
        <v/>
      </c>
      <c r="GO34" s="50" t="str">
        <f t="shared" si="63"/>
        <v/>
      </c>
      <c r="GP34" s="50" t="str">
        <f t="shared" si="63"/>
        <v/>
      </c>
      <c r="GQ34" s="50" t="str">
        <f t="shared" si="63"/>
        <v/>
      </c>
      <c r="GR34" s="50" t="str">
        <f t="shared" si="63"/>
        <v/>
      </c>
      <c r="GS34" s="50" t="str">
        <f t="shared" si="63"/>
        <v/>
      </c>
      <c r="GT34" s="50" t="str">
        <f t="shared" si="63"/>
        <v/>
      </c>
      <c r="GU34" s="50" t="str">
        <f t="shared" si="63"/>
        <v/>
      </c>
      <c r="GV34" s="50" t="str">
        <f t="shared" si="63"/>
        <v/>
      </c>
      <c r="GW34" s="50" t="str">
        <f t="shared" si="63"/>
        <v/>
      </c>
      <c r="GX34" s="50" t="str">
        <f t="shared" si="63"/>
        <v/>
      </c>
      <c r="GY34" s="50" t="str">
        <f t="shared" si="64"/>
        <v/>
      </c>
      <c r="GZ34" s="50" t="str">
        <f t="shared" si="64"/>
        <v/>
      </c>
      <c r="HA34" s="50" t="str">
        <f t="shared" si="64"/>
        <v/>
      </c>
      <c r="HB34" s="50" t="str">
        <f t="shared" si="64"/>
        <v/>
      </c>
      <c r="HC34" s="50" t="str">
        <f t="shared" si="64"/>
        <v/>
      </c>
      <c r="HD34" s="50" t="str">
        <f t="shared" si="64"/>
        <v/>
      </c>
      <c r="HE34" s="50" t="str">
        <f t="shared" si="64"/>
        <v/>
      </c>
      <c r="HF34" s="50" t="str">
        <f t="shared" si="64"/>
        <v/>
      </c>
      <c r="HG34" s="50" t="str">
        <f t="shared" si="64"/>
        <v/>
      </c>
      <c r="HH34" s="50" t="str">
        <f t="shared" si="64"/>
        <v/>
      </c>
      <c r="HI34" s="50" t="str">
        <f t="shared" si="65"/>
        <v/>
      </c>
      <c r="HJ34" s="50" t="str">
        <f t="shared" si="65"/>
        <v/>
      </c>
      <c r="HK34" s="50" t="str">
        <f t="shared" si="65"/>
        <v/>
      </c>
      <c r="HL34" s="50" t="str">
        <f t="shared" si="65"/>
        <v/>
      </c>
      <c r="HM34" s="50" t="str">
        <f t="shared" si="65"/>
        <v/>
      </c>
      <c r="HN34" s="50" t="str">
        <f t="shared" si="65"/>
        <v/>
      </c>
      <c r="HO34" s="50" t="str">
        <f t="shared" si="65"/>
        <v/>
      </c>
      <c r="HP34" s="50" t="str">
        <f t="shared" si="65"/>
        <v/>
      </c>
      <c r="HQ34" s="50" t="str">
        <f t="shared" si="65"/>
        <v/>
      </c>
      <c r="HR34" s="112" t="str">
        <f t="shared" si="65"/>
        <v/>
      </c>
    </row>
    <row r="35" spans="1:226" ht="11.1" customHeight="1" x14ac:dyDescent="0.25">
      <c r="A35" s="26" t="s">
        <v>37</v>
      </c>
      <c r="B35" s="27">
        <v>60</v>
      </c>
      <c r="C35" s="28" t="str">
        <f>IF(A35=0,"",VLOOKUP(A35,[2]CO!$A$3:$F$5327,2,0))</f>
        <v>Destajos y nominas</v>
      </c>
      <c r="D35" s="29"/>
      <c r="E35" s="29"/>
      <c r="F35" s="29"/>
      <c r="G35" s="30" t="str">
        <f>IF(A35=0,"",VLOOKUP(A35,[2]CO!$A$3:$F$5327,3,0))</f>
        <v>LOTE</v>
      </c>
      <c r="H35" s="126">
        <v>0.04</v>
      </c>
      <c r="I35" s="31"/>
      <c r="J35" s="31"/>
      <c r="K35" s="31"/>
      <c r="L35" s="31">
        <v>1</v>
      </c>
      <c r="M35" s="32">
        <f t="shared" si="55"/>
        <v>3.2139800000000003</v>
      </c>
      <c r="N35" s="32">
        <f>IF(B35=0,"",IF(H35="M",HLOOKUP(B35,$Y$12:$DT$13,2),IF(A35=0,"",VLOOKUP(A35,[2]CO!$A$3:$F$5327,4,0))))</f>
        <v>100</v>
      </c>
      <c r="O35" s="32">
        <f t="shared" si="16"/>
        <v>321.39800000000002</v>
      </c>
      <c r="P35" s="33">
        <v>60</v>
      </c>
      <c r="Q35" s="34">
        <f t="shared" si="56"/>
        <v>321.39800000000002</v>
      </c>
      <c r="R35" s="35" t="str">
        <f t="shared" ref="R35:R47" si="66"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RESIDENTE",G35="TOPOGRAFIA"),VLOOKUP(B35,P$14:Q$66,2),"")*S35)</f>
        <v/>
      </c>
      <c r="T35" s="53">
        <f>IF(A35=0,"",VLOOKUP(A35,[2]CO!$A$3:$F$5318,5,0))</f>
        <v>0</v>
      </c>
      <c r="U35" s="54">
        <f t="shared" si="57"/>
        <v>0</v>
      </c>
      <c r="V35" s="24"/>
      <c r="W35" s="25"/>
      <c r="X35" s="25"/>
      <c r="Y35" s="64" t="str">
        <f t="shared" si="58"/>
        <v/>
      </c>
      <c r="Z35" s="55" t="str">
        <f t="shared" si="58"/>
        <v/>
      </c>
      <c r="AA35" s="55" t="str">
        <f t="shared" si="58"/>
        <v/>
      </c>
      <c r="AB35" s="55" t="str">
        <f t="shared" si="58"/>
        <v/>
      </c>
      <c r="AC35" s="55" t="str">
        <f t="shared" si="58"/>
        <v/>
      </c>
      <c r="AD35" s="55" t="str">
        <f t="shared" si="58"/>
        <v/>
      </c>
      <c r="AE35" s="55" t="str">
        <f t="shared" si="58"/>
        <v/>
      </c>
      <c r="AF35" s="55" t="str">
        <f t="shared" si="58"/>
        <v/>
      </c>
      <c r="AG35" s="55" t="str">
        <f t="shared" si="58"/>
        <v/>
      </c>
      <c r="AH35" s="55" t="str">
        <f t="shared" si="58"/>
        <v/>
      </c>
      <c r="AI35" s="55" t="str">
        <f t="shared" si="58"/>
        <v/>
      </c>
      <c r="AJ35" s="55" t="str">
        <f t="shared" si="58"/>
        <v/>
      </c>
      <c r="AK35" s="55" t="str">
        <f t="shared" si="58"/>
        <v/>
      </c>
      <c r="AL35" s="55" t="str">
        <f t="shared" si="58"/>
        <v/>
      </c>
      <c r="AM35" s="55" t="str">
        <f t="shared" si="58"/>
        <v/>
      </c>
      <c r="AN35" s="55" t="str">
        <f t="shared" si="58"/>
        <v/>
      </c>
      <c r="AO35" s="55" t="str">
        <f t="shared" si="59"/>
        <v/>
      </c>
      <c r="AP35" s="55" t="str">
        <f t="shared" si="59"/>
        <v/>
      </c>
      <c r="AQ35" s="55" t="str">
        <f t="shared" si="59"/>
        <v/>
      </c>
      <c r="AR35" s="55" t="str">
        <f t="shared" si="59"/>
        <v/>
      </c>
      <c r="AS35" s="55" t="str">
        <f t="shared" si="59"/>
        <v/>
      </c>
      <c r="AT35" s="55" t="str">
        <f t="shared" si="59"/>
        <v/>
      </c>
      <c r="AU35" s="55" t="str">
        <f t="shared" si="59"/>
        <v/>
      </c>
      <c r="AV35" s="55" t="str">
        <f t="shared" si="59"/>
        <v/>
      </c>
      <c r="AW35" s="55" t="str">
        <f t="shared" si="59"/>
        <v/>
      </c>
      <c r="AX35" s="55" t="str">
        <f t="shared" si="59"/>
        <v/>
      </c>
      <c r="AY35" s="55" t="str">
        <f t="shared" si="59"/>
        <v/>
      </c>
      <c r="AZ35" s="55" t="str">
        <f t="shared" si="59"/>
        <v/>
      </c>
      <c r="BA35" s="55" t="str">
        <f t="shared" si="59"/>
        <v/>
      </c>
      <c r="BB35" s="55" t="str">
        <f t="shared" si="59"/>
        <v/>
      </c>
      <c r="BC35" s="55" t="str">
        <f t="shared" si="59"/>
        <v/>
      </c>
      <c r="BD35" s="55" t="str">
        <f t="shared" si="59"/>
        <v/>
      </c>
      <c r="BE35" s="55" t="str">
        <f t="shared" si="59"/>
        <v/>
      </c>
      <c r="BF35" s="55" t="str">
        <f t="shared" si="59"/>
        <v/>
      </c>
      <c r="BG35" s="55" t="str">
        <f t="shared" si="59"/>
        <v/>
      </c>
      <c r="BH35" s="55" t="str">
        <f t="shared" si="59"/>
        <v/>
      </c>
      <c r="BI35" s="55" t="str">
        <f t="shared" si="59"/>
        <v/>
      </c>
      <c r="BJ35" s="55" t="str">
        <f t="shared" si="59"/>
        <v/>
      </c>
      <c r="BK35" s="55" t="str">
        <f t="shared" si="59"/>
        <v/>
      </c>
      <c r="BL35" s="55" t="str">
        <f t="shared" si="59"/>
        <v/>
      </c>
      <c r="BM35" s="55" t="str">
        <f t="shared" si="59"/>
        <v/>
      </c>
      <c r="BN35" s="55" t="str">
        <f t="shared" si="59"/>
        <v/>
      </c>
      <c r="BO35" s="55" t="str">
        <f t="shared" si="59"/>
        <v/>
      </c>
      <c r="BP35" s="55" t="str">
        <f t="shared" si="59"/>
        <v/>
      </c>
      <c r="BQ35" s="55" t="str">
        <f t="shared" si="59"/>
        <v/>
      </c>
      <c r="BR35" s="55" t="str">
        <f t="shared" si="59"/>
        <v/>
      </c>
      <c r="BS35" s="55" t="str">
        <f t="shared" si="59"/>
        <v/>
      </c>
      <c r="BT35" s="55" t="str">
        <f t="shared" si="59"/>
        <v/>
      </c>
      <c r="BU35" s="55" t="str">
        <f t="shared" si="59"/>
        <v/>
      </c>
      <c r="BV35" s="55" t="str">
        <f t="shared" si="59"/>
        <v/>
      </c>
      <c r="BW35" s="55" t="str">
        <f t="shared" si="59"/>
        <v/>
      </c>
      <c r="BX35" s="55" t="str">
        <f t="shared" si="59"/>
        <v/>
      </c>
      <c r="BY35" s="55" t="str">
        <f t="shared" si="59"/>
        <v/>
      </c>
      <c r="BZ35" s="55" t="str">
        <f t="shared" si="59"/>
        <v/>
      </c>
      <c r="CA35" s="55" t="str">
        <f t="shared" si="59"/>
        <v/>
      </c>
      <c r="CB35" s="55" t="str">
        <f t="shared" si="59"/>
        <v/>
      </c>
      <c r="CC35" s="55" t="str">
        <f t="shared" si="59"/>
        <v/>
      </c>
      <c r="CD35" s="55" t="str">
        <f t="shared" si="59"/>
        <v/>
      </c>
      <c r="CE35" s="55" t="str">
        <f t="shared" si="59"/>
        <v/>
      </c>
      <c r="CF35" s="55">
        <f t="shared" si="59"/>
        <v>0</v>
      </c>
      <c r="CG35" s="55" t="str">
        <f t="shared" si="59"/>
        <v/>
      </c>
      <c r="CH35" s="55" t="str">
        <f t="shared" si="59"/>
        <v/>
      </c>
      <c r="CI35" s="55" t="str">
        <f t="shared" si="59"/>
        <v/>
      </c>
      <c r="CJ35" s="55" t="str">
        <f t="shared" si="59"/>
        <v/>
      </c>
      <c r="CK35" s="55" t="str">
        <f t="shared" si="59"/>
        <v/>
      </c>
      <c r="CL35" s="55" t="str">
        <f t="shared" si="59"/>
        <v/>
      </c>
      <c r="CM35" s="55" t="str">
        <f t="shared" si="59"/>
        <v/>
      </c>
      <c r="CN35" s="55" t="str">
        <f t="shared" si="59"/>
        <v/>
      </c>
      <c r="CO35" s="55" t="str">
        <f t="shared" si="59"/>
        <v/>
      </c>
      <c r="CP35" s="55" t="str">
        <f t="shared" si="59"/>
        <v/>
      </c>
      <c r="CQ35" s="55" t="str">
        <f t="shared" si="59"/>
        <v/>
      </c>
      <c r="CR35" s="55" t="str">
        <f t="shared" si="59"/>
        <v/>
      </c>
      <c r="CS35" s="55" t="str">
        <f t="shared" si="59"/>
        <v/>
      </c>
      <c r="CT35" s="55" t="str">
        <f t="shared" si="59"/>
        <v/>
      </c>
      <c r="CU35" s="55" t="str">
        <f t="shared" si="59"/>
        <v/>
      </c>
      <c r="CV35" s="55" t="str">
        <f t="shared" si="59"/>
        <v/>
      </c>
      <c r="CW35" s="55" t="str">
        <f t="shared" si="59"/>
        <v/>
      </c>
      <c r="CX35" s="55" t="str">
        <f t="shared" si="59"/>
        <v/>
      </c>
      <c r="CY35" s="55" t="str">
        <f t="shared" si="59"/>
        <v/>
      </c>
      <c r="CZ35" s="55" t="str">
        <f t="shared" si="59"/>
        <v/>
      </c>
      <c r="DA35" s="55" t="str">
        <f t="shared" si="60"/>
        <v/>
      </c>
      <c r="DB35" s="55" t="str">
        <f t="shared" si="60"/>
        <v/>
      </c>
      <c r="DC35" s="55" t="str">
        <f t="shared" si="60"/>
        <v/>
      </c>
      <c r="DD35" s="55" t="str">
        <f t="shared" si="60"/>
        <v/>
      </c>
      <c r="DE35" s="55" t="str">
        <f t="shared" si="60"/>
        <v/>
      </c>
      <c r="DF35" s="55" t="str">
        <f t="shared" si="60"/>
        <v/>
      </c>
      <c r="DG35" s="55" t="str">
        <f t="shared" si="60"/>
        <v/>
      </c>
      <c r="DH35" s="55" t="str">
        <f t="shared" si="60"/>
        <v/>
      </c>
      <c r="DI35" s="55" t="str">
        <f t="shared" si="60"/>
        <v/>
      </c>
      <c r="DJ35" s="55" t="str">
        <f t="shared" si="60"/>
        <v/>
      </c>
      <c r="DK35" s="55" t="str">
        <f t="shared" si="60"/>
        <v/>
      </c>
      <c r="DL35" s="55" t="str">
        <f t="shared" si="60"/>
        <v/>
      </c>
      <c r="DM35" s="55" t="str">
        <f t="shared" si="60"/>
        <v/>
      </c>
      <c r="DN35" s="55" t="str">
        <f t="shared" si="60"/>
        <v/>
      </c>
      <c r="DO35" s="55" t="str">
        <f t="shared" si="60"/>
        <v/>
      </c>
      <c r="DP35" s="55" t="str">
        <f t="shared" si="60"/>
        <v/>
      </c>
      <c r="DQ35" s="55" t="str">
        <f t="shared" si="61"/>
        <v/>
      </c>
      <c r="DR35" s="55" t="str">
        <f t="shared" si="61"/>
        <v/>
      </c>
      <c r="DS35" s="55" t="str">
        <f t="shared" si="61"/>
        <v/>
      </c>
      <c r="DT35" s="106" t="str">
        <f t="shared" si="61"/>
        <v/>
      </c>
      <c r="DU35" s="54"/>
      <c r="DV35" s="25"/>
      <c r="DW35" s="61" t="str">
        <f t="shared" si="62"/>
        <v/>
      </c>
      <c r="DX35" s="50" t="str">
        <f t="shared" si="62"/>
        <v/>
      </c>
      <c r="DY35" s="50" t="str">
        <f t="shared" si="62"/>
        <v/>
      </c>
      <c r="DZ35" s="50" t="str">
        <f t="shared" si="62"/>
        <v/>
      </c>
      <c r="EA35" s="50" t="str">
        <f t="shared" si="62"/>
        <v/>
      </c>
      <c r="EB35" s="50" t="str">
        <f t="shared" si="62"/>
        <v/>
      </c>
      <c r="EC35" s="50" t="str">
        <f t="shared" si="62"/>
        <v/>
      </c>
      <c r="ED35" s="50" t="str">
        <f t="shared" si="62"/>
        <v/>
      </c>
      <c r="EE35" s="50" t="str">
        <f t="shared" si="62"/>
        <v/>
      </c>
      <c r="EF35" s="50" t="str">
        <f t="shared" si="62"/>
        <v/>
      </c>
      <c r="EG35" s="50" t="str">
        <f t="shared" si="62"/>
        <v/>
      </c>
      <c r="EH35" s="50" t="str">
        <f t="shared" si="62"/>
        <v/>
      </c>
      <c r="EI35" s="50" t="str">
        <f t="shared" si="62"/>
        <v/>
      </c>
      <c r="EJ35" s="50" t="str">
        <f t="shared" si="62"/>
        <v/>
      </c>
      <c r="EK35" s="50" t="str">
        <f t="shared" si="62"/>
        <v/>
      </c>
      <c r="EL35" s="50" t="str">
        <f t="shared" si="62"/>
        <v/>
      </c>
      <c r="EM35" s="50" t="str">
        <f t="shared" si="63"/>
        <v/>
      </c>
      <c r="EN35" s="50" t="str">
        <f t="shared" si="63"/>
        <v/>
      </c>
      <c r="EO35" s="50" t="str">
        <f t="shared" si="63"/>
        <v/>
      </c>
      <c r="EP35" s="50" t="str">
        <f t="shared" si="63"/>
        <v/>
      </c>
      <c r="EQ35" s="50" t="str">
        <f t="shared" si="63"/>
        <v/>
      </c>
      <c r="ER35" s="50" t="str">
        <f t="shared" si="63"/>
        <v/>
      </c>
      <c r="ES35" s="50" t="str">
        <f t="shared" si="63"/>
        <v/>
      </c>
      <c r="ET35" s="50" t="str">
        <f t="shared" si="63"/>
        <v/>
      </c>
      <c r="EU35" s="50" t="str">
        <f t="shared" si="63"/>
        <v/>
      </c>
      <c r="EV35" s="50" t="str">
        <f t="shared" si="63"/>
        <v/>
      </c>
      <c r="EW35" s="50" t="str">
        <f t="shared" si="63"/>
        <v/>
      </c>
      <c r="EX35" s="50" t="str">
        <f t="shared" si="63"/>
        <v/>
      </c>
      <c r="EY35" s="50" t="str">
        <f t="shared" si="63"/>
        <v/>
      </c>
      <c r="EZ35" s="50" t="str">
        <f t="shared" si="63"/>
        <v/>
      </c>
      <c r="FA35" s="50" t="str">
        <f t="shared" si="63"/>
        <v/>
      </c>
      <c r="FB35" s="50" t="str">
        <f t="shared" si="63"/>
        <v/>
      </c>
      <c r="FC35" s="50" t="str">
        <f t="shared" si="63"/>
        <v/>
      </c>
      <c r="FD35" s="50" t="str">
        <f t="shared" si="63"/>
        <v/>
      </c>
      <c r="FE35" s="50" t="str">
        <f t="shared" si="63"/>
        <v/>
      </c>
      <c r="FF35" s="50" t="str">
        <f t="shared" si="63"/>
        <v/>
      </c>
      <c r="FG35" s="50" t="str">
        <f t="shared" si="63"/>
        <v/>
      </c>
      <c r="FH35" s="50" t="str">
        <f t="shared" si="63"/>
        <v/>
      </c>
      <c r="FI35" s="50" t="str">
        <f t="shared" si="63"/>
        <v/>
      </c>
      <c r="FJ35" s="50" t="str">
        <f t="shared" si="63"/>
        <v/>
      </c>
      <c r="FK35" s="50" t="str">
        <f t="shared" si="63"/>
        <v/>
      </c>
      <c r="FL35" s="50" t="str">
        <f t="shared" si="63"/>
        <v/>
      </c>
      <c r="FM35" s="50" t="str">
        <f t="shared" si="63"/>
        <v/>
      </c>
      <c r="FN35" s="50" t="str">
        <f t="shared" si="63"/>
        <v/>
      </c>
      <c r="FO35" s="50" t="str">
        <f t="shared" si="63"/>
        <v/>
      </c>
      <c r="FP35" s="50" t="str">
        <f t="shared" si="63"/>
        <v/>
      </c>
      <c r="FQ35" s="50" t="str">
        <f t="shared" si="63"/>
        <v/>
      </c>
      <c r="FR35" s="50" t="str">
        <f t="shared" si="63"/>
        <v/>
      </c>
      <c r="FS35" s="50" t="str">
        <f t="shared" si="63"/>
        <v/>
      </c>
      <c r="FT35" s="50" t="str">
        <f t="shared" si="63"/>
        <v/>
      </c>
      <c r="FU35" s="50" t="str">
        <f t="shared" si="63"/>
        <v/>
      </c>
      <c r="FV35" s="50" t="str">
        <f t="shared" si="63"/>
        <v/>
      </c>
      <c r="FW35" s="50" t="str">
        <f t="shared" si="63"/>
        <v/>
      </c>
      <c r="FX35" s="50" t="str">
        <f t="shared" si="63"/>
        <v/>
      </c>
      <c r="FY35" s="50" t="str">
        <f t="shared" si="63"/>
        <v/>
      </c>
      <c r="FZ35" s="50" t="str">
        <f t="shared" si="63"/>
        <v/>
      </c>
      <c r="GA35" s="50" t="str">
        <f t="shared" si="63"/>
        <v/>
      </c>
      <c r="GB35" s="50" t="str">
        <f t="shared" si="63"/>
        <v/>
      </c>
      <c r="GC35" s="50" t="str">
        <f t="shared" si="63"/>
        <v/>
      </c>
      <c r="GD35" s="50">
        <f t="shared" si="63"/>
        <v>321.39800000000002</v>
      </c>
      <c r="GE35" s="50" t="str">
        <f t="shared" si="63"/>
        <v/>
      </c>
      <c r="GF35" s="50" t="str">
        <f t="shared" si="63"/>
        <v/>
      </c>
      <c r="GG35" s="50" t="str">
        <f t="shared" si="63"/>
        <v/>
      </c>
      <c r="GH35" s="50" t="str">
        <f t="shared" si="63"/>
        <v/>
      </c>
      <c r="GI35" s="50" t="str">
        <f t="shared" si="63"/>
        <v/>
      </c>
      <c r="GJ35" s="50" t="str">
        <f t="shared" si="63"/>
        <v/>
      </c>
      <c r="GK35" s="50" t="str">
        <f t="shared" si="63"/>
        <v/>
      </c>
      <c r="GL35" s="50" t="str">
        <f t="shared" si="63"/>
        <v/>
      </c>
      <c r="GM35" s="50" t="str">
        <f t="shared" si="63"/>
        <v/>
      </c>
      <c r="GN35" s="50" t="str">
        <f t="shared" si="63"/>
        <v/>
      </c>
      <c r="GO35" s="50" t="str">
        <f t="shared" si="63"/>
        <v/>
      </c>
      <c r="GP35" s="50" t="str">
        <f t="shared" si="63"/>
        <v/>
      </c>
      <c r="GQ35" s="50" t="str">
        <f t="shared" si="63"/>
        <v/>
      </c>
      <c r="GR35" s="50" t="str">
        <f t="shared" si="63"/>
        <v/>
      </c>
      <c r="GS35" s="50" t="str">
        <f t="shared" si="63"/>
        <v/>
      </c>
      <c r="GT35" s="50" t="str">
        <f t="shared" si="63"/>
        <v/>
      </c>
      <c r="GU35" s="50" t="str">
        <f t="shared" si="63"/>
        <v/>
      </c>
      <c r="GV35" s="50" t="str">
        <f t="shared" si="63"/>
        <v/>
      </c>
      <c r="GW35" s="50" t="str">
        <f t="shared" si="63"/>
        <v/>
      </c>
      <c r="GX35" s="50" t="str">
        <f t="shared" si="63"/>
        <v/>
      </c>
      <c r="GY35" s="50" t="str">
        <f t="shared" si="64"/>
        <v/>
      </c>
      <c r="GZ35" s="50" t="str">
        <f t="shared" si="64"/>
        <v/>
      </c>
      <c r="HA35" s="50" t="str">
        <f t="shared" si="64"/>
        <v/>
      </c>
      <c r="HB35" s="50" t="str">
        <f t="shared" si="64"/>
        <v/>
      </c>
      <c r="HC35" s="50" t="str">
        <f t="shared" si="64"/>
        <v/>
      </c>
      <c r="HD35" s="50" t="str">
        <f t="shared" si="64"/>
        <v/>
      </c>
      <c r="HE35" s="50" t="str">
        <f t="shared" si="64"/>
        <v/>
      </c>
      <c r="HF35" s="50" t="str">
        <f t="shared" si="64"/>
        <v/>
      </c>
      <c r="HG35" s="50" t="str">
        <f t="shared" si="64"/>
        <v/>
      </c>
      <c r="HH35" s="50" t="str">
        <f t="shared" si="64"/>
        <v/>
      </c>
      <c r="HI35" s="50" t="str">
        <f t="shared" si="65"/>
        <v/>
      </c>
      <c r="HJ35" s="50" t="str">
        <f t="shared" si="65"/>
        <v/>
      </c>
      <c r="HK35" s="50" t="str">
        <f t="shared" si="65"/>
        <v/>
      </c>
      <c r="HL35" s="50" t="str">
        <f t="shared" si="65"/>
        <v/>
      </c>
      <c r="HM35" s="50" t="str">
        <f t="shared" si="65"/>
        <v/>
      </c>
      <c r="HN35" s="50" t="str">
        <f t="shared" si="65"/>
        <v/>
      </c>
      <c r="HO35" s="50" t="str">
        <f t="shared" si="65"/>
        <v/>
      </c>
      <c r="HP35" s="50" t="str">
        <f t="shared" si="65"/>
        <v/>
      </c>
      <c r="HQ35" s="50" t="str">
        <f t="shared" si="65"/>
        <v/>
      </c>
      <c r="HR35" s="112" t="str">
        <f t="shared" si="65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si="55"/>
        <v/>
      </c>
      <c r="N36" s="32" t="str">
        <f>IF(B36=0,"",IF(H36="M",HLOOKUP(B36,$Y$12:$DT$13,2),IF(A36=0,"",VLOOKUP(A36,[2]CO!$A$3:$F$5327,4,0))))</f>
        <v/>
      </c>
      <c r="O36" s="32" t="str">
        <f t="shared" si="16"/>
        <v/>
      </c>
      <c r="P36" s="33"/>
      <c r="Q36" s="34" t="str">
        <f t="shared" si="56"/>
        <v/>
      </c>
      <c r="R36" s="35" t="str">
        <f t="shared" si="66"/>
        <v/>
      </c>
      <c r="T36" s="53" t="str">
        <f>IF(A36=0,"",VLOOKUP(A36,[2]CO!$A$3:$F$5318,5,0))</f>
        <v/>
      </c>
      <c r="U36" s="54">
        <f t="shared" si="57"/>
        <v>0</v>
      </c>
      <c r="V36" s="24"/>
      <c r="W36" s="25"/>
      <c r="X36" s="25"/>
      <c r="Y36" s="64" t="str">
        <f t="shared" si="58"/>
        <v/>
      </c>
      <c r="Z36" s="55" t="str">
        <f t="shared" si="58"/>
        <v/>
      </c>
      <c r="AA36" s="55" t="str">
        <f t="shared" si="58"/>
        <v/>
      </c>
      <c r="AB36" s="55" t="str">
        <f t="shared" si="58"/>
        <v/>
      </c>
      <c r="AC36" s="55" t="str">
        <f t="shared" si="58"/>
        <v/>
      </c>
      <c r="AD36" s="55" t="str">
        <f t="shared" si="58"/>
        <v/>
      </c>
      <c r="AE36" s="55" t="str">
        <f t="shared" si="58"/>
        <v/>
      </c>
      <c r="AF36" s="55" t="str">
        <f t="shared" si="58"/>
        <v/>
      </c>
      <c r="AG36" s="55" t="str">
        <f t="shared" si="58"/>
        <v/>
      </c>
      <c r="AH36" s="55" t="str">
        <f t="shared" si="58"/>
        <v/>
      </c>
      <c r="AI36" s="55" t="str">
        <f t="shared" si="58"/>
        <v/>
      </c>
      <c r="AJ36" s="55" t="str">
        <f t="shared" si="58"/>
        <v/>
      </c>
      <c r="AK36" s="55" t="str">
        <f t="shared" si="58"/>
        <v/>
      </c>
      <c r="AL36" s="55" t="str">
        <f t="shared" si="58"/>
        <v/>
      </c>
      <c r="AM36" s="55" t="str">
        <f t="shared" si="58"/>
        <v/>
      </c>
      <c r="AN36" s="55" t="str">
        <f t="shared" si="58"/>
        <v/>
      </c>
      <c r="AO36" s="55" t="str">
        <f t="shared" si="59"/>
        <v/>
      </c>
      <c r="AP36" s="55" t="str">
        <f t="shared" si="59"/>
        <v/>
      </c>
      <c r="AQ36" s="55" t="str">
        <f t="shared" si="59"/>
        <v/>
      </c>
      <c r="AR36" s="55" t="str">
        <f t="shared" si="59"/>
        <v/>
      </c>
      <c r="AS36" s="55" t="str">
        <f t="shared" si="59"/>
        <v/>
      </c>
      <c r="AT36" s="55" t="str">
        <f t="shared" si="59"/>
        <v/>
      </c>
      <c r="AU36" s="55" t="str">
        <f t="shared" si="59"/>
        <v/>
      </c>
      <c r="AV36" s="55" t="str">
        <f t="shared" si="59"/>
        <v/>
      </c>
      <c r="AW36" s="55" t="str">
        <f t="shared" si="59"/>
        <v/>
      </c>
      <c r="AX36" s="55" t="str">
        <f t="shared" si="59"/>
        <v/>
      </c>
      <c r="AY36" s="55" t="str">
        <f t="shared" si="59"/>
        <v/>
      </c>
      <c r="AZ36" s="55" t="str">
        <f t="shared" si="59"/>
        <v/>
      </c>
      <c r="BA36" s="55" t="str">
        <f t="shared" si="59"/>
        <v/>
      </c>
      <c r="BB36" s="55" t="str">
        <f t="shared" si="59"/>
        <v/>
      </c>
      <c r="BC36" s="55" t="str">
        <f t="shared" si="59"/>
        <v/>
      </c>
      <c r="BD36" s="55" t="str">
        <f t="shared" si="59"/>
        <v/>
      </c>
      <c r="BE36" s="55" t="str">
        <f t="shared" si="59"/>
        <v/>
      </c>
      <c r="BF36" s="55" t="str">
        <f t="shared" si="59"/>
        <v/>
      </c>
      <c r="BG36" s="55" t="str">
        <f t="shared" si="59"/>
        <v/>
      </c>
      <c r="BH36" s="55" t="str">
        <f t="shared" si="59"/>
        <v/>
      </c>
      <c r="BI36" s="55" t="str">
        <f t="shared" si="59"/>
        <v/>
      </c>
      <c r="BJ36" s="55" t="str">
        <f t="shared" si="59"/>
        <v/>
      </c>
      <c r="BK36" s="55" t="str">
        <f t="shared" si="59"/>
        <v/>
      </c>
      <c r="BL36" s="55" t="str">
        <f t="shared" si="59"/>
        <v/>
      </c>
      <c r="BM36" s="55" t="str">
        <f t="shared" si="59"/>
        <v/>
      </c>
      <c r="BN36" s="55" t="str">
        <f t="shared" si="59"/>
        <v/>
      </c>
      <c r="BO36" s="55" t="str">
        <f t="shared" si="59"/>
        <v/>
      </c>
      <c r="BP36" s="55" t="str">
        <f t="shared" si="59"/>
        <v/>
      </c>
      <c r="BQ36" s="55" t="str">
        <f t="shared" si="59"/>
        <v/>
      </c>
      <c r="BR36" s="55" t="str">
        <f t="shared" si="59"/>
        <v/>
      </c>
      <c r="BS36" s="55" t="str">
        <f t="shared" si="59"/>
        <v/>
      </c>
      <c r="BT36" s="55" t="str">
        <f t="shared" si="59"/>
        <v/>
      </c>
      <c r="BU36" s="55" t="str">
        <f t="shared" si="59"/>
        <v/>
      </c>
      <c r="BV36" s="55" t="str">
        <f t="shared" si="59"/>
        <v/>
      </c>
      <c r="BW36" s="55" t="str">
        <f t="shared" si="59"/>
        <v/>
      </c>
      <c r="BX36" s="55" t="str">
        <f t="shared" si="59"/>
        <v/>
      </c>
      <c r="BY36" s="55" t="str">
        <f t="shared" si="59"/>
        <v/>
      </c>
      <c r="BZ36" s="55" t="str">
        <f t="shared" si="59"/>
        <v/>
      </c>
      <c r="CA36" s="55" t="str">
        <f t="shared" si="59"/>
        <v/>
      </c>
      <c r="CB36" s="55" t="str">
        <f t="shared" si="59"/>
        <v/>
      </c>
      <c r="CC36" s="55" t="str">
        <f t="shared" si="59"/>
        <v/>
      </c>
      <c r="CD36" s="55" t="str">
        <f t="shared" si="59"/>
        <v/>
      </c>
      <c r="CE36" s="55" t="str">
        <f t="shared" si="59"/>
        <v/>
      </c>
      <c r="CF36" s="55" t="str">
        <f t="shared" si="59"/>
        <v/>
      </c>
      <c r="CG36" s="55" t="str">
        <f t="shared" si="59"/>
        <v/>
      </c>
      <c r="CH36" s="55" t="str">
        <f t="shared" si="59"/>
        <v/>
      </c>
      <c r="CI36" s="55" t="str">
        <f t="shared" si="59"/>
        <v/>
      </c>
      <c r="CJ36" s="55" t="str">
        <f t="shared" si="59"/>
        <v/>
      </c>
      <c r="CK36" s="55" t="str">
        <f t="shared" si="59"/>
        <v/>
      </c>
      <c r="CL36" s="55" t="str">
        <f t="shared" si="59"/>
        <v/>
      </c>
      <c r="CM36" s="55" t="str">
        <f t="shared" si="59"/>
        <v/>
      </c>
      <c r="CN36" s="55" t="str">
        <f t="shared" si="59"/>
        <v/>
      </c>
      <c r="CO36" s="55" t="str">
        <f t="shared" si="59"/>
        <v/>
      </c>
      <c r="CP36" s="55" t="str">
        <f t="shared" si="59"/>
        <v/>
      </c>
      <c r="CQ36" s="55" t="str">
        <f t="shared" si="59"/>
        <v/>
      </c>
      <c r="CR36" s="55" t="str">
        <f t="shared" si="59"/>
        <v/>
      </c>
      <c r="CS36" s="55" t="str">
        <f t="shared" si="59"/>
        <v/>
      </c>
      <c r="CT36" s="55" t="str">
        <f t="shared" si="59"/>
        <v/>
      </c>
      <c r="CU36" s="55" t="str">
        <f t="shared" si="59"/>
        <v/>
      </c>
      <c r="CV36" s="55" t="str">
        <f t="shared" si="59"/>
        <v/>
      </c>
      <c r="CW36" s="55" t="str">
        <f t="shared" si="59"/>
        <v/>
      </c>
      <c r="CX36" s="55" t="str">
        <f t="shared" si="59"/>
        <v/>
      </c>
      <c r="CY36" s="55" t="str">
        <f t="shared" si="59"/>
        <v/>
      </c>
      <c r="CZ36" s="55" t="str">
        <f t="shared" ref="CZ36:DJ47" si="67">IF($B36=CZ$12,$U36,"")</f>
        <v/>
      </c>
      <c r="DA36" s="55" t="str">
        <f t="shared" si="67"/>
        <v/>
      </c>
      <c r="DB36" s="55" t="str">
        <f t="shared" si="67"/>
        <v/>
      </c>
      <c r="DC36" s="55" t="str">
        <f t="shared" si="67"/>
        <v/>
      </c>
      <c r="DD36" s="55" t="str">
        <f t="shared" si="67"/>
        <v/>
      </c>
      <c r="DE36" s="55" t="str">
        <f t="shared" si="67"/>
        <v/>
      </c>
      <c r="DF36" s="55" t="str">
        <f t="shared" si="67"/>
        <v/>
      </c>
      <c r="DG36" s="55" t="str">
        <f t="shared" si="67"/>
        <v/>
      </c>
      <c r="DH36" s="55" t="str">
        <f t="shared" si="67"/>
        <v/>
      </c>
      <c r="DI36" s="55" t="str">
        <f t="shared" si="67"/>
        <v/>
      </c>
      <c r="DJ36" s="55" t="str">
        <f t="shared" si="67"/>
        <v/>
      </c>
      <c r="DK36" s="55" t="str">
        <f t="shared" si="60"/>
        <v/>
      </c>
      <c r="DL36" s="55" t="str">
        <f t="shared" si="60"/>
        <v/>
      </c>
      <c r="DM36" s="55" t="str">
        <f t="shared" si="60"/>
        <v/>
      </c>
      <c r="DN36" s="55" t="str">
        <f t="shared" si="60"/>
        <v/>
      </c>
      <c r="DO36" s="55" t="str">
        <f t="shared" si="60"/>
        <v/>
      </c>
      <c r="DP36" s="55" t="str">
        <f t="shared" si="60"/>
        <v/>
      </c>
      <c r="DQ36" s="55" t="str">
        <f t="shared" si="61"/>
        <v/>
      </c>
      <c r="DR36" s="55" t="str">
        <f t="shared" si="61"/>
        <v/>
      </c>
      <c r="DS36" s="55" t="str">
        <f t="shared" si="61"/>
        <v/>
      </c>
      <c r="DT36" s="106" t="str">
        <f t="shared" si="61"/>
        <v/>
      </c>
      <c r="DU36" s="54"/>
      <c r="DV36" s="25"/>
      <c r="DW36" s="61" t="str">
        <f t="shared" si="62"/>
        <v/>
      </c>
      <c r="DX36" s="50" t="str">
        <f t="shared" si="62"/>
        <v/>
      </c>
      <c r="DY36" s="50" t="str">
        <f t="shared" si="62"/>
        <v/>
      </c>
      <c r="DZ36" s="50" t="str">
        <f t="shared" si="62"/>
        <v/>
      </c>
      <c r="EA36" s="50" t="str">
        <f t="shared" si="62"/>
        <v/>
      </c>
      <c r="EB36" s="50" t="str">
        <f t="shared" si="62"/>
        <v/>
      </c>
      <c r="EC36" s="50" t="str">
        <f t="shared" si="62"/>
        <v/>
      </c>
      <c r="ED36" s="50" t="str">
        <f t="shared" si="62"/>
        <v/>
      </c>
      <c r="EE36" s="50" t="str">
        <f t="shared" si="62"/>
        <v/>
      </c>
      <c r="EF36" s="50" t="str">
        <f t="shared" si="62"/>
        <v/>
      </c>
      <c r="EG36" s="50" t="str">
        <f t="shared" si="62"/>
        <v/>
      </c>
      <c r="EH36" s="50" t="str">
        <f t="shared" si="62"/>
        <v/>
      </c>
      <c r="EI36" s="50" t="str">
        <f t="shared" si="62"/>
        <v/>
      </c>
      <c r="EJ36" s="50" t="str">
        <f t="shared" si="62"/>
        <v/>
      </c>
      <c r="EK36" s="50" t="str">
        <f t="shared" si="62"/>
        <v/>
      </c>
      <c r="EL36" s="50" t="str">
        <f t="shared" si="62"/>
        <v/>
      </c>
      <c r="EM36" s="50" t="str">
        <f t="shared" si="63"/>
        <v/>
      </c>
      <c r="EN36" s="50" t="str">
        <f t="shared" si="63"/>
        <v/>
      </c>
      <c r="EO36" s="50" t="str">
        <f t="shared" si="63"/>
        <v/>
      </c>
      <c r="EP36" s="50" t="str">
        <f t="shared" si="63"/>
        <v/>
      </c>
      <c r="EQ36" s="50" t="str">
        <f t="shared" si="63"/>
        <v/>
      </c>
      <c r="ER36" s="50" t="str">
        <f t="shared" si="63"/>
        <v/>
      </c>
      <c r="ES36" s="50" t="str">
        <f t="shared" si="63"/>
        <v/>
      </c>
      <c r="ET36" s="50" t="str">
        <f t="shared" si="63"/>
        <v/>
      </c>
      <c r="EU36" s="50" t="str">
        <f t="shared" si="63"/>
        <v/>
      </c>
      <c r="EV36" s="50" t="str">
        <f t="shared" si="63"/>
        <v/>
      </c>
      <c r="EW36" s="50" t="str">
        <f t="shared" si="63"/>
        <v/>
      </c>
      <c r="EX36" s="50" t="str">
        <f t="shared" si="63"/>
        <v/>
      </c>
      <c r="EY36" s="50" t="str">
        <f t="shared" si="63"/>
        <v/>
      </c>
      <c r="EZ36" s="50" t="str">
        <f t="shared" si="63"/>
        <v/>
      </c>
      <c r="FA36" s="50" t="str">
        <f t="shared" si="63"/>
        <v/>
      </c>
      <c r="FB36" s="50" t="str">
        <f t="shared" si="63"/>
        <v/>
      </c>
      <c r="FC36" s="50" t="str">
        <f t="shared" si="63"/>
        <v/>
      </c>
      <c r="FD36" s="50" t="str">
        <f t="shared" si="63"/>
        <v/>
      </c>
      <c r="FE36" s="50" t="str">
        <f t="shared" si="63"/>
        <v/>
      </c>
      <c r="FF36" s="50" t="str">
        <f t="shared" si="63"/>
        <v/>
      </c>
      <c r="FG36" s="50" t="str">
        <f t="shared" si="63"/>
        <v/>
      </c>
      <c r="FH36" s="50" t="str">
        <f t="shared" si="63"/>
        <v/>
      </c>
      <c r="FI36" s="50" t="str">
        <f t="shared" si="63"/>
        <v/>
      </c>
      <c r="FJ36" s="50" t="str">
        <f t="shared" si="63"/>
        <v/>
      </c>
      <c r="FK36" s="50" t="str">
        <f t="shared" si="63"/>
        <v/>
      </c>
      <c r="FL36" s="50" t="str">
        <f t="shared" si="63"/>
        <v/>
      </c>
      <c r="FM36" s="50" t="str">
        <f t="shared" si="63"/>
        <v/>
      </c>
      <c r="FN36" s="50" t="str">
        <f t="shared" si="63"/>
        <v/>
      </c>
      <c r="FO36" s="50" t="str">
        <f t="shared" si="63"/>
        <v/>
      </c>
      <c r="FP36" s="50" t="str">
        <f t="shared" si="63"/>
        <v/>
      </c>
      <c r="FQ36" s="50" t="str">
        <f t="shared" si="63"/>
        <v/>
      </c>
      <c r="FR36" s="50" t="str">
        <f t="shared" si="63"/>
        <v/>
      </c>
      <c r="FS36" s="50" t="str">
        <f t="shared" si="63"/>
        <v/>
      </c>
      <c r="FT36" s="50" t="str">
        <f t="shared" si="63"/>
        <v/>
      </c>
      <c r="FU36" s="50" t="str">
        <f t="shared" si="63"/>
        <v/>
      </c>
      <c r="FV36" s="50" t="str">
        <f t="shared" si="63"/>
        <v/>
      </c>
      <c r="FW36" s="50" t="str">
        <f t="shared" si="63"/>
        <v/>
      </c>
      <c r="FX36" s="50" t="str">
        <f t="shared" si="63"/>
        <v/>
      </c>
      <c r="FY36" s="50" t="str">
        <f t="shared" si="63"/>
        <v/>
      </c>
      <c r="FZ36" s="50" t="str">
        <f t="shared" si="63"/>
        <v/>
      </c>
      <c r="GA36" s="50" t="str">
        <f t="shared" si="63"/>
        <v/>
      </c>
      <c r="GB36" s="50" t="str">
        <f t="shared" si="63"/>
        <v/>
      </c>
      <c r="GC36" s="50" t="str">
        <f t="shared" si="63"/>
        <v/>
      </c>
      <c r="GD36" s="50" t="str">
        <f t="shared" si="63"/>
        <v/>
      </c>
      <c r="GE36" s="50" t="str">
        <f t="shared" si="63"/>
        <v/>
      </c>
      <c r="GF36" s="50" t="str">
        <f t="shared" si="63"/>
        <v/>
      </c>
      <c r="GG36" s="50" t="str">
        <f t="shared" si="63"/>
        <v/>
      </c>
      <c r="GH36" s="50" t="str">
        <f t="shared" si="63"/>
        <v/>
      </c>
      <c r="GI36" s="50" t="str">
        <f t="shared" si="63"/>
        <v/>
      </c>
      <c r="GJ36" s="50" t="str">
        <f t="shared" si="63"/>
        <v/>
      </c>
      <c r="GK36" s="50" t="str">
        <f t="shared" si="63"/>
        <v/>
      </c>
      <c r="GL36" s="50" t="str">
        <f t="shared" si="63"/>
        <v/>
      </c>
      <c r="GM36" s="50" t="str">
        <f t="shared" si="63"/>
        <v/>
      </c>
      <c r="GN36" s="50" t="str">
        <f t="shared" si="63"/>
        <v/>
      </c>
      <c r="GO36" s="50" t="str">
        <f t="shared" si="63"/>
        <v/>
      </c>
      <c r="GP36" s="50" t="str">
        <f t="shared" si="63"/>
        <v/>
      </c>
      <c r="GQ36" s="50" t="str">
        <f t="shared" si="63"/>
        <v/>
      </c>
      <c r="GR36" s="50" t="str">
        <f t="shared" si="63"/>
        <v/>
      </c>
      <c r="GS36" s="50" t="str">
        <f t="shared" si="63"/>
        <v/>
      </c>
      <c r="GT36" s="50" t="str">
        <f t="shared" si="63"/>
        <v/>
      </c>
      <c r="GU36" s="50" t="str">
        <f t="shared" si="63"/>
        <v/>
      </c>
      <c r="GV36" s="50" t="str">
        <f t="shared" si="63"/>
        <v/>
      </c>
      <c r="GW36" s="50" t="str">
        <f t="shared" si="63"/>
        <v/>
      </c>
      <c r="GX36" s="50" t="str">
        <f t="shared" ref="GX36:HM47" si="68">IF($B36=GX$12,$O36,"")</f>
        <v/>
      </c>
      <c r="GY36" s="50" t="str">
        <f t="shared" si="68"/>
        <v/>
      </c>
      <c r="GZ36" s="50" t="str">
        <f t="shared" si="68"/>
        <v/>
      </c>
      <c r="HA36" s="50" t="str">
        <f t="shared" si="68"/>
        <v/>
      </c>
      <c r="HB36" s="50" t="str">
        <f t="shared" si="68"/>
        <v/>
      </c>
      <c r="HC36" s="50" t="str">
        <f t="shared" si="68"/>
        <v/>
      </c>
      <c r="HD36" s="50" t="str">
        <f t="shared" si="68"/>
        <v/>
      </c>
      <c r="HE36" s="50" t="str">
        <f t="shared" si="68"/>
        <v/>
      </c>
      <c r="HF36" s="50" t="str">
        <f t="shared" si="68"/>
        <v/>
      </c>
      <c r="HG36" s="50" t="str">
        <f t="shared" si="68"/>
        <v/>
      </c>
      <c r="HH36" s="50" t="str">
        <f t="shared" si="68"/>
        <v/>
      </c>
      <c r="HI36" s="50" t="str">
        <f t="shared" si="68"/>
        <v/>
      </c>
      <c r="HJ36" s="50" t="str">
        <f t="shared" si="68"/>
        <v/>
      </c>
      <c r="HK36" s="50" t="str">
        <f t="shared" si="68"/>
        <v/>
      </c>
      <c r="HL36" s="50" t="str">
        <f t="shared" si="68"/>
        <v/>
      </c>
      <c r="HM36" s="50" t="str">
        <f t="shared" si="68"/>
        <v/>
      </c>
      <c r="HN36" s="50" t="str">
        <f t="shared" si="65"/>
        <v/>
      </c>
      <c r="HO36" s="50" t="str">
        <f t="shared" si="65"/>
        <v/>
      </c>
      <c r="HP36" s="50" t="str">
        <f t="shared" si="65"/>
        <v/>
      </c>
      <c r="HQ36" s="50" t="str">
        <f t="shared" si="65"/>
        <v/>
      </c>
      <c r="HR36" s="112" t="str">
        <f t="shared" si="65"/>
        <v/>
      </c>
    </row>
    <row r="37" spans="1:226" ht="11.1" customHeight="1" x14ac:dyDescent="0.25">
      <c r="A37" s="26">
        <v>136</v>
      </c>
      <c r="B37" s="27">
        <v>61</v>
      </c>
      <c r="C37" s="28" t="str">
        <f>IF(A37=0,"",VLOOKUP(A37,[2]CO!$A$3:$F$5327,2,0))</f>
        <v>MARTÍNEZ HERRERA ARMANDO</v>
      </c>
      <c r="D37" s="29"/>
      <c r="E37" s="29"/>
      <c r="F37" s="29"/>
      <c r="G37" s="30" t="str">
        <f>IF(A37=0,"",VLOOKUP(A37,[2]CO!$A$3:$F$5327,3,0))</f>
        <v>RESID</v>
      </c>
      <c r="H37" s="95"/>
      <c r="I37" s="31"/>
      <c r="J37" s="31"/>
      <c r="K37" s="31"/>
      <c r="L37" s="31">
        <v>7</v>
      </c>
      <c r="M37" s="32">
        <f t="shared" si="55"/>
        <v>7</v>
      </c>
      <c r="N37" s="32">
        <f>IF(B37=0,"",IF(H37="M",HLOOKUP(B37,$Y$12:$DT$13,2),IF(A37=0,"",VLOOKUP(A37,[2]CO!$A$3:$F$5327,4,0))))</f>
        <v>2040.84</v>
      </c>
      <c r="O37" s="32">
        <f t="shared" si="16"/>
        <v>14285.88</v>
      </c>
      <c r="P37" s="33">
        <v>61</v>
      </c>
      <c r="Q37" s="34">
        <f t="shared" si="56"/>
        <v>14285.88</v>
      </c>
      <c r="R37" s="35">
        <f t="shared" si="66"/>
        <v>14285.88</v>
      </c>
      <c r="S37" s="118">
        <v>1</v>
      </c>
      <c r="T37" s="53">
        <f>IF(A37=0,"",VLOOKUP(A37,[2]CO!$A$3:$F$5318,5,0))</f>
        <v>0</v>
      </c>
      <c r="U37" s="54">
        <f t="shared" si="57"/>
        <v>0</v>
      </c>
      <c r="V37" s="24"/>
      <c r="W37" s="25"/>
      <c r="X37" s="25"/>
      <c r="Y37" s="64" t="str">
        <f t="shared" si="58"/>
        <v/>
      </c>
      <c r="Z37" s="55" t="str">
        <f t="shared" si="58"/>
        <v/>
      </c>
      <c r="AA37" s="55" t="str">
        <f t="shared" si="58"/>
        <v/>
      </c>
      <c r="AB37" s="55" t="str">
        <f t="shared" si="58"/>
        <v/>
      </c>
      <c r="AC37" s="55" t="str">
        <f t="shared" si="58"/>
        <v/>
      </c>
      <c r="AD37" s="55" t="str">
        <f t="shared" si="58"/>
        <v/>
      </c>
      <c r="AE37" s="55" t="str">
        <f t="shared" si="58"/>
        <v/>
      </c>
      <c r="AF37" s="55" t="str">
        <f t="shared" si="58"/>
        <v/>
      </c>
      <c r="AG37" s="55" t="str">
        <f t="shared" si="58"/>
        <v/>
      </c>
      <c r="AH37" s="55" t="str">
        <f t="shared" si="58"/>
        <v/>
      </c>
      <c r="AI37" s="55" t="str">
        <f t="shared" si="58"/>
        <v/>
      </c>
      <c r="AJ37" s="55" t="str">
        <f t="shared" si="58"/>
        <v/>
      </c>
      <c r="AK37" s="55" t="str">
        <f t="shared" si="58"/>
        <v/>
      </c>
      <c r="AL37" s="55" t="str">
        <f t="shared" si="58"/>
        <v/>
      </c>
      <c r="AM37" s="55" t="str">
        <f t="shared" si="58"/>
        <v/>
      </c>
      <c r="AN37" s="55" t="str">
        <f t="shared" si="58"/>
        <v/>
      </c>
      <c r="AO37" s="55" t="str">
        <f t="shared" ref="AO37:BD47" si="69">IF($B37=AO$12,$U37,"")</f>
        <v/>
      </c>
      <c r="AP37" s="55" t="str">
        <f t="shared" si="69"/>
        <v/>
      </c>
      <c r="AQ37" s="55" t="str">
        <f t="shared" si="69"/>
        <v/>
      </c>
      <c r="AR37" s="55" t="str">
        <f t="shared" si="69"/>
        <v/>
      </c>
      <c r="AS37" s="55" t="str">
        <f t="shared" si="69"/>
        <v/>
      </c>
      <c r="AT37" s="55" t="str">
        <f t="shared" si="69"/>
        <v/>
      </c>
      <c r="AU37" s="55" t="str">
        <f t="shared" si="69"/>
        <v/>
      </c>
      <c r="AV37" s="55" t="str">
        <f t="shared" si="69"/>
        <v/>
      </c>
      <c r="AW37" s="55" t="str">
        <f t="shared" si="69"/>
        <v/>
      </c>
      <c r="AX37" s="55" t="str">
        <f t="shared" si="69"/>
        <v/>
      </c>
      <c r="AY37" s="55" t="str">
        <f t="shared" si="69"/>
        <v/>
      </c>
      <c r="AZ37" s="55" t="str">
        <f t="shared" si="69"/>
        <v/>
      </c>
      <c r="BA37" s="55" t="str">
        <f t="shared" si="69"/>
        <v/>
      </c>
      <c r="BB37" s="55" t="str">
        <f t="shared" si="69"/>
        <v/>
      </c>
      <c r="BC37" s="55" t="str">
        <f t="shared" si="69"/>
        <v/>
      </c>
      <c r="BD37" s="55" t="str">
        <f t="shared" si="69"/>
        <v/>
      </c>
      <c r="BE37" s="55" t="str">
        <f t="shared" ref="BE37:CY47" si="70">IF($B37=BE$12,$U37,"")</f>
        <v/>
      </c>
      <c r="BF37" s="55" t="str">
        <f t="shared" si="70"/>
        <v/>
      </c>
      <c r="BG37" s="55" t="str">
        <f t="shared" si="70"/>
        <v/>
      </c>
      <c r="BH37" s="55" t="str">
        <f t="shared" si="70"/>
        <v/>
      </c>
      <c r="BI37" s="55" t="str">
        <f t="shared" si="70"/>
        <v/>
      </c>
      <c r="BJ37" s="55" t="str">
        <f t="shared" si="70"/>
        <v/>
      </c>
      <c r="BK37" s="55" t="str">
        <f t="shared" si="70"/>
        <v/>
      </c>
      <c r="BL37" s="55" t="str">
        <f t="shared" si="70"/>
        <v/>
      </c>
      <c r="BM37" s="55" t="str">
        <f t="shared" si="70"/>
        <v/>
      </c>
      <c r="BN37" s="55" t="str">
        <f t="shared" si="70"/>
        <v/>
      </c>
      <c r="BO37" s="55" t="str">
        <f t="shared" si="70"/>
        <v/>
      </c>
      <c r="BP37" s="55" t="str">
        <f t="shared" si="70"/>
        <v/>
      </c>
      <c r="BQ37" s="55" t="str">
        <f t="shared" si="70"/>
        <v/>
      </c>
      <c r="BR37" s="55" t="str">
        <f t="shared" si="70"/>
        <v/>
      </c>
      <c r="BS37" s="55" t="str">
        <f t="shared" si="70"/>
        <v/>
      </c>
      <c r="BT37" s="55" t="str">
        <f t="shared" si="70"/>
        <v/>
      </c>
      <c r="BU37" s="55" t="str">
        <f t="shared" si="70"/>
        <v/>
      </c>
      <c r="BV37" s="55" t="str">
        <f t="shared" si="70"/>
        <v/>
      </c>
      <c r="BW37" s="55" t="str">
        <f t="shared" si="70"/>
        <v/>
      </c>
      <c r="BX37" s="55" t="str">
        <f t="shared" si="70"/>
        <v/>
      </c>
      <c r="BY37" s="55" t="str">
        <f t="shared" si="70"/>
        <v/>
      </c>
      <c r="BZ37" s="55" t="str">
        <f t="shared" si="70"/>
        <v/>
      </c>
      <c r="CA37" s="55" t="str">
        <f t="shared" si="70"/>
        <v/>
      </c>
      <c r="CB37" s="55" t="str">
        <f t="shared" si="70"/>
        <v/>
      </c>
      <c r="CC37" s="55" t="str">
        <f t="shared" si="70"/>
        <v/>
      </c>
      <c r="CD37" s="55" t="str">
        <f t="shared" si="70"/>
        <v/>
      </c>
      <c r="CE37" s="55" t="str">
        <f t="shared" si="70"/>
        <v/>
      </c>
      <c r="CF37" s="55" t="str">
        <f t="shared" si="70"/>
        <v/>
      </c>
      <c r="CG37" s="55">
        <f t="shared" si="70"/>
        <v>0</v>
      </c>
      <c r="CH37" s="55" t="str">
        <f t="shared" si="70"/>
        <v/>
      </c>
      <c r="CI37" s="55" t="str">
        <f t="shared" si="70"/>
        <v/>
      </c>
      <c r="CJ37" s="55" t="str">
        <f t="shared" si="70"/>
        <v/>
      </c>
      <c r="CK37" s="55" t="str">
        <f t="shared" si="70"/>
        <v/>
      </c>
      <c r="CL37" s="55" t="str">
        <f t="shared" si="70"/>
        <v/>
      </c>
      <c r="CM37" s="55" t="str">
        <f t="shared" si="70"/>
        <v/>
      </c>
      <c r="CN37" s="55" t="str">
        <f t="shared" si="70"/>
        <v/>
      </c>
      <c r="CO37" s="55" t="str">
        <f t="shared" si="70"/>
        <v/>
      </c>
      <c r="CP37" s="55" t="str">
        <f t="shared" si="70"/>
        <v/>
      </c>
      <c r="CQ37" s="55" t="str">
        <f t="shared" si="70"/>
        <v/>
      </c>
      <c r="CR37" s="55" t="str">
        <f t="shared" si="70"/>
        <v/>
      </c>
      <c r="CS37" s="55" t="str">
        <f t="shared" si="70"/>
        <v/>
      </c>
      <c r="CT37" s="55" t="str">
        <f t="shared" si="70"/>
        <v/>
      </c>
      <c r="CU37" s="55" t="str">
        <f t="shared" si="70"/>
        <v/>
      </c>
      <c r="CV37" s="55" t="str">
        <f t="shared" si="70"/>
        <v/>
      </c>
      <c r="CW37" s="55" t="str">
        <f t="shared" si="70"/>
        <v/>
      </c>
      <c r="CX37" s="55" t="str">
        <f t="shared" si="70"/>
        <v/>
      </c>
      <c r="CY37" s="55" t="str">
        <f t="shared" si="70"/>
        <v/>
      </c>
      <c r="CZ37" s="55" t="str">
        <f t="shared" si="67"/>
        <v/>
      </c>
      <c r="DA37" s="55" t="str">
        <f t="shared" si="67"/>
        <v/>
      </c>
      <c r="DB37" s="55" t="str">
        <f t="shared" si="67"/>
        <v/>
      </c>
      <c r="DC37" s="55" t="str">
        <f t="shared" si="67"/>
        <v/>
      </c>
      <c r="DD37" s="55" t="str">
        <f t="shared" si="67"/>
        <v/>
      </c>
      <c r="DE37" s="55" t="str">
        <f t="shared" si="67"/>
        <v/>
      </c>
      <c r="DF37" s="55" t="str">
        <f t="shared" si="67"/>
        <v/>
      </c>
      <c r="DG37" s="55" t="str">
        <f t="shared" si="67"/>
        <v/>
      </c>
      <c r="DH37" s="55" t="str">
        <f t="shared" si="67"/>
        <v/>
      </c>
      <c r="DI37" s="55" t="str">
        <f t="shared" si="67"/>
        <v/>
      </c>
      <c r="DJ37" s="55" t="str">
        <f t="shared" si="67"/>
        <v/>
      </c>
      <c r="DK37" s="55" t="str">
        <f t="shared" si="60"/>
        <v/>
      </c>
      <c r="DL37" s="55" t="str">
        <f t="shared" si="60"/>
        <v/>
      </c>
      <c r="DM37" s="55" t="str">
        <f t="shared" si="60"/>
        <v/>
      </c>
      <c r="DN37" s="55" t="str">
        <f t="shared" si="60"/>
        <v/>
      </c>
      <c r="DO37" s="55" t="str">
        <f t="shared" si="60"/>
        <v/>
      </c>
      <c r="DP37" s="55" t="str">
        <f t="shared" si="60"/>
        <v/>
      </c>
      <c r="DQ37" s="55" t="str">
        <f t="shared" si="61"/>
        <v/>
      </c>
      <c r="DR37" s="55" t="str">
        <f t="shared" si="61"/>
        <v/>
      </c>
      <c r="DS37" s="55" t="str">
        <f t="shared" si="61"/>
        <v/>
      </c>
      <c r="DT37" s="106" t="str">
        <f t="shared" si="61"/>
        <v/>
      </c>
      <c r="DU37" s="54"/>
      <c r="DV37" s="25"/>
      <c r="DW37" s="61" t="str">
        <f t="shared" si="62"/>
        <v/>
      </c>
      <c r="DX37" s="50" t="str">
        <f t="shared" si="62"/>
        <v/>
      </c>
      <c r="DY37" s="50" t="str">
        <f t="shared" si="62"/>
        <v/>
      </c>
      <c r="DZ37" s="50" t="str">
        <f t="shared" si="62"/>
        <v/>
      </c>
      <c r="EA37" s="50" t="str">
        <f t="shared" si="62"/>
        <v/>
      </c>
      <c r="EB37" s="50" t="str">
        <f t="shared" si="62"/>
        <v/>
      </c>
      <c r="EC37" s="50" t="str">
        <f t="shared" si="62"/>
        <v/>
      </c>
      <c r="ED37" s="50" t="str">
        <f t="shared" si="62"/>
        <v/>
      </c>
      <c r="EE37" s="50" t="str">
        <f t="shared" si="62"/>
        <v/>
      </c>
      <c r="EF37" s="50" t="str">
        <f t="shared" si="62"/>
        <v/>
      </c>
      <c r="EG37" s="50" t="str">
        <f t="shared" si="62"/>
        <v/>
      </c>
      <c r="EH37" s="50" t="str">
        <f t="shared" si="62"/>
        <v/>
      </c>
      <c r="EI37" s="50" t="str">
        <f t="shared" si="62"/>
        <v/>
      </c>
      <c r="EJ37" s="50" t="str">
        <f t="shared" si="62"/>
        <v/>
      </c>
      <c r="EK37" s="50" t="str">
        <f t="shared" si="62"/>
        <v/>
      </c>
      <c r="EL37" s="50" t="str">
        <f t="shared" si="62"/>
        <v/>
      </c>
      <c r="EM37" s="50" t="str">
        <f t="shared" ref="EM37:FB47" si="71">IF($B37=EM$12,$O37,"")</f>
        <v/>
      </c>
      <c r="EN37" s="50" t="str">
        <f t="shared" si="71"/>
        <v/>
      </c>
      <c r="EO37" s="50" t="str">
        <f t="shared" si="71"/>
        <v/>
      </c>
      <c r="EP37" s="50" t="str">
        <f t="shared" si="71"/>
        <v/>
      </c>
      <c r="EQ37" s="50" t="str">
        <f t="shared" si="71"/>
        <v/>
      </c>
      <c r="ER37" s="50" t="str">
        <f t="shared" si="71"/>
        <v/>
      </c>
      <c r="ES37" s="50" t="str">
        <f t="shared" si="71"/>
        <v/>
      </c>
      <c r="ET37" s="50" t="str">
        <f t="shared" si="71"/>
        <v/>
      </c>
      <c r="EU37" s="50" t="str">
        <f t="shared" si="71"/>
        <v/>
      </c>
      <c r="EV37" s="50" t="str">
        <f t="shared" si="71"/>
        <v/>
      </c>
      <c r="EW37" s="50" t="str">
        <f t="shared" si="71"/>
        <v/>
      </c>
      <c r="EX37" s="50" t="str">
        <f t="shared" si="71"/>
        <v/>
      </c>
      <c r="EY37" s="50" t="str">
        <f t="shared" si="71"/>
        <v/>
      </c>
      <c r="EZ37" s="50" t="str">
        <f t="shared" si="71"/>
        <v/>
      </c>
      <c r="FA37" s="50" t="str">
        <f t="shared" si="71"/>
        <v/>
      </c>
      <c r="FB37" s="50" t="str">
        <f t="shared" si="71"/>
        <v/>
      </c>
      <c r="FC37" s="50" t="str">
        <f t="shared" ref="FC37:GW47" si="72">IF($B37=FC$12,$O37,"")</f>
        <v/>
      </c>
      <c r="FD37" s="50" t="str">
        <f t="shared" si="72"/>
        <v/>
      </c>
      <c r="FE37" s="50" t="str">
        <f t="shared" si="72"/>
        <v/>
      </c>
      <c r="FF37" s="50" t="str">
        <f t="shared" si="72"/>
        <v/>
      </c>
      <c r="FG37" s="50" t="str">
        <f t="shared" si="72"/>
        <v/>
      </c>
      <c r="FH37" s="50" t="str">
        <f t="shared" si="72"/>
        <v/>
      </c>
      <c r="FI37" s="50" t="str">
        <f t="shared" si="72"/>
        <v/>
      </c>
      <c r="FJ37" s="50" t="str">
        <f t="shared" si="72"/>
        <v/>
      </c>
      <c r="FK37" s="50" t="str">
        <f t="shared" si="72"/>
        <v/>
      </c>
      <c r="FL37" s="50" t="str">
        <f t="shared" si="72"/>
        <v/>
      </c>
      <c r="FM37" s="50" t="str">
        <f t="shared" si="72"/>
        <v/>
      </c>
      <c r="FN37" s="50" t="str">
        <f t="shared" si="72"/>
        <v/>
      </c>
      <c r="FO37" s="50" t="str">
        <f t="shared" si="72"/>
        <v/>
      </c>
      <c r="FP37" s="50" t="str">
        <f t="shared" si="72"/>
        <v/>
      </c>
      <c r="FQ37" s="50" t="str">
        <f t="shared" si="72"/>
        <v/>
      </c>
      <c r="FR37" s="50" t="str">
        <f t="shared" si="72"/>
        <v/>
      </c>
      <c r="FS37" s="50" t="str">
        <f t="shared" si="72"/>
        <v/>
      </c>
      <c r="FT37" s="50" t="str">
        <f t="shared" si="72"/>
        <v/>
      </c>
      <c r="FU37" s="50" t="str">
        <f t="shared" si="72"/>
        <v/>
      </c>
      <c r="FV37" s="50" t="str">
        <f t="shared" si="72"/>
        <v/>
      </c>
      <c r="FW37" s="50" t="str">
        <f t="shared" si="72"/>
        <v/>
      </c>
      <c r="FX37" s="50" t="str">
        <f t="shared" si="72"/>
        <v/>
      </c>
      <c r="FY37" s="50" t="str">
        <f t="shared" si="72"/>
        <v/>
      </c>
      <c r="FZ37" s="50" t="str">
        <f t="shared" si="72"/>
        <v/>
      </c>
      <c r="GA37" s="50" t="str">
        <f t="shared" si="72"/>
        <v/>
      </c>
      <c r="GB37" s="50" t="str">
        <f t="shared" si="72"/>
        <v/>
      </c>
      <c r="GC37" s="50" t="str">
        <f t="shared" si="72"/>
        <v/>
      </c>
      <c r="GD37" s="50" t="str">
        <f t="shared" si="72"/>
        <v/>
      </c>
      <c r="GE37" s="50">
        <f t="shared" si="72"/>
        <v>14285.88</v>
      </c>
      <c r="GF37" s="50" t="str">
        <f t="shared" si="72"/>
        <v/>
      </c>
      <c r="GG37" s="50" t="str">
        <f t="shared" si="72"/>
        <v/>
      </c>
      <c r="GH37" s="50" t="str">
        <f t="shared" si="72"/>
        <v/>
      </c>
      <c r="GI37" s="50" t="str">
        <f t="shared" si="72"/>
        <v/>
      </c>
      <c r="GJ37" s="50" t="str">
        <f t="shared" si="72"/>
        <v/>
      </c>
      <c r="GK37" s="50" t="str">
        <f t="shared" si="72"/>
        <v/>
      </c>
      <c r="GL37" s="50" t="str">
        <f t="shared" si="72"/>
        <v/>
      </c>
      <c r="GM37" s="50" t="str">
        <f t="shared" si="72"/>
        <v/>
      </c>
      <c r="GN37" s="50" t="str">
        <f t="shared" si="72"/>
        <v/>
      </c>
      <c r="GO37" s="50" t="str">
        <f t="shared" si="72"/>
        <v/>
      </c>
      <c r="GP37" s="50" t="str">
        <f t="shared" si="72"/>
        <v/>
      </c>
      <c r="GQ37" s="50" t="str">
        <f t="shared" si="72"/>
        <v/>
      </c>
      <c r="GR37" s="50" t="str">
        <f t="shared" si="72"/>
        <v/>
      </c>
      <c r="GS37" s="50" t="str">
        <f t="shared" si="72"/>
        <v/>
      </c>
      <c r="GT37" s="50" t="str">
        <f t="shared" si="72"/>
        <v/>
      </c>
      <c r="GU37" s="50" t="str">
        <f t="shared" si="72"/>
        <v/>
      </c>
      <c r="GV37" s="50" t="str">
        <f t="shared" si="72"/>
        <v/>
      </c>
      <c r="GW37" s="50" t="str">
        <f t="shared" si="72"/>
        <v/>
      </c>
      <c r="GX37" s="50" t="str">
        <f t="shared" si="68"/>
        <v/>
      </c>
      <c r="GY37" s="50" t="str">
        <f t="shared" si="68"/>
        <v/>
      </c>
      <c r="GZ37" s="50" t="str">
        <f t="shared" si="68"/>
        <v/>
      </c>
      <c r="HA37" s="50" t="str">
        <f t="shared" si="68"/>
        <v/>
      </c>
      <c r="HB37" s="50" t="str">
        <f t="shared" si="68"/>
        <v/>
      </c>
      <c r="HC37" s="50" t="str">
        <f t="shared" si="68"/>
        <v/>
      </c>
      <c r="HD37" s="50" t="str">
        <f t="shared" si="68"/>
        <v/>
      </c>
      <c r="HE37" s="50" t="str">
        <f t="shared" si="68"/>
        <v/>
      </c>
      <c r="HF37" s="50" t="str">
        <f t="shared" si="68"/>
        <v/>
      </c>
      <c r="HG37" s="50" t="str">
        <f t="shared" si="68"/>
        <v/>
      </c>
      <c r="HH37" s="50" t="str">
        <f t="shared" si="68"/>
        <v/>
      </c>
      <c r="HI37" s="50" t="str">
        <f t="shared" si="68"/>
        <v/>
      </c>
      <c r="HJ37" s="50" t="str">
        <f t="shared" si="68"/>
        <v/>
      </c>
      <c r="HK37" s="50" t="str">
        <f t="shared" si="68"/>
        <v/>
      </c>
      <c r="HL37" s="50" t="str">
        <f t="shared" si="68"/>
        <v/>
      </c>
      <c r="HM37" s="50" t="str">
        <f t="shared" si="68"/>
        <v/>
      </c>
      <c r="HN37" s="50" t="str">
        <f t="shared" si="65"/>
        <v/>
      </c>
      <c r="HO37" s="50" t="str">
        <f t="shared" si="65"/>
        <v/>
      </c>
      <c r="HP37" s="50" t="str">
        <f t="shared" si="65"/>
        <v/>
      </c>
      <c r="HQ37" s="50" t="str">
        <f t="shared" si="65"/>
        <v/>
      </c>
      <c r="HR37" s="112" t="str">
        <f t="shared" si="65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 t="s">
        <v>38</v>
      </c>
      <c r="E38" s="29"/>
      <c r="F38" s="29"/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55"/>
        <v/>
      </c>
      <c r="N38" s="32" t="str">
        <f>IF(B38=0,"",IF(H38="M",HLOOKUP(B38,$Y$12:$DT$13,2),IF(A38=0,"",VLOOKUP(A38,[2]CO!$A$3:$F$5327,4,0))))</f>
        <v/>
      </c>
      <c r="O38" s="32" t="str">
        <f t="shared" si="16"/>
        <v/>
      </c>
      <c r="P38" s="33"/>
      <c r="Q38" s="34" t="str">
        <f t="shared" si="56"/>
        <v/>
      </c>
      <c r="R38" s="35" t="str">
        <f t="shared" si="66"/>
        <v/>
      </c>
      <c r="T38" s="53" t="str">
        <f>IF(A38=0,"",VLOOKUP(A38,[2]CO!$A$3:$F$5318,5,0))</f>
        <v/>
      </c>
      <c r="U38" s="54">
        <f t="shared" si="57"/>
        <v>0</v>
      </c>
      <c r="V38" s="24"/>
      <c r="W38" s="25"/>
      <c r="X38" s="25"/>
      <c r="Y38" s="64" t="str">
        <f t="shared" si="58"/>
        <v/>
      </c>
      <c r="Z38" s="55" t="str">
        <f t="shared" si="58"/>
        <v/>
      </c>
      <c r="AA38" s="55" t="str">
        <f t="shared" si="58"/>
        <v/>
      </c>
      <c r="AB38" s="55" t="str">
        <f t="shared" si="58"/>
        <v/>
      </c>
      <c r="AC38" s="55" t="str">
        <f t="shared" si="58"/>
        <v/>
      </c>
      <c r="AD38" s="55" t="str">
        <f t="shared" si="58"/>
        <v/>
      </c>
      <c r="AE38" s="55" t="str">
        <f t="shared" si="58"/>
        <v/>
      </c>
      <c r="AF38" s="55" t="str">
        <f t="shared" si="58"/>
        <v/>
      </c>
      <c r="AG38" s="55" t="str">
        <f t="shared" si="58"/>
        <v/>
      </c>
      <c r="AH38" s="55" t="str">
        <f t="shared" si="58"/>
        <v/>
      </c>
      <c r="AI38" s="55" t="str">
        <f t="shared" si="58"/>
        <v/>
      </c>
      <c r="AJ38" s="55" t="str">
        <f t="shared" si="58"/>
        <v/>
      </c>
      <c r="AK38" s="55" t="str">
        <f t="shared" si="58"/>
        <v/>
      </c>
      <c r="AL38" s="55" t="str">
        <f t="shared" si="58"/>
        <v/>
      </c>
      <c r="AM38" s="55" t="str">
        <f t="shared" si="58"/>
        <v/>
      </c>
      <c r="AN38" s="55" t="str">
        <f t="shared" si="58"/>
        <v/>
      </c>
      <c r="AO38" s="55" t="str">
        <f t="shared" si="69"/>
        <v/>
      </c>
      <c r="AP38" s="55" t="str">
        <f t="shared" si="69"/>
        <v/>
      </c>
      <c r="AQ38" s="55" t="str">
        <f t="shared" si="69"/>
        <v/>
      </c>
      <c r="AR38" s="55" t="str">
        <f t="shared" si="69"/>
        <v/>
      </c>
      <c r="AS38" s="55" t="str">
        <f t="shared" si="69"/>
        <v/>
      </c>
      <c r="AT38" s="55" t="str">
        <f t="shared" si="69"/>
        <v/>
      </c>
      <c r="AU38" s="55" t="str">
        <f t="shared" si="69"/>
        <v/>
      </c>
      <c r="AV38" s="55" t="str">
        <f t="shared" si="69"/>
        <v/>
      </c>
      <c r="AW38" s="55" t="str">
        <f t="shared" si="69"/>
        <v/>
      </c>
      <c r="AX38" s="55" t="str">
        <f t="shared" si="69"/>
        <v/>
      </c>
      <c r="AY38" s="55" t="str">
        <f t="shared" si="69"/>
        <v/>
      </c>
      <c r="AZ38" s="55" t="str">
        <f t="shared" si="69"/>
        <v/>
      </c>
      <c r="BA38" s="55" t="str">
        <f t="shared" si="69"/>
        <v/>
      </c>
      <c r="BB38" s="55" t="str">
        <f t="shared" si="69"/>
        <v/>
      </c>
      <c r="BC38" s="55" t="str">
        <f t="shared" si="69"/>
        <v/>
      </c>
      <c r="BD38" s="55" t="str">
        <f t="shared" si="69"/>
        <v/>
      </c>
      <c r="BE38" s="55" t="str">
        <f t="shared" si="70"/>
        <v/>
      </c>
      <c r="BF38" s="55" t="str">
        <f t="shared" si="70"/>
        <v/>
      </c>
      <c r="BG38" s="55" t="str">
        <f t="shared" si="70"/>
        <v/>
      </c>
      <c r="BH38" s="55" t="str">
        <f t="shared" si="70"/>
        <v/>
      </c>
      <c r="BI38" s="55" t="str">
        <f t="shared" si="70"/>
        <v/>
      </c>
      <c r="BJ38" s="55" t="str">
        <f t="shared" si="70"/>
        <v/>
      </c>
      <c r="BK38" s="55" t="str">
        <f t="shared" si="70"/>
        <v/>
      </c>
      <c r="BL38" s="55" t="str">
        <f t="shared" si="70"/>
        <v/>
      </c>
      <c r="BM38" s="55" t="str">
        <f t="shared" si="70"/>
        <v/>
      </c>
      <c r="BN38" s="55" t="str">
        <f t="shared" si="70"/>
        <v/>
      </c>
      <c r="BO38" s="55" t="str">
        <f t="shared" si="70"/>
        <v/>
      </c>
      <c r="BP38" s="55" t="str">
        <f t="shared" si="70"/>
        <v/>
      </c>
      <c r="BQ38" s="55" t="str">
        <f t="shared" si="70"/>
        <v/>
      </c>
      <c r="BR38" s="55" t="str">
        <f t="shared" si="70"/>
        <v/>
      </c>
      <c r="BS38" s="55" t="str">
        <f t="shared" si="70"/>
        <v/>
      </c>
      <c r="BT38" s="55" t="str">
        <f t="shared" si="70"/>
        <v/>
      </c>
      <c r="BU38" s="55" t="str">
        <f t="shared" si="70"/>
        <v/>
      </c>
      <c r="BV38" s="55" t="str">
        <f t="shared" si="70"/>
        <v/>
      </c>
      <c r="BW38" s="55" t="str">
        <f t="shared" si="70"/>
        <v/>
      </c>
      <c r="BX38" s="55" t="str">
        <f t="shared" si="70"/>
        <v/>
      </c>
      <c r="BY38" s="55" t="str">
        <f t="shared" si="70"/>
        <v/>
      </c>
      <c r="BZ38" s="55" t="str">
        <f t="shared" si="70"/>
        <v/>
      </c>
      <c r="CA38" s="55" t="str">
        <f t="shared" si="70"/>
        <v/>
      </c>
      <c r="CB38" s="55" t="str">
        <f t="shared" si="70"/>
        <v/>
      </c>
      <c r="CC38" s="55" t="str">
        <f t="shared" si="70"/>
        <v/>
      </c>
      <c r="CD38" s="55" t="str">
        <f t="shared" si="70"/>
        <v/>
      </c>
      <c r="CE38" s="55" t="str">
        <f t="shared" si="70"/>
        <v/>
      </c>
      <c r="CF38" s="55" t="str">
        <f t="shared" si="70"/>
        <v/>
      </c>
      <c r="CG38" s="55" t="str">
        <f t="shared" si="70"/>
        <v/>
      </c>
      <c r="CH38" s="55" t="str">
        <f t="shared" si="70"/>
        <v/>
      </c>
      <c r="CI38" s="55" t="str">
        <f t="shared" si="70"/>
        <v/>
      </c>
      <c r="CJ38" s="55" t="str">
        <f t="shared" si="70"/>
        <v/>
      </c>
      <c r="CK38" s="55" t="str">
        <f t="shared" si="70"/>
        <v/>
      </c>
      <c r="CL38" s="55" t="str">
        <f t="shared" si="70"/>
        <v/>
      </c>
      <c r="CM38" s="55" t="str">
        <f t="shared" si="70"/>
        <v/>
      </c>
      <c r="CN38" s="55" t="str">
        <f t="shared" si="70"/>
        <v/>
      </c>
      <c r="CO38" s="55" t="str">
        <f t="shared" si="70"/>
        <v/>
      </c>
      <c r="CP38" s="55" t="str">
        <f t="shared" si="70"/>
        <v/>
      </c>
      <c r="CQ38" s="55" t="str">
        <f t="shared" si="70"/>
        <v/>
      </c>
      <c r="CR38" s="55" t="str">
        <f t="shared" si="70"/>
        <v/>
      </c>
      <c r="CS38" s="55" t="str">
        <f t="shared" si="70"/>
        <v/>
      </c>
      <c r="CT38" s="55" t="str">
        <f t="shared" si="70"/>
        <v/>
      </c>
      <c r="CU38" s="55" t="str">
        <f t="shared" si="70"/>
        <v/>
      </c>
      <c r="CV38" s="55" t="str">
        <f t="shared" si="70"/>
        <v/>
      </c>
      <c r="CW38" s="55" t="str">
        <f t="shared" si="70"/>
        <v/>
      </c>
      <c r="CX38" s="55" t="str">
        <f t="shared" si="70"/>
        <v/>
      </c>
      <c r="CY38" s="55" t="str">
        <f t="shared" si="70"/>
        <v/>
      </c>
      <c r="CZ38" s="55" t="str">
        <f t="shared" si="67"/>
        <v/>
      </c>
      <c r="DA38" s="55" t="str">
        <f t="shared" si="67"/>
        <v/>
      </c>
      <c r="DB38" s="55" t="str">
        <f t="shared" si="67"/>
        <v/>
      </c>
      <c r="DC38" s="55" t="str">
        <f t="shared" si="67"/>
        <v/>
      </c>
      <c r="DD38" s="55" t="str">
        <f t="shared" si="67"/>
        <v/>
      </c>
      <c r="DE38" s="55" t="str">
        <f t="shared" si="67"/>
        <v/>
      </c>
      <c r="DF38" s="55" t="str">
        <f t="shared" si="67"/>
        <v/>
      </c>
      <c r="DG38" s="55" t="str">
        <f t="shared" si="67"/>
        <v/>
      </c>
      <c r="DH38" s="55" t="str">
        <f t="shared" si="67"/>
        <v/>
      </c>
      <c r="DI38" s="55" t="str">
        <f t="shared" si="67"/>
        <v/>
      </c>
      <c r="DJ38" s="55" t="str">
        <f t="shared" si="67"/>
        <v/>
      </c>
      <c r="DK38" s="55" t="str">
        <f t="shared" si="60"/>
        <v/>
      </c>
      <c r="DL38" s="55" t="str">
        <f t="shared" si="60"/>
        <v/>
      </c>
      <c r="DM38" s="55" t="str">
        <f t="shared" si="60"/>
        <v/>
      </c>
      <c r="DN38" s="55" t="str">
        <f t="shared" si="60"/>
        <v/>
      </c>
      <c r="DO38" s="55" t="str">
        <f t="shared" si="60"/>
        <v/>
      </c>
      <c r="DP38" s="55" t="str">
        <f t="shared" si="60"/>
        <v/>
      </c>
      <c r="DQ38" s="55" t="str">
        <f t="shared" si="61"/>
        <v/>
      </c>
      <c r="DR38" s="55" t="str">
        <f t="shared" si="61"/>
        <v/>
      </c>
      <c r="DS38" s="55" t="str">
        <f t="shared" si="61"/>
        <v/>
      </c>
      <c r="DT38" s="106" t="str">
        <f t="shared" si="61"/>
        <v/>
      </c>
      <c r="DU38" s="54"/>
      <c r="DV38" s="25"/>
      <c r="DW38" s="61" t="str">
        <f t="shared" si="62"/>
        <v/>
      </c>
      <c r="DX38" s="50" t="str">
        <f t="shared" si="62"/>
        <v/>
      </c>
      <c r="DY38" s="50" t="str">
        <f t="shared" si="62"/>
        <v/>
      </c>
      <c r="DZ38" s="50" t="str">
        <f t="shared" si="62"/>
        <v/>
      </c>
      <c r="EA38" s="50" t="str">
        <f t="shared" si="62"/>
        <v/>
      </c>
      <c r="EB38" s="50" t="str">
        <f t="shared" si="62"/>
        <v/>
      </c>
      <c r="EC38" s="50" t="str">
        <f t="shared" si="62"/>
        <v/>
      </c>
      <c r="ED38" s="50" t="str">
        <f t="shared" si="62"/>
        <v/>
      </c>
      <c r="EE38" s="50" t="str">
        <f t="shared" si="62"/>
        <v/>
      </c>
      <c r="EF38" s="50" t="str">
        <f t="shared" si="62"/>
        <v/>
      </c>
      <c r="EG38" s="50" t="str">
        <f t="shared" si="62"/>
        <v/>
      </c>
      <c r="EH38" s="50" t="str">
        <f t="shared" si="62"/>
        <v/>
      </c>
      <c r="EI38" s="50" t="str">
        <f t="shared" si="62"/>
        <v/>
      </c>
      <c r="EJ38" s="50" t="str">
        <f t="shared" si="62"/>
        <v/>
      </c>
      <c r="EK38" s="50" t="str">
        <f t="shared" si="62"/>
        <v/>
      </c>
      <c r="EL38" s="50" t="str">
        <f t="shared" si="62"/>
        <v/>
      </c>
      <c r="EM38" s="50" t="str">
        <f t="shared" si="71"/>
        <v/>
      </c>
      <c r="EN38" s="50" t="str">
        <f t="shared" si="71"/>
        <v/>
      </c>
      <c r="EO38" s="50" t="str">
        <f t="shared" si="71"/>
        <v/>
      </c>
      <c r="EP38" s="50" t="str">
        <f t="shared" si="71"/>
        <v/>
      </c>
      <c r="EQ38" s="50" t="str">
        <f t="shared" si="71"/>
        <v/>
      </c>
      <c r="ER38" s="50" t="str">
        <f t="shared" si="71"/>
        <v/>
      </c>
      <c r="ES38" s="50" t="str">
        <f t="shared" si="71"/>
        <v/>
      </c>
      <c r="ET38" s="50" t="str">
        <f t="shared" si="71"/>
        <v/>
      </c>
      <c r="EU38" s="50" t="str">
        <f t="shared" si="71"/>
        <v/>
      </c>
      <c r="EV38" s="50" t="str">
        <f t="shared" si="71"/>
        <v/>
      </c>
      <c r="EW38" s="50" t="str">
        <f t="shared" si="71"/>
        <v/>
      </c>
      <c r="EX38" s="50" t="str">
        <f t="shared" si="71"/>
        <v/>
      </c>
      <c r="EY38" s="50" t="str">
        <f t="shared" si="71"/>
        <v/>
      </c>
      <c r="EZ38" s="50" t="str">
        <f t="shared" si="71"/>
        <v/>
      </c>
      <c r="FA38" s="50" t="str">
        <f t="shared" si="71"/>
        <v/>
      </c>
      <c r="FB38" s="50" t="str">
        <f t="shared" si="71"/>
        <v/>
      </c>
      <c r="FC38" s="50" t="str">
        <f t="shared" si="72"/>
        <v/>
      </c>
      <c r="FD38" s="50" t="str">
        <f t="shared" si="72"/>
        <v/>
      </c>
      <c r="FE38" s="50" t="str">
        <f t="shared" si="72"/>
        <v/>
      </c>
      <c r="FF38" s="50" t="str">
        <f t="shared" si="72"/>
        <v/>
      </c>
      <c r="FG38" s="50" t="str">
        <f t="shared" si="72"/>
        <v/>
      </c>
      <c r="FH38" s="50" t="str">
        <f t="shared" si="72"/>
        <v/>
      </c>
      <c r="FI38" s="50" t="str">
        <f t="shared" si="72"/>
        <v/>
      </c>
      <c r="FJ38" s="50" t="str">
        <f t="shared" si="72"/>
        <v/>
      </c>
      <c r="FK38" s="50" t="str">
        <f t="shared" si="72"/>
        <v/>
      </c>
      <c r="FL38" s="50" t="str">
        <f t="shared" si="72"/>
        <v/>
      </c>
      <c r="FM38" s="50" t="str">
        <f t="shared" si="72"/>
        <v/>
      </c>
      <c r="FN38" s="50" t="str">
        <f t="shared" si="72"/>
        <v/>
      </c>
      <c r="FO38" s="50" t="str">
        <f t="shared" si="72"/>
        <v/>
      </c>
      <c r="FP38" s="50" t="str">
        <f t="shared" si="72"/>
        <v/>
      </c>
      <c r="FQ38" s="50" t="str">
        <f t="shared" si="72"/>
        <v/>
      </c>
      <c r="FR38" s="50" t="str">
        <f t="shared" si="72"/>
        <v/>
      </c>
      <c r="FS38" s="50" t="str">
        <f t="shared" si="72"/>
        <v/>
      </c>
      <c r="FT38" s="50" t="str">
        <f t="shared" si="72"/>
        <v/>
      </c>
      <c r="FU38" s="50" t="str">
        <f t="shared" si="72"/>
        <v/>
      </c>
      <c r="FV38" s="50" t="str">
        <f t="shared" si="72"/>
        <v/>
      </c>
      <c r="FW38" s="50" t="str">
        <f t="shared" si="72"/>
        <v/>
      </c>
      <c r="FX38" s="50" t="str">
        <f t="shared" si="72"/>
        <v/>
      </c>
      <c r="FY38" s="50" t="str">
        <f t="shared" si="72"/>
        <v/>
      </c>
      <c r="FZ38" s="50" t="str">
        <f t="shared" si="72"/>
        <v/>
      </c>
      <c r="GA38" s="50" t="str">
        <f t="shared" si="72"/>
        <v/>
      </c>
      <c r="GB38" s="50" t="str">
        <f t="shared" si="72"/>
        <v/>
      </c>
      <c r="GC38" s="50" t="str">
        <f t="shared" si="72"/>
        <v/>
      </c>
      <c r="GD38" s="50" t="str">
        <f t="shared" si="72"/>
        <v/>
      </c>
      <c r="GE38" s="50" t="str">
        <f t="shared" si="72"/>
        <v/>
      </c>
      <c r="GF38" s="50" t="str">
        <f t="shared" si="72"/>
        <v/>
      </c>
      <c r="GG38" s="50" t="str">
        <f t="shared" si="72"/>
        <v/>
      </c>
      <c r="GH38" s="50" t="str">
        <f t="shared" si="72"/>
        <v/>
      </c>
      <c r="GI38" s="50" t="str">
        <f t="shared" si="72"/>
        <v/>
      </c>
      <c r="GJ38" s="50" t="str">
        <f t="shared" si="72"/>
        <v/>
      </c>
      <c r="GK38" s="50" t="str">
        <f t="shared" si="72"/>
        <v/>
      </c>
      <c r="GL38" s="50" t="str">
        <f t="shared" si="72"/>
        <v/>
      </c>
      <c r="GM38" s="50" t="str">
        <f t="shared" si="72"/>
        <v/>
      </c>
      <c r="GN38" s="50" t="str">
        <f t="shared" si="72"/>
        <v/>
      </c>
      <c r="GO38" s="50" t="str">
        <f t="shared" si="72"/>
        <v/>
      </c>
      <c r="GP38" s="50" t="str">
        <f t="shared" si="72"/>
        <v/>
      </c>
      <c r="GQ38" s="50" t="str">
        <f t="shared" si="72"/>
        <v/>
      </c>
      <c r="GR38" s="50" t="str">
        <f t="shared" si="72"/>
        <v/>
      </c>
      <c r="GS38" s="50" t="str">
        <f t="shared" si="72"/>
        <v/>
      </c>
      <c r="GT38" s="50" t="str">
        <f t="shared" si="72"/>
        <v/>
      </c>
      <c r="GU38" s="50" t="str">
        <f t="shared" si="72"/>
        <v/>
      </c>
      <c r="GV38" s="50" t="str">
        <f t="shared" si="72"/>
        <v/>
      </c>
      <c r="GW38" s="50" t="str">
        <f t="shared" si="72"/>
        <v/>
      </c>
      <c r="GX38" s="50" t="str">
        <f t="shared" si="68"/>
        <v/>
      </c>
      <c r="GY38" s="50" t="str">
        <f t="shared" si="68"/>
        <v/>
      </c>
      <c r="GZ38" s="50" t="str">
        <f t="shared" si="68"/>
        <v/>
      </c>
      <c r="HA38" s="50" t="str">
        <f t="shared" si="68"/>
        <v/>
      </c>
      <c r="HB38" s="50" t="str">
        <f t="shared" si="68"/>
        <v/>
      </c>
      <c r="HC38" s="50" t="str">
        <f t="shared" si="68"/>
        <v/>
      </c>
      <c r="HD38" s="50" t="str">
        <f t="shared" si="68"/>
        <v/>
      </c>
      <c r="HE38" s="50" t="str">
        <f t="shared" si="68"/>
        <v/>
      </c>
      <c r="HF38" s="50" t="str">
        <f t="shared" si="68"/>
        <v/>
      </c>
      <c r="HG38" s="50" t="str">
        <f t="shared" si="68"/>
        <v/>
      </c>
      <c r="HH38" s="50" t="str">
        <f t="shared" si="68"/>
        <v/>
      </c>
      <c r="HI38" s="50" t="str">
        <f t="shared" si="68"/>
        <v/>
      </c>
      <c r="HJ38" s="50" t="str">
        <f t="shared" si="68"/>
        <v/>
      </c>
      <c r="HK38" s="50" t="str">
        <f t="shared" si="68"/>
        <v/>
      </c>
      <c r="HL38" s="50" t="str">
        <f t="shared" si="68"/>
        <v/>
      </c>
      <c r="HM38" s="50" t="str">
        <f t="shared" si="68"/>
        <v/>
      </c>
      <c r="HN38" s="50" t="str">
        <f t="shared" si="65"/>
        <v/>
      </c>
      <c r="HO38" s="50" t="str">
        <f t="shared" si="65"/>
        <v/>
      </c>
      <c r="HP38" s="50" t="str">
        <f t="shared" si="65"/>
        <v/>
      </c>
      <c r="HQ38" s="50" t="str">
        <f t="shared" si="65"/>
        <v/>
      </c>
      <c r="HR38" s="112" t="str">
        <f t="shared" si="65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 t="s">
        <v>39</v>
      </c>
      <c r="E39" s="29"/>
      <c r="F39" s="29"/>
      <c r="G39" s="30" t="str">
        <f>IF(A39=0,"",VLOOKUP(A39,[2]CO!$A$3:$F$5327,3,0))</f>
        <v/>
      </c>
      <c r="H39" s="95"/>
      <c r="I39" s="31"/>
      <c r="J39" s="31"/>
      <c r="K39" s="31"/>
      <c r="L39" s="31"/>
      <c r="M39" s="32" t="str">
        <f t="shared" si="55"/>
        <v/>
      </c>
      <c r="N39" s="32" t="str">
        <f>IF(B39=0,"",IF(H39="M",HLOOKUP(B39,$Y$12:$DT$13,2),IF(A39=0,"",VLOOKUP(A39,[2]CO!$A$3:$F$5327,4,0))))</f>
        <v/>
      </c>
      <c r="O39" s="32" t="str">
        <f t="shared" si="16"/>
        <v/>
      </c>
      <c r="P39" s="33"/>
      <c r="Q39" s="34" t="str">
        <f t="shared" si="56"/>
        <v/>
      </c>
      <c r="R39" s="35" t="str">
        <f t="shared" si="66"/>
        <v/>
      </c>
      <c r="T39" s="53" t="str">
        <f>IF(A39=0,"",VLOOKUP(A39,[2]CO!$A$3:$F$5318,5,0))</f>
        <v/>
      </c>
      <c r="U39" s="54">
        <f t="shared" si="57"/>
        <v>0</v>
      </c>
      <c r="V39" s="24"/>
      <c r="W39" s="25"/>
      <c r="X39" s="25"/>
      <c r="Y39" s="64" t="str">
        <f t="shared" si="58"/>
        <v/>
      </c>
      <c r="Z39" s="55" t="str">
        <f t="shared" si="58"/>
        <v/>
      </c>
      <c r="AA39" s="55" t="str">
        <f t="shared" si="58"/>
        <v/>
      </c>
      <c r="AB39" s="55" t="str">
        <f t="shared" si="58"/>
        <v/>
      </c>
      <c r="AC39" s="55" t="str">
        <f t="shared" si="58"/>
        <v/>
      </c>
      <c r="AD39" s="55" t="str">
        <f t="shared" si="58"/>
        <v/>
      </c>
      <c r="AE39" s="55" t="str">
        <f t="shared" si="58"/>
        <v/>
      </c>
      <c r="AF39" s="55" t="str">
        <f t="shared" si="58"/>
        <v/>
      </c>
      <c r="AG39" s="55" t="str">
        <f t="shared" si="58"/>
        <v/>
      </c>
      <c r="AH39" s="55" t="str">
        <f t="shared" si="58"/>
        <v/>
      </c>
      <c r="AI39" s="55" t="str">
        <f t="shared" si="58"/>
        <v/>
      </c>
      <c r="AJ39" s="55" t="str">
        <f t="shared" si="58"/>
        <v/>
      </c>
      <c r="AK39" s="55" t="str">
        <f t="shared" si="58"/>
        <v/>
      </c>
      <c r="AL39" s="55" t="str">
        <f t="shared" si="58"/>
        <v/>
      </c>
      <c r="AM39" s="55" t="str">
        <f t="shared" si="58"/>
        <v/>
      </c>
      <c r="AN39" s="55" t="str">
        <f t="shared" si="58"/>
        <v/>
      </c>
      <c r="AO39" s="55" t="str">
        <f t="shared" si="69"/>
        <v/>
      </c>
      <c r="AP39" s="55" t="str">
        <f t="shared" si="69"/>
        <v/>
      </c>
      <c r="AQ39" s="55" t="str">
        <f t="shared" si="69"/>
        <v/>
      </c>
      <c r="AR39" s="55" t="str">
        <f t="shared" si="69"/>
        <v/>
      </c>
      <c r="AS39" s="55" t="str">
        <f t="shared" si="69"/>
        <v/>
      </c>
      <c r="AT39" s="55" t="str">
        <f t="shared" si="69"/>
        <v/>
      </c>
      <c r="AU39" s="55" t="str">
        <f t="shared" si="69"/>
        <v/>
      </c>
      <c r="AV39" s="55" t="str">
        <f t="shared" si="69"/>
        <v/>
      </c>
      <c r="AW39" s="55" t="str">
        <f t="shared" si="69"/>
        <v/>
      </c>
      <c r="AX39" s="55" t="str">
        <f t="shared" si="69"/>
        <v/>
      </c>
      <c r="AY39" s="55" t="str">
        <f t="shared" si="69"/>
        <v/>
      </c>
      <c r="AZ39" s="55" t="str">
        <f t="shared" si="69"/>
        <v/>
      </c>
      <c r="BA39" s="55" t="str">
        <f t="shared" si="69"/>
        <v/>
      </c>
      <c r="BB39" s="55" t="str">
        <f t="shared" si="69"/>
        <v/>
      </c>
      <c r="BC39" s="55" t="str">
        <f t="shared" si="69"/>
        <v/>
      </c>
      <c r="BD39" s="55" t="str">
        <f t="shared" si="69"/>
        <v/>
      </c>
      <c r="BE39" s="55" t="str">
        <f t="shared" si="70"/>
        <v/>
      </c>
      <c r="BF39" s="55" t="str">
        <f t="shared" si="70"/>
        <v/>
      </c>
      <c r="BG39" s="55" t="str">
        <f t="shared" si="70"/>
        <v/>
      </c>
      <c r="BH39" s="55" t="str">
        <f t="shared" si="70"/>
        <v/>
      </c>
      <c r="BI39" s="55" t="str">
        <f t="shared" si="70"/>
        <v/>
      </c>
      <c r="BJ39" s="55" t="str">
        <f t="shared" si="70"/>
        <v/>
      </c>
      <c r="BK39" s="55" t="str">
        <f t="shared" si="70"/>
        <v/>
      </c>
      <c r="BL39" s="55" t="str">
        <f t="shared" si="70"/>
        <v/>
      </c>
      <c r="BM39" s="55" t="str">
        <f t="shared" si="70"/>
        <v/>
      </c>
      <c r="BN39" s="55" t="str">
        <f t="shared" si="70"/>
        <v/>
      </c>
      <c r="BO39" s="55" t="str">
        <f t="shared" si="70"/>
        <v/>
      </c>
      <c r="BP39" s="55" t="str">
        <f t="shared" si="70"/>
        <v/>
      </c>
      <c r="BQ39" s="55" t="str">
        <f t="shared" si="70"/>
        <v/>
      </c>
      <c r="BR39" s="55" t="str">
        <f t="shared" si="70"/>
        <v/>
      </c>
      <c r="BS39" s="55" t="str">
        <f t="shared" si="70"/>
        <v/>
      </c>
      <c r="BT39" s="55" t="str">
        <f t="shared" si="70"/>
        <v/>
      </c>
      <c r="BU39" s="55" t="str">
        <f t="shared" si="70"/>
        <v/>
      </c>
      <c r="BV39" s="55" t="str">
        <f t="shared" si="70"/>
        <v/>
      </c>
      <c r="BW39" s="55" t="str">
        <f t="shared" si="70"/>
        <v/>
      </c>
      <c r="BX39" s="55" t="str">
        <f t="shared" si="70"/>
        <v/>
      </c>
      <c r="BY39" s="55" t="str">
        <f t="shared" si="70"/>
        <v/>
      </c>
      <c r="BZ39" s="55" t="str">
        <f t="shared" si="70"/>
        <v/>
      </c>
      <c r="CA39" s="55" t="str">
        <f t="shared" si="70"/>
        <v/>
      </c>
      <c r="CB39" s="55" t="str">
        <f t="shared" si="70"/>
        <v/>
      </c>
      <c r="CC39" s="55" t="str">
        <f t="shared" si="70"/>
        <v/>
      </c>
      <c r="CD39" s="55" t="str">
        <f t="shared" si="70"/>
        <v/>
      </c>
      <c r="CE39" s="55" t="str">
        <f t="shared" si="70"/>
        <v/>
      </c>
      <c r="CF39" s="55" t="str">
        <f t="shared" si="70"/>
        <v/>
      </c>
      <c r="CG39" s="55" t="str">
        <f t="shared" si="70"/>
        <v/>
      </c>
      <c r="CH39" s="55" t="str">
        <f t="shared" si="70"/>
        <v/>
      </c>
      <c r="CI39" s="55" t="str">
        <f t="shared" si="70"/>
        <v/>
      </c>
      <c r="CJ39" s="55" t="str">
        <f t="shared" si="70"/>
        <v/>
      </c>
      <c r="CK39" s="55" t="str">
        <f t="shared" si="70"/>
        <v/>
      </c>
      <c r="CL39" s="55" t="str">
        <f t="shared" si="70"/>
        <v/>
      </c>
      <c r="CM39" s="55" t="str">
        <f t="shared" si="70"/>
        <v/>
      </c>
      <c r="CN39" s="55" t="str">
        <f t="shared" si="70"/>
        <v/>
      </c>
      <c r="CO39" s="55" t="str">
        <f t="shared" si="70"/>
        <v/>
      </c>
      <c r="CP39" s="55" t="str">
        <f t="shared" si="70"/>
        <v/>
      </c>
      <c r="CQ39" s="55" t="str">
        <f t="shared" si="70"/>
        <v/>
      </c>
      <c r="CR39" s="55" t="str">
        <f t="shared" si="70"/>
        <v/>
      </c>
      <c r="CS39" s="55" t="str">
        <f t="shared" si="70"/>
        <v/>
      </c>
      <c r="CT39" s="55" t="str">
        <f t="shared" si="70"/>
        <v/>
      </c>
      <c r="CU39" s="55" t="str">
        <f t="shared" si="70"/>
        <v/>
      </c>
      <c r="CV39" s="55" t="str">
        <f t="shared" si="70"/>
        <v/>
      </c>
      <c r="CW39" s="55" t="str">
        <f t="shared" si="70"/>
        <v/>
      </c>
      <c r="CX39" s="55" t="str">
        <f t="shared" si="70"/>
        <v/>
      </c>
      <c r="CY39" s="55" t="str">
        <f t="shared" si="70"/>
        <v/>
      </c>
      <c r="CZ39" s="55" t="str">
        <f t="shared" si="67"/>
        <v/>
      </c>
      <c r="DA39" s="55" t="str">
        <f t="shared" si="67"/>
        <v/>
      </c>
      <c r="DB39" s="55" t="str">
        <f t="shared" si="67"/>
        <v/>
      </c>
      <c r="DC39" s="55" t="str">
        <f t="shared" si="67"/>
        <v/>
      </c>
      <c r="DD39" s="55" t="str">
        <f t="shared" si="67"/>
        <v/>
      </c>
      <c r="DE39" s="55" t="str">
        <f t="shared" si="67"/>
        <v/>
      </c>
      <c r="DF39" s="55" t="str">
        <f t="shared" si="67"/>
        <v/>
      </c>
      <c r="DG39" s="55" t="str">
        <f t="shared" si="67"/>
        <v/>
      </c>
      <c r="DH39" s="55" t="str">
        <f t="shared" si="67"/>
        <v/>
      </c>
      <c r="DI39" s="55" t="str">
        <f t="shared" si="67"/>
        <v/>
      </c>
      <c r="DJ39" s="55" t="str">
        <f t="shared" si="67"/>
        <v/>
      </c>
      <c r="DK39" s="55" t="str">
        <f t="shared" si="60"/>
        <v/>
      </c>
      <c r="DL39" s="55" t="str">
        <f t="shared" si="60"/>
        <v/>
      </c>
      <c r="DM39" s="55" t="str">
        <f t="shared" si="60"/>
        <v/>
      </c>
      <c r="DN39" s="55" t="str">
        <f t="shared" si="60"/>
        <v/>
      </c>
      <c r="DO39" s="55" t="str">
        <f t="shared" si="60"/>
        <v/>
      </c>
      <c r="DP39" s="55" t="str">
        <f t="shared" si="60"/>
        <v/>
      </c>
      <c r="DQ39" s="55" t="str">
        <f t="shared" si="61"/>
        <v/>
      </c>
      <c r="DR39" s="55" t="str">
        <f t="shared" si="61"/>
        <v/>
      </c>
      <c r="DS39" s="55" t="str">
        <f t="shared" si="61"/>
        <v/>
      </c>
      <c r="DT39" s="106" t="str">
        <f t="shared" si="61"/>
        <v/>
      </c>
      <c r="DU39" s="54"/>
      <c r="DV39" s="25"/>
      <c r="DW39" s="61" t="str">
        <f t="shared" si="62"/>
        <v/>
      </c>
      <c r="DX39" s="50" t="str">
        <f t="shared" si="62"/>
        <v/>
      </c>
      <c r="DY39" s="50" t="str">
        <f t="shared" si="62"/>
        <v/>
      </c>
      <c r="DZ39" s="50" t="str">
        <f t="shared" si="62"/>
        <v/>
      </c>
      <c r="EA39" s="50" t="str">
        <f t="shared" si="62"/>
        <v/>
      </c>
      <c r="EB39" s="50" t="str">
        <f t="shared" si="62"/>
        <v/>
      </c>
      <c r="EC39" s="50" t="str">
        <f t="shared" si="62"/>
        <v/>
      </c>
      <c r="ED39" s="50" t="str">
        <f t="shared" si="62"/>
        <v/>
      </c>
      <c r="EE39" s="50" t="str">
        <f t="shared" si="62"/>
        <v/>
      </c>
      <c r="EF39" s="50" t="str">
        <f t="shared" si="62"/>
        <v/>
      </c>
      <c r="EG39" s="50" t="str">
        <f t="shared" si="62"/>
        <v/>
      </c>
      <c r="EH39" s="50" t="str">
        <f t="shared" si="62"/>
        <v/>
      </c>
      <c r="EI39" s="50" t="str">
        <f t="shared" si="62"/>
        <v/>
      </c>
      <c r="EJ39" s="50" t="str">
        <f t="shared" si="62"/>
        <v/>
      </c>
      <c r="EK39" s="50" t="str">
        <f t="shared" si="62"/>
        <v/>
      </c>
      <c r="EL39" s="50" t="str">
        <f t="shared" si="62"/>
        <v/>
      </c>
      <c r="EM39" s="50" t="str">
        <f t="shared" si="71"/>
        <v/>
      </c>
      <c r="EN39" s="50" t="str">
        <f t="shared" si="71"/>
        <v/>
      </c>
      <c r="EO39" s="50" t="str">
        <f t="shared" si="71"/>
        <v/>
      </c>
      <c r="EP39" s="50" t="str">
        <f t="shared" si="71"/>
        <v/>
      </c>
      <c r="EQ39" s="50" t="str">
        <f t="shared" si="71"/>
        <v/>
      </c>
      <c r="ER39" s="50" t="str">
        <f t="shared" si="71"/>
        <v/>
      </c>
      <c r="ES39" s="50" t="str">
        <f t="shared" si="71"/>
        <v/>
      </c>
      <c r="ET39" s="50" t="str">
        <f t="shared" si="71"/>
        <v/>
      </c>
      <c r="EU39" s="50" t="str">
        <f t="shared" si="71"/>
        <v/>
      </c>
      <c r="EV39" s="50" t="str">
        <f t="shared" si="71"/>
        <v/>
      </c>
      <c r="EW39" s="50" t="str">
        <f t="shared" si="71"/>
        <v/>
      </c>
      <c r="EX39" s="50" t="str">
        <f t="shared" si="71"/>
        <v/>
      </c>
      <c r="EY39" s="50" t="str">
        <f t="shared" si="71"/>
        <v/>
      </c>
      <c r="EZ39" s="50" t="str">
        <f t="shared" si="71"/>
        <v/>
      </c>
      <c r="FA39" s="50" t="str">
        <f t="shared" si="71"/>
        <v/>
      </c>
      <c r="FB39" s="50" t="str">
        <f t="shared" si="71"/>
        <v/>
      </c>
      <c r="FC39" s="50" t="str">
        <f t="shared" si="72"/>
        <v/>
      </c>
      <c r="FD39" s="50" t="str">
        <f t="shared" si="72"/>
        <v/>
      </c>
      <c r="FE39" s="50" t="str">
        <f t="shared" si="72"/>
        <v/>
      </c>
      <c r="FF39" s="50" t="str">
        <f t="shared" si="72"/>
        <v/>
      </c>
      <c r="FG39" s="50" t="str">
        <f t="shared" si="72"/>
        <v/>
      </c>
      <c r="FH39" s="50" t="str">
        <f t="shared" si="72"/>
        <v/>
      </c>
      <c r="FI39" s="50" t="str">
        <f t="shared" si="72"/>
        <v/>
      </c>
      <c r="FJ39" s="50" t="str">
        <f t="shared" si="72"/>
        <v/>
      </c>
      <c r="FK39" s="50" t="str">
        <f t="shared" si="72"/>
        <v/>
      </c>
      <c r="FL39" s="50" t="str">
        <f t="shared" si="72"/>
        <v/>
      </c>
      <c r="FM39" s="50" t="str">
        <f t="shared" si="72"/>
        <v/>
      </c>
      <c r="FN39" s="50" t="str">
        <f t="shared" si="72"/>
        <v/>
      </c>
      <c r="FO39" s="50" t="str">
        <f t="shared" si="72"/>
        <v/>
      </c>
      <c r="FP39" s="50" t="str">
        <f t="shared" si="72"/>
        <v/>
      </c>
      <c r="FQ39" s="50" t="str">
        <f t="shared" si="72"/>
        <v/>
      </c>
      <c r="FR39" s="50" t="str">
        <f t="shared" si="72"/>
        <v/>
      </c>
      <c r="FS39" s="50" t="str">
        <f t="shared" si="72"/>
        <v/>
      </c>
      <c r="FT39" s="50" t="str">
        <f t="shared" si="72"/>
        <v/>
      </c>
      <c r="FU39" s="50" t="str">
        <f t="shared" si="72"/>
        <v/>
      </c>
      <c r="FV39" s="50" t="str">
        <f t="shared" si="72"/>
        <v/>
      </c>
      <c r="FW39" s="50" t="str">
        <f t="shared" si="72"/>
        <v/>
      </c>
      <c r="FX39" s="50" t="str">
        <f t="shared" si="72"/>
        <v/>
      </c>
      <c r="FY39" s="50" t="str">
        <f t="shared" si="72"/>
        <v/>
      </c>
      <c r="FZ39" s="50" t="str">
        <f t="shared" si="72"/>
        <v/>
      </c>
      <c r="GA39" s="50" t="str">
        <f t="shared" si="72"/>
        <v/>
      </c>
      <c r="GB39" s="50" t="str">
        <f t="shared" si="72"/>
        <v/>
      </c>
      <c r="GC39" s="50" t="str">
        <f t="shared" si="72"/>
        <v/>
      </c>
      <c r="GD39" s="50" t="str">
        <f t="shared" si="72"/>
        <v/>
      </c>
      <c r="GE39" s="50" t="str">
        <f t="shared" si="72"/>
        <v/>
      </c>
      <c r="GF39" s="50" t="str">
        <f t="shared" si="72"/>
        <v/>
      </c>
      <c r="GG39" s="50" t="str">
        <f t="shared" si="72"/>
        <v/>
      </c>
      <c r="GH39" s="50" t="str">
        <f t="shared" si="72"/>
        <v/>
      </c>
      <c r="GI39" s="50" t="str">
        <f t="shared" si="72"/>
        <v/>
      </c>
      <c r="GJ39" s="50" t="str">
        <f t="shared" si="72"/>
        <v/>
      </c>
      <c r="GK39" s="50" t="str">
        <f t="shared" si="72"/>
        <v/>
      </c>
      <c r="GL39" s="50" t="str">
        <f t="shared" si="72"/>
        <v/>
      </c>
      <c r="GM39" s="50" t="str">
        <f t="shared" si="72"/>
        <v/>
      </c>
      <c r="GN39" s="50" t="str">
        <f t="shared" si="72"/>
        <v/>
      </c>
      <c r="GO39" s="50" t="str">
        <f t="shared" si="72"/>
        <v/>
      </c>
      <c r="GP39" s="50" t="str">
        <f t="shared" si="72"/>
        <v/>
      </c>
      <c r="GQ39" s="50" t="str">
        <f t="shared" si="72"/>
        <v/>
      </c>
      <c r="GR39" s="50" t="str">
        <f t="shared" si="72"/>
        <v/>
      </c>
      <c r="GS39" s="50" t="str">
        <f t="shared" si="72"/>
        <v/>
      </c>
      <c r="GT39" s="50" t="str">
        <f t="shared" si="72"/>
        <v/>
      </c>
      <c r="GU39" s="50" t="str">
        <f t="shared" si="72"/>
        <v/>
      </c>
      <c r="GV39" s="50" t="str">
        <f t="shared" si="72"/>
        <v/>
      </c>
      <c r="GW39" s="50" t="str">
        <f t="shared" si="72"/>
        <v/>
      </c>
      <c r="GX39" s="50" t="str">
        <f t="shared" si="68"/>
        <v/>
      </c>
      <c r="GY39" s="50" t="str">
        <f t="shared" si="68"/>
        <v/>
      </c>
      <c r="GZ39" s="50" t="str">
        <f t="shared" si="68"/>
        <v/>
      </c>
      <c r="HA39" s="50" t="str">
        <f t="shared" si="68"/>
        <v/>
      </c>
      <c r="HB39" s="50" t="str">
        <f t="shared" si="68"/>
        <v/>
      </c>
      <c r="HC39" s="50" t="str">
        <f t="shared" si="68"/>
        <v/>
      </c>
      <c r="HD39" s="50" t="str">
        <f t="shared" si="68"/>
        <v/>
      </c>
      <c r="HE39" s="50" t="str">
        <f t="shared" si="68"/>
        <v/>
      </c>
      <c r="HF39" s="50" t="str">
        <f t="shared" si="68"/>
        <v/>
      </c>
      <c r="HG39" s="50" t="str">
        <f t="shared" si="68"/>
        <v/>
      </c>
      <c r="HH39" s="50" t="str">
        <f t="shared" si="68"/>
        <v/>
      </c>
      <c r="HI39" s="50" t="str">
        <f t="shared" si="68"/>
        <v/>
      </c>
      <c r="HJ39" s="50" t="str">
        <f t="shared" si="68"/>
        <v/>
      </c>
      <c r="HK39" s="50" t="str">
        <f t="shared" si="68"/>
        <v/>
      </c>
      <c r="HL39" s="50" t="str">
        <f t="shared" si="68"/>
        <v/>
      </c>
      <c r="HM39" s="50" t="str">
        <f t="shared" si="68"/>
        <v/>
      </c>
      <c r="HN39" s="50" t="str">
        <f t="shared" si="65"/>
        <v/>
      </c>
      <c r="HO39" s="50" t="str">
        <f t="shared" si="65"/>
        <v/>
      </c>
      <c r="HP39" s="50" t="str">
        <f t="shared" si="65"/>
        <v/>
      </c>
      <c r="HQ39" s="50" t="str">
        <f t="shared" si="65"/>
        <v/>
      </c>
      <c r="HR39" s="112" t="str">
        <f t="shared" si="65"/>
        <v/>
      </c>
    </row>
    <row r="40" spans="1:226" ht="11.1" customHeight="1" x14ac:dyDescent="0.25">
      <c r="A40" s="26"/>
      <c r="B40" s="27"/>
      <c r="C40" s="28" t="str">
        <f>IF(A40=0,"",VLOOKUP(A40,[2]CO!$A$3:$F$5327,2,0))</f>
        <v/>
      </c>
      <c r="D40" s="29" t="s">
        <v>40</v>
      </c>
      <c r="E40" s="29"/>
      <c r="F40" s="29"/>
      <c r="G40" s="30" t="str">
        <f>IF(A40=0,"",VLOOKUP(A40,[2]CO!$A$3:$F$5327,3,0))</f>
        <v/>
      </c>
      <c r="H40" s="95"/>
      <c r="I40" s="31"/>
      <c r="J40" s="31"/>
      <c r="K40" s="31"/>
      <c r="L40" s="31"/>
      <c r="M40" s="32" t="str">
        <f t="shared" si="55"/>
        <v/>
      </c>
      <c r="N40" s="32" t="str">
        <f>IF(B40=0,"",IF(H40="M",HLOOKUP(B40,$Y$12:$DT$13,2),IF(A40=0,"",VLOOKUP(A40,[2]CO!$A$3:$F$5327,4,0))))</f>
        <v/>
      </c>
      <c r="O40" s="32" t="str">
        <f t="shared" si="16"/>
        <v/>
      </c>
      <c r="P40" s="33"/>
      <c r="Q40" s="34" t="str">
        <f t="shared" si="56"/>
        <v/>
      </c>
      <c r="R40" s="35" t="str">
        <f t="shared" si="66"/>
        <v/>
      </c>
      <c r="T40" s="53" t="str">
        <f>IF(A40=0,"",VLOOKUP(A40,[2]CO!$A$3:$F$5318,5,0))</f>
        <v/>
      </c>
      <c r="U40" s="54">
        <f t="shared" si="57"/>
        <v>0</v>
      </c>
      <c r="V40" s="24"/>
      <c r="W40" s="25"/>
      <c r="X40" s="25"/>
      <c r="Y40" s="64" t="str">
        <f t="shared" si="58"/>
        <v/>
      </c>
      <c r="Z40" s="55" t="str">
        <f t="shared" si="58"/>
        <v/>
      </c>
      <c r="AA40" s="55" t="str">
        <f t="shared" si="58"/>
        <v/>
      </c>
      <c r="AB40" s="55" t="str">
        <f t="shared" si="58"/>
        <v/>
      </c>
      <c r="AC40" s="55" t="str">
        <f t="shared" si="58"/>
        <v/>
      </c>
      <c r="AD40" s="55" t="str">
        <f t="shared" si="58"/>
        <v/>
      </c>
      <c r="AE40" s="55" t="str">
        <f t="shared" si="58"/>
        <v/>
      </c>
      <c r="AF40" s="55" t="str">
        <f t="shared" si="58"/>
        <v/>
      </c>
      <c r="AG40" s="55" t="str">
        <f t="shared" si="58"/>
        <v/>
      </c>
      <c r="AH40" s="55" t="str">
        <f t="shared" si="58"/>
        <v/>
      </c>
      <c r="AI40" s="55" t="str">
        <f t="shared" si="58"/>
        <v/>
      </c>
      <c r="AJ40" s="55" t="str">
        <f t="shared" si="58"/>
        <v/>
      </c>
      <c r="AK40" s="55" t="str">
        <f t="shared" si="58"/>
        <v/>
      </c>
      <c r="AL40" s="55" t="str">
        <f t="shared" si="58"/>
        <v/>
      </c>
      <c r="AM40" s="55" t="str">
        <f t="shared" si="58"/>
        <v/>
      </c>
      <c r="AN40" s="55" t="str">
        <f t="shared" si="58"/>
        <v/>
      </c>
      <c r="AO40" s="55" t="str">
        <f t="shared" si="69"/>
        <v/>
      </c>
      <c r="AP40" s="55" t="str">
        <f t="shared" si="69"/>
        <v/>
      </c>
      <c r="AQ40" s="55" t="str">
        <f t="shared" si="69"/>
        <v/>
      </c>
      <c r="AR40" s="55" t="str">
        <f t="shared" si="69"/>
        <v/>
      </c>
      <c r="AS40" s="55" t="str">
        <f t="shared" si="69"/>
        <v/>
      </c>
      <c r="AT40" s="55" t="str">
        <f t="shared" si="69"/>
        <v/>
      </c>
      <c r="AU40" s="55" t="str">
        <f t="shared" si="69"/>
        <v/>
      </c>
      <c r="AV40" s="55" t="str">
        <f t="shared" si="69"/>
        <v/>
      </c>
      <c r="AW40" s="55" t="str">
        <f t="shared" si="69"/>
        <v/>
      </c>
      <c r="AX40" s="55" t="str">
        <f t="shared" si="69"/>
        <v/>
      </c>
      <c r="AY40" s="55" t="str">
        <f t="shared" si="69"/>
        <v/>
      </c>
      <c r="AZ40" s="55" t="str">
        <f t="shared" si="69"/>
        <v/>
      </c>
      <c r="BA40" s="55" t="str">
        <f t="shared" si="69"/>
        <v/>
      </c>
      <c r="BB40" s="55" t="str">
        <f t="shared" si="69"/>
        <v/>
      </c>
      <c r="BC40" s="55" t="str">
        <f t="shared" si="69"/>
        <v/>
      </c>
      <c r="BD40" s="55" t="str">
        <f t="shared" si="69"/>
        <v/>
      </c>
      <c r="BE40" s="55" t="str">
        <f t="shared" si="70"/>
        <v/>
      </c>
      <c r="BF40" s="55" t="str">
        <f t="shared" si="70"/>
        <v/>
      </c>
      <c r="BG40" s="55" t="str">
        <f t="shared" si="70"/>
        <v/>
      </c>
      <c r="BH40" s="55" t="str">
        <f t="shared" si="70"/>
        <v/>
      </c>
      <c r="BI40" s="55" t="str">
        <f t="shared" si="70"/>
        <v/>
      </c>
      <c r="BJ40" s="55" t="str">
        <f t="shared" si="70"/>
        <v/>
      </c>
      <c r="BK40" s="55" t="str">
        <f t="shared" si="70"/>
        <v/>
      </c>
      <c r="BL40" s="55" t="str">
        <f t="shared" si="70"/>
        <v/>
      </c>
      <c r="BM40" s="55" t="str">
        <f t="shared" si="70"/>
        <v/>
      </c>
      <c r="BN40" s="55" t="str">
        <f t="shared" si="70"/>
        <v/>
      </c>
      <c r="BO40" s="55" t="str">
        <f t="shared" si="70"/>
        <v/>
      </c>
      <c r="BP40" s="55" t="str">
        <f t="shared" si="70"/>
        <v/>
      </c>
      <c r="BQ40" s="55" t="str">
        <f t="shared" si="70"/>
        <v/>
      </c>
      <c r="BR40" s="55" t="str">
        <f t="shared" si="70"/>
        <v/>
      </c>
      <c r="BS40" s="55" t="str">
        <f t="shared" si="70"/>
        <v/>
      </c>
      <c r="BT40" s="55" t="str">
        <f t="shared" si="70"/>
        <v/>
      </c>
      <c r="BU40" s="55" t="str">
        <f t="shared" si="70"/>
        <v/>
      </c>
      <c r="BV40" s="55" t="str">
        <f t="shared" si="70"/>
        <v/>
      </c>
      <c r="BW40" s="55" t="str">
        <f t="shared" si="70"/>
        <v/>
      </c>
      <c r="BX40" s="55" t="str">
        <f t="shared" si="70"/>
        <v/>
      </c>
      <c r="BY40" s="55" t="str">
        <f t="shared" si="70"/>
        <v/>
      </c>
      <c r="BZ40" s="55" t="str">
        <f t="shared" si="70"/>
        <v/>
      </c>
      <c r="CA40" s="55" t="str">
        <f t="shared" si="70"/>
        <v/>
      </c>
      <c r="CB40" s="55" t="str">
        <f t="shared" si="70"/>
        <v/>
      </c>
      <c r="CC40" s="55" t="str">
        <f t="shared" si="70"/>
        <v/>
      </c>
      <c r="CD40" s="55" t="str">
        <f t="shared" si="70"/>
        <v/>
      </c>
      <c r="CE40" s="55" t="str">
        <f t="shared" si="70"/>
        <v/>
      </c>
      <c r="CF40" s="55" t="str">
        <f t="shared" si="70"/>
        <v/>
      </c>
      <c r="CG40" s="55" t="str">
        <f t="shared" si="70"/>
        <v/>
      </c>
      <c r="CH40" s="55" t="str">
        <f t="shared" si="70"/>
        <v/>
      </c>
      <c r="CI40" s="55" t="str">
        <f t="shared" si="70"/>
        <v/>
      </c>
      <c r="CJ40" s="55" t="str">
        <f t="shared" si="70"/>
        <v/>
      </c>
      <c r="CK40" s="55" t="str">
        <f t="shared" si="70"/>
        <v/>
      </c>
      <c r="CL40" s="55" t="str">
        <f t="shared" si="70"/>
        <v/>
      </c>
      <c r="CM40" s="55" t="str">
        <f t="shared" si="70"/>
        <v/>
      </c>
      <c r="CN40" s="55" t="str">
        <f t="shared" si="70"/>
        <v/>
      </c>
      <c r="CO40" s="55" t="str">
        <f t="shared" si="70"/>
        <v/>
      </c>
      <c r="CP40" s="55" t="str">
        <f t="shared" si="70"/>
        <v/>
      </c>
      <c r="CQ40" s="55" t="str">
        <f t="shared" si="70"/>
        <v/>
      </c>
      <c r="CR40" s="55" t="str">
        <f t="shared" si="70"/>
        <v/>
      </c>
      <c r="CS40" s="55" t="str">
        <f t="shared" si="70"/>
        <v/>
      </c>
      <c r="CT40" s="55" t="str">
        <f t="shared" si="70"/>
        <v/>
      </c>
      <c r="CU40" s="55" t="str">
        <f t="shared" si="70"/>
        <v/>
      </c>
      <c r="CV40" s="55" t="str">
        <f t="shared" si="70"/>
        <v/>
      </c>
      <c r="CW40" s="55" t="str">
        <f t="shared" si="70"/>
        <v/>
      </c>
      <c r="CX40" s="55" t="str">
        <f t="shared" si="70"/>
        <v/>
      </c>
      <c r="CY40" s="55" t="str">
        <f t="shared" si="70"/>
        <v/>
      </c>
      <c r="CZ40" s="55" t="str">
        <f t="shared" si="67"/>
        <v/>
      </c>
      <c r="DA40" s="55" t="str">
        <f t="shared" si="67"/>
        <v/>
      </c>
      <c r="DB40" s="55" t="str">
        <f t="shared" si="67"/>
        <v/>
      </c>
      <c r="DC40" s="55" t="str">
        <f t="shared" si="67"/>
        <v/>
      </c>
      <c r="DD40" s="55" t="str">
        <f t="shared" si="67"/>
        <v/>
      </c>
      <c r="DE40" s="55" t="str">
        <f t="shared" si="67"/>
        <v/>
      </c>
      <c r="DF40" s="55" t="str">
        <f t="shared" si="67"/>
        <v/>
      </c>
      <c r="DG40" s="55" t="str">
        <f t="shared" si="67"/>
        <v/>
      </c>
      <c r="DH40" s="55" t="str">
        <f t="shared" si="67"/>
        <v/>
      </c>
      <c r="DI40" s="55" t="str">
        <f t="shared" si="67"/>
        <v/>
      </c>
      <c r="DJ40" s="55" t="str">
        <f t="shared" si="67"/>
        <v/>
      </c>
      <c r="DK40" s="55" t="str">
        <f t="shared" si="60"/>
        <v/>
      </c>
      <c r="DL40" s="55" t="str">
        <f t="shared" si="60"/>
        <v/>
      </c>
      <c r="DM40" s="55" t="str">
        <f t="shared" si="60"/>
        <v/>
      </c>
      <c r="DN40" s="55" t="str">
        <f t="shared" si="60"/>
        <v/>
      </c>
      <c r="DO40" s="55" t="str">
        <f t="shared" si="60"/>
        <v/>
      </c>
      <c r="DP40" s="55" t="str">
        <f t="shared" si="60"/>
        <v/>
      </c>
      <c r="DQ40" s="55" t="str">
        <f t="shared" si="61"/>
        <v/>
      </c>
      <c r="DR40" s="55" t="str">
        <f t="shared" si="61"/>
        <v/>
      </c>
      <c r="DS40" s="55" t="str">
        <f t="shared" si="61"/>
        <v/>
      </c>
      <c r="DT40" s="106" t="str">
        <f t="shared" si="61"/>
        <v/>
      </c>
      <c r="DU40" s="54"/>
      <c r="DV40" s="25"/>
      <c r="DW40" s="61" t="str">
        <f t="shared" si="62"/>
        <v/>
      </c>
      <c r="DX40" s="50" t="str">
        <f t="shared" si="62"/>
        <v/>
      </c>
      <c r="DY40" s="50" t="str">
        <f t="shared" si="62"/>
        <v/>
      </c>
      <c r="DZ40" s="50" t="str">
        <f t="shared" si="62"/>
        <v/>
      </c>
      <c r="EA40" s="50" t="str">
        <f t="shared" si="62"/>
        <v/>
      </c>
      <c r="EB40" s="50" t="str">
        <f t="shared" si="62"/>
        <v/>
      </c>
      <c r="EC40" s="50" t="str">
        <f t="shared" si="62"/>
        <v/>
      </c>
      <c r="ED40" s="50" t="str">
        <f t="shared" si="62"/>
        <v/>
      </c>
      <c r="EE40" s="50" t="str">
        <f t="shared" si="62"/>
        <v/>
      </c>
      <c r="EF40" s="50" t="str">
        <f t="shared" si="62"/>
        <v/>
      </c>
      <c r="EG40" s="50" t="str">
        <f t="shared" si="62"/>
        <v/>
      </c>
      <c r="EH40" s="50" t="str">
        <f t="shared" si="62"/>
        <v/>
      </c>
      <c r="EI40" s="50" t="str">
        <f t="shared" si="62"/>
        <v/>
      </c>
      <c r="EJ40" s="50" t="str">
        <f t="shared" si="62"/>
        <v/>
      </c>
      <c r="EK40" s="50" t="str">
        <f t="shared" si="62"/>
        <v/>
      </c>
      <c r="EL40" s="50" t="str">
        <f t="shared" si="62"/>
        <v/>
      </c>
      <c r="EM40" s="50" t="str">
        <f t="shared" si="71"/>
        <v/>
      </c>
      <c r="EN40" s="50" t="str">
        <f t="shared" si="71"/>
        <v/>
      </c>
      <c r="EO40" s="50" t="str">
        <f t="shared" si="71"/>
        <v/>
      </c>
      <c r="EP40" s="50" t="str">
        <f t="shared" si="71"/>
        <v/>
      </c>
      <c r="EQ40" s="50" t="str">
        <f t="shared" si="71"/>
        <v/>
      </c>
      <c r="ER40" s="50" t="str">
        <f t="shared" si="71"/>
        <v/>
      </c>
      <c r="ES40" s="50" t="str">
        <f t="shared" si="71"/>
        <v/>
      </c>
      <c r="ET40" s="50" t="str">
        <f t="shared" si="71"/>
        <v/>
      </c>
      <c r="EU40" s="50" t="str">
        <f t="shared" si="71"/>
        <v/>
      </c>
      <c r="EV40" s="50" t="str">
        <f t="shared" si="71"/>
        <v/>
      </c>
      <c r="EW40" s="50" t="str">
        <f t="shared" si="71"/>
        <v/>
      </c>
      <c r="EX40" s="50" t="str">
        <f t="shared" si="71"/>
        <v/>
      </c>
      <c r="EY40" s="50" t="str">
        <f t="shared" si="71"/>
        <v/>
      </c>
      <c r="EZ40" s="50" t="str">
        <f t="shared" si="71"/>
        <v/>
      </c>
      <c r="FA40" s="50" t="str">
        <f t="shared" si="71"/>
        <v/>
      </c>
      <c r="FB40" s="50" t="str">
        <f t="shared" si="71"/>
        <v/>
      </c>
      <c r="FC40" s="50" t="str">
        <f t="shared" si="72"/>
        <v/>
      </c>
      <c r="FD40" s="50" t="str">
        <f t="shared" si="72"/>
        <v/>
      </c>
      <c r="FE40" s="50" t="str">
        <f t="shared" si="72"/>
        <v/>
      </c>
      <c r="FF40" s="50" t="str">
        <f t="shared" si="72"/>
        <v/>
      </c>
      <c r="FG40" s="50" t="str">
        <f t="shared" si="72"/>
        <v/>
      </c>
      <c r="FH40" s="50" t="str">
        <f t="shared" si="72"/>
        <v/>
      </c>
      <c r="FI40" s="50" t="str">
        <f t="shared" si="72"/>
        <v/>
      </c>
      <c r="FJ40" s="50" t="str">
        <f t="shared" si="72"/>
        <v/>
      </c>
      <c r="FK40" s="50" t="str">
        <f t="shared" si="72"/>
        <v/>
      </c>
      <c r="FL40" s="50" t="str">
        <f t="shared" si="72"/>
        <v/>
      </c>
      <c r="FM40" s="50" t="str">
        <f t="shared" si="72"/>
        <v/>
      </c>
      <c r="FN40" s="50" t="str">
        <f t="shared" si="72"/>
        <v/>
      </c>
      <c r="FO40" s="50" t="str">
        <f t="shared" si="72"/>
        <v/>
      </c>
      <c r="FP40" s="50" t="str">
        <f t="shared" si="72"/>
        <v/>
      </c>
      <c r="FQ40" s="50" t="str">
        <f t="shared" si="72"/>
        <v/>
      </c>
      <c r="FR40" s="50" t="str">
        <f t="shared" si="72"/>
        <v/>
      </c>
      <c r="FS40" s="50" t="str">
        <f t="shared" si="72"/>
        <v/>
      </c>
      <c r="FT40" s="50" t="str">
        <f t="shared" si="72"/>
        <v/>
      </c>
      <c r="FU40" s="50" t="str">
        <f t="shared" si="72"/>
        <v/>
      </c>
      <c r="FV40" s="50" t="str">
        <f t="shared" si="72"/>
        <v/>
      </c>
      <c r="FW40" s="50" t="str">
        <f t="shared" si="72"/>
        <v/>
      </c>
      <c r="FX40" s="50" t="str">
        <f t="shared" si="72"/>
        <v/>
      </c>
      <c r="FY40" s="50" t="str">
        <f t="shared" si="72"/>
        <v/>
      </c>
      <c r="FZ40" s="50" t="str">
        <f t="shared" si="72"/>
        <v/>
      </c>
      <c r="GA40" s="50" t="str">
        <f t="shared" si="72"/>
        <v/>
      </c>
      <c r="GB40" s="50" t="str">
        <f t="shared" si="72"/>
        <v/>
      </c>
      <c r="GC40" s="50" t="str">
        <f t="shared" si="72"/>
        <v/>
      </c>
      <c r="GD40" s="50" t="str">
        <f t="shared" si="72"/>
        <v/>
      </c>
      <c r="GE40" s="50" t="str">
        <f t="shared" si="72"/>
        <v/>
      </c>
      <c r="GF40" s="50" t="str">
        <f t="shared" si="72"/>
        <v/>
      </c>
      <c r="GG40" s="50" t="str">
        <f t="shared" si="72"/>
        <v/>
      </c>
      <c r="GH40" s="50" t="str">
        <f t="shared" si="72"/>
        <v/>
      </c>
      <c r="GI40" s="50" t="str">
        <f t="shared" si="72"/>
        <v/>
      </c>
      <c r="GJ40" s="50" t="str">
        <f t="shared" si="72"/>
        <v/>
      </c>
      <c r="GK40" s="50" t="str">
        <f t="shared" si="72"/>
        <v/>
      </c>
      <c r="GL40" s="50" t="str">
        <f t="shared" si="72"/>
        <v/>
      </c>
      <c r="GM40" s="50" t="str">
        <f t="shared" si="72"/>
        <v/>
      </c>
      <c r="GN40" s="50" t="str">
        <f t="shared" si="72"/>
        <v/>
      </c>
      <c r="GO40" s="50" t="str">
        <f t="shared" si="72"/>
        <v/>
      </c>
      <c r="GP40" s="50" t="str">
        <f t="shared" si="72"/>
        <v/>
      </c>
      <c r="GQ40" s="50" t="str">
        <f t="shared" si="72"/>
        <v/>
      </c>
      <c r="GR40" s="50" t="str">
        <f t="shared" si="72"/>
        <v/>
      </c>
      <c r="GS40" s="50" t="str">
        <f t="shared" si="72"/>
        <v/>
      </c>
      <c r="GT40" s="50" t="str">
        <f t="shared" si="72"/>
        <v/>
      </c>
      <c r="GU40" s="50" t="str">
        <f t="shared" si="72"/>
        <v/>
      </c>
      <c r="GV40" s="50" t="str">
        <f t="shared" si="72"/>
        <v/>
      </c>
      <c r="GW40" s="50" t="str">
        <f t="shared" si="72"/>
        <v/>
      </c>
      <c r="GX40" s="50" t="str">
        <f t="shared" si="68"/>
        <v/>
      </c>
      <c r="GY40" s="50" t="str">
        <f t="shared" si="68"/>
        <v/>
      </c>
      <c r="GZ40" s="50" t="str">
        <f t="shared" si="68"/>
        <v/>
      </c>
      <c r="HA40" s="50" t="str">
        <f t="shared" si="68"/>
        <v/>
      </c>
      <c r="HB40" s="50" t="str">
        <f t="shared" si="68"/>
        <v/>
      </c>
      <c r="HC40" s="50" t="str">
        <f t="shared" si="68"/>
        <v/>
      </c>
      <c r="HD40" s="50" t="str">
        <f t="shared" si="68"/>
        <v/>
      </c>
      <c r="HE40" s="50" t="str">
        <f t="shared" si="68"/>
        <v/>
      </c>
      <c r="HF40" s="50" t="str">
        <f t="shared" si="68"/>
        <v/>
      </c>
      <c r="HG40" s="50" t="str">
        <f t="shared" si="68"/>
        <v/>
      </c>
      <c r="HH40" s="50" t="str">
        <f t="shared" si="68"/>
        <v/>
      </c>
      <c r="HI40" s="50" t="str">
        <f t="shared" si="68"/>
        <v/>
      </c>
      <c r="HJ40" s="50" t="str">
        <f t="shared" si="68"/>
        <v/>
      </c>
      <c r="HK40" s="50" t="str">
        <f t="shared" si="68"/>
        <v/>
      </c>
      <c r="HL40" s="50" t="str">
        <f t="shared" si="68"/>
        <v/>
      </c>
      <c r="HM40" s="50" t="str">
        <f t="shared" si="68"/>
        <v/>
      </c>
      <c r="HN40" s="50" t="str">
        <f t="shared" si="65"/>
        <v/>
      </c>
      <c r="HO40" s="50" t="str">
        <f t="shared" si="65"/>
        <v/>
      </c>
      <c r="HP40" s="50" t="str">
        <f t="shared" si="65"/>
        <v/>
      </c>
      <c r="HQ40" s="50" t="str">
        <f t="shared" si="65"/>
        <v/>
      </c>
      <c r="HR40" s="112" t="str">
        <f t="shared" si="65"/>
        <v/>
      </c>
    </row>
    <row r="41" spans="1:226" ht="11.1" customHeight="1" x14ac:dyDescent="0.25">
      <c r="A41" s="26"/>
      <c r="B41" s="27"/>
      <c r="C41" s="28" t="str">
        <f>IF(A41=0,"",VLOOKUP(A41,[2]CO!$A$3:$F$5327,2,0))</f>
        <v/>
      </c>
      <c r="D41" s="29" t="s">
        <v>41</v>
      </c>
      <c r="E41" s="29"/>
      <c r="F41" s="29"/>
      <c r="G41" s="30" t="str">
        <f>IF(A41=0,"",VLOOKUP(A41,[2]CO!$A$3:$F$5327,3,0))</f>
        <v/>
      </c>
      <c r="H41" s="95"/>
      <c r="I41" s="31"/>
      <c r="J41" s="31"/>
      <c r="K41" s="31"/>
      <c r="L41" s="31"/>
      <c r="M41" s="32" t="str">
        <f t="shared" ref="M41:M45" si="73">IF(H41&gt;0,H41*Q$29/N41,IF(AND(L41&gt;0,I41&gt;0),L41*I41,IF(L41&gt;0,L41,"")))</f>
        <v/>
      </c>
      <c r="N41" s="32" t="str">
        <f>IF(B41=0,"",IF(H41="M",HLOOKUP(B41,$Y$12:$DT$13,2),IF(A41=0,"",VLOOKUP(A41,[2]CO!$A$3:$F$5327,4,0))))</f>
        <v/>
      </c>
      <c r="O41" s="32" t="str">
        <f t="shared" ref="O41:O45" si="74">IF(L41=0,"",PRODUCT(M41:N41))</f>
        <v/>
      </c>
      <c r="P41" s="33"/>
      <c r="Q41" s="34" t="str">
        <f t="shared" ref="Q41:Q45" si="75">IF(P41=0,"",(HLOOKUP(P41,$DW$12:$HR$13,2)))</f>
        <v/>
      </c>
      <c r="R41" s="35" t="str">
        <f t="shared" si="66"/>
        <v/>
      </c>
      <c r="T41" s="53" t="str">
        <f>IF(A41=0,"",VLOOKUP(A41,[2]CO!$A$3:$F$5318,5,0))</f>
        <v/>
      </c>
      <c r="U41" s="54">
        <f t="shared" ref="U41:U45" si="76">IF(T41=1,O41*0.1,)</f>
        <v>0</v>
      </c>
      <c r="V41" s="24"/>
      <c r="W41" s="25"/>
      <c r="X41" s="25"/>
      <c r="Y41" s="64" t="str">
        <f t="shared" si="58"/>
        <v/>
      </c>
      <c r="Z41" s="55" t="str">
        <f t="shared" si="58"/>
        <v/>
      </c>
      <c r="AA41" s="55" t="str">
        <f t="shared" si="58"/>
        <v/>
      </c>
      <c r="AB41" s="55" t="str">
        <f t="shared" si="58"/>
        <v/>
      </c>
      <c r="AC41" s="55" t="str">
        <f t="shared" si="58"/>
        <v/>
      </c>
      <c r="AD41" s="55" t="str">
        <f t="shared" si="58"/>
        <v/>
      </c>
      <c r="AE41" s="55" t="str">
        <f t="shared" si="58"/>
        <v/>
      </c>
      <c r="AF41" s="55" t="str">
        <f t="shared" si="58"/>
        <v/>
      </c>
      <c r="AG41" s="55" t="str">
        <f t="shared" si="58"/>
        <v/>
      </c>
      <c r="AH41" s="55" t="str">
        <f t="shared" si="58"/>
        <v/>
      </c>
      <c r="AI41" s="55" t="str">
        <f t="shared" si="58"/>
        <v/>
      </c>
      <c r="AJ41" s="55" t="str">
        <f t="shared" si="58"/>
        <v/>
      </c>
      <c r="AK41" s="55" t="str">
        <f t="shared" si="58"/>
        <v/>
      </c>
      <c r="AL41" s="55" t="str">
        <f t="shared" si="58"/>
        <v/>
      </c>
      <c r="AM41" s="55" t="str">
        <f t="shared" si="58"/>
        <v/>
      </c>
      <c r="AN41" s="55" t="str">
        <f t="shared" si="58"/>
        <v/>
      </c>
      <c r="AO41" s="55" t="str">
        <f t="shared" si="69"/>
        <v/>
      </c>
      <c r="AP41" s="55" t="str">
        <f t="shared" si="69"/>
        <v/>
      </c>
      <c r="AQ41" s="55" t="str">
        <f t="shared" si="69"/>
        <v/>
      </c>
      <c r="AR41" s="55" t="str">
        <f t="shared" si="69"/>
        <v/>
      </c>
      <c r="AS41" s="55" t="str">
        <f t="shared" si="69"/>
        <v/>
      </c>
      <c r="AT41" s="55" t="str">
        <f t="shared" si="69"/>
        <v/>
      </c>
      <c r="AU41" s="55" t="str">
        <f t="shared" si="69"/>
        <v/>
      </c>
      <c r="AV41" s="55" t="str">
        <f t="shared" si="69"/>
        <v/>
      </c>
      <c r="AW41" s="55" t="str">
        <f t="shared" si="69"/>
        <v/>
      </c>
      <c r="AX41" s="55" t="str">
        <f t="shared" si="69"/>
        <v/>
      </c>
      <c r="AY41" s="55" t="str">
        <f t="shared" si="69"/>
        <v/>
      </c>
      <c r="AZ41" s="55" t="str">
        <f t="shared" si="69"/>
        <v/>
      </c>
      <c r="BA41" s="55" t="str">
        <f t="shared" si="69"/>
        <v/>
      </c>
      <c r="BB41" s="55" t="str">
        <f t="shared" si="69"/>
        <v/>
      </c>
      <c r="BC41" s="55" t="str">
        <f t="shared" si="69"/>
        <v/>
      </c>
      <c r="BD41" s="55" t="str">
        <f t="shared" si="69"/>
        <v/>
      </c>
      <c r="BE41" s="55" t="str">
        <f t="shared" ref="BE41:CY42" si="77">IF($B41=BE$12,$U41,"")</f>
        <v/>
      </c>
      <c r="BF41" s="55" t="str">
        <f t="shared" si="77"/>
        <v/>
      </c>
      <c r="BG41" s="55" t="str">
        <f t="shared" si="77"/>
        <v/>
      </c>
      <c r="BH41" s="55" t="str">
        <f t="shared" si="77"/>
        <v/>
      </c>
      <c r="BI41" s="55" t="str">
        <f t="shared" si="77"/>
        <v/>
      </c>
      <c r="BJ41" s="55" t="str">
        <f t="shared" si="77"/>
        <v/>
      </c>
      <c r="BK41" s="55" t="str">
        <f t="shared" si="77"/>
        <v/>
      </c>
      <c r="BL41" s="55" t="str">
        <f t="shared" si="77"/>
        <v/>
      </c>
      <c r="BM41" s="55" t="str">
        <f t="shared" si="77"/>
        <v/>
      </c>
      <c r="BN41" s="55" t="str">
        <f t="shared" si="77"/>
        <v/>
      </c>
      <c r="BO41" s="55" t="str">
        <f t="shared" si="77"/>
        <v/>
      </c>
      <c r="BP41" s="55" t="str">
        <f t="shared" si="77"/>
        <v/>
      </c>
      <c r="BQ41" s="55" t="str">
        <f t="shared" si="77"/>
        <v/>
      </c>
      <c r="BR41" s="55" t="str">
        <f t="shared" si="77"/>
        <v/>
      </c>
      <c r="BS41" s="55" t="str">
        <f t="shared" si="77"/>
        <v/>
      </c>
      <c r="BT41" s="55" t="str">
        <f t="shared" si="77"/>
        <v/>
      </c>
      <c r="BU41" s="55" t="str">
        <f t="shared" si="77"/>
        <v/>
      </c>
      <c r="BV41" s="55" t="str">
        <f t="shared" si="77"/>
        <v/>
      </c>
      <c r="BW41" s="55" t="str">
        <f t="shared" si="77"/>
        <v/>
      </c>
      <c r="BX41" s="55" t="str">
        <f t="shared" si="77"/>
        <v/>
      </c>
      <c r="BY41" s="55" t="str">
        <f t="shared" si="77"/>
        <v/>
      </c>
      <c r="BZ41" s="55" t="str">
        <f t="shared" si="77"/>
        <v/>
      </c>
      <c r="CA41" s="55" t="str">
        <f t="shared" si="77"/>
        <v/>
      </c>
      <c r="CB41" s="55" t="str">
        <f t="shared" si="77"/>
        <v/>
      </c>
      <c r="CC41" s="55" t="str">
        <f t="shared" si="77"/>
        <v/>
      </c>
      <c r="CD41" s="55" t="str">
        <f t="shared" si="77"/>
        <v/>
      </c>
      <c r="CE41" s="55" t="str">
        <f t="shared" si="77"/>
        <v/>
      </c>
      <c r="CF41" s="55" t="str">
        <f t="shared" si="77"/>
        <v/>
      </c>
      <c r="CG41" s="55" t="str">
        <f t="shared" si="77"/>
        <v/>
      </c>
      <c r="CH41" s="55" t="str">
        <f t="shared" si="77"/>
        <v/>
      </c>
      <c r="CI41" s="55" t="str">
        <f t="shared" si="77"/>
        <v/>
      </c>
      <c r="CJ41" s="55" t="str">
        <f t="shared" si="77"/>
        <v/>
      </c>
      <c r="CK41" s="55" t="str">
        <f t="shared" si="77"/>
        <v/>
      </c>
      <c r="CL41" s="55" t="str">
        <f t="shared" si="77"/>
        <v/>
      </c>
      <c r="CM41" s="55" t="str">
        <f t="shared" si="77"/>
        <v/>
      </c>
      <c r="CN41" s="55" t="str">
        <f t="shared" si="77"/>
        <v/>
      </c>
      <c r="CO41" s="55" t="str">
        <f t="shared" si="77"/>
        <v/>
      </c>
      <c r="CP41" s="55" t="str">
        <f t="shared" si="77"/>
        <v/>
      </c>
      <c r="CQ41" s="55" t="str">
        <f t="shared" si="77"/>
        <v/>
      </c>
      <c r="CR41" s="55" t="str">
        <f t="shared" si="77"/>
        <v/>
      </c>
      <c r="CS41" s="55" t="str">
        <f t="shared" si="77"/>
        <v/>
      </c>
      <c r="CT41" s="55" t="str">
        <f t="shared" si="77"/>
        <v/>
      </c>
      <c r="CU41" s="55" t="str">
        <f t="shared" si="77"/>
        <v/>
      </c>
      <c r="CV41" s="55" t="str">
        <f t="shared" si="77"/>
        <v/>
      </c>
      <c r="CW41" s="55" t="str">
        <f t="shared" si="77"/>
        <v/>
      </c>
      <c r="CX41" s="55" t="str">
        <f t="shared" si="77"/>
        <v/>
      </c>
      <c r="CY41" s="55" t="str">
        <f t="shared" si="77"/>
        <v/>
      </c>
      <c r="CZ41" s="55" t="str">
        <f t="shared" si="67"/>
        <v/>
      </c>
      <c r="DA41" s="55" t="str">
        <f t="shared" si="67"/>
        <v/>
      </c>
      <c r="DB41" s="55" t="str">
        <f t="shared" si="67"/>
        <v/>
      </c>
      <c r="DC41" s="55" t="str">
        <f t="shared" si="67"/>
        <v/>
      </c>
      <c r="DD41" s="55" t="str">
        <f t="shared" si="67"/>
        <v/>
      </c>
      <c r="DE41" s="55" t="str">
        <f t="shared" si="67"/>
        <v/>
      </c>
      <c r="DF41" s="55" t="str">
        <f t="shared" si="67"/>
        <v/>
      </c>
      <c r="DG41" s="55" t="str">
        <f t="shared" si="67"/>
        <v/>
      </c>
      <c r="DH41" s="55" t="str">
        <f t="shared" si="67"/>
        <v/>
      </c>
      <c r="DI41" s="55" t="str">
        <f t="shared" si="67"/>
        <v/>
      </c>
      <c r="DJ41" s="55" t="str">
        <f t="shared" si="67"/>
        <v/>
      </c>
      <c r="DK41" s="55" t="str">
        <f t="shared" si="60"/>
        <v/>
      </c>
      <c r="DL41" s="55" t="str">
        <f t="shared" si="60"/>
        <v/>
      </c>
      <c r="DM41" s="55" t="str">
        <f t="shared" si="60"/>
        <v/>
      </c>
      <c r="DN41" s="55" t="str">
        <f t="shared" si="60"/>
        <v/>
      </c>
      <c r="DO41" s="55" t="str">
        <f t="shared" si="60"/>
        <v/>
      </c>
      <c r="DP41" s="55" t="str">
        <f t="shared" si="60"/>
        <v/>
      </c>
      <c r="DQ41" s="55" t="str">
        <f t="shared" si="61"/>
        <v/>
      </c>
      <c r="DR41" s="55" t="str">
        <f t="shared" si="61"/>
        <v/>
      </c>
      <c r="DS41" s="55" t="str">
        <f t="shared" si="61"/>
        <v/>
      </c>
      <c r="DT41" s="106" t="str">
        <f t="shared" si="61"/>
        <v/>
      </c>
      <c r="DU41" s="54"/>
      <c r="DV41" s="25"/>
      <c r="DW41" s="61" t="str">
        <f t="shared" si="62"/>
        <v/>
      </c>
      <c r="DX41" s="50" t="str">
        <f t="shared" si="62"/>
        <v/>
      </c>
      <c r="DY41" s="50" t="str">
        <f t="shared" si="62"/>
        <v/>
      </c>
      <c r="DZ41" s="50" t="str">
        <f t="shared" si="62"/>
        <v/>
      </c>
      <c r="EA41" s="50" t="str">
        <f t="shared" si="62"/>
        <v/>
      </c>
      <c r="EB41" s="50" t="str">
        <f t="shared" si="62"/>
        <v/>
      </c>
      <c r="EC41" s="50" t="str">
        <f t="shared" si="62"/>
        <v/>
      </c>
      <c r="ED41" s="50" t="str">
        <f t="shared" si="62"/>
        <v/>
      </c>
      <c r="EE41" s="50" t="str">
        <f t="shared" si="62"/>
        <v/>
      </c>
      <c r="EF41" s="50" t="str">
        <f t="shared" si="62"/>
        <v/>
      </c>
      <c r="EG41" s="50" t="str">
        <f t="shared" si="62"/>
        <v/>
      </c>
      <c r="EH41" s="50" t="str">
        <f t="shared" si="62"/>
        <v/>
      </c>
      <c r="EI41" s="50" t="str">
        <f t="shared" si="62"/>
        <v/>
      </c>
      <c r="EJ41" s="50" t="str">
        <f t="shared" si="62"/>
        <v/>
      </c>
      <c r="EK41" s="50" t="str">
        <f t="shared" si="62"/>
        <v/>
      </c>
      <c r="EL41" s="50" t="str">
        <f t="shared" si="62"/>
        <v/>
      </c>
      <c r="EM41" s="50" t="str">
        <f t="shared" si="71"/>
        <v/>
      </c>
      <c r="EN41" s="50" t="str">
        <f t="shared" si="71"/>
        <v/>
      </c>
      <c r="EO41" s="50" t="str">
        <f t="shared" si="71"/>
        <v/>
      </c>
      <c r="EP41" s="50" t="str">
        <f t="shared" si="71"/>
        <v/>
      </c>
      <c r="EQ41" s="50" t="str">
        <f t="shared" si="71"/>
        <v/>
      </c>
      <c r="ER41" s="50" t="str">
        <f t="shared" si="71"/>
        <v/>
      </c>
      <c r="ES41" s="50" t="str">
        <f t="shared" si="71"/>
        <v/>
      </c>
      <c r="ET41" s="50" t="str">
        <f t="shared" si="71"/>
        <v/>
      </c>
      <c r="EU41" s="50" t="str">
        <f t="shared" si="71"/>
        <v/>
      </c>
      <c r="EV41" s="50" t="str">
        <f t="shared" si="71"/>
        <v/>
      </c>
      <c r="EW41" s="50" t="str">
        <f t="shared" si="71"/>
        <v/>
      </c>
      <c r="EX41" s="50" t="str">
        <f t="shared" si="71"/>
        <v/>
      </c>
      <c r="EY41" s="50" t="str">
        <f t="shared" si="71"/>
        <v/>
      </c>
      <c r="EZ41" s="50" t="str">
        <f t="shared" si="71"/>
        <v/>
      </c>
      <c r="FA41" s="50" t="str">
        <f t="shared" si="71"/>
        <v/>
      </c>
      <c r="FB41" s="50" t="str">
        <f t="shared" si="71"/>
        <v/>
      </c>
      <c r="FC41" s="50" t="str">
        <f t="shared" ref="FC41:GW42" si="78">IF($B41=FC$12,$O41,"")</f>
        <v/>
      </c>
      <c r="FD41" s="50" t="str">
        <f t="shared" si="78"/>
        <v/>
      </c>
      <c r="FE41" s="50" t="str">
        <f t="shared" si="78"/>
        <v/>
      </c>
      <c r="FF41" s="50" t="str">
        <f t="shared" si="78"/>
        <v/>
      </c>
      <c r="FG41" s="50" t="str">
        <f t="shared" si="78"/>
        <v/>
      </c>
      <c r="FH41" s="50" t="str">
        <f t="shared" si="78"/>
        <v/>
      </c>
      <c r="FI41" s="50" t="str">
        <f t="shared" si="78"/>
        <v/>
      </c>
      <c r="FJ41" s="50" t="str">
        <f t="shared" si="78"/>
        <v/>
      </c>
      <c r="FK41" s="50" t="str">
        <f t="shared" si="78"/>
        <v/>
      </c>
      <c r="FL41" s="50" t="str">
        <f t="shared" si="78"/>
        <v/>
      </c>
      <c r="FM41" s="50" t="str">
        <f t="shared" si="78"/>
        <v/>
      </c>
      <c r="FN41" s="50" t="str">
        <f t="shared" si="78"/>
        <v/>
      </c>
      <c r="FO41" s="50" t="str">
        <f t="shared" si="78"/>
        <v/>
      </c>
      <c r="FP41" s="50" t="str">
        <f t="shared" si="78"/>
        <v/>
      </c>
      <c r="FQ41" s="50" t="str">
        <f t="shared" si="78"/>
        <v/>
      </c>
      <c r="FR41" s="50" t="str">
        <f t="shared" si="78"/>
        <v/>
      </c>
      <c r="FS41" s="50" t="str">
        <f t="shared" si="78"/>
        <v/>
      </c>
      <c r="FT41" s="50" t="str">
        <f t="shared" si="78"/>
        <v/>
      </c>
      <c r="FU41" s="50" t="str">
        <f t="shared" si="78"/>
        <v/>
      </c>
      <c r="FV41" s="50" t="str">
        <f t="shared" si="78"/>
        <v/>
      </c>
      <c r="FW41" s="50" t="str">
        <f t="shared" si="78"/>
        <v/>
      </c>
      <c r="FX41" s="50" t="str">
        <f t="shared" si="78"/>
        <v/>
      </c>
      <c r="FY41" s="50" t="str">
        <f t="shared" si="78"/>
        <v/>
      </c>
      <c r="FZ41" s="50" t="str">
        <f t="shared" si="78"/>
        <v/>
      </c>
      <c r="GA41" s="50" t="str">
        <f t="shared" si="78"/>
        <v/>
      </c>
      <c r="GB41" s="50" t="str">
        <f t="shared" si="78"/>
        <v/>
      </c>
      <c r="GC41" s="50" t="str">
        <f t="shared" si="78"/>
        <v/>
      </c>
      <c r="GD41" s="50" t="str">
        <f t="shared" si="78"/>
        <v/>
      </c>
      <c r="GE41" s="50" t="str">
        <f t="shared" si="78"/>
        <v/>
      </c>
      <c r="GF41" s="50" t="str">
        <f t="shared" si="78"/>
        <v/>
      </c>
      <c r="GG41" s="50" t="str">
        <f t="shared" si="78"/>
        <v/>
      </c>
      <c r="GH41" s="50" t="str">
        <f t="shared" si="78"/>
        <v/>
      </c>
      <c r="GI41" s="50" t="str">
        <f t="shared" si="78"/>
        <v/>
      </c>
      <c r="GJ41" s="50" t="str">
        <f t="shared" si="78"/>
        <v/>
      </c>
      <c r="GK41" s="50" t="str">
        <f t="shared" si="78"/>
        <v/>
      </c>
      <c r="GL41" s="50" t="str">
        <f t="shared" si="78"/>
        <v/>
      </c>
      <c r="GM41" s="50" t="str">
        <f t="shared" si="78"/>
        <v/>
      </c>
      <c r="GN41" s="50" t="str">
        <f t="shared" si="78"/>
        <v/>
      </c>
      <c r="GO41" s="50" t="str">
        <f t="shared" si="78"/>
        <v/>
      </c>
      <c r="GP41" s="50" t="str">
        <f t="shared" si="78"/>
        <v/>
      </c>
      <c r="GQ41" s="50" t="str">
        <f t="shared" si="78"/>
        <v/>
      </c>
      <c r="GR41" s="50" t="str">
        <f t="shared" si="78"/>
        <v/>
      </c>
      <c r="GS41" s="50" t="str">
        <f t="shared" si="78"/>
        <v/>
      </c>
      <c r="GT41" s="50" t="str">
        <f t="shared" si="78"/>
        <v/>
      </c>
      <c r="GU41" s="50" t="str">
        <f t="shared" si="78"/>
        <v/>
      </c>
      <c r="GV41" s="50" t="str">
        <f t="shared" si="78"/>
        <v/>
      </c>
      <c r="GW41" s="50" t="str">
        <f t="shared" si="78"/>
        <v/>
      </c>
      <c r="GX41" s="50" t="str">
        <f t="shared" si="68"/>
        <v/>
      </c>
      <c r="GY41" s="50" t="str">
        <f t="shared" si="68"/>
        <v/>
      </c>
      <c r="GZ41" s="50" t="str">
        <f t="shared" si="68"/>
        <v/>
      </c>
      <c r="HA41" s="50" t="str">
        <f t="shared" si="68"/>
        <v/>
      </c>
      <c r="HB41" s="50" t="str">
        <f t="shared" si="68"/>
        <v/>
      </c>
      <c r="HC41" s="50" t="str">
        <f t="shared" si="68"/>
        <v/>
      </c>
      <c r="HD41" s="50" t="str">
        <f t="shared" si="68"/>
        <v/>
      </c>
      <c r="HE41" s="50" t="str">
        <f t="shared" si="68"/>
        <v/>
      </c>
      <c r="HF41" s="50" t="str">
        <f t="shared" si="68"/>
        <v/>
      </c>
      <c r="HG41" s="50" t="str">
        <f t="shared" si="68"/>
        <v/>
      </c>
      <c r="HH41" s="50" t="str">
        <f t="shared" si="68"/>
        <v/>
      </c>
      <c r="HI41" s="50" t="str">
        <f t="shared" si="68"/>
        <v/>
      </c>
      <c r="HJ41" s="50" t="str">
        <f t="shared" si="68"/>
        <v/>
      </c>
      <c r="HK41" s="50" t="str">
        <f t="shared" si="68"/>
        <v/>
      </c>
      <c r="HL41" s="50" t="str">
        <f t="shared" si="68"/>
        <v/>
      </c>
      <c r="HM41" s="50" t="str">
        <f t="shared" si="68"/>
        <v/>
      </c>
      <c r="HN41" s="50" t="str">
        <f t="shared" si="65"/>
        <v/>
      </c>
      <c r="HO41" s="50" t="str">
        <f t="shared" si="65"/>
        <v/>
      </c>
      <c r="HP41" s="50" t="str">
        <f t="shared" si="65"/>
        <v/>
      </c>
      <c r="HQ41" s="50" t="str">
        <f t="shared" si="65"/>
        <v/>
      </c>
      <c r="HR41" s="112" t="str">
        <f t="shared" si="65"/>
        <v/>
      </c>
    </row>
    <row r="42" spans="1:226" ht="11.1" customHeight="1" x14ac:dyDescent="0.25">
      <c r="A42" s="26"/>
      <c r="B42" s="27"/>
      <c r="C42" s="28" t="str">
        <f>IF(A42=0,"",VLOOKUP(A42,[2]CO!$A$3:$F$5327,2,0))</f>
        <v/>
      </c>
      <c r="D42" s="29" t="s">
        <v>42</v>
      </c>
      <c r="E42" s="29"/>
      <c r="F42" s="29"/>
      <c r="G42" s="30" t="str">
        <f>IF(A42=0,"",VLOOKUP(A42,[2]CO!$A$3:$F$5327,3,0))</f>
        <v/>
      </c>
      <c r="H42" s="95"/>
      <c r="I42" s="31"/>
      <c r="J42" s="31"/>
      <c r="K42" s="31"/>
      <c r="L42" s="31"/>
      <c r="M42" s="32" t="str">
        <f t="shared" si="73"/>
        <v/>
      </c>
      <c r="N42" s="32" t="str">
        <f>IF(B42=0,"",IF(H42="M",HLOOKUP(B42,$Y$12:$DT$13,2),IF(A42=0,"",VLOOKUP(A42,[2]CO!$A$3:$F$5327,4,0))))</f>
        <v/>
      </c>
      <c r="O42" s="32" t="str">
        <f t="shared" si="74"/>
        <v/>
      </c>
      <c r="P42" s="33"/>
      <c r="Q42" s="34" t="str">
        <f t="shared" si="75"/>
        <v/>
      </c>
      <c r="R42" s="35" t="str">
        <f t="shared" si="66"/>
        <v/>
      </c>
      <c r="T42" s="53" t="str">
        <f>IF(A42=0,"",VLOOKUP(A42,[2]CO!$A$3:$F$5318,5,0))</f>
        <v/>
      </c>
      <c r="U42" s="54">
        <f t="shared" si="76"/>
        <v>0</v>
      </c>
      <c r="V42" s="24"/>
      <c r="W42" s="25"/>
      <c r="X42" s="25"/>
      <c r="Y42" s="64" t="str">
        <f t="shared" si="58"/>
        <v/>
      </c>
      <c r="Z42" s="55" t="str">
        <f t="shared" si="58"/>
        <v/>
      </c>
      <c r="AA42" s="55" t="str">
        <f t="shared" si="58"/>
        <v/>
      </c>
      <c r="AB42" s="55" t="str">
        <f t="shared" si="58"/>
        <v/>
      </c>
      <c r="AC42" s="55" t="str">
        <f t="shared" si="58"/>
        <v/>
      </c>
      <c r="AD42" s="55" t="str">
        <f t="shared" si="58"/>
        <v/>
      </c>
      <c r="AE42" s="55" t="str">
        <f t="shared" si="58"/>
        <v/>
      </c>
      <c r="AF42" s="55" t="str">
        <f t="shared" si="58"/>
        <v/>
      </c>
      <c r="AG42" s="55" t="str">
        <f t="shared" si="58"/>
        <v/>
      </c>
      <c r="AH42" s="55" t="str">
        <f t="shared" si="58"/>
        <v/>
      </c>
      <c r="AI42" s="55" t="str">
        <f t="shared" si="58"/>
        <v/>
      </c>
      <c r="AJ42" s="55" t="str">
        <f t="shared" si="58"/>
        <v/>
      </c>
      <c r="AK42" s="55" t="str">
        <f t="shared" si="58"/>
        <v/>
      </c>
      <c r="AL42" s="55" t="str">
        <f t="shared" si="58"/>
        <v/>
      </c>
      <c r="AM42" s="55" t="str">
        <f t="shared" si="58"/>
        <v/>
      </c>
      <c r="AN42" s="55" t="str">
        <f t="shared" si="58"/>
        <v/>
      </c>
      <c r="AO42" s="55" t="str">
        <f t="shared" si="69"/>
        <v/>
      </c>
      <c r="AP42" s="55" t="str">
        <f t="shared" si="69"/>
        <v/>
      </c>
      <c r="AQ42" s="55" t="str">
        <f t="shared" si="69"/>
        <v/>
      </c>
      <c r="AR42" s="55" t="str">
        <f t="shared" si="69"/>
        <v/>
      </c>
      <c r="AS42" s="55" t="str">
        <f t="shared" si="69"/>
        <v/>
      </c>
      <c r="AT42" s="55" t="str">
        <f t="shared" si="69"/>
        <v/>
      </c>
      <c r="AU42" s="55" t="str">
        <f t="shared" si="69"/>
        <v/>
      </c>
      <c r="AV42" s="55" t="str">
        <f t="shared" si="69"/>
        <v/>
      </c>
      <c r="AW42" s="55" t="str">
        <f t="shared" si="69"/>
        <v/>
      </c>
      <c r="AX42" s="55" t="str">
        <f t="shared" si="69"/>
        <v/>
      </c>
      <c r="AY42" s="55" t="str">
        <f t="shared" si="69"/>
        <v/>
      </c>
      <c r="AZ42" s="55" t="str">
        <f t="shared" si="69"/>
        <v/>
      </c>
      <c r="BA42" s="55" t="str">
        <f t="shared" si="69"/>
        <v/>
      </c>
      <c r="BB42" s="55" t="str">
        <f t="shared" si="69"/>
        <v/>
      </c>
      <c r="BC42" s="55" t="str">
        <f t="shared" si="69"/>
        <v/>
      </c>
      <c r="BD42" s="55" t="str">
        <f t="shared" si="69"/>
        <v/>
      </c>
      <c r="BE42" s="55" t="str">
        <f t="shared" si="77"/>
        <v/>
      </c>
      <c r="BF42" s="55" t="str">
        <f t="shared" si="77"/>
        <v/>
      </c>
      <c r="BG42" s="55" t="str">
        <f t="shared" si="77"/>
        <v/>
      </c>
      <c r="BH42" s="55" t="str">
        <f t="shared" si="77"/>
        <v/>
      </c>
      <c r="BI42" s="55" t="str">
        <f t="shared" si="77"/>
        <v/>
      </c>
      <c r="BJ42" s="55" t="str">
        <f t="shared" si="77"/>
        <v/>
      </c>
      <c r="BK42" s="55" t="str">
        <f t="shared" si="77"/>
        <v/>
      </c>
      <c r="BL42" s="55" t="str">
        <f t="shared" si="77"/>
        <v/>
      </c>
      <c r="BM42" s="55" t="str">
        <f t="shared" si="77"/>
        <v/>
      </c>
      <c r="BN42" s="55" t="str">
        <f t="shared" si="77"/>
        <v/>
      </c>
      <c r="BO42" s="55" t="str">
        <f t="shared" si="77"/>
        <v/>
      </c>
      <c r="BP42" s="55" t="str">
        <f t="shared" si="77"/>
        <v/>
      </c>
      <c r="BQ42" s="55" t="str">
        <f t="shared" si="77"/>
        <v/>
      </c>
      <c r="BR42" s="55" t="str">
        <f t="shared" si="77"/>
        <v/>
      </c>
      <c r="BS42" s="55" t="str">
        <f t="shared" si="77"/>
        <v/>
      </c>
      <c r="BT42" s="55" t="str">
        <f t="shared" si="77"/>
        <v/>
      </c>
      <c r="BU42" s="55" t="str">
        <f t="shared" si="77"/>
        <v/>
      </c>
      <c r="BV42" s="55" t="str">
        <f t="shared" si="77"/>
        <v/>
      </c>
      <c r="BW42" s="55" t="str">
        <f t="shared" si="77"/>
        <v/>
      </c>
      <c r="BX42" s="55" t="str">
        <f t="shared" si="77"/>
        <v/>
      </c>
      <c r="BY42" s="55" t="str">
        <f t="shared" si="77"/>
        <v/>
      </c>
      <c r="BZ42" s="55" t="str">
        <f t="shared" si="77"/>
        <v/>
      </c>
      <c r="CA42" s="55" t="str">
        <f t="shared" si="77"/>
        <v/>
      </c>
      <c r="CB42" s="55" t="str">
        <f t="shared" si="77"/>
        <v/>
      </c>
      <c r="CC42" s="55" t="str">
        <f t="shared" si="77"/>
        <v/>
      </c>
      <c r="CD42" s="55" t="str">
        <f t="shared" si="77"/>
        <v/>
      </c>
      <c r="CE42" s="55" t="str">
        <f t="shared" si="77"/>
        <v/>
      </c>
      <c r="CF42" s="55" t="str">
        <f t="shared" si="77"/>
        <v/>
      </c>
      <c r="CG42" s="55" t="str">
        <f t="shared" si="77"/>
        <v/>
      </c>
      <c r="CH42" s="55" t="str">
        <f t="shared" si="77"/>
        <v/>
      </c>
      <c r="CI42" s="55" t="str">
        <f t="shared" si="77"/>
        <v/>
      </c>
      <c r="CJ42" s="55" t="str">
        <f t="shared" si="77"/>
        <v/>
      </c>
      <c r="CK42" s="55" t="str">
        <f t="shared" si="77"/>
        <v/>
      </c>
      <c r="CL42" s="55" t="str">
        <f t="shared" si="77"/>
        <v/>
      </c>
      <c r="CM42" s="55" t="str">
        <f t="shared" si="77"/>
        <v/>
      </c>
      <c r="CN42" s="55" t="str">
        <f t="shared" si="77"/>
        <v/>
      </c>
      <c r="CO42" s="55" t="str">
        <f t="shared" si="77"/>
        <v/>
      </c>
      <c r="CP42" s="55" t="str">
        <f t="shared" si="77"/>
        <v/>
      </c>
      <c r="CQ42" s="55" t="str">
        <f t="shared" si="77"/>
        <v/>
      </c>
      <c r="CR42" s="55" t="str">
        <f t="shared" si="77"/>
        <v/>
      </c>
      <c r="CS42" s="55" t="str">
        <f t="shared" si="77"/>
        <v/>
      </c>
      <c r="CT42" s="55" t="str">
        <f t="shared" si="77"/>
        <v/>
      </c>
      <c r="CU42" s="55" t="str">
        <f t="shared" si="77"/>
        <v/>
      </c>
      <c r="CV42" s="55" t="str">
        <f t="shared" si="77"/>
        <v/>
      </c>
      <c r="CW42" s="55" t="str">
        <f t="shared" si="77"/>
        <v/>
      </c>
      <c r="CX42" s="55" t="str">
        <f t="shared" si="77"/>
        <v/>
      </c>
      <c r="CY42" s="55" t="str">
        <f t="shared" si="77"/>
        <v/>
      </c>
      <c r="CZ42" s="55" t="str">
        <f t="shared" si="67"/>
        <v/>
      </c>
      <c r="DA42" s="55" t="str">
        <f t="shared" si="67"/>
        <v/>
      </c>
      <c r="DB42" s="55" t="str">
        <f t="shared" si="67"/>
        <v/>
      </c>
      <c r="DC42" s="55" t="str">
        <f t="shared" si="67"/>
        <v/>
      </c>
      <c r="DD42" s="55" t="str">
        <f t="shared" si="67"/>
        <v/>
      </c>
      <c r="DE42" s="55" t="str">
        <f t="shared" si="67"/>
        <v/>
      </c>
      <c r="DF42" s="55" t="str">
        <f t="shared" si="67"/>
        <v/>
      </c>
      <c r="DG42" s="55" t="str">
        <f t="shared" si="67"/>
        <v/>
      </c>
      <c r="DH42" s="55" t="str">
        <f t="shared" si="67"/>
        <v/>
      </c>
      <c r="DI42" s="55" t="str">
        <f t="shared" si="67"/>
        <v/>
      </c>
      <c r="DJ42" s="55" t="str">
        <f t="shared" si="67"/>
        <v/>
      </c>
      <c r="DK42" s="55" t="str">
        <f t="shared" si="60"/>
        <v/>
      </c>
      <c r="DL42" s="55" t="str">
        <f t="shared" si="60"/>
        <v/>
      </c>
      <c r="DM42" s="55" t="str">
        <f t="shared" si="60"/>
        <v/>
      </c>
      <c r="DN42" s="55" t="str">
        <f t="shared" si="60"/>
        <v/>
      </c>
      <c r="DO42" s="55" t="str">
        <f t="shared" si="60"/>
        <v/>
      </c>
      <c r="DP42" s="55" t="str">
        <f t="shared" si="60"/>
        <v/>
      </c>
      <c r="DQ42" s="55" t="str">
        <f t="shared" si="61"/>
        <v/>
      </c>
      <c r="DR42" s="55" t="str">
        <f t="shared" si="61"/>
        <v/>
      </c>
      <c r="DS42" s="55" t="str">
        <f t="shared" si="61"/>
        <v/>
      </c>
      <c r="DT42" s="106" t="str">
        <f t="shared" si="61"/>
        <v/>
      </c>
      <c r="DU42" s="54"/>
      <c r="DV42" s="25"/>
      <c r="DW42" s="61" t="str">
        <f t="shared" si="62"/>
        <v/>
      </c>
      <c r="DX42" s="50" t="str">
        <f t="shared" si="62"/>
        <v/>
      </c>
      <c r="DY42" s="50" t="str">
        <f t="shared" si="62"/>
        <v/>
      </c>
      <c r="DZ42" s="50" t="str">
        <f t="shared" si="62"/>
        <v/>
      </c>
      <c r="EA42" s="50" t="str">
        <f t="shared" si="62"/>
        <v/>
      </c>
      <c r="EB42" s="50" t="str">
        <f t="shared" si="62"/>
        <v/>
      </c>
      <c r="EC42" s="50" t="str">
        <f t="shared" si="62"/>
        <v/>
      </c>
      <c r="ED42" s="50" t="str">
        <f t="shared" si="62"/>
        <v/>
      </c>
      <c r="EE42" s="50" t="str">
        <f t="shared" si="62"/>
        <v/>
      </c>
      <c r="EF42" s="50" t="str">
        <f t="shared" si="62"/>
        <v/>
      </c>
      <c r="EG42" s="50" t="str">
        <f t="shared" si="62"/>
        <v/>
      </c>
      <c r="EH42" s="50" t="str">
        <f t="shared" si="62"/>
        <v/>
      </c>
      <c r="EI42" s="50" t="str">
        <f t="shared" si="62"/>
        <v/>
      </c>
      <c r="EJ42" s="50" t="str">
        <f t="shared" si="62"/>
        <v/>
      </c>
      <c r="EK42" s="50" t="str">
        <f t="shared" si="62"/>
        <v/>
      </c>
      <c r="EL42" s="50" t="str">
        <f t="shared" si="62"/>
        <v/>
      </c>
      <c r="EM42" s="50" t="str">
        <f t="shared" si="71"/>
        <v/>
      </c>
      <c r="EN42" s="50" t="str">
        <f t="shared" si="71"/>
        <v/>
      </c>
      <c r="EO42" s="50" t="str">
        <f t="shared" si="71"/>
        <v/>
      </c>
      <c r="EP42" s="50" t="str">
        <f t="shared" si="71"/>
        <v/>
      </c>
      <c r="EQ42" s="50" t="str">
        <f t="shared" si="71"/>
        <v/>
      </c>
      <c r="ER42" s="50" t="str">
        <f t="shared" si="71"/>
        <v/>
      </c>
      <c r="ES42" s="50" t="str">
        <f t="shared" si="71"/>
        <v/>
      </c>
      <c r="ET42" s="50" t="str">
        <f t="shared" si="71"/>
        <v/>
      </c>
      <c r="EU42" s="50" t="str">
        <f t="shared" si="71"/>
        <v/>
      </c>
      <c r="EV42" s="50" t="str">
        <f t="shared" si="71"/>
        <v/>
      </c>
      <c r="EW42" s="50" t="str">
        <f t="shared" si="71"/>
        <v/>
      </c>
      <c r="EX42" s="50" t="str">
        <f t="shared" si="71"/>
        <v/>
      </c>
      <c r="EY42" s="50" t="str">
        <f t="shared" si="71"/>
        <v/>
      </c>
      <c r="EZ42" s="50" t="str">
        <f t="shared" si="71"/>
        <v/>
      </c>
      <c r="FA42" s="50" t="str">
        <f t="shared" si="71"/>
        <v/>
      </c>
      <c r="FB42" s="50" t="str">
        <f t="shared" si="71"/>
        <v/>
      </c>
      <c r="FC42" s="50" t="str">
        <f t="shared" si="78"/>
        <v/>
      </c>
      <c r="FD42" s="50" t="str">
        <f t="shared" si="78"/>
        <v/>
      </c>
      <c r="FE42" s="50" t="str">
        <f t="shared" si="78"/>
        <v/>
      </c>
      <c r="FF42" s="50" t="str">
        <f t="shared" si="78"/>
        <v/>
      </c>
      <c r="FG42" s="50" t="str">
        <f t="shared" si="78"/>
        <v/>
      </c>
      <c r="FH42" s="50" t="str">
        <f t="shared" si="78"/>
        <v/>
      </c>
      <c r="FI42" s="50" t="str">
        <f t="shared" si="78"/>
        <v/>
      </c>
      <c r="FJ42" s="50" t="str">
        <f t="shared" si="78"/>
        <v/>
      </c>
      <c r="FK42" s="50" t="str">
        <f t="shared" si="78"/>
        <v/>
      </c>
      <c r="FL42" s="50" t="str">
        <f t="shared" si="78"/>
        <v/>
      </c>
      <c r="FM42" s="50" t="str">
        <f t="shared" si="78"/>
        <v/>
      </c>
      <c r="FN42" s="50" t="str">
        <f t="shared" si="78"/>
        <v/>
      </c>
      <c r="FO42" s="50" t="str">
        <f t="shared" si="78"/>
        <v/>
      </c>
      <c r="FP42" s="50" t="str">
        <f t="shared" si="78"/>
        <v/>
      </c>
      <c r="FQ42" s="50" t="str">
        <f t="shared" si="78"/>
        <v/>
      </c>
      <c r="FR42" s="50" t="str">
        <f t="shared" si="78"/>
        <v/>
      </c>
      <c r="FS42" s="50" t="str">
        <f t="shared" si="78"/>
        <v/>
      </c>
      <c r="FT42" s="50" t="str">
        <f t="shared" si="78"/>
        <v/>
      </c>
      <c r="FU42" s="50" t="str">
        <f t="shared" si="78"/>
        <v/>
      </c>
      <c r="FV42" s="50" t="str">
        <f t="shared" si="78"/>
        <v/>
      </c>
      <c r="FW42" s="50" t="str">
        <f t="shared" si="78"/>
        <v/>
      </c>
      <c r="FX42" s="50" t="str">
        <f t="shared" si="78"/>
        <v/>
      </c>
      <c r="FY42" s="50" t="str">
        <f t="shared" si="78"/>
        <v/>
      </c>
      <c r="FZ42" s="50" t="str">
        <f t="shared" si="78"/>
        <v/>
      </c>
      <c r="GA42" s="50" t="str">
        <f t="shared" si="78"/>
        <v/>
      </c>
      <c r="GB42" s="50" t="str">
        <f t="shared" si="78"/>
        <v/>
      </c>
      <c r="GC42" s="50" t="str">
        <f t="shared" si="78"/>
        <v/>
      </c>
      <c r="GD42" s="50" t="str">
        <f t="shared" si="78"/>
        <v/>
      </c>
      <c r="GE42" s="50" t="str">
        <f t="shared" si="78"/>
        <v/>
      </c>
      <c r="GF42" s="50" t="str">
        <f t="shared" si="78"/>
        <v/>
      </c>
      <c r="GG42" s="50" t="str">
        <f t="shared" si="78"/>
        <v/>
      </c>
      <c r="GH42" s="50" t="str">
        <f t="shared" si="78"/>
        <v/>
      </c>
      <c r="GI42" s="50" t="str">
        <f t="shared" si="78"/>
        <v/>
      </c>
      <c r="GJ42" s="50" t="str">
        <f t="shared" si="78"/>
        <v/>
      </c>
      <c r="GK42" s="50" t="str">
        <f t="shared" si="78"/>
        <v/>
      </c>
      <c r="GL42" s="50" t="str">
        <f t="shared" si="78"/>
        <v/>
      </c>
      <c r="GM42" s="50" t="str">
        <f t="shared" si="78"/>
        <v/>
      </c>
      <c r="GN42" s="50" t="str">
        <f t="shared" si="78"/>
        <v/>
      </c>
      <c r="GO42" s="50" t="str">
        <f t="shared" si="78"/>
        <v/>
      </c>
      <c r="GP42" s="50" t="str">
        <f t="shared" si="78"/>
        <v/>
      </c>
      <c r="GQ42" s="50" t="str">
        <f t="shared" si="78"/>
        <v/>
      </c>
      <c r="GR42" s="50" t="str">
        <f t="shared" si="78"/>
        <v/>
      </c>
      <c r="GS42" s="50" t="str">
        <f t="shared" si="78"/>
        <v/>
      </c>
      <c r="GT42" s="50" t="str">
        <f t="shared" si="78"/>
        <v/>
      </c>
      <c r="GU42" s="50" t="str">
        <f t="shared" si="78"/>
        <v/>
      </c>
      <c r="GV42" s="50" t="str">
        <f t="shared" si="78"/>
        <v/>
      </c>
      <c r="GW42" s="50" t="str">
        <f t="shared" si="78"/>
        <v/>
      </c>
      <c r="GX42" s="50" t="str">
        <f t="shared" si="68"/>
        <v/>
      </c>
      <c r="GY42" s="50" t="str">
        <f t="shared" si="68"/>
        <v/>
      </c>
      <c r="GZ42" s="50" t="str">
        <f t="shared" si="68"/>
        <v/>
      </c>
      <c r="HA42" s="50" t="str">
        <f t="shared" si="68"/>
        <v/>
      </c>
      <c r="HB42" s="50" t="str">
        <f t="shared" si="68"/>
        <v/>
      </c>
      <c r="HC42" s="50" t="str">
        <f t="shared" si="68"/>
        <v/>
      </c>
      <c r="HD42" s="50" t="str">
        <f t="shared" si="68"/>
        <v/>
      </c>
      <c r="HE42" s="50" t="str">
        <f t="shared" si="68"/>
        <v/>
      </c>
      <c r="HF42" s="50" t="str">
        <f t="shared" si="68"/>
        <v/>
      </c>
      <c r="HG42" s="50" t="str">
        <f t="shared" si="68"/>
        <v/>
      </c>
      <c r="HH42" s="50" t="str">
        <f t="shared" si="68"/>
        <v/>
      </c>
      <c r="HI42" s="50" t="str">
        <f t="shared" si="68"/>
        <v/>
      </c>
      <c r="HJ42" s="50" t="str">
        <f t="shared" si="68"/>
        <v/>
      </c>
      <c r="HK42" s="50" t="str">
        <f t="shared" si="68"/>
        <v/>
      </c>
      <c r="HL42" s="50" t="str">
        <f t="shared" si="68"/>
        <v/>
      </c>
      <c r="HM42" s="50" t="str">
        <f t="shared" si="68"/>
        <v/>
      </c>
      <c r="HN42" s="50" t="str">
        <f t="shared" si="65"/>
        <v/>
      </c>
      <c r="HO42" s="50" t="str">
        <f t="shared" si="65"/>
        <v/>
      </c>
      <c r="HP42" s="50" t="str">
        <f t="shared" si="65"/>
        <v/>
      </c>
      <c r="HQ42" s="50" t="str">
        <f t="shared" si="65"/>
        <v/>
      </c>
      <c r="HR42" s="112" t="str">
        <f t="shared" si="65"/>
        <v/>
      </c>
    </row>
    <row r="43" spans="1:226" ht="11.1" customHeight="1" x14ac:dyDescent="0.25">
      <c r="A43" s="26"/>
      <c r="B43" s="27"/>
      <c r="C43" s="28" t="str">
        <f>IF(A43=0,"",VLOOKUP(A43,[2]CO!$A$3:$F$5327,2,0))</f>
        <v/>
      </c>
      <c r="D43" s="29"/>
      <c r="E43" s="29"/>
      <c r="F43" s="29"/>
      <c r="G43" s="30" t="str">
        <f>IF(A43=0,"",VLOOKUP(A43,[2]CO!$A$3:$F$5327,3,0))</f>
        <v/>
      </c>
      <c r="H43" s="95"/>
      <c r="I43" s="31"/>
      <c r="J43" s="31"/>
      <c r="K43" s="31"/>
      <c r="L43" s="31"/>
      <c r="M43" s="32" t="str">
        <f t="shared" si="73"/>
        <v/>
      </c>
      <c r="N43" s="32" t="str">
        <f>IF(B43=0,"",IF(H43="M",HLOOKUP(B43,$Y$12:$DT$13,2),IF(A43=0,"",VLOOKUP(A43,[2]CO!$A$3:$F$5327,4,0))))</f>
        <v/>
      </c>
      <c r="O43" s="32" t="str">
        <f t="shared" si="74"/>
        <v/>
      </c>
      <c r="P43" s="33"/>
      <c r="Q43" s="34" t="str">
        <f t="shared" si="75"/>
        <v/>
      </c>
      <c r="R43" s="35" t="str">
        <f t="shared" si="66"/>
        <v/>
      </c>
      <c r="T43" s="53" t="str">
        <f>IF(A43=0,"",VLOOKUP(A43,[2]CO!$A$3:$F$5318,5,0))</f>
        <v/>
      </c>
      <c r="U43" s="54">
        <f t="shared" si="76"/>
        <v>0</v>
      </c>
      <c r="V43" s="24"/>
      <c r="W43" s="25"/>
      <c r="X43" s="25"/>
      <c r="Y43" s="64" t="str">
        <f t="shared" ref="Y43:AN44" si="79">IF($B43=Y$12,$U43,"")</f>
        <v/>
      </c>
      <c r="Z43" s="55" t="str">
        <f t="shared" si="79"/>
        <v/>
      </c>
      <c r="AA43" s="55" t="str">
        <f t="shared" si="79"/>
        <v/>
      </c>
      <c r="AB43" s="55" t="str">
        <f t="shared" si="79"/>
        <v/>
      </c>
      <c r="AC43" s="55" t="str">
        <f t="shared" si="79"/>
        <v/>
      </c>
      <c r="AD43" s="55" t="str">
        <f t="shared" si="79"/>
        <v/>
      </c>
      <c r="AE43" s="55" t="str">
        <f t="shared" si="79"/>
        <v/>
      </c>
      <c r="AF43" s="55" t="str">
        <f t="shared" si="79"/>
        <v/>
      </c>
      <c r="AG43" s="55" t="str">
        <f t="shared" si="79"/>
        <v/>
      </c>
      <c r="AH43" s="55" t="str">
        <f t="shared" si="79"/>
        <v/>
      </c>
      <c r="AI43" s="55" t="str">
        <f t="shared" si="79"/>
        <v/>
      </c>
      <c r="AJ43" s="55" t="str">
        <f t="shared" si="79"/>
        <v/>
      </c>
      <c r="AK43" s="55" t="str">
        <f t="shared" si="79"/>
        <v/>
      </c>
      <c r="AL43" s="55" t="str">
        <f t="shared" si="79"/>
        <v/>
      </c>
      <c r="AM43" s="55" t="str">
        <f t="shared" si="79"/>
        <v/>
      </c>
      <c r="AN43" s="55" t="str">
        <f t="shared" si="79"/>
        <v/>
      </c>
      <c r="AO43" s="55" t="str">
        <f t="shared" ref="AO43:BD44" si="80">IF($B43=AO$12,$U43,"")</f>
        <v/>
      </c>
      <c r="AP43" s="55" t="str">
        <f t="shared" si="80"/>
        <v/>
      </c>
      <c r="AQ43" s="55" t="str">
        <f t="shared" si="80"/>
        <v/>
      </c>
      <c r="AR43" s="55" t="str">
        <f t="shared" si="80"/>
        <v/>
      </c>
      <c r="AS43" s="55" t="str">
        <f t="shared" si="80"/>
        <v/>
      </c>
      <c r="AT43" s="55" t="str">
        <f t="shared" si="80"/>
        <v/>
      </c>
      <c r="AU43" s="55" t="str">
        <f t="shared" si="80"/>
        <v/>
      </c>
      <c r="AV43" s="55" t="str">
        <f t="shared" si="80"/>
        <v/>
      </c>
      <c r="AW43" s="55" t="str">
        <f t="shared" si="80"/>
        <v/>
      </c>
      <c r="AX43" s="55" t="str">
        <f t="shared" si="80"/>
        <v/>
      </c>
      <c r="AY43" s="55" t="str">
        <f t="shared" si="80"/>
        <v/>
      </c>
      <c r="AZ43" s="55" t="str">
        <f t="shared" si="80"/>
        <v/>
      </c>
      <c r="BA43" s="55" t="str">
        <f t="shared" si="80"/>
        <v/>
      </c>
      <c r="BB43" s="55" t="str">
        <f t="shared" si="80"/>
        <v/>
      </c>
      <c r="BC43" s="55" t="str">
        <f t="shared" si="80"/>
        <v/>
      </c>
      <c r="BD43" s="55" t="str">
        <f t="shared" si="80"/>
        <v/>
      </c>
      <c r="BE43" s="55" t="str">
        <f t="shared" ref="BE43:BX43" si="81">IF($B43=BE$12,$U43,"")</f>
        <v/>
      </c>
      <c r="BF43" s="55" t="str">
        <f t="shared" si="81"/>
        <v/>
      </c>
      <c r="BG43" s="55" t="str">
        <f t="shared" si="81"/>
        <v/>
      </c>
      <c r="BH43" s="55" t="str">
        <f t="shared" si="81"/>
        <v/>
      </c>
      <c r="BI43" s="55" t="str">
        <f t="shared" si="81"/>
        <v/>
      </c>
      <c r="BJ43" s="55" t="str">
        <f t="shared" si="81"/>
        <v/>
      </c>
      <c r="BK43" s="55" t="str">
        <f t="shared" si="81"/>
        <v/>
      </c>
      <c r="BL43" s="55" t="str">
        <f t="shared" si="81"/>
        <v/>
      </c>
      <c r="BM43" s="55" t="str">
        <f t="shared" si="81"/>
        <v/>
      </c>
      <c r="BN43" s="55" t="str">
        <f t="shared" si="81"/>
        <v/>
      </c>
      <c r="BO43" s="55" t="str">
        <f t="shared" si="81"/>
        <v/>
      </c>
      <c r="BP43" s="55" t="str">
        <f t="shared" si="81"/>
        <v/>
      </c>
      <c r="BQ43" s="55" t="str">
        <f t="shared" si="81"/>
        <v/>
      </c>
      <c r="BR43" s="55" t="str">
        <f t="shared" si="81"/>
        <v/>
      </c>
      <c r="BS43" s="55" t="str">
        <f t="shared" si="81"/>
        <v/>
      </c>
      <c r="BT43" s="55" t="str">
        <f t="shared" si="81"/>
        <v/>
      </c>
      <c r="BU43" s="55" t="str">
        <f t="shared" si="81"/>
        <v/>
      </c>
      <c r="BV43" s="55" t="str">
        <f t="shared" si="81"/>
        <v/>
      </c>
      <c r="BW43" s="55" t="str">
        <f t="shared" si="81"/>
        <v/>
      </c>
      <c r="BX43" s="55" t="str">
        <f t="shared" si="81"/>
        <v/>
      </c>
      <c r="BY43" s="55" t="str">
        <f t="shared" ref="BY43:CY43" si="82">IF($B43=BY$12,$U43,"")</f>
        <v/>
      </c>
      <c r="BZ43" s="55" t="str">
        <f t="shared" si="82"/>
        <v/>
      </c>
      <c r="CA43" s="55" t="str">
        <f t="shared" si="82"/>
        <v/>
      </c>
      <c r="CB43" s="55" t="str">
        <f t="shared" si="82"/>
        <v/>
      </c>
      <c r="CC43" s="55" t="str">
        <f t="shared" si="82"/>
        <v/>
      </c>
      <c r="CD43" s="55" t="str">
        <f t="shared" si="82"/>
        <v/>
      </c>
      <c r="CE43" s="55" t="str">
        <f t="shared" si="82"/>
        <v/>
      </c>
      <c r="CF43" s="55" t="str">
        <f t="shared" si="82"/>
        <v/>
      </c>
      <c r="CG43" s="55" t="str">
        <f t="shared" si="82"/>
        <v/>
      </c>
      <c r="CH43" s="55" t="str">
        <f t="shared" si="82"/>
        <v/>
      </c>
      <c r="CI43" s="55" t="str">
        <f t="shared" si="82"/>
        <v/>
      </c>
      <c r="CJ43" s="55" t="str">
        <f t="shared" si="82"/>
        <v/>
      </c>
      <c r="CK43" s="55" t="str">
        <f t="shared" si="82"/>
        <v/>
      </c>
      <c r="CL43" s="55" t="str">
        <f t="shared" si="82"/>
        <v/>
      </c>
      <c r="CM43" s="55" t="str">
        <f t="shared" si="82"/>
        <v/>
      </c>
      <c r="CN43" s="55" t="str">
        <f t="shared" si="82"/>
        <v/>
      </c>
      <c r="CO43" s="55" t="str">
        <f t="shared" si="82"/>
        <v/>
      </c>
      <c r="CP43" s="55" t="str">
        <f t="shared" si="82"/>
        <v/>
      </c>
      <c r="CQ43" s="55" t="str">
        <f t="shared" si="82"/>
        <v/>
      </c>
      <c r="CR43" s="55" t="str">
        <f t="shared" si="82"/>
        <v/>
      </c>
      <c r="CS43" s="55" t="str">
        <f t="shared" si="82"/>
        <v/>
      </c>
      <c r="CT43" s="55" t="str">
        <f t="shared" si="82"/>
        <v/>
      </c>
      <c r="CU43" s="55" t="str">
        <f t="shared" si="82"/>
        <v/>
      </c>
      <c r="CV43" s="55" t="str">
        <f t="shared" si="82"/>
        <v/>
      </c>
      <c r="CW43" s="55" t="str">
        <f t="shared" si="82"/>
        <v/>
      </c>
      <c r="CX43" s="55" t="str">
        <f t="shared" si="82"/>
        <v/>
      </c>
      <c r="CY43" s="55" t="str">
        <f t="shared" si="82"/>
        <v/>
      </c>
      <c r="CZ43" s="55" t="str">
        <f t="shared" ref="CZ43:DJ44" si="83">IF($B43=CZ$12,$U43,"")</f>
        <v/>
      </c>
      <c r="DA43" s="55" t="str">
        <f t="shared" si="83"/>
        <v/>
      </c>
      <c r="DB43" s="55" t="str">
        <f t="shared" si="83"/>
        <v/>
      </c>
      <c r="DC43" s="55" t="str">
        <f t="shared" si="83"/>
        <v/>
      </c>
      <c r="DD43" s="55" t="str">
        <f t="shared" si="83"/>
        <v/>
      </c>
      <c r="DE43" s="55" t="str">
        <f t="shared" si="83"/>
        <v/>
      </c>
      <c r="DF43" s="55" t="str">
        <f t="shared" si="83"/>
        <v/>
      </c>
      <c r="DG43" s="55" t="str">
        <f t="shared" si="83"/>
        <v/>
      </c>
      <c r="DH43" s="55" t="str">
        <f t="shared" si="83"/>
        <v/>
      </c>
      <c r="DI43" s="55" t="str">
        <f t="shared" si="83"/>
        <v/>
      </c>
      <c r="DJ43" s="55" t="str">
        <f t="shared" si="83"/>
        <v/>
      </c>
      <c r="DK43" s="55" t="str">
        <f t="shared" si="60"/>
        <v/>
      </c>
      <c r="DL43" s="55" t="str">
        <f t="shared" si="60"/>
        <v/>
      </c>
      <c r="DM43" s="55" t="str">
        <f t="shared" si="60"/>
        <v/>
      </c>
      <c r="DN43" s="55" t="str">
        <f t="shared" si="60"/>
        <v/>
      </c>
      <c r="DO43" s="55" t="str">
        <f t="shared" si="60"/>
        <v/>
      </c>
      <c r="DP43" s="55" t="str">
        <f t="shared" si="60"/>
        <v/>
      </c>
      <c r="DQ43" s="55" t="str">
        <f t="shared" si="61"/>
        <v/>
      </c>
      <c r="DR43" s="55" t="str">
        <f t="shared" si="61"/>
        <v/>
      </c>
      <c r="DS43" s="55" t="str">
        <f t="shared" si="61"/>
        <v/>
      </c>
      <c r="DT43" s="106" t="str">
        <f t="shared" si="61"/>
        <v/>
      </c>
      <c r="DU43" s="54"/>
      <c r="DV43" s="25"/>
      <c r="DW43" s="61" t="str">
        <f t="shared" ref="DW43:EL44" si="84">IF($B43=DW$12,$O43,"")</f>
        <v/>
      </c>
      <c r="DX43" s="50" t="str">
        <f t="shared" si="84"/>
        <v/>
      </c>
      <c r="DY43" s="50" t="str">
        <f t="shared" si="84"/>
        <v/>
      </c>
      <c r="DZ43" s="50" t="str">
        <f t="shared" si="84"/>
        <v/>
      </c>
      <c r="EA43" s="50" t="str">
        <f t="shared" si="84"/>
        <v/>
      </c>
      <c r="EB43" s="50" t="str">
        <f t="shared" si="84"/>
        <v/>
      </c>
      <c r="EC43" s="50" t="str">
        <f t="shared" si="84"/>
        <v/>
      </c>
      <c r="ED43" s="50" t="str">
        <f t="shared" si="84"/>
        <v/>
      </c>
      <c r="EE43" s="50" t="str">
        <f t="shared" si="84"/>
        <v/>
      </c>
      <c r="EF43" s="50" t="str">
        <f t="shared" si="84"/>
        <v/>
      </c>
      <c r="EG43" s="50" t="str">
        <f t="shared" si="84"/>
        <v/>
      </c>
      <c r="EH43" s="50" t="str">
        <f t="shared" si="84"/>
        <v/>
      </c>
      <c r="EI43" s="50" t="str">
        <f t="shared" si="84"/>
        <v/>
      </c>
      <c r="EJ43" s="50" t="str">
        <f t="shared" si="84"/>
        <v/>
      </c>
      <c r="EK43" s="50" t="str">
        <f t="shared" si="84"/>
        <v/>
      </c>
      <c r="EL43" s="50" t="str">
        <f t="shared" si="84"/>
        <v/>
      </c>
      <c r="EM43" s="50" t="str">
        <f t="shared" ref="EM43:FB44" si="85">IF($B43=EM$12,$O43,"")</f>
        <v/>
      </c>
      <c r="EN43" s="50" t="str">
        <f t="shared" si="85"/>
        <v/>
      </c>
      <c r="EO43" s="50" t="str">
        <f t="shared" si="85"/>
        <v/>
      </c>
      <c r="EP43" s="50" t="str">
        <f t="shared" si="85"/>
        <v/>
      </c>
      <c r="EQ43" s="50" t="str">
        <f t="shared" si="85"/>
        <v/>
      </c>
      <c r="ER43" s="50" t="str">
        <f t="shared" si="85"/>
        <v/>
      </c>
      <c r="ES43" s="50" t="str">
        <f t="shared" si="85"/>
        <v/>
      </c>
      <c r="ET43" s="50" t="str">
        <f t="shared" si="85"/>
        <v/>
      </c>
      <c r="EU43" s="50" t="str">
        <f t="shared" si="85"/>
        <v/>
      </c>
      <c r="EV43" s="50" t="str">
        <f t="shared" si="85"/>
        <v/>
      </c>
      <c r="EW43" s="50" t="str">
        <f t="shared" si="85"/>
        <v/>
      </c>
      <c r="EX43" s="50" t="str">
        <f t="shared" si="85"/>
        <v/>
      </c>
      <c r="EY43" s="50" t="str">
        <f t="shared" si="85"/>
        <v/>
      </c>
      <c r="EZ43" s="50" t="str">
        <f t="shared" si="85"/>
        <v/>
      </c>
      <c r="FA43" s="50" t="str">
        <f t="shared" si="85"/>
        <v/>
      </c>
      <c r="FB43" s="50" t="str">
        <f t="shared" si="85"/>
        <v/>
      </c>
      <c r="FC43" s="50" t="str">
        <f t="shared" ref="FC43:FV43" si="86">IF($B43=FC$12,$O43,"")</f>
        <v/>
      </c>
      <c r="FD43" s="50" t="str">
        <f t="shared" si="86"/>
        <v/>
      </c>
      <c r="FE43" s="50" t="str">
        <f t="shared" si="86"/>
        <v/>
      </c>
      <c r="FF43" s="50" t="str">
        <f t="shared" si="86"/>
        <v/>
      </c>
      <c r="FG43" s="50" t="str">
        <f t="shared" si="86"/>
        <v/>
      </c>
      <c r="FH43" s="50" t="str">
        <f t="shared" si="86"/>
        <v/>
      </c>
      <c r="FI43" s="50" t="str">
        <f t="shared" si="86"/>
        <v/>
      </c>
      <c r="FJ43" s="50" t="str">
        <f t="shared" si="86"/>
        <v/>
      </c>
      <c r="FK43" s="50" t="str">
        <f t="shared" si="86"/>
        <v/>
      </c>
      <c r="FL43" s="50" t="str">
        <f t="shared" si="86"/>
        <v/>
      </c>
      <c r="FM43" s="50" t="str">
        <f t="shared" si="86"/>
        <v/>
      </c>
      <c r="FN43" s="50" t="str">
        <f t="shared" si="86"/>
        <v/>
      </c>
      <c r="FO43" s="50" t="str">
        <f t="shared" si="86"/>
        <v/>
      </c>
      <c r="FP43" s="50" t="str">
        <f t="shared" si="86"/>
        <v/>
      </c>
      <c r="FQ43" s="50" t="str">
        <f t="shared" si="86"/>
        <v/>
      </c>
      <c r="FR43" s="50" t="str">
        <f t="shared" si="86"/>
        <v/>
      </c>
      <c r="FS43" s="50" t="str">
        <f t="shared" si="86"/>
        <v/>
      </c>
      <c r="FT43" s="50" t="str">
        <f t="shared" si="86"/>
        <v/>
      </c>
      <c r="FU43" s="50" t="str">
        <f t="shared" si="86"/>
        <v/>
      </c>
      <c r="FV43" s="50" t="str">
        <f t="shared" si="86"/>
        <v/>
      </c>
      <c r="FW43" s="50" t="str">
        <f t="shared" ref="FW43:GW43" si="87">IF($B43=FW$12,$O43,"")</f>
        <v/>
      </c>
      <c r="FX43" s="50" t="str">
        <f t="shared" si="87"/>
        <v/>
      </c>
      <c r="FY43" s="50" t="str">
        <f t="shared" si="87"/>
        <v/>
      </c>
      <c r="FZ43" s="50" t="str">
        <f t="shared" si="87"/>
        <v/>
      </c>
      <c r="GA43" s="50" t="str">
        <f t="shared" si="87"/>
        <v/>
      </c>
      <c r="GB43" s="50" t="str">
        <f t="shared" si="87"/>
        <v/>
      </c>
      <c r="GC43" s="50" t="str">
        <f t="shared" si="87"/>
        <v/>
      </c>
      <c r="GD43" s="50" t="str">
        <f t="shared" si="87"/>
        <v/>
      </c>
      <c r="GE43" s="50" t="str">
        <f t="shared" si="87"/>
        <v/>
      </c>
      <c r="GF43" s="50" t="str">
        <f t="shared" si="87"/>
        <v/>
      </c>
      <c r="GG43" s="50" t="str">
        <f t="shared" si="87"/>
        <v/>
      </c>
      <c r="GH43" s="50" t="str">
        <f t="shared" si="87"/>
        <v/>
      </c>
      <c r="GI43" s="50" t="str">
        <f t="shared" si="87"/>
        <v/>
      </c>
      <c r="GJ43" s="50" t="str">
        <f t="shared" si="87"/>
        <v/>
      </c>
      <c r="GK43" s="50" t="str">
        <f t="shared" si="87"/>
        <v/>
      </c>
      <c r="GL43" s="50" t="str">
        <f t="shared" si="87"/>
        <v/>
      </c>
      <c r="GM43" s="50" t="str">
        <f t="shared" si="87"/>
        <v/>
      </c>
      <c r="GN43" s="50" t="str">
        <f t="shared" si="87"/>
        <v/>
      </c>
      <c r="GO43" s="50" t="str">
        <f t="shared" si="87"/>
        <v/>
      </c>
      <c r="GP43" s="50" t="str">
        <f t="shared" si="87"/>
        <v/>
      </c>
      <c r="GQ43" s="50" t="str">
        <f t="shared" si="87"/>
        <v/>
      </c>
      <c r="GR43" s="50" t="str">
        <f t="shared" si="87"/>
        <v/>
      </c>
      <c r="GS43" s="50" t="str">
        <f t="shared" si="87"/>
        <v/>
      </c>
      <c r="GT43" s="50" t="str">
        <f t="shared" si="87"/>
        <v/>
      </c>
      <c r="GU43" s="50" t="str">
        <f t="shared" si="87"/>
        <v/>
      </c>
      <c r="GV43" s="50" t="str">
        <f t="shared" si="87"/>
        <v/>
      </c>
      <c r="GW43" s="50" t="str">
        <f t="shared" si="87"/>
        <v/>
      </c>
      <c r="GX43" s="50" t="str">
        <f t="shared" ref="GX43:HM44" si="88">IF($B43=GX$12,$O43,"")</f>
        <v/>
      </c>
      <c r="GY43" s="50" t="str">
        <f t="shared" si="88"/>
        <v/>
      </c>
      <c r="GZ43" s="50" t="str">
        <f t="shared" si="88"/>
        <v/>
      </c>
      <c r="HA43" s="50" t="str">
        <f t="shared" si="88"/>
        <v/>
      </c>
      <c r="HB43" s="50" t="str">
        <f t="shared" si="88"/>
        <v/>
      </c>
      <c r="HC43" s="50" t="str">
        <f t="shared" si="88"/>
        <v/>
      </c>
      <c r="HD43" s="50" t="str">
        <f t="shared" si="88"/>
        <v/>
      </c>
      <c r="HE43" s="50" t="str">
        <f t="shared" si="88"/>
        <v/>
      </c>
      <c r="HF43" s="50" t="str">
        <f t="shared" si="88"/>
        <v/>
      </c>
      <c r="HG43" s="50" t="str">
        <f t="shared" si="88"/>
        <v/>
      </c>
      <c r="HH43" s="50" t="str">
        <f t="shared" si="88"/>
        <v/>
      </c>
      <c r="HI43" s="50" t="str">
        <f t="shared" si="88"/>
        <v/>
      </c>
      <c r="HJ43" s="50" t="str">
        <f t="shared" si="88"/>
        <v/>
      </c>
      <c r="HK43" s="50" t="str">
        <f t="shared" si="88"/>
        <v/>
      </c>
      <c r="HL43" s="50" t="str">
        <f t="shared" si="88"/>
        <v/>
      </c>
      <c r="HM43" s="50" t="str">
        <f t="shared" si="88"/>
        <v/>
      </c>
      <c r="HN43" s="50" t="str">
        <f t="shared" si="65"/>
        <v/>
      </c>
      <c r="HO43" s="50" t="str">
        <f t="shared" si="65"/>
        <v/>
      </c>
      <c r="HP43" s="50" t="str">
        <f t="shared" si="65"/>
        <v/>
      </c>
      <c r="HQ43" s="50" t="str">
        <f t="shared" si="65"/>
        <v/>
      </c>
      <c r="HR43" s="112" t="str">
        <f t="shared" si="65"/>
        <v/>
      </c>
    </row>
    <row r="44" spans="1:226" ht="11.1" customHeight="1" x14ac:dyDescent="0.25">
      <c r="A44" s="26"/>
      <c r="B44" s="27"/>
      <c r="C44" s="28" t="str">
        <f>IF(A44=0,"",VLOOKUP(A44,[2]CO!$A$3:$F$5327,2,0))</f>
        <v/>
      </c>
      <c r="D44" s="29"/>
      <c r="E44" s="29"/>
      <c r="F44" s="29"/>
      <c r="G44" s="30" t="str">
        <f>IF(A44=0,"",VLOOKUP(A44,[2]CO!$A$3:$F$5327,3,0))</f>
        <v/>
      </c>
      <c r="H44" s="95"/>
      <c r="I44" s="31"/>
      <c r="J44" s="31"/>
      <c r="K44" s="31"/>
      <c r="L44" s="31"/>
      <c r="M44" s="32" t="str">
        <f t="shared" si="73"/>
        <v/>
      </c>
      <c r="N44" s="32" t="str">
        <f>IF(B44=0,"",IF(H44="M",HLOOKUP(B44,$Y$12:$DT$13,2),IF(A44=0,"",VLOOKUP(A44,[2]CO!$A$3:$F$5327,4,0))))</f>
        <v/>
      </c>
      <c r="O44" s="32" t="str">
        <f t="shared" si="74"/>
        <v/>
      </c>
      <c r="P44" s="33"/>
      <c r="Q44" s="34" t="str">
        <f t="shared" si="75"/>
        <v/>
      </c>
      <c r="R44" s="35" t="str">
        <f t="shared" si="66"/>
        <v/>
      </c>
      <c r="T44" s="53" t="str">
        <f>IF(A44=0,"",VLOOKUP(A44,[2]CO!$A$3:$F$5318,5,0))</f>
        <v/>
      </c>
      <c r="U44" s="54">
        <f t="shared" si="76"/>
        <v>0</v>
      </c>
      <c r="V44" s="24"/>
      <c r="W44" s="25"/>
      <c r="X44" s="25"/>
      <c r="Y44" s="64" t="str">
        <f t="shared" si="79"/>
        <v/>
      </c>
      <c r="Z44" s="55" t="str">
        <f t="shared" si="79"/>
        <v/>
      </c>
      <c r="AA44" s="55" t="str">
        <f t="shared" si="79"/>
        <v/>
      </c>
      <c r="AB44" s="55" t="str">
        <f t="shared" si="79"/>
        <v/>
      </c>
      <c r="AC44" s="55" t="str">
        <f t="shared" si="79"/>
        <v/>
      </c>
      <c r="AD44" s="55" t="str">
        <f t="shared" si="79"/>
        <v/>
      </c>
      <c r="AE44" s="55" t="str">
        <f t="shared" si="79"/>
        <v/>
      </c>
      <c r="AF44" s="55" t="str">
        <f t="shared" si="79"/>
        <v/>
      </c>
      <c r="AG44" s="55" t="str">
        <f t="shared" si="79"/>
        <v/>
      </c>
      <c r="AH44" s="55" t="str">
        <f t="shared" si="79"/>
        <v/>
      </c>
      <c r="AI44" s="55" t="str">
        <f t="shared" si="79"/>
        <v/>
      </c>
      <c r="AJ44" s="55" t="str">
        <f t="shared" si="79"/>
        <v/>
      </c>
      <c r="AK44" s="55" t="str">
        <f t="shared" si="79"/>
        <v/>
      </c>
      <c r="AL44" s="55" t="str">
        <f t="shared" si="79"/>
        <v/>
      </c>
      <c r="AM44" s="55" t="str">
        <f t="shared" si="79"/>
        <v/>
      </c>
      <c r="AN44" s="55" t="str">
        <f t="shared" si="79"/>
        <v/>
      </c>
      <c r="AO44" s="55" t="str">
        <f t="shared" si="80"/>
        <v/>
      </c>
      <c r="AP44" s="55" t="str">
        <f t="shared" si="80"/>
        <v/>
      </c>
      <c r="AQ44" s="55" t="str">
        <f t="shared" si="80"/>
        <v/>
      </c>
      <c r="AR44" s="55" t="str">
        <f t="shared" si="80"/>
        <v/>
      </c>
      <c r="AS44" s="55" t="str">
        <f t="shared" si="80"/>
        <v/>
      </c>
      <c r="AT44" s="55" t="str">
        <f t="shared" si="80"/>
        <v/>
      </c>
      <c r="AU44" s="55" t="str">
        <f t="shared" si="80"/>
        <v/>
      </c>
      <c r="AV44" s="55" t="str">
        <f t="shared" si="80"/>
        <v/>
      </c>
      <c r="AW44" s="55" t="str">
        <f t="shared" si="80"/>
        <v/>
      </c>
      <c r="AX44" s="55" t="str">
        <f t="shared" si="80"/>
        <v/>
      </c>
      <c r="AY44" s="55" t="str">
        <f t="shared" si="80"/>
        <v/>
      </c>
      <c r="AZ44" s="55" t="str">
        <f t="shared" si="80"/>
        <v/>
      </c>
      <c r="BA44" s="55" t="str">
        <f t="shared" si="80"/>
        <v/>
      </c>
      <c r="BB44" s="55" t="str">
        <f t="shared" si="80"/>
        <v/>
      </c>
      <c r="BC44" s="55" t="str">
        <f t="shared" si="80"/>
        <v/>
      </c>
      <c r="BD44" s="55" t="str">
        <f t="shared" si="80"/>
        <v/>
      </c>
      <c r="BE44" s="55" t="str">
        <f t="shared" ref="BE44:CY45" si="89">IF($B44=BE$12,$U44,"")</f>
        <v/>
      </c>
      <c r="BF44" s="55" t="str">
        <f t="shared" si="89"/>
        <v/>
      </c>
      <c r="BG44" s="55" t="str">
        <f t="shared" si="89"/>
        <v/>
      </c>
      <c r="BH44" s="55" t="str">
        <f t="shared" si="89"/>
        <v/>
      </c>
      <c r="BI44" s="55" t="str">
        <f t="shared" si="89"/>
        <v/>
      </c>
      <c r="BJ44" s="55" t="str">
        <f t="shared" si="89"/>
        <v/>
      </c>
      <c r="BK44" s="55" t="str">
        <f t="shared" si="89"/>
        <v/>
      </c>
      <c r="BL44" s="55" t="str">
        <f t="shared" si="89"/>
        <v/>
      </c>
      <c r="BM44" s="55" t="str">
        <f t="shared" si="89"/>
        <v/>
      </c>
      <c r="BN44" s="55" t="str">
        <f t="shared" si="89"/>
        <v/>
      </c>
      <c r="BO44" s="55" t="str">
        <f t="shared" si="89"/>
        <v/>
      </c>
      <c r="BP44" s="55" t="str">
        <f t="shared" si="89"/>
        <v/>
      </c>
      <c r="BQ44" s="55" t="str">
        <f t="shared" si="89"/>
        <v/>
      </c>
      <c r="BR44" s="55" t="str">
        <f t="shared" si="89"/>
        <v/>
      </c>
      <c r="BS44" s="55" t="str">
        <f t="shared" si="89"/>
        <v/>
      </c>
      <c r="BT44" s="55" t="str">
        <f t="shared" si="89"/>
        <v/>
      </c>
      <c r="BU44" s="55" t="str">
        <f t="shared" si="89"/>
        <v/>
      </c>
      <c r="BV44" s="55" t="str">
        <f t="shared" si="89"/>
        <v/>
      </c>
      <c r="BW44" s="55" t="str">
        <f t="shared" si="89"/>
        <v/>
      </c>
      <c r="BX44" s="55" t="str">
        <f t="shared" si="89"/>
        <v/>
      </c>
      <c r="BY44" s="55" t="str">
        <f t="shared" si="89"/>
        <v/>
      </c>
      <c r="BZ44" s="55" t="str">
        <f t="shared" si="89"/>
        <v/>
      </c>
      <c r="CA44" s="55" t="str">
        <f t="shared" si="89"/>
        <v/>
      </c>
      <c r="CB44" s="55" t="str">
        <f t="shared" si="89"/>
        <v/>
      </c>
      <c r="CC44" s="55" t="str">
        <f t="shared" si="89"/>
        <v/>
      </c>
      <c r="CD44" s="55" t="str">
        <f t="shared" si="89"/>
        <v/>
      </c>
      <c r="CE44" s="55" t="str">
        <f t="shared" si="89"/>
        <v/>
      </c>
      <c r="CF44" s="55" t="str">
        <f t="shared" si="89"/>
        <v/>
      </c>
      <c r="CG44" s="55" t="str">
        <f t="shared" si="89"/>
        <v/>
      </c>
      <c r="CH44" s="55" t="str">
        <f t="shared" si="89"/>
        <v/>
      </c>
      <c r="CI44" s="55" t="str">
        <f t="shared" si="89"/>
        <v/>
      </c>
      <c r="CJ44" s="55" t="str">
        <f t="shared" si="89"/>
        <v/>
      </c>
      <c r="CK44" s="55" t="str">
        <f t="shared" si="89"/>
        <v/>
      </c>
      <c r="CL44" s="55" t="str">
        <f t="shared" si="89"/>
        <v/>
      </c>
      <c r="CM44" s="55" t="str">
        <f t="shared" si="89"/>
        <v/>
      </c>
      <c r="CN44" s="55" t="str">
        <f t="shared" si="89"/>
        <v/>
      </c>
      <c r="CO44" s="55" t="str">
        <f t="shared" si="89"/>
        <v/>
      </c>
      <c r="CP44" s="55" t="str">
        <f t="shared" si="89"/>
        <v/>
      </c>
      <c r="CQ44" s="55" t="str">
        <f t="shared" si="89"/>
        <v/>
      </c>
      <c r="CR44" s="55" t="str">
        <f t="shared" si="89"/>
        <v/>
      </c>
      <c r="CS44" s="55" t="str">
        <f t="shared" si="89"/>
        <v/>
      </c>
      <c r="CT44" s="55" t="str">
        <f t="shared" si="89"/>
        <v/>
      </c>
      <c r="CU44" s="55" t="str">
        <f t="shared" si="89"/>
        <v/>
      </c>
      <c r="CV44" s="55" t="str">
        <f t="shared" si="89"/>
        <v/>
      </c>
      <c r="CW44" s="55" t="str">
        <f t="shared" si="89"/>
        <v/>
      </c>
      <c r="CX44" s="55" t="str">
        <f t="shared" si="89"/>
        <v/>
      </c>
      <c r="CY44" s="55" t="str">
        <f t="shared" si="89"/>
        <v/>
      </c>
      <c r="CZ44" s="55" t="str">
        <f t="shared" si="83"/>
        <v/>
      </c>
      <c r="DA44" s="55" t="str">
        <f t="shared" si="83"/>
        <v/>
      </c>
      <c r="DB44" s="55" t="str">
        <f t="shared" si="83"/>
        <v/>
      </c>
      <c r="DC44" s="55" t="str">
        <f t="shared" si="83"/>
        <v/>
      </c>
      <c r="DD44" s="55" t="str">
        <f t="shared" si="83"/>
        <v/>
      </c>
      <c r="DE44" s="55" t="str">
        <f t="shared" si="83"/>
        <v/>
      </c>
      <c r="DF44" s="55" t="str">
        <f t="shared" si="83"/>
        <v/>
      </c>
      <c r="DG44" s="55" t="str">
        <f t="shared" si="83"/>
        <v/>
      </c>
      <c r="DH44" s="55" t="str">
        <f t="shared" si="83"/>
        <v/>
      </c>
      <c r="DI44" s="55" t="str">
        <f t="shared" si="83"/>
        <v/>
      </c>
      <c r="DJ44" s="55" t="str">
        <f t="shared" si="83"/>
        <v/>
      </c>
      <c r="DK44" s="55" t="str">
        <f t="shared" si="60"/>
        <v/>
      </c>
      <c r="DL44" s="55" t="str">
        <f t="shared" si="60"/>
        <v/>
      </c>
      <c r="DM44" s="55" t="str">
        <f t="shared" si="60"/>
        <v/>
      </c>
      <c r="DN44" s="55" t="str">
        <f t="shared" si="60"/>
        <v/>
      </c>
      <c r="DO44" s="55" t="str">
        <f t="shared" si="60"/>
        <v/>
      </c>
      <c r="DP44" s="55" t="str">
        <f t="shared" si="60"/>
        <v/>
      </c>
      <c r="DQ44" s="55" t="str">
        <f t="shared" si="61"/>
        <v/>
      </c>
      <c r="DR44" s="55" t="str">
        <f t="shared" si="61"/>
        <v/>
      </c>
      <c r="DS44" s="55" t="str">
        <f t="shared" si="61"/>
        <v/>
      </c>
      <c r="DT44" s="106" t="str">
        <f t="shared" si="61"/>
        <v/>
      </c>
      <c r="DU44" s="54"/>
      <c r="DV44" s="25"/>
      <c r="DW44" s="61" t="str">
        <f t="shared" si="84"/>
        <v/>
      </c>
      <c r="DX44" s="50" t="str">
        <f t="shared" si="84"/>
        <v/>
      </c>
      <c r="DY44" s="50" t="str">
        <f t="shared" si="84"/>
        <v/>
      </c>
      <c r="DZ44" s="50" t="str">
        <f t="shared" si="84"/>
        <v/>
      </c>
      <c r="EA44" s="50" t="str">
        <f t="shared" si="84"/>
        <v/>
      </c>
      <c r="EB44" s="50" t="str">
        <f t="shared" si="84"/>
        <v/>
      </c>
      <c r="EC44" s="50" t="str">
        <f t="shared" si="84"/>
        <v/>
      </c>
      <c r="ED44" s="50" t="str">
        <f t="shared" si="84"/>
        <v/>
      </c>
      <c r="EE44" s="50" t="str">
        <f t="shared" si="84"/>
        <v/>
      </c>
      <c r="EF44" s="50" t="str">
        <f t="shared" si="84"/>
        <v/>
      </c>
      <c r="EG44" s="50" t="str">
        <f t="shared" si="84"/>
        <v/>
      </c>
      <c r="EH44" s="50" t="str">
        <f t="shared" si="84"/>
        <v/>
      </c>
      <c r="EI44" s="50" t="str">
        <f t="shared" si="84"/>
        <v/>
      </c>
      <c r="EJ44" s="50" t="str">
        <f t="shared" si="84"/>
        <v/>
      </c>
      <c r="EK44" s="50" t="str">
        <f t="shared" si="84"/>
        <v/>
      </c>
      <c r="EL44" s="50" t="str">
        <f t="shared" si="84"/>
        <v/>
      </c>
      <c r="EM44" s="50" t="str">
        <f t="shared" si="85"/>
        <v/>
      </c>
      <c r="EN44" s="50" t="str">
        <f t="shared" si="85"/>
        <v/>
      </c>
      <c r="EO44" s="50" t="str">
        <f t="shared" si="85"/>
        <v/>
      </c>
      <c r="EP44" s="50" t="str">
        <f t="shared" si="85"/>
        <v/>
      </c>
      <c r="EQ44" s="50" t="str">
        <f t="shared" si="85"/>
        <v/>
      </c>
      <c r="ER44" s="50" t="str">
        <f t="shared" si="85"/>
        <v/>
      </c>
      <c r="ES44" s="50" t="str">
        <f t="shared" si="85"/>
        <v/>
      </c>
      <c r="ET44" s="50" t="str">
        <f t="shared" si="85"/>
        <v/>
      </c>
      <c r="EU44" s="50" t="str">
        <f t="shared" si="85"/>
        <v/>
      </c>
      <c r="EV44" s="50" t="str">
        <f t="shared" si="85"/>
        <v/>
      </c>
      <c r="EW44" s="50" t="str">
        <f t="shared" si="85"/>
        <v/>
      </c>
      <c r="EX44" s="50" t="str">
        <f t="shared" si="85"/>
        <v/>
      </c>
      <c r="EY44" s="50" t="str">
        <f t="shared" si="85"/>
        <v/>
      </c>
      <c r="EZ44" s="50" t="str">
        <f t="shared" si="85"/>
        <v/>
      </c>
      <c r="FA44" s="50" t="str">
        <f t="shared" si="85"/>
        <v/>
      </c>
      <c r="FB44" s="50" t="str">
        <f t="shared" si="85"/>
        <v/>
      </c>
      <c r="FC44" s="50" t="str">
        <f t="shared" ref="FC44:GW45" si="90">IF($B44=FC$12,$O44,"")</f>
        <v/>
      </c>
      <c r="FD44" s="50" t="str">
        <f t="shared" si="90"/>
        <v/>
      </c>
      <c r="FE44" s="50" t="str">
        <f t="shared" si="90"/>
        <v/>
      </c>
      <c r="FF44" s="50" t="str">
        <f t="shared" si="90"/>
        <v/>
      </c>
      <c r="FG44" s="50" t="str">
        <f t="shared" si="90"/>
        <v/>
      </c>
      <c r="FH44" s="50" t="str">
        <f t="shared" si="90"/>
        <v/>
      </c>
      <c r="FI44" s="50" t="str">
        <f t="shared" si="90"/>
        <v/>
      </c>
      <c r="FJ44" s="50" t="str">
        <f t="shared" si="90"/>
        <v/>
      </c>
      <c r="FK44" s="50" t="str">
        <f t="shared" si="90"/>
        <v/>
      </c>
      <c r="FL44" s="50" t="str">
        <f t="shared" si="90"/>
        <v/>
      </c>
      <c r="FM44" s="50" t="str">
        <f t="shared" si="90"/>
        <v/>
      </c>
      <c r="FN44" s="50" t="str">
        <f t="shared" si="90"/>
        <v/>
      </c>
      <c r="FO44" s="50" t="str">
        <f t="shared" si="90"/>
        <v/>
      </c>
      <c r="FP44" s="50" t="str">
        <f t="shared" si="90"/>
        <v/>
      </c>
      <c r="FQ44" s="50" t="str">
        <f t="shared" si="90"/>
        <v/>
      </c>
      <c r="FR44" s="50" t="str">
        <f t="shared" si="90"/>
        <v/>
      </c>
      <c r="FS44" s="50" t="str">
        <f t="shared" si="90"/>
        <v/>
      </c>
      <c r="FT44" s="50" t="str">
        <f t="shared" si="90"/>
        <v/>
      </c>
      <c r="FU44" s="50" t="str">
        <f t="shared" si="90"/>
        <v/>
      </c>
      <c r="FV44" s="50" t="str">
        <f t="shared" si="90"/>
        <v/>
      </c>
      <c r="FW44" s="50" t="str">
        <f t="shared" si="90"/>
        <v/>
      </c>
      <c r="FX44" s="50" t="str">
        <f t="shared" si="90"/>
        <v/>
      </c>
      <c r="FY44" s="50" t="str">
        <f t="shared" si="90"/>
        <v/>
      </c>
      <c r="FZ44" s="50" t="str">
        <f t="shared" si="90"/>
        <v/>
      </c>
      <c r="GA44" s="50" t="str">
        <f t="shared" si="90"/>
        <v/>
      </c>
      <c r="GB44" s="50" t="str">
        <f t="shared" si="90"/>
        <v/>
      </c>
      <c r="GC44" s="50" t="str">
        <f t="shared" si="90"/>
        <v/>
      </c>
      <c r="GD44" s="50" t="str">
        <f t="shared" si="90"/>
        <v/>
      </c>
      <c r="GE44" s="50" t="str">
        <f t="shared" si="90"/>
        <v/>
      </c>
      <c r="GF44" s="50" t="str">
        <f t="shared" si="90"/>
        <v/>
      </c>
      <c r="GG44" s="50" t="str">
        <f t="shared" si="90"/>
        <v/>
      </c>
      <c r="GH44" s="50" t="str">
        <f t="shared" si="90"/>
        <v/>
      </c>
      <c r="GI44" s="50" t="str">
        <f t="shared" si="90"/>
        <v/>
      </c>
      <c r="GJ44" s="50" t="str">
        <f t="shared" si="90"/>
        <v/>
      </c>
      <c r="GK44" s="50" t="str">
        <f t="shared" si="90"/>
        <v/>
      </c>
      <c r="GL44" s="50" t="str">
        <f t="shared" si="90"/>
        <v/>
      </c>
      <c r="GM44" s="50" t="str">
        <f t="shared" si="90"/>
        <v/>
      </c>
      <c r="GN44" s="50" t="str">
        <f t="shared" si="90"/>
        <v/>
      </c>
      <c r="GO44" s="50" t="str">
        <f t="shared" si="90"/>
        <v/>
      </c>
      <c r="GP44" s="50" t="str">
        <f t="shared" si="90"/>
        <v/>
      </c>
      <c r="GQ44" s="50" t="str">
        <f t="shared" si="90"/>
        <v/>
      </c>
      <c r="GR44" s="50" t="str">
        <f t="shared" si="90"/>
        <v/>
      </c>
      <c r="GS44" s="50" t="str">
        <f t="shared" si="90"/>
        <v/>
      </c>
      <c r="GT44" s="50" t="str">
        <f t="shared" si="90"/>
        <v/>
      </c>
      <c r="GU44" s="50" t="str">
        <f t="shared" si="90"/>
        <v/>
      </c>
      <c r="GV44" s="50" t="str">
        <f t="shared" si="90"/>
        <v/>
      </c>
      <c r="GW44" s="50" t="str">
        <f t="shared" si="90"/>
        <v/>
      </c>
      <c r="GX44" s="50" t="str">
        <f t="shared" si="88"/>
        <v/>
      </c>
      <c r="GY44" s="50" t="str">
        <f t="shared" si="88"/>
        <v/>
      </c>
      <c r="GZ44" s="50" t="str">
        <f t="shared" si="88"/>
        <v/>
      </c>
      <c r="HA44" s="50" t="str">
        <f t="shared" si="88"/>
        <v/>
      </c>
      <c r="HB44" s="50" t="str">
        <f t="shared" si="88"/>
        <v/>
      </c>
      <c r="HC44" s="50" t="str">
        <f t="shared" si="88"/>
        <v/>
      </c>
      <c r="HD44" s="50" t="str">
        <f t="shared" si="88"/>
        <v/>
      </c>
      <c r="HE44" s="50" t="str">
        <f t="shared" si="88"/>
        <v/>
      </c>
      <c r="HF44" s="50" t="str">
        <f t="shared" si="88"/>
        <v/>
      </c>
      <c r="HG44" s="50" t="str">
        <f t="shared" si="88"/>
        <v/>
      </c>
      <c r="HH44" s="50" t="str">
        <f t="shared" si="88"/>
        <v/>
      </c>
      <c r="HI44" s="50" t="str">
        <f t="shared" si="88"/>
        <v/>
      </c>
      <c r="HJ44" s="50" t="str">
        <f t="shared" si="88"/>
        <v/>
      </c>
      <c r="HK44" s="50" t="str">
        <f t="shared" si="88"/>
        <v/>
      </c>
      <c r="HL44" s="50" t="str">
        <f t="shared" si="88"/>
        <v/>
      </c>
      <c r="HM44" s="50" t="str">
        <f t="shared" ref="HM44" si="91">IF($B44=HM$12,$O44,"")</f>
        <v/>
      </c>
      <c r="HN44" s="50" t="str">
        <f t="shared" si="65"/>
        <v/>
      </c>
      <c r="HO44" s="50" t="str">
        <f t="shared" si="65"/>
        <v/>
      </c>
      <c r="HP44" s="50" t="str">
        <f t="shared" si="65"/>
        <v/>
      </c>
      <c r="HQ44" s="50" t="str">
        <f t="shared" si="65"/>
        <v/>
      </c>
      <c r="HR44" s="112" t="str">
        <f t="shared" si="65"/>
        <v/>
      </c>
    </row>
    <row r="45" spans="1:226" ht="11.1" customHeight="1" x14ac:dyDescent="0.25">
      <c r="A45" s="26"/>
      <c r="B45" s="27"/>
      <c r="C45" s="28" t="str">
        <f>IF(A45=0,"",VLOOKUP(A45,[2]CO!$A$3:$F$5327,2,0))</f>
        <v/>
      </c>
      <c r="D45" s="29"/>
      <c r="E45" s="29"/>
      <c r="F45" s="29"/>
      <c r="G45" s="30" t="str">
        <f>IF(A45=0,"",VLOOKUP(A45,[2]CO!$A$3:$F$5327,3,0))</f>
        <v/>
      </c>
      <c r="H45" s="95"/>
      <c r="I45" s="31"/>
      <c r="J45" s="31"/>
      <c r="K45" s="31"/>
      <c r="L45" s="31"/>
      <c r="M45" s="32" t="str">
        <f t="shared" si="73"/>
        <v/>
      </c>
      <c r="N45" s="32" t="str">
        <f>IF(B45=0,"",IF(H45="M",HLOOKUP(B45,$Y$12:$DT$13,2),IF(A45=0,"",VLOOKUP(A45,[2]CO!$A$3:$F$5327,4,0))))</f>
        <v/>
      </c>
      <c r="O45" s="32" t="str">
        <f t="shared" si="74"/>
        <v/>
      </c>
      <c r="P45" s="33"/>
      <c r="Q45" s="34" t="str">
        <f t="shared" si="75"/>
        <v/>
      </c>
      <c r="R45" s="35" t="str">
        <f t="shared" si="66"/>
        <v/>
      </c>
      <c r="T45" s="53" t="str">
        <f>IF(A45=0,"",VLOOKUP(A45,[2]CO!$A$3:$F$5318,5,0))</f>
        <v/>
      </c>
      <c r="U45" s="54">
        <f t="shared" si="76"/>
        <v>0</v>
      </c>
      <c r="V45" s="24"/>
      <c r="W45" s="25"/>
      <c r="X45" s="25"/>
      <c r="Y45" s="64" t="str">
        <f t="shared" si="58"/>
        <v/>
      </c>
      <c r="Z45" s="55" t="str">
        <f t="shared" si="58"/>
        <v/>
      </c>
      <c r="AA45" s="55" t="str">
        <f t="shared" si="58"/>
        <v/>
      </c>
      <c r="AB45" s="55" t="str">
        <f t="shared" si="58"/>
        <v/>
      </c>
      <c r="AC45" s="55" t="str">
        <f t="shared" si="58"/>
        <v/>
      </c>
      <c r="AD45" s="55" t="str">
        <f t="shared" si="58"/>
        <v/>
      </c>
      <c r="AE45" s="55" t="str">
        <f t="shared" si="58"/>
        <v/>
      </c>
      <c r="AF45" s="55" t="str">
        <f t="shared" si="58"/>
        <v/>
      </c>
      <c r="AG45" s="55" t="str">
        <f t="shared" si="58"/>
        <v/>
      </c>
      <c r="AH45" s="55" t="str">
        <f t="shared" si="58"/>
        <v/>
      </c>
      <c r="AI45" s="55" t="str">
        <f t="shared" si="58"/>
        <v/>
      </c>
      <c r="AJ45" s="55" t="str">
        <f t="shared" si="58"/>
        <v/>
      </c>
      <c r="AK45" s="55" t="str">
        <f t="shared" si="58"/>
        <v/>
      </c>
      <c r="AL45" s="55" t="str">
        <f t="shared" si="58"/>
        <v/>
      </c>
      <c r="AM45" s="55" t="str">
        <f t="shared" si="58"/>
        <v/>
      </c>
      <c r="AN45" s="55" t="str">
        <f t="shared" si="58"/>
        <v/>
      </c>
      <c r="AO45" s="55" t="str">
        <f t="shared" si="69"/>
        <v/>
      </c>
      <c r="AP45" s="55" t="str">
        <f t="shared" si="69"/>
        <v/>
      </c>
      <c r="AQ45" s="55" t="str">
        <f t="shared" si="69"/>
        <v/>
      </c>
      <c r="AR45" s="55" t="str">
        <f t="shared" si="69"/>
        <v/>
      </c>
      <c r="AS45" s="55" t="str">
        <f t="shared" si="69"/>
        <v/>
      </c>
      <c r="AT45" s="55" t="str">
        <f t="shared" si="69"/>
        <v/>
      </c>
      <c r="AU45" s="55" t="str">
        <f t="shared" si="69"/>
        <v/>
      </c>
      <c r="AV45" s="55" t="str">
        <f t="shared" si="69"/>
        <v/>
      </c>
      <c r="AW45" s="55" t="str">
        <f t="shared" si="69"/>
        <v/>
      </c>
      <c r="AX45" s="55" t="str">
        <f t="shared" si="69"/>
        <v/>
      </c>
      <c r="AY45" s="55" t="str">
        <f t="shared" si="69"/>
        <v/>
      </c>
      <c r="AZ45" s="55" t="str">
        <f t="shared" si="69"/>
        <v/>
      </c>
      <c r="BA45" s="55" t="str">
        <f t="shared" si="69"/>
        <v/>
      </c>
      <c r="BB45" s="55" t="str">
        <f t="shared" si="69"/>
        <v/>
      </c>
      <c r="BC45" s="55" t="str">
        <f t="shared" si="69"/>
        <v/>
      </c>
      <c r="BD45" s="55" t="str">
        <f t="shared" si="69"/>
        <v/>
      </c>
      <c r="BE45" s="55" t="str">
        <f t="shared" si="89"/>
        <v/>
      </c>
      <c r="BF45" s="55" t="str">
        <f t="shared" si="89"/>
        <v/>
      </c>
      <c r="BG45" s="55" t="str">
        <f t="shared" si="89"/>
        <v/>
      </c>
      <c r="BH45" s="55" t="str">
        <f t="shared" si="89"/>
        <v/>
      </c>
      <c r="BI45" s="55" t="str">
        <f t="shared" si="89"/>
        <v/>
      </c>
      <c r="BJ45" s="55" t="str">
        <f t="shared" si="89"/>
        <v/>
      </c>
      <c r="BK45" s="55" t="str">
        <f t="shared" si="89"/>
        <v/>
      </c>
      <c r="BL45" s="55" t="str">
        <f t="shared" si="89"/>
        <v/>
      </c>
      <c r="BM45" s="55" t="str">
        <f t="shared" si="89"/>
        <v/>
      </c>
      <c r="BN45" s="55" t="str">
        <f t="shared" si="89"/>
        <v/>
      </c>
      <c r="BO45" s="55" t="str">
        <f t="shared" si="89"/>
        <v/>
      </c>
      <c r="BP45" s="55" t="str">
        <f t="shared" si="89"/>
        <v/>
      </c>
      <c r="BQ45" s="55" t="str">
        <f t="shared" si="89"/>
        <v/>
      </c>
      <c r="BR45" s="55" t="str">
        <f t="shared" si="89"/>
        <v/>
      </c>
      <c r="BS45" s="55" t="str">
        <f t="shared" si="89"/>
        <v/>
      </c>
      <c r="BT45" s="55" t="str">
        <f t="shared" si="89"/>
        <v/>
      </c>
      <c r="BU45" s="55" t="str">
        <f t="shared" si="89"/>
        <v/>
      </c>
      <c r="BV45" s="55" t="str">
        <f t="shared" si="89"/>
        <v/>
      </c>
      <c r="BW45" s="55" t="str">
        <f t="shared" si="89"/>
        <v/>
      </c>
      <c r="BX45" s="55" t="str">
        <f t="shared" si="89"/>
        <v/>
      </c>
      <c r="BY45" s="55" t="str">
        <f t="shared" si="89"/>
        <v/>
      </c>
      <c r="BZ45" s="55" t="str">
        <f t="shared" si="89"/>
        <v/>
      </c>
      <c r="CA45" s="55" t="str">
        <f t="shared" si="89"/>
        <v/>
      </c>
      <c r="CB45" s="55" t="str">
        <f t="shared" si="89"/>
        <v/>
      </c>
      <c r="CC45" s="55" t="str">
        <f t="shared" si="89"/>
        <v/>
      </c>
      <c r="CD45" s="55" t="str">
        <f t="shared" si="89"/>
        <v/>
      </c>
      <c r="CE45" s="55" t="str">
        <f t="shared" si="89"/>
        <v/>
      </c>
      <c r="CF45" s="55" t="str">
        <f t="shared" si="89"/>
        <v/>
      </c>
      <c r="CG45" s="55" t="str">
        <f t="shared" si="89"/>
        <v/>
      </c>
      <c r="CH45" s="55" t="str">
        <f t="shared" si="89"/>
        <v/>
      </c>
      <c r="CI45" s="55" t="str">
        <f t="shared" si="89"/>
        <v/>
      </c>
      <c r="CJ45" s="55" t="str">
        <f t="shared" si="89"/>
        <v/>
      </c>
      <c r="CK45" s="55" t="str">
        <f t="shared" si="89"/>
        <v/>
      </c>
      <c r="CL45" s="55" t="str">
        <f t="shared" si="89"/>
        <v/>
      </c>
      <c r="CM45" s="55" t="str">
        <f t="shared" si="89"/>
        <v/>
      </c>
      <c r="CN45" s="55" t="str">
        <f t="shared" si="89"/>
        <v/>
      </c>
      <c r="CO45" s="55" t="str">
        <f t="shared" si="89"/>
        <v/>
      </c>
      <c r="CP45" s="55" t="str">
        <f t="shared" si="89"/>
        <v/>
      </c>
      <c r="CQ45" s="55" t="str">
        <f t="shared" si="89"/>
        <v/>
      </c>
      <c r="CR45" s="55" t="str">
        <f t="shared" si="89"/>
        <v/>
      </c>
      <c r="CS45" s="55" t="str">
        <f t="shared" si="89"/>
        <v/>
      </c>
      <c r="CT45" s="55" t="str">
        <f t="shared" si="89"/>
        <v/>
      </c>
      <c r="CU45" s="55" t="str">
        <f t="shared" si="89"/>
        <v/>
      </c>
      <c r="CV45" s="55" t="str">
        <f t="shared" si="89"/>
        <v/>
      </c>
      <c r="CW45" s="55" t="str">
        <f t="shared" si="89"/>
        <v/>
      </c>
      <c r="CX45" s="55" t="str">
        <f t="shared" si="89"/>
        <v/>
      </c>
      <c r="CY45" s="55" t="str">
        <f t="shared" si="89"/>
        <v/>
      </c>
      <c r="CZ45" s="55" t="str">
        <f t="shared" si="67"/>
        <v/>
      </c>
      <c r="DA45" s="55" t="str">
        <f t="shared" si="67"/>
        <v/>
      </c>
      <c r="DB45" s="55" t="str">
        <f t="shared" si="67"/>
        <v/>
      </c>
      <c r="DC45" s="55" t="str">
        <f t="shared" si="67"/>
        <v/>
      </c>
      <c r="DD45" s="55" t="str">
        <f t="shared" si="67"/>
        <v/>
      </c>
      <c r="DE45" s="55" t="str">
        <f t="shared" si="67"/>
        <v/>
      </c>
      <c r="DF45" s="55" t="str">
        <f t="shared" si="67"/>
        <v/>
      </c>
      <c r="DG45" s="55" t="str">
        <f t="shared" si="67"/>
        <v/>
      </c>
      <c r="DH45" s="55" t="str">
        <f t="shared" si="67"/>
        <v/>
      </c>
      <c r="DI45" s="55" t="str">
        <f t="shared" si="67"/>
        <v/>
      </c>
      <c r="DJ45" s="55" t="str">
        <f t="shared" si="67"/>
        <v/>
      </c>
      <c r="DK45" s="55" t="str">
        <f t="shared" si="60"/>
        <v/>
      </c>
      <c r="DL45" s="55" t="str">
        <f t="shared" si="60"/>
        <v/>
      </c>
      <c r="DM45" s="55" t="str">
        <f t="shared" si="60"/>
        <v/>
      </c>
      <c r="DN45" s="55" t="str">
        <f t="shared" si="60"/>
        <v/>
      </c>
      <c r="DO45" s="55" t="str">
        <f t="shared" si="60"/>
        <v/>
      </c>
      <c r="DP45" s="55" t="str">
        <f t="shared" si="60"/>
        <v/>
      </c>
      <c r="DQ45" s="55" t="str">
        <f t="shared" si="61"/>
        <v/>
      </c>
      <c r="DR45" s="55" t="str">
        <f t="shared" si="61"/>
        <v/>
      </c>
      <c r="DS45" s="55" t="str">
        <f t="shared" si="61"/>
        <v/>
      </c>
      <c r="DT45" s="106" t="str">
        <f t="shared" si="61"/>
        <v/>
      </c>
      <c r="DU45" s="54"/>
      <c r="DV45" s="25"/>
      <c r="DW45" s="61" t="str">
        <f t="shared" si="62"/>
        <v/>
      </c>
      <c r="DX45" s="50" t="str">
        <f t="shared" si="62"/>
        <v/>
      </c>
      <c r="DY45" s="50" t="str">
        <f t="shared" si="62"/>
        <v/>
      </c>
      <c r="DZ45" s="50" t="str">
        <f t="shared" si="62"/>
        <v/>
      </c>
      <c r="EA45" s="50" t="str">
        <f t="shared" si="62"/>
        <v/>
      </c>
      <c r="EB45" s="50" t="str">
        <f t="shared" si="62"/>
        <v/>
      </c>
      <c r="EC45" s="50" t="str">
        <f t="shared" si="62"/>
        <v/>
      </c>
      <c r="ED45" s="50" t="str">
        <f t="shared" si="62"/>
        <v/>
      </c>
      <c r="EE45" s="50" t="str">
        <f t="shared" si="62"/>
        <v/>
      </c>
      <c r="EF45" s="50" t="str">
        <f t="shared" si="62"/>
        <v/>
      </c>
      <c r="EG45" s="50" t="str">
        <f t="shared" si="62"/>
        <v/>
      </c>
      <c r="EH45" s="50" t="str">
        <f t="shared" si="62"/>
        <v/>
      </c>
      <c r="EI45" s="50" t="str">
        <f t="shared" si="62"/>
        <v/>
      </c>
      <c r="EJ45" s="50" t="str">
        <f t="shared" si="62"/>
        <v/>
      </c>
      <c r="EK45" s="50" t="str">
        <f t="shared" si="62"/>
        <v/>
      </c>
      <c r="EL45" s="50" t="str">
        <f t="shared" si="62"/>
        <v/>
      </c>
      <c r="EM45" s="50" t="str">
        <f t="shared" si="71"/>
        <v/>
      </c>
      <c r="EN45" s="50" t="str">
        <f t="shared" si="71"/>
        <v/>
      </c>
      <c r="EO45" s="50" t="str">
        <f t="shared" si="71"/>
        <v/>
      </c>
      <c r="EP45" s="50" t="str">
        <f t="shared" si="71"/>
        <v/>
      </c>
      <c r="EQ45" s="50" t="str">
        <f t="shared" si="71"/>
        <v/>
      </c>
      <c r="ER45" s="50" t="str">
        <f t="shared" si="71"/>
        <v/>
      </c>
      <c r="ES45" s="50" t="str">
        <f t="shared" si="71"/>
        <v/>
      </c>
      <c r="ET45" s="50" t="str">
        <f t="shared" si="71"/>
        <v/>
      </c>
      <c r="EU45" s="50" t="str">
        <f t="shared" si="71"/>
        <v/>
      </c>
      <c r="EV45" s="50" t="str">
        <f t="shared" si="71"/>
        <v/>
      </c>
      <c r="EW45" s="50" t="str">
        <f t="shared" si="71"/>
        <v/>
      </c>
      <c r="EX45" s="50" t="str">
        <f t="shared" si="71"/>
        <v/>
      </c>
      <c r="EY45" s="50" t="str">
        <f t="shared" si="71"/>
        <v/>
      </c>
      <c r="EZ45" s="50" t="str">
        <f t="shared" si="71"/>
        <v/>
      </c>
      <c r="FA45" s="50" t="str">
        <f t="shared" si="71"/>
        <v/>
      </c>
      <c r="FB45" s="50" t="str">
        <f t="shared" si="71"/>
        <v/>
      </c>
      <c r="FC45" s="50" t="str">
        <f t="shared" si="90"/>
        <v/>
      </c>
      <c r="FD45" s="50" t="str">
        <f t="shared" si="90"/>
        <v/>
      </c>
      <c r="FE45" s="50" t="str">
        <f t="shared" si="90"/>
        <v/>
      </c>
      <c r="FF45" s="50" t="str">
        <f t="shared" si="90"/>
        <v/>
      </c>
      <c r="FG45" s="50" t="str">
        <f t="shared" si="90"/>
        <v/>
      </c>
      <c r="FH45" s="50" t="str">
        <f t="shared" si="90"/>
        <v/>
      </c>
      <c r="FI45" s="50" t="str">
        <f t="shared" si="90"/>
        <v/>
      </c>
      <c r="FJ45" s="50" t="str">
        <f t="shared" si="90"/>
        <v/>
      </c>
      <c r="FK45" s="50" t="str">
        <f t="shared" si="90"/>
        <v/>
      </c>
      <c r="FL45" s="50" t="str">
        <f t="shared" si="90"/>
        <v/>
      </c>
      <c r="FM45" s="50" t="str">
        <f t="shared" si="90"/>
        <v/>
      </c>
      <c r="FN45" s="50" t="str">
        <f t="shared" si="90"/>
        <v/>
      </c>
      <c r="FO45" s="50" t="str">
        <f t="shared" si="90"/>
        <v/>
      </c>
      <c r="FP45" s="50" t="str">
        <f t="shared" si="90"/>
        <v/>
      </c>
      <c r="FQ45" s="50" t="str">
        <f t="shared" si="90"/>
        <v/>
      </c>
      <c r="FR45" s="50" t="str">
        <f t="shared" si="90"/>
        <v/>
      </c>
      <c r="FS45" s="50" t="str">
        <f t="shared" si="90"/>
        <v/>
      </c>
      <c r="FT45" s="50" t="str">
        <f t="shared" si="90"/>
        <v/>
      </c>
      <c r="FU45" s="50" t="str">
        <f t="shared" si="90"/>
        <v/>
      </c>
      <c r="FV45" s="50" t="str">
        <f t="shared" si="90"/>
        <v/>
      </c>
      <c r="FW45" s="50" t="str">
        <f t="shared" si="90"/>
        <v/>
      </c>
      <c r="FX45" s="50" t="str">
        <f t="shared" si="90"/>
        <v/>
      </c>
      <c r="FY45" s="50" t="str">
        <f t="shared" si="90"/>
        <v/>
      </c>
      <c r="FZ45" s="50" t="str">
        <f t="shared" si="90"/>
        <v/>
      </c>
      <c r="GA45" s="50" t="str">
        <f t="shared" si="90"/>
        <v/>
      </c>
      <c r="GB45" s="50" t="str">
        <f t="shared" si="90"/>
        <v/>
      </c>
      <c r="GC45" s="50" t="str">
        <f t="shared" si="90"/>
        <v/>
      </c>
      <c r="GD45" s="50" t="str">
        <f t="shared" si="90"/>
        <v/>
      </c>
      <c r="GE45" s="50" t="str">
        <f t="shared" si="90"/>
        <v/>
      </c>
      <c r="GF45" s="50" t="str">
        <f t="shared" si="90"/>
        <v/>
      </c>
      <c r="GG45" s="50" t="str">
        <f t="shared" si="90"/>
        <v/>
      </c>
      <c r="GH45" s="50" t="str">
        <f t="shared" si="90"/>
        <v/>
      </c>
      <c r="GI45" s="50" t="str">
        <f t="shared" si="90"/>
        <v/>
      </c>
      <c r="GJ45" s="50" t="str">
        <f t="shared" si="90"/>
        <v/>
      </c>
      <c r="GK45" s="50" t="str">
        <f t="shared" si="90"/>
        <v/>
      </c>
      <c r="GL45" s="50" t="str">
        <f t="shared" si="90"/>
        <v/>
      </c>
      <c r="GM45" s="50" t="str">
        <f t="shared" si="90"/>
        <v/>
      </c>
      <c r="GN45" s="50" t="str">
        <f t="shared" si="90"/>
        <v/>
      </c>
      <c r="GO45" s="50" t="str">
        <f t="shared" si="90"/>
        <v/>
      </c>
      <c r="GP45" s="50" t="str">
        <f t="shared" si="90"/>
        <v/>
      </c>
      <c r="GQ45" s="50" t="str">
        <f t="shared" si="90"/>
        <v/>
      </c>
      <c r="GR45" s="50" t="str">
        <f t="shared" si="90"/>
        <v/>
      </c>
      <c r="GS45" s="50" t="str">
        <f t="shared" si="90"/>
        <v/>
      </c>
      <c r="GT45" s="50" t="str">
        <f t="shared" si="90"/>
        <v/>
      </c>
      <c r="GU45" s="50" t="str">
        <f t="shared" si="90"/>
        <v/>
      </c>
      <c r="GV45" s="50" t="str">
        <f t="shared" si="90"/>
        <v/>
      </c>
      <c r="GW45" s="50" t="str">
        <f t="shared" si="90"/>
        <v/>
      </c>
      <c r="GX45" s="50" t="str">
        <f t="shared" si="68"/>
        <v/>
      </c>
      <c r="GY45" s="50" t="str">
        <f t="shared" si="68"/>
        <v/>
      </c>
      <c r="GZ45" s="50" t="str">
        <f t="shared" si="68"/>
        <v/>
      </c>
      <c r="HA45" s="50" t="str">
        <f t="shared" si="68"/>
        <v/>
      </c>
      <c r="HB45" s="50" t="str">
        <f t="shared" si="68"/>
        <v/>
      </c>
      <c r="HC45" s="50" t="str">
        <f t="shared" si="68"/>
        <v/>
      </c>
      <c r="HD45" s="50" t="str">
        <f t="shared" si="68"/>
        <v/>
      </c>
      <c r="HE45" s="50" t="str">
        <f t="shared" si="68"/>
        <v/>
      </c>
      <c r="HF45" s="50" t="str">
        <f t="shared" si="68"/>
        <v/>
      </c>
      <c r="HG45" s="50" t="str">
        <f t="shared" si="68"/>
        <v/>
      </c>
      <c r="HH45" s="50" t="str">
        <f t="shared" si="68"/>
        <v/>
      </c>
      <c r="HI45" s="50" t="str">
        <f t="shared" si="68"/>
        <v/>
      </c>
      <c r="HJ45" s="50" t="str">
        <f t="shared" si="68"/>
        <v/>
      </c>
      <c r="HK45" s="50" t="str">
        <f t="shared" si="68"/>
        <v/>
      </c>
      <c r="HL45" s="50" t="str">
        <f t="shared" si="68"/>
        <v/>
      </c>
      <c r="HM45" s="50" t="str">
        <f t="shared" si="68"/>
        <v/>
      </c>
      <c r="HN45" s="50" t="str">
        <f t="shared" si="65"/>
        <v/>
      </c>
      <c r="HO45" s="50" t="str">
        <f t="shared" si="65"/>
        <v/>
      </c>
      <c r="HP45" s="50" t="str">
        <f t="shared" si="65"/>
        <v/>
      </c>
      <c r="HQ45" s="50" t="str">
        <f t="shared" si="65"/>
        <v/>
      </c>
      <c r="HR45" s="112" t="str">
        <f t="shared" si="65"/>
        <v/>
      </c>
    </row>
    <row r="46" spans="1:226" ht="11.1" customHeight="1" x14ac:dyDescent="0.25">
      <c r="A46" s="26"/>
      <c r="B46" s="27"/>
      <c r="C46" s="28" t="str">
        <f>IF(A46=0,"",VLOOKUP(A46,[2]CO!$A$3:$F$5327,2,0))</f>
        <v/>
      </c>
      <c r="D46" s="29"/>
      <c r="E46" s="29"/>
      <c r="F46" s="29"/>
      <c r="G46" s="30" t="str">
        <f>IF(A46=0,"",VLOOKUP(A46,[2]CO!$A$3:$F$5327,3,0))</f>
        <v/>
      </c>
      <c r="H46" s="95"/>
      <c r="I46" s="31"/>
      <c r="J46" s="31"/>
      <c r="K46" s="31"/>
      <c r="L46" s="31"/>
      <c r="M46" s="32" t="str">
        <f t="shared" si="55"/>
        <v/>
      </c>
      <c r="N46" s="32" t="str">
        <f>IF(B46=0,"",IF(H46="M",HLOOKUP(B46,$Y$12:$DT$13,2),IF(A46=0,"",VLOOKUP(A46,[2]CO!$A$3:$F$5327,4,0))))</f>
        <v/>
      </c>
      <c r="O46" s="32" t="str">
        <f t="shared" si="16"/>
        <v/>
      </c>
      <c r="P46" s="33"/>
      <c r="Q46" s="34" t="str">
        <f t="shared" si="56"/>
        <v/>
      </c>
      <c r="R46" s="35" t="str">
        <f t="shared" si="66"/>
        <v/>
      </c>
      <c r="T46" s="53" t="str">
        <f>IF(A46=0,"",VLOOKUP(A46,[2]CO!$A$3:$F$5318,5,0))</f>
        <v/>
      </c>
      <c r="U46" s="54">
        <f t="shared" si="57"/>
        <v>0</v>
      </c>
      <c r="V46" s="24"/>
      <c r="W46" s="25"/>
      <c r="X46" s="25"/>
      <c r="Y46" s="64" t="str">
        <f t="shared" si="58"/>
        <v/>
      </c>
      <c r="Z46" s="55" t="str">
        <f t="shared" si="58"/>
        <v/>
      </c>
      <c r="AA46" s="55" t="str">
        <f t="shared" si="58"/>
        <v/>
      </c>
      <c r="AB46" s="55" t="str">
        <f t="shared" si="58"/>
        <v/>
      </c>
      <c r="AC46" s="55" t="str">
        <f t="shared" si="58"/>
        <v/>
      </c>
      <c r="AD46" s="55" t="str">
        <f t="shared" si="58"/>
        <v/>
      </c>
      <c r="AE46" s="55" t="str">
        <f t="shared" si="58"/>
        <v/>
      </c>
      <c r="AF46" s="55" t="str">
        <f t="shared" si="58"/>
        <v/>
      </c>
      <c r="AG46" s="55" t="str">
        <f t="shared" si="58"/>
        <v/>
      </c>
      <c r="AH46" s="55" t="str">
        <f t="shared" si="58"/>
        <v/>
      </c>
      <c r="AI46" s="55" t="str">
        <f t="shared" si="58"/>
        <v/>
      </c>
      <c r="AJ46" s="55" t="str">
        <f t="shared" si="58"/>
        <v/>
      </c>
      <c r="AK46" s="55" t="str">
        <f t="shared" si="58"/>
        <v/>
      </c>
      <c r="AL46" s="55" t="str">
        <f t="shared" si="58"/>
        <v/>
      </c>
      <c r="AM46" s="55" t="str">
        <f t="shared" si="58"/>
        <v/>
      </c>
      <c r="AN46" s="55" t="str">
        <f t="shared" si="58"/>
        <v/>
      </c>
      <c r="AO46" s="55" t="str">
        <f t="shared" si="69"/>
        <v/>
      </c>
      <c r="AP46" s="55" t="str">
        <f t="shared" si="69"/>
        <v/>
      </c>
      <c r="AQ46" s="55" t="str">
        <f t="shared" si="69"/>
        <v/>
      </c>
      <c r="AR46" s="55" t="str">
        <f t="shared" si="69"/>
        <v/>
      </c>
      <c r="AS46" s="55" t="str">
        <f t="shared" si="69"/>
        <v/>
      </c>
      <c r="AT46" s="55" t="str">
        <f t="shared" si="69"/>
        <v/>
      </c>
      <c r="AU46" s="55" t="str">
        <f t="shared" si="69"/>
        <v/>
      </c>
      <c r="AV46" s="55" t="str">
        <f t="shared" si="69"/>
        <v/>
      </c>
      <c r="AW46" s="55" t="str">
        <f t="shared" si="69"/>
        <v/>
      </c>
      <c r="AX46" s="55" t="str">
        <f t="shared" si="69"/>
        <v/>
      </c>
      <c r="AY46" s="55" t="str">
        <f t="shared" si="69"/>
        <v/>
      </c>
      <c r="AZ46" s="55" t="str">
        <f t="shared" si="69"/>
        <v/>
      </c>
      <c r="BA46" s="55" t="str">
        <f t="shared" si="69"/>
        <v/>
      </c>
      <c r="BB46" s="55" t="str">
        <f t="shared" si="69"/>
        <v/>
      </c>
      <c r="BC46" s="55" t="str">
        <f t="shared" si="69"/>
        <v/>
      </c>
      <c r="BD46" s="55" t="str">
        <f t="shared" si="69"/>
        <v/>
      </c>
      <c r="BE46" s="55" t="str">
        <f t="shared" si="70"/>
        <v/>
      </c>
      <c r="BF46" s="55" t="str">
        <f t="shared" si="70"/>
        <v/>
      </c>
      <c r="BG46" s="55" t="str">
        <f t="shared" si="70"/>
        <v/>
      </c>
      <c r="BH46" s="55" t="str">
        <f t="shared" si="70"/>
        <v/>
      </c>
      <c r="BI46" s="55" t="str">
        <f t="shared" si="70"/>
        <v/>
      </c>
      <c r="BJ46" s="55" t="str">
        <f t="shared" si="70"/>
        <v/>
      </c>
      <c r="BK46" s="55" t="str">
        <f t="shared" si="70"/>
        <v/>
      </c>
      <c r="BL46" s="55" t="str">
        <f t="shared" si="70"/>
        <v/>
      </c>
      <c r="BM46" s="55" t="str">
        <f t="shared" si="70"/>
        <v/>
      </c>
      <c r="BN46" s="55" t="str">
        <f t="shared" si="70"/>
        <v/>
      </c>
      <c r="BO46" s="55" t="str">
        <f t="shared" si="70"/>
        <v/>
      </c>
      <c r="BP46" s="55" t="str">
        <f t="shared" si="70"/>
        <v/>
      </c>
      <c r="BQ46" s="55" t="str">
        <f t="shared" si="70"/>
        <v/>
      </c>
      <c r="BR46" s="55" t="str">
        <f t="shared" si="70"/>
        <v/>
      </c>
      <c r="BS46" s="55" t="str">
        <f t="shared" si="70"/>
        <v/>
      </c>
      <c r="BT46" s="55" t="str">
        <f t="shared" si="70"/>
        <v/>
      </c>
      <c r="BU46" s="55" t="str">
        <f t="shared" si="70"/>
        <v/>
      </c>
      <c r="BV46" s="55" t="str">
        <f t="shared" si="70"/>
        <v/>
      </c>
      <c r="BW46" s="55" t="str">
        <f t="shared" si="70"/>
        <v/>
      </c>
      <c r="BX46" s="55" t="str">
        <f t="shared" si="70"/>
        <v/>
      </c>
      <c r="BY46" s="55" t="str">
        <f t="shared" si="70"/>
        <v/>
      </c>
      <c r="BZ46" s="55" t="str">
        <f t="shared" si="70"/>
        <v/>
      </c>
      <c r="CA46" s="55" t="str">
        <f t="shared" si="70"/>
        <v/>
      </c>
      <c r="CB46" s="55" t="str">
        <f t="shared" si="70"/>
        <v/>
      </c>
      <c r="CC46" s="55" t="str">
        <f t="shared" si="70"/>
        <v/>
      </c>
      <c r="CD46" s="55" t="str">
        <f t="shared" si="70"/>
        <v/>
      </c>
      <c r="CE46" s="55" t="str">
        <f t="shared" si="70"/>
        <v/>
      </c>
      <c r="CF46" s="55" t="str">
        <f t="shared" si="70"/>
        <v/>
      </c>
      <c r="CG46" s="55" t="str">
        <f t="shared" si="70"/>
        <v/>
      </c>
      <c r="CH46" s="55" t="str">
        <f t="shared" si="70"/>
        <v/>
      </c>
      <c r="CI46" s="55" t="str">
        <f t="shared" si="70"/>
        <v/>
      </c>
      <c r="CJ46" s="55" t="str">
        <f t="shared" si="70"/>
        <v/>
      </c>
      <c r="CK46" s="55" t="str">
        <f t="shared" si="70"/>
        <v/>
      </c>
      <c r="CL46" s="55" t="str">
        <f t="shared" si="70"/>
        <v/>
      </c>
      <c r="CM46" s="55" t="str">
        <f t="shared" si="70"/>
        <v/>
      </c>
      <c r="CN46" s="55" t="str">
        <f t="shared" si="70"/>
        <v/>
      </c>
      <c r="CO46" s="55" t="str">
        <f t="shared" si="70"/>
        <v/>
      </c>
      <c r="CP46" s="55" t="str">
        <f t="shared" si="70"/>
        <v/>
      </c>
      <c r="CQ46" s="55" t="str">
        <f t="shared" si="70"/>
        <v/>
      </c>
      <c r="CR46" s="55" t="str">
        <f t="shared" si="70"/>
        <v/>
      </c>
      <c r="CS46" s="55" t="str">
        <f t="shared" si="70"/>
        <v/>
      </c>
      <c r="CT46" s="55" t="str">
        <f t="shared" si="70"/>
        <v/>
      </c>
      <c r="CU46" s="55" t="str">
        <f t="shared" si="70"/>
        <v/>
      </c>
      <c r="CV46" s="55" t="str">
        <f t="shared" si="70"/>
        <v/>
      </c>
      <c r="CW46" s="55" t="str">
        <f t="shared" si="70"/>
        <v/>
      </c>
      <c r="CX46" s="55" t="str">
        <f t="shared" si="70"/>
        <v/>
      </c>
      <c r="CY46" s="55" t="str">
        <f t="shared" si="70"/>
        <v/>
      </c>
      <c r="CZ46" s="55" t="str">
        <f t="shared" si="67"/>
        <v/>
      </c>
      <c r="DA46" s="55" t="str">
        <f t="shared" si="67"/>
        <v/>
      </c>
      <c r="DB46" s="55" t="str">
        <f t="shared" si="67"/>
        <v/>
      </c>
      <c r="DC46" s="55" t="str">
        <f t="shared" si="67"/>
        <v/>
      </c>
      <c r="DD46" s="55" t="str">
        <f t="shared" si="67"/>
        <v/>
      </c>
      <c r="DE46" s="55" t="str">
        <f t="shared" si="67"/>
        <v/>
      </c>
      <c r="DF46" s="55" t="str">
        <f t="shared" si="67"/>
        <v/>
      </c>
      <c r="DG46" s="55" t="str">
        <f t="shared" si="67"/>
        <v/>
      </c>
      <c r="DH46" s="55" t="str">
        <f t="shared" si="67"/>
        <v/>
      </c>
      <c r="DI46" s="55" t="str">
        <f t="shared" si="67"/>
        <v/>
      </c>
      <c r="DJ46" s="55" t="str">
        <f t="shared" si="67"/>
        <v/>
      </c>
      <c r="DK46" s="55" t="str">
        <f t="shared" si="60"/>
        <v/>
      </c>
      <c r="DL46" s="55" t="str">
        <f t="shared" si="60"/>
        <v/>
      </c>
      <c r="DM46" s="55" t="str">
        <f t="shared" si="60"/>
        <v/>
      </c>
      <c r="DN46" s="55" t="str">
        <f t="shared" si="60"/>
        <v/>
      </c>
      <c r="DO46" s="55" t="str">
        <f t="shared" si="60"/>
        <v/>
      </c>
      <c r="DP46" s="55" t="str">
        <f t="shared" si="60"/>
        <v/>
      </c>
      <c r="DQ46" s="55" t="str">
        <f t="shared" si="61"/>
        <v/>
      </c>
      <c r="DR46" s="55" t="str">
        <f t="shared" si="61"/>
        <v/>
      </c>
      <c r="DS46" s="55" t="str">
        <f t="shared" si="61"/>
        <v/>
      </c>
      <c r="DT46" s="106" t="str">
        <f t="shared" si="61"/>
        <v/>
      </c>
      <c r="DU46" s="54"/>
      <c r="DV46" s="25"/>
      <c r="DW46" s="61" t="str">
        <f t="shared" si="62"/>
        <v/>
      </c>
      <c r="DX46" s="50" t="str">
        <f t="shared" si="62"/>
        <v/>
      </c>
      <c r="DY46" s="50" t="str">
        <f t="shared" si="62"/>
        <v/>
      </c>
      <c r="DZ46" s="50" t="str">
        <f t="shared" si="62"/>
        <v/>
      </c>
      <c r="EA46" s="50" t="str">
        <f t="shared" si="62"/>
        <v/>
      </c>
      <c r="EB46" s="50" t="str">
        <f t="shared" si="62"/>
        <v/>
      </c>
      <c r="EC46" s="50" t="str">
        <f t="shared" si="62"/>
        <v/>
      </c>
      <c r="ED46" s="50" t="str">
        <f t="shared" si="62"/>
        <v/>
      </c>
      <c r="EE46" s="50" t="str">
        <f t="shared" si="62"/>
        <v/>
      </c>
      <c r="EF46" s="50" t="str">
        <f t="shared" si="62"/>
        <v/>
      </c>
      <c r="EG46" s="50" t="str">
        <f t="shared" si="62"/>
        <v/>
      </c>
      <c r="EH46" s="50" t="str">
        <f t="shared" si="62"/>
        <v/>
      </c>
      <c r="EI46" s="50" t="str">
        <f t="shared" si="62"/>
        <v/>
      </c>
      <c r="EJ46" s="50" t="str">
        <f t="shared" si="62"/>
        <v/>
      </c>
      <c r="EK46" s="50" t="str">
        <f t="shared" si="62"/>
        <v/>
      </c>
      <c r="EL46" s="50" t="str">
        <f t="shared" si="62"/>
        <v/>
      </c>
      <c r="EM46" s="50" t="str">
        <f t="shared" si="71"/>
        <v/>
      </c>
      <c r="EN46" s="50" t="str">
        <f t="shared" si="71"/>
        <v/>
      </c>
      <c r="EO46" s="50" t="str">
        <f t="shared" si="71"/>
        <v/>
      </c>
      <c r="EP46" s="50" t="str">
        <f t="shared" si="71"/>
        <v/>
      </c>
      <c r="EQ46" s="50" t="str">
        <f t="shared" si="71"/>
        <v/>
      </c>
      <c r="ER46" s="50" t="str">
        <f t="shared" si="71"/>
        <v/>
      </c>
      <c r="ES46" s="50" t="str">
        <f t="shared" si="71"/>
        <v/>
      </c>
      <c r="ET46" s="50" t="str">
        <f t="shared" si="71"/>
        <v/>
      </c>
      <c r="EU46" s="50" t="str">
        <f t="shared" si="71"/>
        <v/>
      </c>
      <c r="EV46" s="50" t="str">
        <f t="shared" si="71"/>
        <v/>
      </c>
      <c r="EW46" s="50" t="str">
        <f t="shared" si="71"/>
        <v/>
      </c>
      <c r="EX46" s="50" t="str">
        <f t="shared" si="71"/>
        <v/>
      </c>
      <c r="EY46" s="50" t="str">
        <f t="shared" si="71"/>
        <v/>
      </c>
      <c r="EZ46" s="50" t="str">
        <f t="shared" si="71"/>
        <v/>
      </c>
      <c r="FA46" s="50" t="str">
        <f t="shared" si="71"/>
        <v/>
      </c>
      <c r="FB46" s="50" t="str">
        <f t="shared" si="71"/>
        <v/>
      </c>
      <c r="FC46" s="50" t="str">
        <f t="shared" si="72"/>
        <v/>
      </c>
      <c r="FD46" s="50" t="str">
        <f t="shared" si="72"/>
        <v/>
      </c>
      <c r="FE46" s="50" t="str">
        <f t="shared" si="72"/>
        <v/>
      </c>
      <c r="FF46" s="50" t="str">
        <f t="shared" si="72"/>
        <v/>
      </c>
      <c r="FG46" s="50" t="str">
        <f t="shared" si="72"/>
        <v/>
      </c>
      <c r="FH46" s="50" t="str">
        <f t="shared" si="72"/>
        <v/>
      </c>
      <c r="FI46" s="50" t="str">
        <f t="shared" si="72"/>
        <v/>
      </c>
      <c r="FJ46" s="50" t="str">
        <f t="shared" si="72"/>
        <v/>
      </c>
      <c r="FK46" s="50" t="str">
        <f t="shared" si="72"/>
        <v/>
      </c>
      <c r="FL46" s="50" t="str">
        <f t="shared" si="72"/>
        <v/>
      </c>
      <c r="FM46" s="50" t="str">
        <f t="shared" si="72"/>
        <v/>
      </c>
      <c r="FN46" s="50" t="str">
        <f t="shared" si="72"/>
        <v/>
      </c>
      <c r="FO46" s="50" t="str">
        <f t="shared" si="72"/>
        <v/>
      </c>
      <c r="FP46" s="50" t="str">
        <f t="shared" si="72"/>
        <v/>
      </c>
      <c r="FQ46" s="50" t="str">
        <f t="shared" si="72"/>
        <v/>
      </c>
      <c r="FR46" s="50" t="str">
        <f t="shared" si="72"/>
        <v/>
      </c>
      <c r="FS46" s="50" t="str">
        <f t="shared" si="72"/>
        <v/>
      </c>
      <c r="FT46" s="50" t="str">
        <f t="shared" si="72"/>
        <v/>
      </c>
      <c r="FU46" s="50" t="str">
        <f t="shared" si="72"/>
        <v/>
      </c>
      <c r="FV46" s="50" t="str">
        <f t="shared" si="72"/>
        <v/>
      </c>
      <c r="FW46" s="50" t="str">
        <f t="shared" si="72"/>
        <v/>
      </c>
      <c r="FX46" s="50" t="str">
        <f t="shared" si="72"/>
        <v/>
      </c>
      <c r="FY46" s="50" t="str">
        <f t="shared" si="72"/>
        <v/>
      </c>
      <c r="FZ46" s="50" t="str">
        <f t="shared" si="72"/>
        <v/>
      </c>
      <c r="GA46" s="50" t="str">
        <f t="shared" si="72"/>
        <v/>
      </c>
      <c r="GB46" s="50" t="str">
        <f t="shared" si="72"/>
        <v/>
      </c>
      <c r="GC46" s="50" t="str">
        <f t="shared" si="72"/>
        <v/>
      </c>
      <c r="GD46" s="50" t="str">
        <f t="shared" si="72"/>
        <v/>
      </c>
      <c r="GE46" s="50" t="str">
        <f t="shared" si="72"/>
        <v/>
      </c>
      <c r="GF46" s="50" t="str">
        <f t="shared" si="72"/>
        <v/>
      </c>
      <c r="GG46" s="50" t="str">
        <f t="shared" si="72"/>
        <v/>
      </c>
      <c r="GH46" s="50" t="str">
        <f t="shared" si="72"/>
        <v/>
      </c>
      <c r="GI46" s="50" t="str">
        <f t="shared" si="72"/>
        <v/>
      </c>
      <c r="GJ46" s="50" t="str">
        <f t="shared" si="72"/>
        <v/>
      </c>
      <c r="GK46" s="50" t="str">
        <f t="shared" si="72"/>
        <v/>
      </c>
      <c r="GL46" s="50" t="str">
        <f t="shared" si="72"/>
        <v/>
      </c>
      <c r="GM46" s="50" t="str">
        <f t="shared" si="72"/>
        <v/>
      </c>
      <c r="GN46" s="50" t="str">
        <f t="shared" si="72"/>
        <v/>
      </c>
      <c r="GO46" s="50" t="str">
        <f t="shared" si="72"/>
        <v/>
      </c>
      <c r="GP46" s="50" t="str">
        <f t="shared" si="72"/>
        <v/>
      </c>
      <c r="GQ46" s="50" t="str">
        <f t="shared" si="72"/>
        <v/>
      </c>
      <c r="GR46" s="50" t="str">
        <f t="shared" si="72"/>
        <v/>
      </c>
      <c r="GS46" s="50" t="str">
        <f t="shared" si="72"/>
        <v/>
      </c>
      <c r="GT46" s="50" t="str">
        <f t="shared" si="72"/>
        <v/>
      </c>
      <c r="GU46" s="50" t="str">
        <f t="shared" si="72"/>
        <v/>
      </c>
      <c r="GV46" s="50" t="str">
        <f t="shared" si="72"/>
        <v/>
      </c>
      <c r="GW46" s="50" t="str">
        <f t="shared" si="72"/>
        <v/>
      </c>
      <c r="GX46" s="50" t="str">
        <f t="shared" si="68"/>
        <v/>
      </c>
      <c r="GY46" s="50" t="str">
        <f t="shared" si="68"/>
        <v/>
      </c>
      <c r="GZ46" s="50" t="str">
        <f t="shared" si="68"/>
        <v/>
      </c>
      <c r="HA46" s="50" t="str">
        <f t="shared" si="68"/>
        <v/>
      </c>
      <c r="HB46" s="50" t="str">
        <f t="shared" si="68"/>
        <v/>
      </c>
      <c r="HC46" s="50" t="str">
        <f t="shared" si="68"/>
        <v/>
      </c>
      <c r="HD46" s="50" t="str">
        <f t="shared" si="68"/>
        <v/>
      </c>
      <c r="HE46" s="50" t="str">
        <f t="shared" si="68"/>
        <v/>
      </c>
      <c r="HF46" s="50" t="str">
        <f t="shared" si="68"/>
        <v/>
      </c>
      <c r="HG46" s="50" t="str">
        <f t="shared" si="68"/>
        <v/>
      </c>
      <c r="HH46" s="50" t="str">
        <f t="shared" si="68"/>
        <v/>
      </c>
      <c r="HI46" s="50" t="str">
        <f t="shared" si="68"/>
        <v/>
      </c>
      <c r="HJ46" s="50" t="str">
        <f t="shared" si="68"/>
        <v/>
      </c>
      <c r="HK46" s="50" t="str">
        <f t="shared" si="68"/>
        <v/>
      </c>
      <c r="HL46" s="50" t="str">
        <f t="shared" si="68"/>
        <v/>
      </c>
      <c r="HM46" s="50" t="str">
        <f t="shared" si="68"/>
        <v/>
      </c>
      <c r="HN46" s="50" t="str">
        <f t="shared" si="65"/>
        <v/>
      </c>
      <c r="HO46" s="50" t="str">
        <f t="shared" si="65"/>
        <v/>
      </c>
      <c r="HP46" s="50" t="str">
        <f t="shared" si="65"/>
        <v/>
      </c>
      <c r="HQ46" s="50" t="str">
        <f t="shared" si="65"/>
        <v/>
      </c>
      <c r="HR46" s="112" t="str">
        <f t="shared" si="65"/>
        <v/>
      </c>
    </row>
    <row r="47" spans="1:226" ht="11.1" customHeight="1" thickBot="1" x14ac:dyDescent="0.3">
      <c r="A47" s="66"/>
      <c r="B47" s="67"/>
      <c r="C47" s="68" t="str">
        <f>IF(A47=0,"",VLOOKUP(A47,[2]CO!$A$3:$F$5327,2,0))</f>
        <v/>
      </c>
      <c r="D47" s="69"/>
      <c r="E47" s="69"/>
      <c r="F47" s="69"/>
      <c r="G47" s="70" t="str">
        <f>IF(A47=0,"",VLOOKUP(A47,[2]CO!$A$3:$F$5327,3,0))</f>
        <v/>
      </c>
      <c r="H47" s="96"/>
      <c r="I47" s="71"/>
      <c r="J47" s="71"/>
      <c r="K47" s="71"/>
      <c r="L47" s="71"/>
      <c r="M47" s="72" t="str">
        <f t="shared" si="55"/>
        <v/>
      </c>
      <c r="N47" s="72" t="str">
        <f>IF(B47=0,"",IF(H47="M",HLOOKUP(B47,$Y$12:$DT$13,2),IF(A47=0,"",VLOOKUP(A47,[2]CO!$A$3:$F$5327,4,0))))</f>
        <v/>
      </c>
      <c r="O47" s="72" t="str">
        <f t="shared" si="16"/>
        <v/>
      </c>
      <c r="P47" s="73"/>
      <c r="Q47" s="74" t="str">
        <f t="shared" si="56"/>
        <v/>
      </c>
      <c r="R47" s="75" t="str">
        <f t="shared" si="66"/>
        <v/>
      </c>
      <c r="T47" s="53" t="str">
        <f>IF(A47=0,"",VLOOKUP(A47,[2]CO!$A$3:$F$5318,5,0))</f>
        <v/>
      </c>
      <c r="U47" s="54">
        <f t="shared" si="57"/>
        <v>0</v>
      </c>
      <c r="V47" s="24"/>
      <c r="W47" s="25"/>
      <c r="X47" s="25"/>
      <c r="Y47" s="76" t="str">
        <f t="shared" si="58"/>
        <v/>
      </c>
      <c r="Z47" s="77" t="str">
        <f t="shared" si="58"/>
        <v/>
      </c>
      <c r="AA47" s="77" t="str">
        <f t="shared" si="58"/>
        <v/>
      </c>
      <c r="AB47" s="77" t="str">
        <f t="shared" si="58"/>
        <v/>
      </c>
      <c r="AC47" s="77" t="str">
        <f t="shared" si="58"/>
        <v/>
      </c>
      <c r="AD47" s="77" t="str">
        <f t="shared" si="58"/>
        <v/>
      </c>
      <c r="AE47" s="77" t="str">
        <f t="shared" si="58"/>
        <v/>
      </c>
      <c r="AF47" s="77" t="str">
        <f t="shared" si="58"/>
        <v/>
      </c>
      <c r="AG47" s="77" t="str">
        <f t="shared" si="58"/>
        <v/>
      </c>
      <c r="AH47" s="77" t="str">
        <f t="shared" si="58"/>
        <v/>
      </c>
      <c r="AI47" s="77" t="str">
        <f t="shared" si="58"/>
        <v/>
      </c>
      <c r="AJ47" s="77" t="str">
        <f t="shared" si="58"/>
        <v/>
      </c>
      <c r="AK47" s="77" t="str">
        <f t="shared" si="58"/>
        <v/>
      </c>
      <c r="AL47" s="77" t="str">
        <f t="shared" si="58"/>
        <v/>
      </c>
      <c r="AM47" s="77" t="str">
        <f t="shared" si="58"/>
        <v/>
      </c>
      <c r="AN47" s="77" t="str">
        <f t="shared" si="58"/>
        <v/>
      </c>
      <c r="AO47" s="77" t="str">
        <f t="shared" si="69"/>
        <v/>
      </c>
      <c r="AP47" s="77" t="str">
        <f t="shared" si="69"/>
        <v/>
      </c>
      <c r="AQ47" s="77" t="str">
        <f t="shared" si="69"/>
        <v/>
      </c>
      <c r="AR47" s="77" t="str">
        <f t="shared" si="69"/>
        <v/>
      </c>
      <c r="AS47" s="77" t="str">
        <f t="shared" si="69"/>
        <v/>
      </c>
      <c r="AT47" s="77" t="str">
        <f t="shared" si="69"/>
        <v/>
      </c>
      <c r="AU47" s="77" t="str">
        <f t="shared" si="69"/>
        <v/>
      </c>
      <c r="AV47" s="77" t="str">
        <f t="shared" si="69"/>
        <v/>
      </c>
      <c r="AW47" s="77" t="str">
        <f t="shared" si="69"/>
        <v/>
      </c>
      <c r="AX47" s="77" t="str">
        <f t="shared" si="69"/>
        <v/>
      </c>
      <c r="AY47" s="77" t="str">
        <f t="shared" si="69"/>
        <v/>
      </c>
      <c r="AZ47" s="77" t="str">
        <f t="shared" si="69"/>
        <v/>
      </c>
      <c r="BA47" s="77" t="str">
        <f t="shared" si="69"/>
        <v/>
      </c>
      <c r="BB47" s="77" t="str">
        <f t="shared" si="69"/>
        <v/>
      </c>
      <c r="BC47" s="77" t="str">
        <f t="shared" si="69"/>
        <v/>
      </c>
      <c r="BD47" s="77" t="str">
        <f t="shared" si="69"/>
        <v/>
      </c>
      <c r="BE47" s="77" t="str">
        <f t="shared" si="70"/>
        <v/>
      </c>
      <c r="BF47" s="77" t="str">
        <f t="shared" si="70"/>
        <v/>
      </c>
      <c r="BG47" s="77" t="str">
        <f t="shared" si="70"/>
        <v/>
      </c>
      <c r="BH47" s="77" t="str">
        <f t="shared" si="70"/>
        <v/>
      </c>
      <c r="BI47" s="77" t="str">
        <f t="shared" si="70"/>
        <v/>
      </c>
      <c r="BJ47" s="77" t="str">
        <f t="shared" si="70"/>
        <v/>
      </c>
      <c r="BK47" s="77" t="str">
        <f t="shared" si="70"/>
        <v/>
      </c>
      <c r="BL47" s="77" t="str">
        <f t="shared" si="70"/>
        <v/>
      </c>
      <c r="BM47" s="77" t="str">
        <f t="shared" si="70"/>
        <v/>
      </c>
      <c r="BN47" s="77" t="str">
        <f t="shared" si="70"/>
        <v/>
      </c>
      <c r="BO47" s="77" t="str">
        <f t="shared" si="70"/>
        <v/>
      </c>
      <c r="BP47" s="77" t="str">
        <f t="shared" si="70"/>
        <v/>
      </c>
      <c r="BQ47" s="77" t="str">
        <f t="shared" si="70"/>
        <v/>
      </c>
      <c r="BR47" s="77" t="str">
        <f t="shared" si="70"/>
        <v/>
      </c>
      <c r="BS47" s="77" t="str">
        <f t="shared" si="70"/>
        <v/>
      </c>
      <c r="BT47" s="77" t="str">
        <f t="shared" si="70"/>
        <v/>
      </c>
      <c r="BU47" s="77" t="str">
        <f t="shared" si="70"/>
        <v/>
      </c>
      <c r="BV47" s="77" t="str">
        <f t="shared" si="70"/>
        <v/>
      </c>
      <c r="BW47" s="77" t="str">
        <f t="shared" si="70"/>
        <v/>
      </c>
      <c r="BX47" s="77" t="str">
        <f t="shared" si="70"/>
        <v/>
      </c>
      <c r="BY47" s="77" t="str">
        <f t="shared" ref="BY47:CY47" si="92">IF($B47=BY$12,$U47,"")</f>
        <v/>
      </c>
      <c r="BZ47" s="77" t="str">
        <f t="shared" si="92"/>
        <v/>
      </c>
      <c r="CA47" s="77" t="str">
        <f t="shared" si="92"/>
        <v/>
      </c>
      <c r="CB47" s="77" t="str">
        <f t="shared" si="92"/>
        <v/>
      </c>
      <c r="CC47" s="77" t="str">
        <f t="shared" si="92"/>
        <v/>
      </c>
      <c r="CD47" s="77" t="str">
        <f t="shared" si="92"/>
        <v/>
      </c>
      <c r="CE47" s="77" t="str">
        <f t="shared" si="92"/>
        <v/>
      </c>
      <c r="CF47" s="77" t="str">
        <f t="shared" si="92"/>
        <v/>
      </c>
      <c r="CG47" s="77" t="str">
        <f t="shared" si="92"/>
        <v/>
      </c>
      <c r="CH47" s="77" t="str">
        <f t="shared" si="92"/>
        <v/>
      </c>
      <c r="CI47" s="77" t="str">
        <f t="shared" si="92"/>
        <v/>
      </c>
      <c r="CJ47" s="77" t="str">
        <f t="shared" si="92"/>
        <v/>
      </c>
      <c r="CK47" s="77" t="str">
        <f t="shared" si="92"/>
        <v/>
      </c>
      <c r="CL47" s="77" t="str">
        <f t="shared" si="92"/>
        <v/>
      </c>
      <c r="CM47" s="77" t="str">
        <f t="shared" si="92"/>
        <v/>
      </c>
      <c r="CN47" s="77" t="str">
        <f t="shared" si="92"/>
        <v/>
      </c>
      <c r="CO47" s="77" t="str">
        <f t="shared" si="92"/>
        <v/>
      </c>
      <c r="CP47" s="77" t="str">
        <f t="shared" si="92"/>
        <v/>
      </c>
      <c r="CQ47" s="77" t="str">
        <f t="shared" si="92"/>
        <v/>
      </c>
      <c r="CR47" s="77" t="str">
        <f t="shared" si="92"/>
        <v/>
      </c>
      <c r="CS47" s="77" t="str">
        <f t="shared" si="92"/>
        <v/>
      </c>
      <c r="CT47" s="77" t="str">
        <f t="shared" si="92"/>
        <v/>
      </c>
      <c r="CU47" s="77" t="str">
        <f t="shared" si="92"/>
        <v/>
      </c>
      <c r="CV47" s="77" t="str">
        <f t="shared" si="92"/>
        <v/>
      </c>
      <c r="CW47" s="77" t="str">
        <f t="shared" si="92"/>
        <v/>
      </c>
      <c r="CX47" s="77" t="str">
        <f t="shared" si="92"/>
        <v/>
      </c>
      <c r="CY47" s="77" t="str">
        <f t="shared" si="92"/>
        <v/>
      </c>
      <c r="CZ47" s="77" t="str">
        <f t="shared" si="67"/>
        <v/>
      </c>
      <c r="DA47" s="77" t="str">
        <f t="shared" si="67"/>
        <v/>
      </c>
      <c r="DB47" s="77" t="str">
        <f t="shared" si="67"/>
        <v/>
      </c>
      <c r="DC47" s="77" t="str">
        <f t="shared" si="67"/>
        <v/>
      </c>
      <c r="DD47" s="77" t="str">
        <f t="shared" si="67"/>
        <v/>
      </c>
      <c r="DE47" s="77" t="str">
        <f t="shared" si="67"/>
        <v/>
      </c>
      <c r="DF47" s="77" t="str">
        <f t="shared" si="67"/>
        <v/>
      </c>
      <c r="DG47" s="77" t="str">
        <f t="shared" si="67"/>
        <v/>
      </c>
      <c r="DH47" s="77" t="str">
        <f t="shared" si="67"/>
        <v/>
      </c>
      <c r="DI47" s="77" t="str">
        <f t="shared" si="67"/>
        <v/>
      </c>
      <c r="DJ47" s="77" t="str">
        <f t="shared" si="67"/>
        <v/>
      </c>
      <c r="DK47" s="77" t="str">
        <f t="shared" si="60"/>
        <v/>
      </c>
      <c r="DL47" s="77" t="str">
        <f t="shared" si="60"/>
        <v/>
      </c>
      <c r="DM47" s="77" t="str">
        <f t="shared" si="60"/>
        <v/>
      </c>
      <c r="DN47" s="77" t="str">
        <f t="shared" si="60"/>
        <v/>
      </c>
      <c r="DO47" s="77" t="str">
        <f t="shared" si="60"/>
        <v/>
      </c>
      <c r="DP47" s="77" t="str">
        <f t="shared" si="60"/>
        <v/>
      </c>
      <c r="DQ47" s="77" t="str">
        <f t="shared" si="61"/>
        <v/>
      </c>
      <c r="DR47" s="77" t="str">
        <f t="shared" si="61"/>
        <v/>
      </c>
      <c r="DS47" s="77" t="str">
        <f t="shared" si="61"/>
        <v/>
      </c>
      <c r="DT47" s="107" t="str">
        <f t="shared" si="61"/>
        <v/>
      </c>
      <c r="DU47" s="54"/>
      <c r="DV47" s="25"/>
      <c r="DW47" s="78" t="str">
        <f t="shared" si="62"/>
        <v/>
      </c>
      <c r="DX47" s="79" t="str">
        <f t="shared" si="62"/>
        <v/>
      </c>
      <c r="DY47" s="79" t="str">
        <f t="shared" si="62"/>
        <v/>
      </c>
      <c r="DZ47" s="79" t="str">
        <f t="shared" si="62"/>
        <v/>
      </c>
      <c r="EA47" s="79" t="str">
        <f t="shared" si="62"/>
        <v/>
      </c>
      <c r="EB47" s="79" t="str">
        <f t="shared" si="62"/>
        <v/>
      </c>
      <c r="EC47" s="79" t="str">
        <f t="shared" si="62"/>
        <v/>
      </c>
      <c r="ED47" s="79" t="str">
        <f t="shared" si="62"/>
        <v/>
      </c>
      <c r="EE47" s="79" t="str">
        <f t="shared" si="62"/>
        <v/>
      </c>
      <c r="EF47" s="79" t="str">
        <f t="shared" si="62"/>
        <v/>
      </c>
      <c r="EG47" s="79" t="str">
        <f t="shared" si="62"/>
        <v/>
      </c>
      <c r="EH47" s="79" t="str">
        <f t="shared" si="62"/>
        <v/>
      </c>
      <c r="EI47" s="79" t="str">
        <f t="shared" si="62"/>
        <v/>
      </c>
      <c r="EJ47" s="79" t="str">
        <f t="shared" si="62"/>
        <v/>
      </c>
      <c r="EK47" s="79" t="str">
        <f t="shared" si="62"/>
        <v/>
      </c>
      <c r="EL47" s="79" t="str">
        <f t="shared" si="62"/>
        <v/>
      </c>
      <c r="EM47" s="79" t="str">
        <f t="shared" si="71"/>
        <v/>
      </c>
      <c r="EN47" s="79" t="str">
        <f t="shared" si="71"/>
        <v/>
      </c>
      <c r="EO47" s="79" t="str">
        <f t="shared" si="71"/>
        <v/>
      </c>
      <c r="EP47" s="79" t="str">
        <f t="shared" si="71"/>
        <v/>
      </c>
      <c r="EQ47" s="79" t="str">
        <f t="shared" si="71"/>
        <v/>
      </c>
      <c r="ER47" s="79" t="str">
        <f t="shared" si="71"/>
        <v/>
      </c>
      <c r="ES47" s="79" t="str">
        <f t="shared" si="71"/>
        <v/>
      </c>
      <c r="ET47" s="79" t="str">
        <f t="shared" si="71"/>
        <v/>
      </c>
      <c r="EU47" s="79" t="str">
        <f t="shared" si="71"/>
        <v/>
      </c>
      <c r="EV47" s="79" t="str">
        <f t="shared" si="71"/>
        <v/>
      </c>
      <c r="EW47" s="79" t="str">
        <f t="shared" si="71"/>
        <v/>
      </c>
      <c r="EX47" s="79" t="str">
        <f t="shared" si="71"/>
        <v/>
      </c>
      <c r="EY47" s="79" t="str">
        <f t="shared" si="71"/>
        <v/>
      </c>
      <c r="EZ47" s="79" t="str">
        <f t="shared" si="71"/>
        <v/>
      </c>
      <c r="FA47" s="79" t="str">
        <f t="shared" si="71"/>
        <v/>
      </c>
      <c r="FB47" s="79" t="str">
        <f t="shared" si="71"/>
        <v/>
      </c>
      <c r="FC47" s="79" t="str">
        <f t="shared" si="72"/>
        <v/>
      </c>
      <c r="FD47" s="79" t="str">
        <f t="shared" si="72"/>
        <v/>
      </c>
      <c r="FE47" s="79" t="str">
        <f t="shared" si="72"/>
        <v/>
      </c>
      <c r="FF47" s="79" t="str">
        <f t="shared" si="72"/>
        <v/>
      </c>
      <c r="FG47" s="79" t="str">
        <f t="shared" si="72"/>
        <v/>
      </c>
      <c r="FH47" s="79" t="str">
        <f t="shared" si="72"/>
        <v/>
      </c>
      <c r="FI47" s="79" t="str">
        <f t="shared" si="72"/>
        <v/>
      </c>
      <c r="FJ47" s="79" t="str">
        <f t="shared" si="72"/>
        <v/>
      </c>
      <c r="FK47" s="79" t="str">
        <f t="shared" si="72"/>
        <v/>
      </c>
      <c r="FL47" s="79" t="str">
        <f t="shared" si="72"/>
        <v/>
      </c>
      <c r="FM47" s="79" t="str">
        <f t="shared" si="72"/>
        <v/>
      </c>
      <c r="FN47" s="79" t="str">
        <f t="shared" si="72"/>
        <v/>
      </c>
      <c r="FO47" s="79" t="str">
        <f t="shared" si="72"/>
        <v/>
      </c>
      <c r="FP47" s="79" t="str">
        <f t="shared" si="72"/>
        <v/>
      </c>
      <c r="FQ47" s="79" t="str">
        <f t="shared" si="72"/>
        <v/>
      </c>
      <c r="FR47" s="79" t="str">
        <f t="shared" si="72"/>
        <v/>
      </c>
      <c r="FS47" s="79" t="str">
        <f t="shared" si="72"/>
        <v/>
      </c>
      <c r="FT47" s="79" t="str">
        <f t="shared" si="72"/>
        <v/>
      </c>
      <c r="FU47" s="79" t="str">
        <f t="shared" si="72"/>
        <v/>
      </c>
      <c r="FV47" s="79" t="str">
        <f t="shared" si="72"/>
        <v/>
      </c>
      <c r="FW47" s="79" t="str">
        <f t="shared" ref="FW47:GW47" si="93">IF($B47=FW$12,$O47,"")</f>
        <v/>
      </c>
      <c r="FX47" s="79" t="str">
        <f t="shared" si="93"/>
        <v/>
      </c>
      <c r="FY47" s="79" t="str">
        <f t="shared" si="93"/>
        <v/>
      </c>
      <c r="FZ47" s="79" t="str">
        <f t="shared" si="93"/>
        <v/>
      </c>
      <c r="GA47" s="79" t="str">
        <f t="shared" si="93"/>
        <v/>
      </c>
      <c r="GB47" s="79" t="str">
        <f t="shared" si="93"/>
        <v/>
      </c>
      <c r="GC47" s="79" t="str">
        <f t="shared" si="93"/>
        <v/>
      </c>
      <c r="GD47" s="79" t="str">
        <f t="shared" si="93"/>
        <v/>
      </c>
      <c r="GE47" s="79" t="str">
        <f t="shared" si="93"/>
        <v/>
      </c>
      <c r="GF47" s="79" t="str">
        <f t="shared" si="93"/>
        <v/>
      </c>
      <c r="GG47" s="79" t="str">
        <f t="shared" si="93"/>
        <v/>
      </c>
      <c r="GH47" s="79" t="str">
        <f t="shared" si="93"/>
        <v/>
      </c>
      <c r="GI47" s="79" t="str">
        <f t="shared" si="93"/>
        <v/>
      </c>
      <c r="GJ47" s="79" t="str">
        <f t="shared" si="93"/>
        <v/>
      </c>
      <c r="GK47" s="79" t="str">
        <f t="shared" si="93"/>
        <v/>
      </c>
      <c r="GL47" s="79" t="str">
        <f t="shared" si="93"/>
        <v/>
      </c>
      <c r="GM47" s="79" t="str">
        <f t="shared" si="93"/>
        <v/>
      </c>
      <c r="GN47" s="79" t="str">
        <f t="shared" si="93"/>
        <v/>
      </c>
      <c r="GO47" s="79" t="str">
        <f t="shared" si="93"/>
        <v/>
      </c>
      <c r="GP47" s="79" t="str">
        <f t="shared" si="93"/>
        <v/>
      </c>
      <c r="GQ47" s="79" t="str">
        <f t="shared" si="93"/>
        <v/>
      </c>
      <c r="GR47" s="79" t="str">
        <f t="shared" si="93"/>
        <v/>
      </c>
      <c r="GS47" s="79" t="str">
        <f t="shared" si="93"/>
        <v/>
      </c>
      <c r="GT47" s="79" t="str">
        <f t="shared" si="93"/>
        <v/>
      </c>
      <c r="GU47" s="79" t="str">
        <f t="shared" si="93"/>
        <v/>
      </c>
      <c r="GV47" s="79" t="str">
        <f t="shared" si="93"/>
        <v/>
      </c>
      <c r="GW47" s="79" t="str">
        <f t="shared" si="93"/>
        <v/>
      </c>
      <c r="GX47" s="79" t="str">
        <f t="shared" si="68"/>
        <v/>
      </c>
      <c r="GY47" s="79" t="str">
        <f t="shared" si="68"/>
        <v/>
      </c>
      <c r="GZ47" s="79" t="str">
        <f t="shared" si="68"/>
        <v/>
      </c>
      <c r="HA47" s="79" t="str">
        <f t="shared" si="68"/>
        <v/>
      </c>
      <c r="HB47" s="79" t="str">
        <f t="shared" si="68"/>
        <v/>
      </c>
      <c r="HC47" s="79" t="str">
        <f t="shared" si="68"/>
        <v/>
      </c>
      <c r="HD47" s="79" t="str">
        <f t="shared" si="68"/>
        <v/>
      </c>
      <c r="HE47" s="79" t="str">
        <f t="shared" si="68"/>
        <v/>
      </c>
      <c r="HF47" s="79" t="str">
        <f t="shared" si="68"/>
        <v/>
      </c>
      <c r="HG47" s="79" t="str">
        <f t="shared" si="68"/>
        <v/>
      </c>
      <c r="HH47" s="79" t="str">
        <f t="shared" si="68"/>
        <v/>
      </c>
      <c r="HI47" s="79" t="str">
        <f t="shared" si="68"/>
        <v/>
      </c>
      <c r="HJ47" s="79" t="str">
        <f t="shared" si="68"/>
        <v/>
      </c>
      <c r="HK47" s="79" t="str">
        <f t="shared" si="68"/>
        <v/>
      </c>
      <c r="HL47" s="79" t="str">
        <f t="shared" si="68"/>
        <v/>
      </c>
      <c r="HM47" s="79" t="str">
        <f t="shared" si="68"/>
        <v/>
      </c>
      <c r="HN47" s="79" t="str">
        <f t="shared" si="65"/>
        <v/>
      </c>
      <c r="HO47" s="79" t="str">
        <f t="shared" si="65"/>
        <v/>
      </c>
      <c r="HP47" s="79" t="str">
        <f t="shared" si="65"/>
        <v/>
      </c>
      <c r="HQ47" s="79" t="str">
        <f t="shared" si="65"/>
        <v/>
      </c>
      <c r="HR47" s="113" t="str">
        <f t="shared" si="65"/>
        <v/>
      </c>
    </row>
    <row r="48" spans="1:226" ht="11.1" customHeight="1" thickTop="1" x14ac:dyDescent="0.25"/>
    <row r="49" spans="1:226" x14ac:dyDescent="0.25">
      <c r="L49" s="119"/>
      <c r="O49" s="48" t="s">
        <v>17</v>
      </c>
      <c r="P49" s="49"/>
      <c r="Q49" s="104">
        <f>SUM(Q33:Q47)</f>
        <v>14607.277999999998</v>
      </c>
      <c r="R49" s="104">
        <f>SUM(R33:R47)</f>
        <v>14607.277999999998</v>
      </c>
    </row>
    <row r="50" spans="1:226" ht="11.1" customHeight="1" thickBot="1" x14ac:dyDescent="0.3"/>
    <row r="51" spans="1:226" ht="16.2" thickBot="1" x14ac:dyDescent="0.3">
      <c r="A51" s="146"/>
      <c r="B51" s="147"/>
      <c r="C51" s="99"/>
      <c r="D51" s="147"/>
      <c r="E51" s="99"/>
      <c r="F51" s="99"/>
      <c r="G51" s="99" t="s">
        <v>19</v>
      </c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100"/>
    </row>
    <row r="52" spans="1:226" ht="11.1" customHeight="1" thickBot="1" x14ac:dyDescent="0.3"/>
    <row r="53" spans="1:226" ht="11.1" customHeight="1" thickTop="1" x14ac:dyDescent="0.25">
      <c r="A53" s="80"/>
      <c r="B53" s="81"/>
      <c r="C53" s="82" t="str">
        <f>IF(A53=0,"",VLOOKUP(A53,[2]CO!$A$3:$F$5327,2,0))</f>
        <v/>
      </c>
      <c r="D53" s="83"/>
      <c r="E53" s="83"/>
      <c r="F53" s="102" t="str">
        <f t="shared" ref="F53:F59" si="94">IF(AND(B53&gt;0,H53&gt;0),(H53*100) &amp; "% DE $" &amp;$Q$29,"")</f>
        <v/>
      </c>
      <c r="G53" s="84" t="str">
        <f>IF(A53=0,"",VLOOKUP(A53,[2]CO!$A$3:$F$5327,3,0))</f>
        <v/>
      </c>
      <c r="H53" s="94"/>
      <c r="I53" s="85"/>
      <c r="J53" s="85"/>
      <c r="K53" s="85"/>
      <c r="L53" s="85"/>
      <c r="M53" s="86" t="str">
        <f t="shared" ref="M53:M58" si="95">IF(L53=0,"",H53*Q$29/N53)</f>
        <v/>
      </c>
      <c r="N53" s="86" t="str">
        <f>IF(B53=0,"",IF(H53="M",HLOOKUP(B53,$Y$12:$DT$13,2),IF(A53=0,"",VLOOKUP(A53,[2]CO!$A$3:$F$5327,4,0))))</f>
        <v/>
      </c>
      <c r="O53" s="86" t="str">
        <f t="shared" si="16"/>
        <v/>
      </c>
      <c r="P53" s="87"/>
      <c r="Q53" s="88" t="str">
        <f t="shared" ref="Q53:Q59" si="96">IF(P53=0,"",(HLOOKUP(P53,$DW$12:$HR$13,2)))</f>
        <v/>
      </c>
      <c r="R53" s="89"/>
      <c r="T53" s="53" t="str">
        <f>IF(A53=0,"",VLOOKUP(A53,[2]CO!$A$3:$F$5318,5,0))</f>
        <v/>
      </c>
      <c r="U53" s="54">
        <f t="shared" si="57"/>
        <v>0</v>
      </c>
      <c r="V53" s="24"/>
      <c r="W53" s="25"/>
      <c r="X53" s="25"/>
      <c r="Y53" s="90" t="str">
        <f t="shared" ref="Y53:AN59" si="97">IF($B53=Y$12,$U53,"")</f>
        <v/>
      </c>
      <c r="Z53" s="91" t="str">
        <f t="shared" si="97"/>
        <v/>
      </c>
      <c r="AA53" s="91" t="str">
        <f t="shared" si="97"/>
        <v/>
      </c>
      <c r="AB53" s="91" t="str">
        <f t="shared" si="97"/>
        <v/>
      </c>
      <c r="AC53" s="91" t="str">
        <f t="shared" si="97"/>
        <v/>
      </c>
      <c r="AD53" s="91" t="str">
        <f t="shared" si="97"/>
        <v/>
      </c>
      <c r="AE53" s="91" t="str">
        <f t="shared" si="97"/>
        <v/>
      </c>
      <c r="AF53" s="91" t="str">
        <f t="shared" si="97"/>
        <v/>
      </c>
      <c r="AG53" s="91" t="str">
        <f t="shared" si="97"/>
        <v/>
      </c>
      <c r="AH53" s="91" t="str">
        <f t="shared" si="97"/>
        <v/>
      </c>
      <c r="AI53" s="91" t="str">
        <f t="shared" si="97"/>
        <v/>
      </c>
      <c r="AJ53" s="91" t="str">
        <f t="shared" si="97"/>
        <v/>
      </c>
      <c r="AK53" s="91" t="str">
        <f t="shared" si="97"/>
        <v/>
      </c>
      <c r="AL53" s="91" t="str">
        <f t="shared" si="97"/>
        <v/>
      </c>
      <c r="AM53" s="91" t="str">
        <f t="shared" si="97"/>
        <v/>
      </c>
      <c r="AN53" s="91" t="str">
        <f t="shared" si="97"/>
        <v/>
      </c>
      <c r="AO53" s="91" t="str">
        <f t="shared" ref="AO53:BD59" si="98">IF($B53=AO$12,$U53,"")</f>
        <v/>
      </c>
      <c r="AP53" s="91" t="str">
        <f t="shared" si="98"/>
        <v/>
      </c>
      <c r="AQ53" s="91" t="str">
        <f t="shared" si="98"/>
        <v/>
      </c>
      <c r="AR53" s="91" t="str">
        <f t="shared" si="98"/>
        <v/>
      </c>
      <c r="AS53" s="91" t="str">
        <f t="shared" si="98"/>
        <v/>
      </c>
      <c r="AT53" s="91" t="str">
        <f t="shared" si="98"/>
        <v/>
      </c>
      <c r="AU53" s="91" t="str">
        <f t="shared" si="98"/>
        <v/>
      </c>
      <c r="AV53" s="91" t="str">
        <f t="shared" si="98"/>
        <v/>
      </c>
      <c r="AW53" s="91" t="str">
        <f t="shared" si="98"/>
        <v/>
      </c>
      <c r="AX53" s="91" t="str">
        <f t="shared" si="98"/>
        <v/>
      </c>
      <c r="AY53" s="91" t="str">
        <f t="shared" si="98"/>
        <v/>
      </c>
      <c r="AZ53" s="91" t="str">
        <f t="shared" si="98"/>
        <v/>
      </c>
      <c r="BA53" s="91" t="str">
        <f t="shared" si="98"/>
        <v/>
      </c>
      <c r="BB53" s="91" t="str">
        <f t="shared" si="98"/>
        <v/>
      </c>
      <c r="BC53" s="91" t="str">
        <f t="shared" si="98"/>
        <v/>
      </c>
      <c r="BD53" s="91" t="str">
        <f t="shared" si="98"/>
        <v/>
      </c>
      <c r="BE53" s="91" t="str">
        <f t="shared" ref="BE53:BT59" si="99">IF($B53=BE$12,$U53,"")</f>
        <v/>
      </c>
      <c r="BF53" s="91" t="str">
        <f t="shared" si="99"/>
        <v/>
      </c>
      <c r="BG53" s="91" t="str">
        <f t="shared" si="99"/>
        <v/>
      </c>
      <c r="BH53" s="91" t="str">
        <f t="shared" si="99"/>
        <v/>
      </c>
      <c r="BI53" s="91" t="str">
        <f t="shared" si="99"/>
        <v/>
      </c>
      <c r="BJ53" s="91" t="str">
        <f t="shared" si="99"/>
        <v/>
      </c>
      <c r="BK53" s="91" t="str">
        <f t="shared" si="99"/>
        <v/>
      </c>
      <c r="BL53" s="91" t="str">
        <f t="shared" si="99"/>
        <v/>
      </c>
      <c r="BM53" s="91" t="str">
        <f t="shared" si="99"/>
        <v/>
      </c>
      <c r="BN53" s="91" t="str">
        <f t="shared" si="99"/>
        <v/>
      </c>
      <c r="BO53" s="91" t="str">
        <f t="shared" si="99"/>
        <v/>
      </c>
      <c r="BP53" s="91" t="str">
        <f t="shared" si="99"/>
        <v/>
      </c>
      <c r="BQ53" s="91" t="str">
        <f t="shared" si="99"/>
        <v/>
      </c>
      <c r="BR53" s="91" t="str">
        <f t="shared" si="99"/>
        <v/>
      </c>
      <c r="BS53" s="91" t="str">
        <f t="shared" si="99"/>
        <v/>
      </c>
      <c r="BT53" s="91" t="str">
        <f t="shared" si="99"/>
        <v/>
      </c>
      <c r="BU53" s="91" t="str">
        <f t="shared" ref="BU53:DT57" si="100">IF($B53=BU$12,$U53,"")</f>
        <v/>
      </c>
      <c r="BV53" s="91" t="str">
        <f t="shared" si="100"/>
        <v/>
      </c>
      <c r="BW53" s="91" t="str">
        <f t="shared" si="100"/>
        <v/>
      </c>
      <c r="BX53" s="91" t="str">
        <f t="shared" si="100"/>
        <v/>
      </c>
      <c r="BY53" s="91" t="str">
        <f t="shared" si="100"/>
        <v/>
      </c>
      <c r="BZ53" s="91" t="str">
        <f t="shared" si="100"/>
        <v/>
      </c>
      <c r="CA53" s="91" t="str">
        <f t="shared" si="100"/>
        <v/>
      </c>
      <c r="CB53" s="91" t="str">
        <f t="shared" si="100"/>
        <v/>
      </c>
      <c r="CC53" s="91" t="str">
        <f t="shared" si="100"/>
        <v/>
      </c>
      <c r="CD53" s="91" t="str">
        <f t="shared" si="100"/>
        <v/>
      </c>
      <c r="CE53" s="91" t="str">
        <f t="shared" si="100"/>
        <v/>
      </c>
      <c r="CF53" s="91" t="str">
        <f t="shared" si="100"/>
        <v/>
      </c>
      <c r="CG53" s="91" t="str">
        <f t="shared" si="100"/>
        <v/>
      </c>
      <c r="CH53" s="91" t="str">
        <f t="shared" si="100"/>
        <v/>
      </c>
      <c r="CI53" s="91" t="str">
        <f t="shared" si="100"/>
        <v/>
      </c>
      <c r="CJ53" s="91" t="str">
        <f t="shared" si="100"/>
        <v/>
      </c>
      <c r="CK53" s="91" t="str">
        <f t="shared" si="100"/>
        <v/>
      </c>
      <c r="CL53" s="91" t="str">
        <f t="shared" si="100"/>
        <v/>
      </c>
      <c r="CM53" s="91" t="str">
        <f t="shared" si="100"/>
        <v/>
      </c>
      <c r="CN53" s="91" t="str">
        <f t="shared" si="100"/>
        <v/>
      </c>
      <c r="CO53" s="91" t="str">
        <f t="shared" si="100"/>
        <v/>
      </c>
      <c r="CP53" s="91" t="str">
        <f t="shared" si="100"/>
        <v/>
      </c>
      <c r="CQ53" s="91" t="str">
        <f t="shared" si="100"/>
        <v/>
      </c>
      <c r="CR53" s="91" t="str">
        <f t="shared" si="100"/>
        <v/>
      </c>
      <c r="CS53" s="91" t="str">
        <f t="shared" si="100"/>
        <v/>
      </c>
      <c r="CT53" s="91" t="str">
        <f t="shared" si="100"/>
        <v/>
      </c>
      <c r="CU53" s="91" t="str">
        <f t="shared" si="100"/>
        <v/>
      </c>
      <c r="CV53" s="91" t="str">
        <f t="shared" si="100"/>
        <v/>
      </c>
      <c r="CW53" s="91" t="str">
        <f t="shared" si="100"/>
        <v/>
      </c>
      <c r="CX53" s="91" t="str">
        <f t="shared" si="100"/>
        <v/>
      </c>
      <c r="CY53" s="91" t="str">
        <f t="shared" si="100"/>
        <v/>
      </c>
      <c r="CZ53" s="91" t="str">
        <f t="shared" si="100"/>
        <v/>
      </c>
      <c r="DA53" s="91" t="str">
        <f t="shared" si="100"/>
        <v/>
      </c>
      <c r="DB53" s="91" t="str">
        <f t="shared" si="100"/>
        <v/>
      </c>
      <c r="DC53" s="91" t="str">
        <f t="shared" si="100"/>
        <v/>
      </c>
      <c r="DD53" s="91" t="str">
        <f t="shared" si="100"/>
        <v/>
      </c>
      <c r="DE53" s="91" t="str">
        <f t="shared" si="100"/>
        <v/>
      </c>
      <c r="DF53" s="91" t="str">
        <f t="shared" si="100"/>
        <v/>
      </c>
      <c r="DG53" s="91" t="str">
        <f t="shared" si="100"/>
        <v/>
      </c>
      <c r="DH53" s="91" t="str">
        <f t="shared" si="100"/>
        <v/>
      </c>
      <c r="DI53" s="91" t="str">
        <f t="shared" si="100"/>
        <v/>
      </c>
      <c r="DJ53" s="91" t="str">
        <f t="shared" si="100"/>
        <v/>
      </c>
      <c r="DK53" s="91" t="str">
        <f t="shared" si="100"/>
        <v/>
      </c>
      <c r="DL53" s="91" t="str">
        <f t="shared" si="100"/>
        <v/>
      </c>
      <c r="DM53" s="91" t="str">
        <f t="shared" si="100"/>
        <v/>
      </c>
      <c r="DN53" s="91" t="str">
        <f t="shared" si="100"/>
        <v/>
      </c>
      <c r="DO53" s="91" t="str">
        <f t="shared" si="100"/>
        <v/>
      </c>
      <c r="DP53" s="91" t="str">
        <f t="shared" si="100"/>
        <v/>
      </c>
      <c r="DQ53" s="91" t="str">
        <f t="shared" si="100"/>
        <v/>
      </c>
      <c r="DR53" s="91" t="str">
        <f t="shared" si="100"/>
        <v/>
      </c>
      <c r="DS53" s="91" t="str">
        <f t="shared" si="100"/>
        <v/>
      </c>
      <c r="DT53" s="105" t="str">
        <f t="shared" si="100"/>
        <v/>
      </c>
      <c r="DU53" s="54"/>
      <c r="DV53" s="25"/>
      <c r="DW53" s="92" t="str">
        <f t="shared" ref="DW53:EL59" si="101">IF($B53=DW$12,$O53,"")</f>
        <v/>
      </c>
      <c r="DX53" s="93" t="str">
        <f t="shared" si="101"/>
        <v/>
      </c>
      <c r="DY53" s="93" t="str">
        <f t="shared" si="101"/>
        <v/>
      </c>
      <c r="DZ53" s="93" t="str">
        <f t="shared" si="101"/>
        <v/>
      </c>
      <c r="EA53" s="93" t="str">
        <f t="shared" si="101"/>
        <v/>
      </c>
      <c r="EB53" s="93" t="str">
        <f t="shared" si="101"/>
        <v/>
      </c>
      <c r="EC53" s="93" t="str">
        <f t="shared" si="101"/>
        <v/>
      </c>
      <c r="ED53" s="93" t="str">
        <f t="shared" si="101"/>
        <v/>
      </c>
      <c r="EE53" s="93" t="str">
        <f t="shared" si="101"/>
        <v/>
      </c>
      <c r="EF53" s="93" t="str">
        <f t="shared" si="101"/>
        <v/>
      </c>
      <c r="EG53" s="93" t="str">
        <f t="shared" si="101"/>
        <v/>
      </c>
      <c r="EH53" s="93" t="str">
        <f t="shared" si="101"/>
        <v/>
      </c>
      <c r="EI53" s="93" t="str">
        <f t="shared" si="101"/>
        <v/>
      </c>
      <c r="EJ53" s="93" t="str">
        <f t="shared" si="101"/>
        <v/>
      </c>
      <c r="EK53" s="93" t="str">
        <f t="shared" si="101"/>
        <v/>
      </c>
      <c r="EL53" s="93" t="str">
        <f t="shared" si="101"/>
        <v/>
      </c>
      <c r="EM53" s="93" t="str">
        <f t="shared" ref="EM53:FB59" si="102">IF($B53=EM$12,$O53,"")</f>
        <v/>
      </c>
      <c r="EN53" s="93" t="str">
        <f t="shared" si="102"/>
        <v/>
      </c>
      <c r="EO53" s="93" t="str">
        <f t="shared" si="102"/>
        <v/>
      </c>
      <c r="EP53" s="93" t="str">
        <f t="shared" si="102"/>
        <v/>
      </c>
      <c r="EQ53" s="93" t="str">
        <f t="shared" si="102"/>
        <v/>
      </c>
      <c r="ER53" s="93" t="str">
        <f t="shared" si="102"/>
        <v/>
      </c>
      <c r="ES53" s="93" t="str">
        <f t="shared" si="102"/>
        <v/>
      </c>
      <c r="ET53" s="93" t="str">
        <f t="shared" si="102"/>
        <v/>
      </c>
      <c r="EU53" s="93" t="str">
        <f t="shared" si="102"/>
        <v/>
      </c>
      <c r="EV53" s="93" t="str">
        <f t="shared" si="102"/>
        <v/>
      </c>
      <c r="EW53" s="93" t="str">
        <f t="shared" si="102"/>
        <v/>
      </c>
      <c r="EX53" s="93" t="str">
        <f t="shared" si="102"/>
        <v/>
      </c>
      <c r="EY53" s="93" t="str">
        <f t="shared" si="102"/>
        <v/>
      </c>
      <c r="EZ53" s="93" t="str">
        <f t="shared" si="102"/>
        <v/>
      </c>
      <c r="FA53" s="93" t="str">
        <f t="shared" si="102"/>
        <v/>
      </c>
      <c r="FB53" s="93" t="str">
        <f t="shared" si="102"/>
        <v/>
      </c>
      <c r="FC53" s="93" t="str">
        <f t="shared" ref="FC53:FR59" si="103">IF($B53=FC$12,$O53,"")</f>
        <v/>
      </c>
      <c r="FD53" s="93" t="str">
        <f t="shared" si="103"/>
        <v/>
      </c>
      <c r="FE53" s="93" t="str">
        <f t="shared" si="103"/>
        <v/>
      </c>
      <c r="FF53" s="93" t="str">
        <f t="shared" si="103"/>
        <v/>
      </c>
      <c r="FG53" s="93" t="str">
        <f t="shared" si="103"/>
        <v/>
      </c>
      <c r="FH53" s="93" t="str">
        <f t="shared" si="103"/>
        <v/>
      </c>
      <c r="FI53" s="93" t="str">
        <f t="shared" si="103"/>
        <v/>
      </c>
      <c r="FJ53" s="93" t="str">
        <f t="shared" si="103"/>
        <v/>
      </c>
      <c r="FK53" s="93" t="str">
        <f t="shared" si="103"/>
        <v/>
      </c>
      <c r="FL53" s="93" t="str">
        <f t="shared" si="103"/>
        <v/>
      </c>
      <c r="FM53" s="93" t="str">
        <f t="shared" si="103"/>
        <v/>
      </c>
      <c r="FN53" s="93" t="str">
        <f t="shared" si="103"/>
        <v/>
      </c>
      <c r="FO53" s="93" t="str">
        <f t="shared" si="103"/>
        <v/>
      </c>
      <c r="FP53" s="93" t="str">
        <f t="shared" si="103"/>
        <v/>
      </c>
      <c r="FQ53" s="93" t="str">
        <f t="shared" si="103"/>
        <v/>
      </c>
      <c r="FR53" s="93" t="str">
        <f t="shared" si="103"/>
        <v/>
      </c>
      <c r="FS53" s="93" t="str">
        <f t="shared" ref="FS53:HR57" si="104">IF($B53=FS$12,$O53,"")</f>
        <v/>
      </c>
      <c r="FT53" s="93" t="str">
        <f t="shared" si="104"/>
        <v/>
      </c>
      <c r="FU53" s="93" t="str">
        <f t="shared" si="104"/>
        <v/>
      </c>
      <c r="FV53" s="93" t="str">
        <f t="shared" si="104"/>
        <v/>
      </c>
      <c r="FW53" s="93" t="str">
        <f t="shared" si="104"/>
        <v/>
      </c>
      <c r="FX53" s="93" t="str">
        <f t="shared" si="104"/>
        <v/>
      </c>
      <c r="FY53" s="93" t="str">
        <f t="shared" si="104"/>
        <v/>
      </c>
      <c r="FZ53" s="93" t="str">
        <f t="shared" si="104"/>
        <v/>
      </c>
      <c r="GA53" s="93" t="str">
        <f t="shared" si="104"/>
        <v/>
      </c>
      <c r="GB53" s="93" t="str">
        <f t="shared" si="104"/>
        <v/>
      </c>
      <c r="GC53" s="93" t="str">
        <f t="shared" si="104"/>
        <v/>
      </c>
      <c r="GD53" s="93" t="str">
        <f t="shared" si="104"/>
        <v/>
      </c>
      <c r="GE53" s="93" t="str">
        <f t="shared" si="104"/>
        <v/>
      </c>
      <c r="GF53" s="93" t="str">
        <f t="shared" si="104"/>
        <v/>
      </c>
      <c r="GG53" s="93" t="str">
        <f t="shared" si="104"/>
        <v/>
      </c>
      <c r="GH53" s="93" t="str">
        <f t="shared" si="104"/>
        <v/>
      </c>
      <c r="GI53" s="93" t="str">
        <f t="shared" si="104"/>
        <v/>
      </c>
      <c r="GJ53" s="93" t="str">
        <f t="shared" si="104"/>
        <v/>
      </c>
      <c r="GK53" s="93" t="str">
        <f t="shared" si="104"/>
        <v/>
      </c>
      <c r="GL53" s="93" t="str">
        <f t="shared" si="104"/>
        <v/>
      </c>
      <c r="GM53" s="93" t="str">
        <f t="shared" si="104"/>
        <v/>
      </c>
      <c r="GN53" s="93" t="str">
        <f t="shared" si="104"/>
        <v/>
      </c>
      <c r="GO53" s="93" t="str">
        <f t="shared" si="104"/>
        <v/>
      </c>
      <c r="GP53" s="93" t="str">
        <f t="shared" si="104"/>
        <v/>
      </c>
      <c r="GQ53" s="93" t="str">
        <f t="shared" si="104"/>
        <v/>
      </c>
      <c r="GR53" s="93" t="str">
        <f t="shared" si="104"/>
        <v/>
      </c>
      <c r="GS53" s="93" t="str">
        <f t="shared" si="104"/>
        <v/>
      </c>
      <c r="GT53" s="93" t="str">
        <f t="shared" si="104"/>
        <v/>
      </c>
      <c r="GU53" s="93" t="str">
        <f t="shared" si="104"/>
        <v/>
      </c>
      <c r="GV53" s="93" t="str">
        <f t="shared" si="104"/>
        <v/>
      </c>
      <c r="GW53" s="93" t="str">
        <f t="shared" si="104"/>
        <v/>
      </c>
      <c r="GX53" s="93" t="str">
        <f t="shared" si="104"/>
        <v/>
      </c>
      <c r="GY53" s="93" t="str">
        <f t="shared" si="104"/>
        <v/>
      </c>
      <c r="GZ53" s="93" t="str">
        <f t="shared" si="104"/>
        <v/>
      </c>
      <c r="HA53" s="93" t="str">
        <f t="shared" si="104"/>
        <v/>
      </c>
      <c r="HB53" s="93" t="str">
        <f t="shared" si="104"/>
        <v/>
      </c>
      <c r="HC53" s="93" t="str">
        <f t="shared" si="104"/>
        <v/>
      </c>
      <c r="HD53" s="93" t="str">
        <f t="shared" si="104"/>
        <v/>
      </c>
      <c r="HE53" s="93" t="str">
        <f t="shared" si="104"/>
        <v/>
      </c>
      <c r="HF53" s="93" t="str">
        <f t="shared" si="104"/>
        <v/>
      </c>
      <c r="HG53" s="93" t="str">
        <f t="shared" si="104"/>
        <v/>
      </c>
      <c r="HH53" s="93" t="str">
        <f t="shared" si="104"/>
        <v/>
      </c>
      <c r="HI53" s="93" t="str">
        <f t="shared" si="104"/>
        <v/>
      </c>
      <c r="HJ53" s="93" t="str">
        <f t="shared" si="104"/>
        <v/>
      </c>
      <c r="HK53" s="93" t="str">
        <f t="shared" si="104"/>
        <v/>
      </c>
      <c r="HL53" s="93" t="str">
        <f t="shared" si="104"/>
        <v/>
      </c>
      <c r="HM53" s="93" t="str">
        <f t="shared" si="104"/>
        <v/>
      </c>
      <c r="HN53" s="93" t="str">
        <f t="shared" si="104"/>
        <v/>
      </c>
      <c r="HO53" s="93" t="str">
        <f t="shared" si="104"/>
        <v/>
      </c>
      <c r="HP53" s="93" t="str">
        <f t="shared" si="104"/>
        <v/>
      </c>
      <c r="HQ53" s="93" t="str">
        <f t="shared" si="104"/>
        <v/>
      </c>
      <c r="HR53" s="111" t="str">
        <f t="shared" si="104"/>
        <v/>
      </c>
    </row>
    <row r="54" spans="1:226" ht="11.1" customHeight="1" x14ac:dyDescent="0.25">
      <c r="A54" s="26" t="s">
        <v>43</v>
      </c>
      <c r="B54" s="27">
        <v>75</v>
      </c>
      <c r="C54" s="28" t="str">
        <f>IF(A54=0,"",VLOOKUP(A54,[2]CO!$A$3:$F$5327,2,0))</f>
        <v>Lote</v>
      </c>
      <c r="D54" s="29" t="s">
        <v>19</v>
      </c>
      <c r="E54" s="29"/>
      <c r="F54" s="101" t="str">
        <f t="shared" si="94"/>
        <v>10% DE $8034.95</v>
      </c>
      <c r="G54" s="30" t="str">
        <f>IF(A54=0,"",VLOOKUP(A54,[2]CO!$A$3:$F$5327,3,0))</f>
        <v>LOTE</v>
      </c>
      <c r="H54" s="95">
        <v>0.1</v>
      </c>
      <c r="I54" s="31"/>
      <c r="J54" s="31"/>
      <c r="K54" s="31"/>
      <c r="L54" s="31">
        <v>1</v>
      </c>
      <c r="M54" s="32">
        <f t="shared" si="95"/>
        <v>8.0349500000000003</v>
      </c>
      <c r="N54" s="32">
        <f>IF(B54=0,"",IF(H54="M",HLOOKUP(B54,$Y$12:$DT$13,2),IF(A54=0,"",VLOOKUP(A54,[2]CO!$A$3:$F$5327,4,0))))</f>
        <v>100</v>
      </c>
      <c r="O54" s="32">
        <f t="shared" si="16"/>
        <v>803.495</v>
      </c>
      <c r="P54" s="33">
        <v>75</v>
      </c>
      <c r="Q54" s="34">
        <f t="shared" si="96"/>
        <v>803.495</v>
      </c>
      <c r="R54" s="35"/>
      <c r="T54" s="53">
        <f>IF(A54=0,"",VLOOKUP(A54,[2]CO!$A$3:$F$5318,5,0))</f>
        <v>0</v>
      </c>
      <c r="U54" s="54">
        <f t="shared" si="57"/>
        <v>0</v>
      </c>
      <c r="V54" s="24"/>
      <c r="W54" s="25"/>
      <c r="X54" s="25"/>
      <c r="Y54" s="64" t="str">
        <f t="shared" si="97"/>
        <v/>
      </c>
      <c r="Z54" s="55" t="str">
        <f t="shared" si="97"/>
        <v/>
      </c>
      <c r="AA54" s="55" t="str">
        <f t="shared" si="97"/>
        <v/>
      </c>
      <c r="AB54" s="55" t="str">
        <f t="shared" si="97"/>
        <v/>
      </c>
      <c r="AC54" s="55" t="str">
        <f t="shared" si="97"/>
        <v/>
      </c>
      <c r="AD54" s="55" t="str">
        <f t="shared" si="97"/>
        <v/>
      </c>
      <c r="AE54" s="55" t="str">
        <f t="shared" si="97"/>
        <v/>
      </c>
      <c r="AF54" s="55" t="str">
        <f t="shared" si="97"/>
        <v/>
      </c>
      <c r="AG54" s="55" t="str">
        <f t="shared" si="97"/>
        <v/>
      </c>
      <c r="AH54" s="55" t="str">
        <f t="shared" si="97"/>
        <v/>
      </c>
      <c r="AI54" s="55" t="str">
        <f t="shared" si="97"/>
        <v/>
      </c>
      <c r="AJ54" s="55" t="str">
        <f t="shared" si="97"/>
        <v/>
      </c>
      <c r="AK54" s="55" t="str">
        <f t="shared" si="97"/>
        <v/>
      </c>
      <c r="AL54" s="55" t="str">
        <f t="shared" si="97"/>
        <v/>
      </c>
      <c r="AM54" s="55" t="str">
        <f t="shared" si="97"/>
        <v/>
      </c>
      <c r="AN54" s="55" t="str">
        <f t="shared" si="97"/>
        <v/>
      </c>
      <c r="AO54" s="55" t="str">
        <f t="shared" si="98"/>
        <v/>
      </c>
      <c r="AP54" s="55" t="str">
        <f t="shared" si="98"/>
        <v/>
      </c>
      <c r="AQ54" s="55" t="str">
        <f t="shared" si="98"/>
        <v/>
      </c>
      <c r="AR54" s="55" t="str">
        <f t="shared" si="98"/>
        <v/>
      </c>
      <c r="AS54" s="55" t="str">
        <f t="shared" si="98"/>
        <v/>
      </c>
      <c r="AT54" s="55" t="str">
        <f t="shared" si="98"/>
        <v/>
      </c>
      <c r="AU54" s="55" t="str">
        <f t="shared" si="98"/>
        <v/>
      </c>
      <c r="AV54" s="55" t="str">
        <f t="shared" si="98"/>
        <v/>
      </c>
      <c r="AW54" s="55" t="str">
        <f t="shared" si="98"/>
        <v/>
      </c>
      <c r="AX54" s="55" t="str">
        <f t="shared" si="98"/>
        <v/>
      </c>
      <c r="AY54" s="55" t="str">
        <f t="shared" si="98"/>
        <v/>
      </c>
      <c r="AZ54" s="55" t="str">
        <f t="shared" si="98"/>
        <v/>
      </c>
      <c r="BA54" s="55" t="str">
        <f t="shared" si="98"/>
        <v/>
      </c>
      <c r="BB54" s="55" t="str">
        <f t="shared" si="98"/>
        <v/>
      </c>
      <c r="BC54" s="55" t="str">
        <f t="shared" si="98"/>
        <v/>
      </c>
      <c r="BD54" s="55" t="str">
        <f t="shared" si="98"/>
        <v/>
      </c>
      <c r="BE54" s="55" t="str">
        <f t="shared" si="99"/>
        <v/>
      </c>
      <c r="BF54" s="55" t="str">
        <f t="shared" si="99"/>
        <v/>
      </c>
      <c r="BG54" s="55" t="str">
        <f t="shared" si="99"/>
        <v/>
      </c>
      <c r="BH54" s="55" t="str">
        <f t="shared" si="99"/>
        <v/>
      </c>
      <c r="BI54" s="55" t="str">
        <f t="shared" si="99"/>
        <v/>
      </c>
      <c r="BJ54" s="55" t="str">
        <f t="shared" si="99"/>
        <v/>
      </c>
      <c r="BK54" s="55" t="str">
        <f t="shared" si="99"/>
        <v/>
      </c>
      <c r="BL54" s="55" t="str">
        <f t="shared" si="99"/>
        <v/>
      </c>
      <c r="BM54" s="55" t="str">
        <f t="shared" si="99"/>
        <v/>
      </c>
      <c r="BN54" s="55" t="str">
        <f t="shared" si="99"/>
        <v/>
      </c>
      <c r="BO54" s="55" t="str">
        <f t="shared" si="99"/>
        <v/>
      </c>
      <c r="BP54" s="55" t="str">
        <f t="shared" si="99"/>
        <v/>
      </c>
      <c r="BQ54" s="55" t="str">
        <f t="shared" si="99"/>
        <v/>
      </c>
      <c r="BR54" s="55" t="str">
        <f t="shared" si="99"/>
        <v/>
      </c>
      <c r="BS54" s="55" t="str">
        <f t="shared" si="99"/>
        <v/>
      </c>
      <c r="BT54" s="55" t="str">
        <f t="shared" si="99"/>
        <v/>
      </c>
      <c r="BU54" s="55" t="str">
        <f t="shared" si="100"/>
        <v/>
      </c>
      <c r="BV54" s="55" t="str">
        <f t="shared" si="100"/>
        <v/>
      </c>
      <c r="BW54" s="55" t="str">
        <f t="shared" si="100"/>
        <v/>
      </c>
      <c r="BX54" s="55" t="str">
        <f t="shared" si="100"/>
        <v/>
      </c>
      <c r="BY54" s="55" t="str">
        <f t="shared" si="100"/>
        <v/>
      </c>
      <c r="BZ54" s="55" t="str">
        <f t="shared" si="100"/>
        <v/>
      </c>
      <c r="CA54" s="55" t="str">
        <f t="shared" si="100"/>
        <v/>
      </c>
      <c r="CB54" s="55" t="str">
        <f t="shared" si="100"/>
        <v/>
      </c>
      <c r="CC54" s="55" t="str">
        <f t="shared" si="100"/>
        <v/>
      </c>
      <c r="CD54" s="55" t="str">
        <f t="shared" si="100"/>
        <v/>
      </c>
      <c r="CE54" s="55" t="str">
        <f t="shared" si="100"/>
        <v/>
      </c>
      <c r="CF54" s="55" t="str">
        <f t="shared" si="100"/>
        <v/>
      </c>
      <c r="CG54" s="55" t="str">
        <f t="shared" si="100"/>
        <v/>
      </c>
      <c r="CH54" s="55" t="str">
        <f t="shared" si="100"/>
        <v/>
      </c>
      <c r="CI54" s="55" t="str">
        <f t="shared" si="100"/>
        <v/>
      </c>
      <c r="CJ54" s="55" t="str">
        <f t="shared" si="100"/>
        <v/>
      </c>
      <c r="CK54" s="55" t="str">
        <f t="shared" si="100"/>
        <v/>
      </c>
      <c r="CL54" s="55" t="str">
        <f t="shared" si="100"/>
        <v/>
      </c>
      <c r="CM54" s="55" t="str">
        <f t="shared" si="100"/>
        <v/>
      </c>
      <c r="CN54" s="55" t="str">
        <f t="shared" si="100"/>
        <v/>
      </c>
      <c r="CO54" s="55" t="str">
        <f t="shared" si="100"/>
        <v/>
      </c>
      <c r="CP54" s="55" t="str">
        <f t="shared" si="100"/>
        <v/>
      </c>
      <c r="CQ54" s="55" t="str">
        <f t="shared" si="100"/>
        <v/>
      </c>
      <c r="CR54" s="55" t="str">
        <f t="shared" si="100"/>
        <v/>
      </c>
      <c r="CS54" s="55" t="str">
        <f t="shared" si="100"/>
        <v/>
      </c>
      <c r="CT54" s="55" t="str">
        <f t="shared" si="100"/>
        <v/>
      </c>
      <c r="CU54" s="55">
        <f t="shared" si="100"/>
        <v>0</v>
      </c>
      <c r="CV54" s="55" t="str">
        <f t="shared" si="100"/>
        <v/>
      </c>
      <c r="CW54" s="55" t="str">
        <f t="shared" si="100"/>
        <v/>
      </c>
      <c r="CX54" s="55" t="str">
        <f t="shared" si="100"/>
        <v/>
      </c>
      <c r="CY54" s="55" t="str">
        <f t="shared" si="100"/>
        <v/>
      </c>
      <c r="CZ54" s="55" t="str">
        <f t="shared" si="100"/>
        <v/>
      </c>
      <c r="DA54" s="55" t="str">
        <f t="shared" si="100"/>
        <v/>
      </c>
      <c r="DB54" s="55" t="str">
        <f t="shared" si="100"/>
        <v/>
      </c>
      <c r="DC54" s="55" t="str">
        <f t="shared" si="100"/>
        <v/>
      </c>
      <c r="DD54" s="55" t="str">
        <f t="shared" si="100"/>
        <v/>
      </c>
      <c r="DE54" s="55" t="str">
        <f t="shared" si="100"/>
        <v/>
      </c>
      <c r="DF54" s="55" t="str">
        <f t="shared" si="100"/>
        <v/>
      </c>
      <c r="DG54" s="55" t="str">
        <f t="shared" si="100"/>
        <v/>
      </c>
      <c r="DH54" s="55" t="str">
        <f t="shared" si="100"/>
        <v/>
      </c>
      <c r="DI54" s="55" t="str">
        <f t="shared" si="100"/>
        <v/>
      </c>
      <c r="DJ54" s="55" t="str">
        <f t="shared" si="100"/>
        <v/>
      </c>
      <c r="DK54" s="55" t="str">
        <f t="shared" si="100"/>
        <v/>
      </c>
      <c r="DL54" s="55" t="str">
        <f t="shared" si="100"/>
        <v/>
      </c>
      <c r="DM54" s="55" t="str">
        <f t="shared" si="100"/>
        <v/>
      </c>
      <c r="DN54" s="55" t="str">
        <f t="shared" si="100"/>
        <v/>
      </c>
      <c r="DO54" s="55" t="str">
        <f t="shared" si="100"/>
        <v/>
      </c>
      <c r="DP54" s="55" t="str">
        <f t="shared" si="100"/>
        <v/>
      </c>
      <c r="DQ54" s="55" t="str">
        <f t="shared" si="100"/>
        <v/>
      </c>
      <c r="DR54" s="55" t="str">
        <f t="shared" si="100"/>
        <v/>
      </c>
      <c r="DS54" s="55" t="str">
        <f t="shared" si="100"/>
        <v/>
      </c>
      <c r="DT54" s="106" t="str">
        <f t="shared" si="100"/>
        <v/>
      </c>
      <c r="DU54" s="54"/>
      <c r="DV54" s="25"/>
      <c r="DW54" s="61" t="str">
        <f t="shared" si="101"/>
        <v/>
      </c>
      <c r="DX54" s="50" t="str">
        <f t="shared" si="101"/>
        <v/>
      </c>
      <c r="DY54" s="50" t="str">
        <f t="shared" si="101"/>
        <v/>
      </c>
      <c r="DZ54" s="50" t="str">
        <f t="shared" si="101"/>
        <v/>
      </c>
      <c r="EA54" s="50" t="str">
        <f t="shared" si="101"/>
        <v/>
      </c>
      <c r="EB54" s="50" t="str">
        <f t="shared" si="101"/>
        <v/>
      </c>
      <c r="EC54" s="50" t="str">
        <f t="shared" si="101"/>
        <v/>
      </c>
      <c r="ED54" s="50" t="str">
        <f t="shared" si="101"/>
        <v/>
      </c>
      <c r="EE54" s="50" t="str">
        <f t="shared" si="101"/>
        <v/>
      </c>
      <c r="EF54" s="50" t="str">
        <f t="shared" si="101"/>
        <v/>
      </c>
      <c r="EG54" s="50" t="str">
        <f t="shared" si="101"/>
        <v/>
      </c>
      <c r="EH54" s="50" t="str">
        <f t="shared" si="101"/>
        <v/>
      </c>
      <c r="EI54" s="50" t="str">
        <f t="shared" si="101"/>
        <v/>
      </c>
      <c r="EJ54" s="50" t="str">
        <f t="shared" si="101"/>
        <v/>
      </c>
      <c r="EK54" s="50" t="str">
        <f t="shared" si="101"/>
        <v/>
      </c>
      <c r="EL54" s="50" t="str">
        <f t="shared" si="101"/>
        <v/>
      </c>
      <c r="EM54" s="50" t="str">
        <f t="shared" si="102"/>
        <v/>
      </c>
      <c r="EN54" s="50" t="str">
        <f t="shared" si="102"/>
        <v/>
      </c>
      <c r="EO54" s="50" t="str">
        <f t="shared" si="102"/>
        <v/>
      </c>
      <c r="EP54" s="50" t="str">
        <f t="shared" si="102"/>
        <v/>
      </c>
      <c r="EQ54" s="50" t="str">
        <f t="shared" si="102"/>
        <v/>
      </c>
      <c r="ER54" s="50" t="str">
        <f t="shared" si="102"/>
        <v/>
      </c>
      <c r="ES54" s="50" t="str">
        <f t="shared" si="102"/>
        <v/>
      </c>
      <c r="ET54" s="50" t="str">
        <f t="shared" si="102"/>
        <v/>
      </c>
      <c r="EU54" s="50" t="str">
        <f t="shared" si="102"/>
        <v/>
      </c>
      <c r="EV54" s="50" t="str">
        <f t="shared" si="102"/>
        <v/>
      </c>
      <c r="EW54" s="50" t="str">
        <f t="shared" si="102"/>
        <v/>
      </c>
      <c r="EX54" s="50" t="str">
        <f t="shared" si="102"/>
        <v/>
      </c>
      <c r="EY54" s="50" t="str">
        <f t="shared" si="102"/>
        <v/>
      </c>
      <c r="EZ54" s="50" t="str">
        <f t="shared" si="102"/>
        <v/>
      </c>
      <c r="FA54" s="50" t="str">
        <f t="shared" si="102"/>
        <v/>
      </c>
      <c r="FB54" s="50" t="str">
        <f t="shared" si="102"/>
        <v/>
      </c>
      <c r="FC54" s="50" t="str">
        <f t="shared" si="103"/>
        <v/>
      </c>
      <c r="FD54" s="50" t="str">
        <f t="shared" si="103"/>
        <v/>
      </c>
      <c r="FE54" s="50" t="str">
        <f t="shared" si="103"/>
        <v/>
      </c>
      <c r="FF54" s="50" t="str">
        <f t="shared" si="103"/>
        <v/>
      </c>
      <c r="FG54" s="50" t="str">
        <f t="shared" si="103"/>
        <v/>
      </c>
      <c r="FH54" s="50" t="str">
        <f t="shared" si="103"/>
        <v/>
      </c>
      <c r="FI54" s="50" t="str">
        <f t="shared" si="103"/>
        <v/>
      </c>
      <c r="FJ54" s="50" t="str">
        <f t="shared" si="103"/>
        <v/>
      </c>
      <c r="FK54" s="50" t="str">
        <f t="shared" si="103"/>
        <v/>
      </c>
      <c r="FL54" s="50" t="str">
        <f t="shared" si="103"/>
        <v/>
      </c>
      <c r="FM54" s="50" t="str">
        <f t="shared" si="103"/>
        <v/>
      </c>
      <c r="FN54" s="50" t="str">
        <f t="shared" si="103"/>
        <v/>
      </c>
      <c r="FO54" s="50" t="str">
        <f t="shared" si="103"/>
        <v/>
      </c>
      <c r="FP54" s="50" t="str">
        <f t="shared" si="103"/>
        <v/>
      </c>
      <c r="FQ54" s="50" t="str">
        <f t="shared" si="103"/>
        <v/>
      </c>
      <c r="FR54" s="50" t="str">
        <f t="shared" si="103"/>
        <v/>
      </c>
      <c r="FS54" s="50" t="str">
        <f t="shared" si="104"/>
        <v/>
      </c>
      <c r="FT54" s="50" t="str">
        <f t="shared" si="104"/>
        <v/>
      </c>
      <c r="FU54" s="50" t="str">
        <f t="shared" si="104"/>
        <v/>
      </c>
      <c r="FV54" s="50" t="str">
        <f t="shared" si="104"/>
        <v/>
      </c>
      <c r="FW54" s="50" t="str">
        <f t="shared" si="104"/>
        <v/>
      </c>
      <c r="FX54" s="50" t="str">
        <f t="shared" si="104"/>
        <v/>
      </c>
      <c r="FY54" s="50" t="str">
        <f t="shared" si="104"/>
        <v/>
      </c>
      <c r="FZ54" s="50" t="str">
        <f t="shared" si="104"/>
        <v/>
      </c>
      <c r="GA54" s="50" t="str">
        <f t="shared" si="104"/>
        <v/>
      </c>
      <c r="GB54" s="50" t="str">
        <f t="shared" si="104"/>
        <v/>
      </c>
      <c r="GC54" s="50" t="str">
        <f t="shared" si="104"/>
        <v/>
      </c>
      <c r="GD54" s="50" t="str">
        <f t="shared" si="104"/>
        <v/>
      </c>
      <c r="GE54" s="50" t="str">
        <f t="shared" si="104"/>
        <v/>
      </c>
      <c r="GF54" s="50" t="str">
        <f t="shared" si="104"/>
        <v/>
      </c>
      <c r="GG54" s="50" t="str">
        <f t="shared" si="104"/>
        <v/>
      </c>
      <c r="GH54" s="50" t="str">
        <f t="shared" si="104"/>
        <v/>
      </c>
      <c r="GI54" s="50" t="str">
        <f t="shared" si="104"/>
        <v/>
      </c>
      <c r="GJ54" s="50" t="str">
        <f t="shared" si="104"/>
        <v/>
      </c>
      <c r="GK54" s="50" t="str">
        <f t="shared" si="104"/>
        <v/>
      </c>
      <c r="GL54" s="50" t="str">
        <f t="shared" si="104"/>
        <v/>
      </c>
      <c r="GM54" s="50" t="str">
        <f t="shared" si="104"/>
        <v/>
      </c>
      <c r="GN54" s="50" t="str">
        <f t="shared" si="104"/>
        <v/>
      </c>
      <c r="GO54" s="50" t="str">
        <f t="shared" si="104"/>
        <v/>
      </c>
      <c r="GP54" s="50" t="str">
        <f t="shared" si="104"/>
        <v/>
      </c>
      <c r="GQ54" s="50" t="str">
        <f t="shared" si="104"/>
        <v/>
      </c>
      <c r="GR54" s="50" t="str">
        <f t="shared" si="104"/>
        <v/>
      </c>
      <c r="GS54" s="50">
        <f t="shared" si="104"/>
        <v>803.495</v>
      </c>
      <c r="GT54" s="50" t="str">
        <f t="shared" si="104"/>
        <v/>
      </c>
      <c r="GU54" s="50" t="str">
        <f t="shared" si="104"/>
        <v/>
      </c>
      <c r="GV54" s="50" t="str">
        <f t="shared" si="104"/>
        <v/>
      </c>
      <c r="GW54" s="50" t="str">
        <f t="shared" si="104"/>
        <v/>
      </c>
      <c r="GX54" s="50" t="str">
        <f t="shared" si="104"/>
        <v/>
      </c>
      <c r="GY54" s="50" t="str">
        <f t="shared" si="104"/>
        <v/>
      </c>
      <c r="GZ54" s="50" t="str">
        <f t="shared" si="104"/>
        <v/>
      </c>
      <c r="HA54" s="50" t="str">
        <f t="shared" si="104"/>
        <v/>
      </c>
      <c r="HB54" s="50" t="str">
        <f t="shared" si="104"/>
        <v/>
      </c>
      <c r="HC54" s="50" t="str">
        <f t="shared" si="104"/>
        <v/>
      </c>
      <c r="HD54" s="50" t="str">
        <f t="shared" si="104"/>
        <v/>
      </c>
      <c r="HE54" s="50" t="str">
        <f t="shared" si="104"/>
        <v/>
      </c>
      <c r="HF54" s="50" t="str">
        <f t="shared" si="104"/>
        <v/>
      </c>
      <c r="HG54" s="50" t="str">
        <f t="shared" si="104"/>
        <v/>
      </c>
      <c r="HH54" s="50" t="str">
        <f t="shared" si="104"/>
        <v/>
      </c>
      <c r="HI54" s="50" t="str">
        <f t="shared" si="104"/>
        <v/>
      </c>
      <c r="HJ54" s="50" t="str">
        <f t="shared" si="104"/>
        <v/>
      </c>
      <c r="HK54" s="50" t="str">
        <f t="shared" si="104"/>
        <v/>
      </c>
      <c r="HL54" s="50" t="str">
        <f t="shared" si="104"/>
        <v/>
      </c>
      <c r="HM54" s="50" t="str">
        <f t="shared" si="104"/>
        <v/>
      </c>
      <c r="HN54" s="50" t="str">
        <f t="shared" si="104"/>
        <v/>
      </c>
      <c r="HO54" s="50" t="str">
        <f t="shared" si="104"/>
        <v/>
      </c>
      <c r="HP54" s="50" t="str">
        <f t="shared" si="104"/>
        <v/>
      </c>
      <c r="HQ54" s="50" t="str">
        <f t="shared" si="104"/>
        <v/>
      </c>
      <c r="HR54" s="112" t="str">
        <f t="shared" si="104"/>
        <v/>
      </c>
    </row>
    <row r="55" spans="1:226" ht="11.1" customHeight="1" x14ac:dyDescent="0.25">
      <c r="A55" s="26"/>
      <c r="B55" s="27"/>
      <c r="C55" s="28" t="str">
        <f>IF(A55=0,"",VLOOKUP(A55,[2]CO!$A$3:$F$5327,2,0))</f>
        <v/>
      </c>
      <c r="D55" s="29"/>
      <c r="E55" s="29"/>
      <c r="F55" s="101" t="str">
        <f t="shared" si="94"/>
        <v/>
      </c>
      <c r="G55" s="30" t="str">
        <f>IF(A55=0,"",VLOOKUP(A55,[2]CO!$A$3:$F$5327,3,0))</f>
        <v/>
      </c>
      <c r="H55" s="95"/>
      <c r="I55" s="31"/>
      <c r="J55" s="31"/>
      <c r="K55" s="31"/>
      <c r="L55" s="31"/>
      <c r="M55" s="32" t="str">
        <f t="shared" si="95"/>
        <v/>
      </c>
      <c r="N55" s="32" t="str">
        <f>IF(B55=0,"",IF(H55="M",HLOOKUP(B55,$Y$12:$DT$13,2),IF(A55=0,"",VLOOKUP(A55,[2]CO!$A$3:$F$5327,4,0))))</f>
        <v/>
      </c>
      <c r="O55" s="32" t="str">
        <f t="shared" si="16"/>
        <v/>
      </c>
      <c r="P55" s="33"/>
      <c r="Q55" s="34" t="str">
        <f t="shared" si="96"/>
        <v/>
      </c>
      <c r="R55" s="35"/>
      <c r="T55" s="53" t="str">
        <f>IF(A55=0,"",VLOOKUP(A55,[2]CO!$A$3:$F$5318,5,0))</f>
        <v/>
      </c>
      <c r="U55" s="54">
        <f t="shared" si="57"/>
        <v>0</v>
      </c>
      <c r="V55" s="24"/>
      <c r="W55" s="25"/>
      <c r="X55" s="25"/>
      <c r="Y55" s="64" t="str">
        <f t="shared" si="97"/>
        <v/>
      </c>
      <c r="Z55" s="55" t="str">
        <f t="shared" si="97"/>
        <v/>
      </c>
      <c r="AA55" s="55" t="str">
        <f t="shared" si="97"/>
        <v/>
      </c>
      <c r="AB55" s="55" t="str">
        <f t="shared" si="97"/>
        <v/>
      </c>
      <c r="AC55" s="55" t="str">
        <f t="shared" si="97"/>
        <v/>
      </c>
      <c r="AD55" s="55" t="str">
        <f t="shared" si="97"/>
        <v/>
      </c>
      <c r="AE55" s="55" t="str">
        <f t="shared" si="97"/>
        <v/>
      </c>
      <c r="AF55" s="55" t="str">
        <f t="shared" si="97"/>
        <v/>
      </c>
      <c r="AG55" s="55" t="str">
        <f t="shared" si="97"/>
        <v/>
      </c>
      <c r="AH55" s="55" t="str">
        <f t="shared" si="97"/>
        <v/>
      </c>
      <c r="AI55" s="55" t="str">
        <f t="shared" si="97"/>
        <v/>
      </c>
      <c r="AJ55" s="55" t="str">
        <f t="shared" si="97"/>
        <v/>
      </c>
      <c r="AK55" s="55" t="str">
        <f t="shared" si="97"/>
        <v/>
      </c>
      <c r="AL55" s="55" t="str">
        <f t="shared" si="97"/>
        <v/>
      </c>
      <c r="AM55" s="55" t="str">
        <f t="shared" si="97"/>
        <v/>
      </c>
      <c r="AN55" s="55" t="str">
        <f t="shared" si="97"/>
        <v/>
      </c>
      <c r="AO55" s="55" t="str">
        <f t="shared" si="98"/>
        <v/>
      </c>
      <c r="AP55" s="55" t="str">
        <f t="shared" si="98"/>
        <v/>
      </c>
      <c r="AQ55" s="55" t="str">
        <f t="shared" si="98"/>
        <v/>
      </c>
      <c r="AR55" s="55" t="str">
        <f t="shared" si="98"/>
        <v/>
      </c>
      <c r="AS55" s="55" t="str">
        <f t="shared" si="98"/>
        <v/>
      </c>
      <c r="AT55" s="55" t="str">
        <f t="shared" si="98"/>
        <v/>
      </c>
      <c r="AU55" s="55" t="str">
        <f t="shared" si="98"/>
        <v/>
      </c>
      <c r="AV55" s="55" t="str">
        <f t="shared" si="98"/>
        <v/>
      </c>
      <c r="AW55" s="55" t="str">
        <f t="shared" si="98"/>
        <v/>
      </c>
      <c r="AX55" s="55" t="str">
        <f t="shared" si="98"/>
        <v/>
      </c>
      <c r="AY55" s="55" t="str">
        <f t="shared" si="98"/>
        <v/>
      </c>
      <c r="AZ55" s="55" t="str">
        <f t="shared" si="98"/>
        <v/>
      </c>
      <c r="BA55" s="55" t="str">
        <f t="shared" si="98"/>
        <v/>
      </c>
      <c r="BB55" s="55" t="str">
        <f t="shared" si="98"/>
        <v/>
      </c>
      <c r="BC55" s="55" t="str">
        <f t="shared" si="98"/>
        <v/>
      </c>
      <c r="BD55" s="55" t="str">
        <f t="shared" si="98"/>
        <v/>
      </c>
      <c r="BE55" s="55" t="str">
        <f t="shared" si="99"/>
        <v/>
      </c>
      <c r="BF55" s="55" t="str">
        <f t="shared" si="99"/>
        <v/>
      </c>
      <c r="BG55" s="55" t="str">
        <f t="shared" si="99"/>
        <v/>
      </c>
      <c r="BH55" s="55" t="str">
        <f t="shared" si="99"/>
        <v/>
      </c>
      <c r="BI55" s="55" t="str">
        <f t="shared" si="99"/>
        <v/>
      </c>
      <c r="BJ55" s="55" t="str">
        <f t="shared" si="99"/>
        <v/>
      </c>
      <c r="BK55" s="55" t="str">
        <f t="shared" si="99"/>
        <v/>
      </c>
      <c r="BL55" s="55" t="str">
        <f t="shared" si="99"/>
        <v/>
      </c>
      <c r="BM55" s="55" t="str">
        <f t="shared" si="99"/>
        <v/>
      </c>
      <c r="BN55" s="55" t="str">
        <f t="shared" si="99"/>
        <v/>
      </c>
      <c r="BO55" s="55" t="str">
        <f t="shared" si="99"/>
        <v/>
      </c>
      <c r="BP55" s="55" t="str">
        <f t="shared" si="99"/>
        <v/>
      </c>
      <c r="BQ55" s="55" t="str">
        <f t="shared" si="99"/>
        <v/>
      </c>
      <c r="BR55" s="55" t="str">
        <f t="shared" si="99"/>
        <v/>
      </c>
      <c r="BS55" s="55" t="str">
        <f t="shared" si="99"/>
        <v/>
      </c>
      <c r="BT55" s="55" t="str">
        <f t="shared" si="99"/>
        <v/>
      </c>
      <c r="BU55" s="55" t="str">
        <f t="shared" si="100"/>
        <v/>
      </c>
      <c r="BV55" s="55" t="str">
        <f t="shared" si="100"/>
        <v/>
      </c>
      <c r="BW55" s="55" t="str">
        <f t="shared" si="100"/>
        <v/>
      </c>
      <c r="BX55" s="55" t="str">
        <f t="shared" si="100"/>
        <v/>
      </c>
      <c r="BY55" s="55" t="str">
        <f t="shared" si="100"/>
        <v/>
      </c>
      <c r="BZ55" s="55" t="str">
        <f t="shared" si="100"/>
        <v/>
      </c>
      <c r="CA55" s="55" t="str">
        <f t="shared" si="100"/>
        <v/>
      </c>
      <c r="CB55" s="55" t="str">
        <f t="shared" si="100"/>
        <v/>
      </c>
      <c r="CC55" s="55" t="str">
        <f t="shared" si="100"/>
        <v/>
      </c>
      <c r="CD55" s="55" t="str">
        <f t="shared" si="100"/>
        <v/>
      </c>
      <c r="CE55" s="55" t="str">
        <f t="shared" si="100"/>
        <v/>
      </c>
      <c r="CF55" s="55" t="str">
        <f t="shared" si="100"/>
        <v/>
      </c>
      <c r="CG55" s="55" t="str">
        <f t="shared" si="100"/>
        <v/>
      </c>
      <c r="CH55" s="55" t="str">
        <f t="shared" si="100"/>
        <v/>
      </c>
      <c r="CI55" s="55" t="str">
        <f t="shared" si="100"/>
        <v/>
      </c>
      <c r="CJ55" s="55" t="str">
        <f t="shared" si="100"/>
        <v/>
      </c>
      <c r="CK55" s="55" t="str">
        <f t="shared" si="100"/>
        <v/>
      </c>
      <c r="CL55" s="55" t="str">
        <f t="shared" si="100"/>
        <v/>
      </c>
      <c r="CM55" s="55" t="str">
        <f t="shared" si="100"/>
        <v/>
      </c>
      <c r="CN55" s="55" t="str">
        <f t="shared" si="100"/>
        <v/>
      </c>
      <c r="CO55" s="55" t="str">
        <f t="shared" si="100"/>
        <v/>
      </c>
      <c r="CP55" s="55" t="str">
        <f t="shared" si="100"/>
        <v/>
      </c>
      <c r="CQ55" s="55" t="str">
        <f t="shared" si="100"/>
        <v/>
      </c>
      <c r="CR55" s="55" t="str">
        <f t="shared" si="100"/>
        <v/>
      </c>
      <c r="CS55" s="55" t="str">
        <f t="shared" si="100"/>
        <v/>
      </c>
      <c r="CT55" s="55" t="str">
        <f t="shared" si="100"/>
        <v/>
      </c>
      <c r="CU55" s="55" t="str">
        <f t="shared" si="100"/>
        <v/>
      </c>
      <c r="CV55" s="55" t="str">
        <f t="shared" si="100"/>
        <v/>
      </c>
      <c r="CW55" s="55" t="str">
        <f t="shared" si="100"/>
        <v/>
      </c>
      <c r="CX55" s="55" t="str">
        <f t="shared" si="100"/>
        <v/>
      </c>
      <c r="CY55" s="55" t="str">
        <f t="shared" si="100"/>
        <v/>
      </c>
      <c r="CZ55" s="55" t="str">
        <f t="shared" si="100"/>
        <v/>
      </c>
      <c r="DA55" s="55" t="str">
        <f t="shared" si="100"/>
        <v/>
      </c>
      <c r="DB55" s="55" t="str">
        <f t="shared" si="100"/>
        <v/>
      </c>
      <c r="DC55" s="55" t="str">
        <f t="shared" si="100"/>
        <v/>
      </c>
      <c r="DD55" s="55" t="str">
        <f t="shared" si="100"/>
        <v/>
      </c>
      <c r="DE55" s="55" t="str">
        <f t="shared" si="100"/>
        <v/>
      </c>
      <c r="DF55" s="55" t="str">
        <f t="shared" si="100"/>
        <v/>
      </c>
      <c r="DG55" s="55" t="str">
        <f t="shared" si="100"/>
        <v/>
      </c>
      <c r="DH55" s="55" t="str">
        <f t="shared" si="100"/>
        <v/>
      </c>
      <c r="DI55" s="55" t="str">
        <f t="shared" si="100"/>
        <v/>
      </c>
      <c r="DJ55" s="55" t="str">
        <f t="shared" si="100"/>
        <v/>
      </c>
      <c r="DK55" s="55" t="str">
        <f t="shared" si="100"/>
        <v/>
      </c>
      <c r="DL55" s="55" t="str">
        <f t="shared" si="100"/>
        <v/>
      </c>
      <c r="DM55" s="55" t="str">
        <f t="shared" si="100"/>
        <v/>
      </c>
      <c r="DN55" s="55" t="str">
        <f t="shared" si="100"/>
        <v/>
      </c>
      <c r="DO55" s="55" t="str">
        <f t="shared" si="100"/>
        <v/>
      </c>
      <c r="DP55" s="55" t="str">
        <f t="shared" si="100"/>
        <v/>
      </c>
      <c r="DQ55" s="55" t="str">
        <f t="shared" si="100"/>
        <v/>
      </c>
      <c r="DR55" s="55" t="str">
        <f t="shared" si="100"/>
        <v/>
      </c>
      <c r="DS55" s="55" t="str">
        <f t="shared" si="100"/>
        <v/>
      </c>
      <c r="DT55" s="106" t="str">
        <f t="shared" si="100"/>
        <v/>
      </c>
      <c r="DU55" s="54"/>
      <c r="DV55" s="25"/>
      <c r="DW55" s="61" t="str">
        <f t="shared" si="101"/>
        <v/>
      </c>
      <c r="DX55" s="50" t="str">
        <f t="shared" si="101"/>
        <v/>
      </c>
      <c r="DY55" s="50" t="str">
        <f t="shared" si="101"/>
        <v/>
      </c>
      <c r="DZ55" s="50" t="str">
        <f t="shared" si="101"/>
        <v/>
      </c>
      <c r="EA55" s="50" t="str">
        <f t="shared" si="101"/>
        <v/>
      </c>
      <c r="EB55" s="50" t="str">
        <f t="shared" si="101"/>
        <v/>
      </c>
      <c r="EC55" s="50" t="str">
        <f t="shared" si="101"/>
        <v/>
      </c>
      <c r="ED55" s="50" t="str">
        <f t="shared" si="101"/>
        <v/>
      </c>
      <c r="EE55" s="50" t="str">
        <f t="shared" si="101"/>
        <v/>
      </c>
      <c r="EF55" s="50" t="str">
        <f t="shared" si="101"/>
        <v/>
      </c>
      <c r="EG55" s="50" t="str">
        <f t="shared" si="101"/>
        <v/>
      </c>
      <c r="EH55" s="50" t="str">
        <f t="shared" si="101"/>
        <v/>
      </c>
      <c r="EI55" s="50" t="str">
        <f t="shared" si="101"/>
        <v/>
      </c>
      <c r="EJ55" s="50" t="str">
        <f t="shared" si="101"/>
        <v/>
      </c>
      <c r="EK55" s="50" t="str">
        <f t="shared" si="101"/>
        <v/>
      </c>
      <c r="EL55" s="50" t="str">
        <f t="shared" si="101"/>
        <v/>
      </c>
      <c r="EM55" s="50" t="str">
        <f t="shared" si="102"/>
        <v/>
      </c>
      <c r="EN55" s="50" t="str">
        <f t="shared" si="102"/>
        <v/>
      </c>
      <c r="EO55" s="50" t="str">
        <f t="shared" si="102"/>
        <v/>
      </c>
      <c r="EP55" s="50" t="str">
        <f t="shared" si="102"/>
        <v/>
      </c>
      <c r="EQ55" s="50" t="str">
        <f t="shared" si="102"/>
        <v/>
      </c>
      <c r="ER55" s="50" t="str">
        <f t="shared" si="102"/>
        <v/>
      </c>
      <c r="ES55" s="50" t="str">
        <f t="shared" si="102"/>
        <v/>
      </c>
      <c r="ET55" s="50" t="str">
        <f t="shared" si="102"/>
        <v/>
      </c>
      <c r="EU55" s="50" t="str">
        <f t="shared" si="102"/>
        <v/>
      </c>
      <c r="EV55" s="50" t="str">
        <f t="shared" si="102"/>
        <v/>
      </c>
      <c r="EW55" s="50" t="str">
        <f t="shared" si="102"/>
        <v/>
      </c>
      <c r="EX55" s="50" t="str">
        <f t="shared" si="102"/>
        <v/>
      </c>
      <c r="EY55" s="50" t="str">
        <f t="shared" si="102"/>
        <v/>
      </c>
      <c r="EZ55" s="50" t="str">
        <f t="shared" si="102"/>
        <v/>
      </c>
      <c r="FA55" s="50" t="str">
        <f t="shared" si="102"/>
        <v/>
      </c>
      <c r="FB55" s="50" t="str">
        <f t="shared" si="102"/>
        <v/>
      </c>
      <c r="FC55" s="50" t="str">
        <f t="shared" si="103"/>
        <v/>
      </c>
      <c r="FD55" s="50" t="str">
        <f t="shared" si="103"/>
        <v/>
      </c>
      <c r="FE55" s="50" t="str">
        <f t="shared" si="103"/>
        <v/>
      </c>
      <c r="FF55" s="50" t="str">
        <f t="shared" si="103"/>
        <v/>
      </c>
      <c r="FG55" s="50" t="str">
        <f t="shared" si="103"/>
        <v/>
      </c>
      <c r="FH55" s="50" t="str">
        <f t="shared" si="103"/>
        <v/>
      </c>
      <c r="FI55" s="50" t="str">
        <f t="shared" si="103"/>
        <v/>
      </c>
      <c r="FJ55" s="50" t="str">
        <f t="shared" si="103"/>
        <v/>
      </c>
      <c r="FK55" s="50" t="str">
        <f t="shared" si="103"/>
        <v/>
      </c>
      <c r="FL55" s="50" t="str">
        <f t="shared" si="103"/>
        <v/>
      </c>
      <c r="FM55" s="50" t="str">
        <f t="shared" si="103"/>
        <v/>
      </c>
      <c r="FN55" s="50" t="str">
        <f t="shared" si="103"/>
        <v/>
      </c>
      <c r="FO55" s="50" t="str">
        <f t="shared" si="103"/>
        <v/>
      </c>
      <c r="FP55" s="50" t="str">
        <f t="shared" si="103"/>
        <v/>
      </c>
      <c r="FQ55" s="50" t="str">
        <f t="shared" si="103"/>
        <v/>
      </c>
      <c r="FR55" s="50" t="str">
        <f t="shared" si="103"/>
        <v/>
      </c>
      <c r="FS55" s="50" t="str">
        <f t="shared" si="104"/>
        <v/>
      </c>
      <c r="FT55" s="50" t="str">
        <f t="shared" si="104"/>
        <v/>
      </c>
      <c r="FU55" s="50" t="str">
        <f t="shared" si="104"/>
        <v/>
      </c>
      <c r="FV55" s="50" t="str">
        <f t="shared" si="104"/>
        <v/>
      </c>
      <c r="FW55" s="50" t="str">
        <f t="shared" si="104"/>
        <v/>
      </c>
      <c r="FX55" s="50" t="str">
        <f t="shared" si="104"/>
        <v/>
      </c>
      <c r="FY55" s="50" t="str">
        <f t="shared" si="104"/>
        <v/>
      </c>
      <c r="FZ55" s="50" t="str">
        <f t="shared" si="104"/>
        <v/>
      </c>
      <c r="GA55" s="50" t="str">
        <f t="shared" si="104"/>
        <v/>
      </c>
      <c r="GB55" s="50" t="str">
        <f t="shared" si="104"/>
        <v/>
      </c>
      <c r="GC55" s="50" t="str">
        <f t="shared" si="104"/>
        <v/>
      </c>
      <c r="GD55" s="50" t="str">
        <f t="shared" si="104"/>
        <v/>
      </c>
      <c r="GE55" s="50" t="str">
        <f t="shared" si="104"/>
        <v/>
      </c>
      <c r="GF55" s="50" t="str">
        <f t="shared" si="104"/>
        <v/>
      </c>
      <c r="GG55" s="50" t="str">
        <f t="shared" si="104"/>
        <v/>
      </c>
      <c r="GH55" s="50" t="str">
        <f t="shared" si="104"/>
        <v/>
      </c>
      <c r="GI55" s="50" t="str">
        <f t="shared" si="104"/>
        <v/>
      </c>
      <c r="GJ55" s="50" t="str">
        <f t="shared" si="104"/>
        <v/>
      </c>
      <c r="GK55" s="50" t="str">
        <f t="shared" si="104"/>
        <v/>
      </c>
      <c r="GL55" s="50" t="str">
        <f t="shared" si="104"/>
        <v/>
      </c>
      <c r="GM55" s="50" t="str">
        <f t="shared" si="104"/>
        <v/>
      </c>
      <c r="GN55" s="50" t="str">
        <f t="shared" si="104"/>
        <v/>
      </c>
      <c r="GO55" s="50" t="str">
        <f t="shared" si="104"/>
        <v/>
      </c>
      <c r="GP55" s="50" t="str">
        <f t="shared" si="104"/>
        <v/>
      </c>
      <c r="GQ55" s="50" t="str">
        <f t="shared" si="104"/>
        <v/>
      </c>
      <c r="GR55" s="50" t="str">
        <f t="shared" si="104"/>
        <v/>
      </c>
      <c r="GS55" s="50" t="str">
        <f t="shared" si="104"/>
        <v/>
      </c>
      <c r="GT55" s="50" t="str">
        <f t="shared" si="104"/>
        <v/>
      </c>
      <c r="GU55" s="50" t="str">
        <f t="shared" si="104"/>
        <v/>
      </c>
      <c r="GV55" s="50" t="str">
        <f t="shared" si="104"/>
        <v/>
      </c>
      <c r="GW55" s="50" t="str">
        <f t="shared" si="104"/>
        <v/>
      </c>
      <c r="GX55" s="50" t="str">
        <f t="shared" si="104"/>
        <v/>
      </c>
      <c r="GY55" s="50" t="str">
        <f t="shared" si="104"/>
        <v/>
      </c>
      <c r="GZ55" s="50" t="str">
        <f t="shared" si="104"/>
        <v/>
      </c>
      <c r="HA55" s="50" t="str">
        <f t="shared" si="104"/>
        <v/>
      </c>
      <c r="HB55" s="50" t="str">
        <f t="shared" si="104"/>
        <v/>
      </c>
      <c r="HC55" s="50" t="str">
        <f t="shared" si="104"/>
        <v/>
      </c>
      <c r="HD55" s="50" t="str">
        <f t="shared" si="104"/>
        <v/>
      </c>
      <c r="HE55" s="50" t="str">
        <f t="shared" si="104"/>
        <v/>
      </c>
      <c r="HF55" s="50" t="str">
        <f t="shared" si="104"/>
        <v/>
      </c>
      <c r="HG55" s="50" t="str">
        <f t="shared" si="104"/>
        <v/>
      </c>
      <c r="HH55" s="50" t="str">
        <f t="shared" si="104"/>
        <v/>
      </c>
      <c r="HI55" s="50" t="str">
        <f t="shared" si="104"/>
        <v/>
      </c>
      <c r="HJ55" s="50" t="str">
        <f t="shared" si="104"/>
        <v/>
      </c>
      <c r="HK55" s="50" t="str">
        <f t="shared" si="104"/>
        <v/>
      </c>
      <c r="HL55" s="50" t="str">
        <f t="shared" si="104"/>
        <v/>
      </c>
      <c r="HM55" s="50" t="str">
        <f t="shared" si="104"/>
        <v/>
      </c>
      <c r="HN55" s="50" t="str">
        <f t="shared" si="104"/>
        <v/>
      </c>
      <c r="HO55" s="50" t="str">
        <f t="shared" si="104"/>
        <v/>
      </c>
      <c r="HP55" s="50" t="str">
        <f t="shared" si="104"/>
        <v/>
      </c>
      <c r="HQ55" s="50" t="str">
        <f t="shared" si="104"/>
        <v/>
      </c>
      <c r="HR55" s="112" t="str">
        <f t="shared" si="104"/>
        <v/>
      </c>
    </row>
    <row r="56" spans="1:226" ht="11.1" customHeight="1" x14ac:dyDescent="0.25">
      <c r="A56" s="26"/>
      <c r="B56" s="27"/>
      <c r="C56" s="28" t="str">
        <f>IF(A56=0,"",VLOOKUP(A56,[2]CO!$A$3:$F$5327,2,0))</f>
        <v/>
      </c>
      <c r="D56" s="29"/>
      <c r="E56" s="29"/>
      <c r="F56" s="101" t="str">
        <f t="shared" si="94"/>
        <v/>
      </c>
      <c r="G56" s="30" t="str">
        <f>IF(A56=0,"",VLOOKUP(A56,[2]CO!$A$3:$F$5327,3,0))</f>
        <v/>
      </c>
      <c r="H56" s="95"/>
      <c r="I56" s="31"/>
      <c r="J56" s="31"/>
      <c r="K56" s="31"/>
      <c r="L56" s="31"/>
      <c r="M56" s="32" t="str">
        <f t="shared" si="95"/>
        <v/>
      </c>
      <c r="N56" s="32" t="str">
        <f>IF(B56=0,"",IF(H56="M",HLOOKUP(B56,$Y$12:$DT$13,2),IF(A56=0,"",VLOOKUP(A56,[2]CO!$A$3:$F$5327,4,0))))</f>
        <v/>
      </c>
      <c r="O56" s="32" t="str">
        <f t="shared" si="16"/>
        <v/>
      </c>
      <c r="P56" s="33"/>
      <c r="Q56" s="34" t="str">
        <f t="shared" si="96"/>
        <v/>
      </c>
      <c r="R56" s="35"/>
      <c r="T56" s="53" t="str">
        <f>IF(A56=0,"",VLOOKUP(A56,[2]CO!$A$3:$F$5318,5,0))</f>
        <v/>
      </c>
      <c r="U56" s="54">
        <f t="shared" si="57"/>
        <v>0</v>
      </c>
      <c r="V56" s="24"/>
      <c r="W56" s="25"/>
      <c r="X56" s="25"/>
      <c r="Y56" s="64" t="str">
        <f t="shared" si="97"/>
        <v/>
      </c>
      <c r="Z56" s="55" t="str">
        <f t="shared" si="97"/>
        <v/>
      </c>
      <c r="AA56" s="55" t="str">
        <f t="shared" si="97"/>
        <v/>
      </c>
      <c r="AB56" s="55" t="str">
        <f t="shared" si="97"/>
        <v/>
      </c>
      <c r="AC56" s="55" t="str">
        <f t="shared" si="97"/>
        <v/>
      </c>
      <c r="AD56" s="55" t="str">
        <f t="shared" si="97"/>
        <v/>
      </c>
      <c r="AE56" s="55" t="str">
        <f t="shared" si="97"/>
        <v/>
      </c>
      <c r="AF56" s="55" t="str">
        <f t="shared" si="97"/>
        <v/>
      </c>
      <c r="AG56" s="55" t="str">
        <f t="shared" si="97"/>
        <v/>
      </c>
      <c r="AH56" s="55" t="str">
        <f t="shared" si="97"/>
        <v/>
      </c>
      <c r="AI56" s="55" t="str">
        <f t="shared" si="97"/>
        <v/>
      </c>
      <c r="AJ56" s="55" t="str">
        <f t="shared" si="97"/>
        <v/>
      </c>
      <c r="AK56" s="55" t="str">
        <f t="shared" si="97"/>
        <v/>
      </c>
      <c r="AL56" s="55" t="str">
        <f t="shared" si="97"/>
        <v/>
      </c>
      <c r="AM56" s="55" t="str">
        <f t="shared" si="97"/>
        <v/>
      </c>
      <c r="AN56" s="55" t="str">
        <f t="shared" si="97"/>
        <v/>
      </c>
      <c r="AO56" s="55" t="str">
        <f t="shared" si="98"/>
        <v/>
      </c>
      <c r="AP56" s="55" t="str">
        <f t="shared" si="98"/>
        <v/>
      </c>
      <c r="AQ56" s="55" t="str">
        <f t="shared" si="98"/>
        <v/>
      </c>
      <c r="AR56" s="55" t="str">
        <f t="shared" si="98"/>
        <v/>
      </c>
      <c r="AS56" s="55" t="str">
        <f t="shared" si="98"/>
        <v/>
      </c>
      <c r="AT56" s="55" t="str">
        <f t="shared" si="98"/>
        <v/>
      </c>
      <c r="AU56" s="55" t="str">
        <f t="shared" si="98"/>
        <v/>
      </c>
      <c r="AV56" s="55" t="str">
        <f t="shared" si="98"/>
        <v/>
      </c>
      <c r="AW56" s="55" t="str">
        <f t="shared" si="98"/>
        <v/>
      </c>
      <c r="AX56" s="55" t="str">
        <f t="shared" si="98"/>
        <v/>
      </c>
      <c r="AY56" s="55" t="str">
        <f t="shared" si="98"/>
        <v/>
      </c>
      <c r="AZ56" s="55" t="str">
        <f t="shared" si="98"/>
        <v/>
      </c>
      <c r="BA56" s="55" t="str">
        <f t="shared" si="98"/>
        <v/>
      </c>
      <c r="BB56" s="55" t="str">
        <f t="shared" si="98"/>
        <v/>
      </c>
      <c r="BC56" s="55" t="str">
        <f t="shared" si="98"/>
        <v/>
      </c>
      <c r="BD56" s="55" t="str">
        <f t="shared" si="98"/>
        <v/>
      </c>
      <c r="BE56" s="55" t="str">
        <f t="shared" si="99"/>
        <v/>
      </c>
      <c r="BF56" s="55" t="str">
        <f t="shared" si="99"/>
        <v/>
      </c>
      <c r="BG56" s="55" t="str">
        <f t="shared" si="99"/>
        <v/>
      </c>
      <c r="BH56" s="55" t="str">
        <f t="shared" si="99"/>
        <v/>
      </c>
      <c r="BI56" s="55" t="str">
        <f t="shared" si="99"/>
        <v/>
      </c>
      <c r="BJ56" s="55" t="str">
        <f t="shared" si="99"/>
        <v/>
      </c>
      <c r="BK56" s="55" t="str">
        <f t="shared" si="99"/>
        <v/>
      </c>
      <c r="BL56" s="55" t="str">
        <f t="shared" si="99"/>
        <v/>
      </c>
      <c r="BM56" s="55" t="str">
        <f t="shared" si="99"/>
        <v/>
      </c>
      <c r="BN56" s="55" t="str">
        <f t="shared" si="99"/>
        <v/>
      </c>
      <c r="BO56" s="55" t="str">
        <f t="shared" si="99"/>
        <v/>
      </c>
      <c r="BP56" s="55" t="str">
        <f t="shared" si="99"/>
        <v/>
      </c>
      <c r="BQ56" s="55" t="str">
        <f t="shared" si="99"/>
        <v/>
      </c>
      <c r="BR56" s="55" t="str">
        <f t="shared" si="99"/>
        <v/>
      </c>
      <c r="BS56" s="55" t="str">
        <f t="shared" si="99"/>
        <v/>
      </c>
      <c r="BT56" s="55" t="str">
        <f t="shared" si="99"/>
        <v/>
      </c>
      <c r="BU56" s="55" t="str">
        <f t="shared" si="100"/>
        <v/>
      </c>
      <c r="BV56" s="55" t="str">
        <f t="shared" si="100"/>
        <v/>
      </c>
      <c r="BW56" s="55" t="str">
        <f t="shared" si="100"/>
        <v/>
      </c>
      <c r="BX56" s="55" t="str">
        <f t="shared" si="100"/>
        <v/>
      </c>
      <c r="BY56" s="55" t="str">
        <f t="shared" si="100"/>
        <v/>
      </c>
      <c r="BZ56" s="55" t="str">
        <f t="shared" si="100"/>
        <v/>
      </c>
      <c r="CA56" s="55" t="str">
        <f t="shared" si="100"/>
        <v/>
      </c>
      <c r="CB56" s="55" t="str">
        <f t="shared" si="100"/>
        <v/>
      </c>
      <c r="CC56" s="55" t="str">
        <f t="shared" si="100"/>
        <v/>
      </c>
      <c r="CD56" s="55" t="str">
        <f t="shared" si="100"/>
        <v/>
      </c>
      <c r="CE56" s="55" t="str">
        <f t="shared" si="100"/>
        <v/>
      </c>
      <c r="CF56" s="55" t="str">
        <f t="shared" si="100"/>
        <v/>
      </c>
      <c r="CG56" s="55" t="str">
        <f t="shared" si="100"/>
        <v/>
      </c>
      <c r="CH56" s="55" t="str">
        <f t="shared" si="100"/>
        <v/>
      </c>
      <c r="CI56" s="55" t="str">
        <f t="shared" si="100"/>
        <v/>
      </c>
      <c r="CJ56" s="55" t="str">
        <f t="shared" si="100"/>
        <v/>
      </c>
      <c r="CK56" s="55" t="str">
        <f t="shared" si="100"/>
        <v/>
      </c>
      <c r="CL56" s="55" t="str">
        <f t="shared" si="100"/>
        <v/>
      </c>
      <c r="CM56" s="55" t="str">
        <f t="shared" si="100"/>
        <v/>
      </c>
      <c r="CN56" s="55" t="str">
        <f t="shared" si="100"/>
        <v/>
      </c>
      <c r="CO56" s="55" t="str">
        <f t="shared" si="100"/>
        <v/>
      </c>
      <c r="CP56" s="55" t="str">
        <f t="shared" si="100"/>
        <v/>
      </c>
      <c r="CQ56" s="55" t="str">
        <f t="shared" si="100"/>
        <v/>
      </c>
      <c r="CR56" s="55" t="str">
        <f t="shared" si="100"/>
        <v/>
      </c>
      <c r="CS56" s="55" t="str">
        <f t="shared" si="100"/>
        <v/>
      </c>
      <c r="CT56" s="55" t="str">
        <f t="shared" si="100"/>
        <v/>
      </c>
      <c r="CU56" s="55" t="str">
        <f t="shared" si="100"/>
        <v/>
      </c>
      <c r="CV56" s="55" t="str">
        <f t="shared" si="100"/>
        <v/>
      </c>
      <c r="CW56" s="55" t="str">
        <f t="shared" si="100"/>
        <v/>
      </c>
      <c r="CX56" s="55" t="str">
        <f t="shared" si="100"/>
        <v/>
      </c>
      <c r="CY56" s="55" t="str">
        <f t="shared" si="100"/>
        <v/>
      </c>
      <c r="CZ56" s="55" t="str">
        <f t="shared" si="100"/>
        <v/>
      </c>
      <c r="DA56" s="55" t="str">
        <f t="shared" si="100"/>
        <v/>
      </c>
      <c r="DB56" s="55" t="str">
        <f t="shared" si="100"/>
        <v/>
      </c>
      <c r="DC56" s="55" t="str">
        <f t="shared" si="100"/>
        <v/>
      </c>
      <c r="DD56" s="55" t="str">
        <f t="shared" si="100"/>
        <v/>
      </c>
      <c r="DE56" s="55" t="str">
        <f t="shared" si="100"/>
        <v/>
      </c>
      <c r="DF56" s="55" t="str">
        <f t="shared" si="100"/>
        <v/>
      </c>
      <c r="DG56" s="55" t="str">
        <f t="shared" si="100"/>
        <v/>
      </c>
      <c r="DH56" s="55" t="str">
        <f t="shared" si="100"/>
        <v/>
      </c>
      <c r="DI56" s="55" t="str">
        <f t="shared" si="100"/>
        <v/>
      </c>
      <c r="DJ56" s="55" t="str">
        <f t="shared" si="100"/>
        <v/>
      </c>
      <c r="DK56" s="55" t="str">
        <f t="shared" si="100"/>
        <v/>
      </c>
      <c r="DL56" s="55" t="str">
        <f t="shared" si="100"/>
        <v/>
      </c>
      <c r="DM56" s="55" t="str">
        <f t="shared" si="100"/>
        <v/>
      </c>
      <c r="DN56" s="55" t="str">
        <f t="shared" si="100"/>
        <v/>
      </c>
      <c r="DO56" s="55" t="str">
        <f t="shared" si="100"/>
        <v/>
      </c>
      <c r="DP56" s="55" t="str">
        <f t="shared" si="100"/>
        <v/>
      </c>
      <c r="DQ56" s="55" t="str">
        <f t="shared" si="100"/>
        <v/>
      </c>
      <c r="DR56" s="55" t="str">
        <f t="shared" si="100"/>
        <v/>
      </c>
      <c r="DS56" s="55" t="str">
        <f t="shared" si="100"/>
        <v/>
      </c>
      <c r="DT56" s="106" t="str">
        <f t="shared" si="100"/>
        <v/>
      </c>
      <c r="DU56" s="54"/>
      <c r="DV56" s="25"/>
      <c r="DW56" s="61" t="str">
        <f t="shared" si="101"/>
        <v/>
      </c>
      <c r="DX56" s="50" t="str">
        <f t="shared" si="101"/>
        <v/>
      </c>
      <c r="DY56" s="50" t="str">
        <f t="shared" si="101"/>
        <v/>
      </c>
      <c r="DZ56" s="50" t="str">
        <f t="shared" si="101"/>
        <v/>
      </c>
      <c r="EA56" s="50" t="str">
        <f t="shared" si="101"/>
        <v/>
      </c>
      <c r="EB56" s="50" t="str">
        <f t="shared" si="101"/>
        <v/>
      </c>
      <c r="EC56" s="50" t="str">
        <f t="shared" si="101"/>
        <v/>
      </c>
      <c r="ED56" s="50" t="str">
        <f t="shared" si="101"/>
        <v/>
      </c>
      <c r="EE56" s="50" t="str">
        <f t="shared" si="101"/>
        <v/>
      </c>
      <c r="EF56" s="50" t="str">
        <f t="shared" si="101"/>
        <v/>
      </c>
      <c r="EG56" s="50" t="str">
        <f t="shared" si="101"/>
        <v/>
      </c>
      <c r="EH56" s="50" t="str">
        <f t="shared" si="101"/>
        <v/>
      </c>
      <c r="EI56" s="50" t="str">
        <f t="shared" si="101"/>
        <v/>
      </c>
      <c r="EJ56" s="50" t="str">
        <f t="shared" si="101"/>
        <v/>
      </c>
      <c r="EK56" s="50" t="str">
        <f t="shared" si="101"/>
        <v/>
      </c>
      <c r="EL56" s="50" t="str">
        <f t="shared" si="101"/>
        <v/>
      </c>
      <c r="EM56" s="50" t="str">
        <f t="shared" si="102"/>
        <v/>
      </c>
      <c r="EN56" s="50" t="str">
        <f t="shared" si="102"/>
        <v/>
      </c>
      <c r="EO56" s="50" t="str">
        <f t="shared" si="102"/>
        <v/>
      </c>
      <c r="EP56" s="50" t="str">
        <f t="shared" si="102"/>
        <v/>
      </c>
      <c r="EQ56" s="50" t="str">
        <f t="shared" si="102"/>
        <v/>
      </c>
      <c r="ER56" s="50" t="str">
        <f t="shared" si="102"/>
        <v/>
      </c>
      <c r="ES56" s="50" t="str">
        <f t="shared" si="102"/>
        <v/>
      </c>
      <c r="ET56" s="50" t="str">
        <f t="shared" si="102"/>
        <v/>
      </c>
      <c r="EU56" s="50" t="str">
        <f t="shared" si="102"/>
        <v/>
      </c>
      <c r="EV56" s="50" t="str">
        <f t="shared" si="102"/>
        <v/>
      </c>
      <c r="EW56" s="50" t="str">
        <f t="shared" si="102"/>
        <v/>
      </c>
      <c r="EX56" s="50" t="str">
        <f t="shared" si="102"/>
        <v/>
      </c>
      <c r="EY56" s="50" t="str">
        <f t="shared" si="102"/>
        <v/>
      </c>
      <c r="EZ56" s="50" t="str">
        <f t="shared" si="102"/>
        <v/>
      </c>
      <c r="FA56" s="50" t="str">
        <f t="shared" si="102"/>
        <v/>
      </c>
      <c r="FB56" s="50" t="str">
        <f t="shared" si="102"/>
        <v/>
      </c>
      <c r="FC56" s="50" t="str">
        <f t="shared" si="103"/>
        <v/>
      </c>
      <c r="FD56" s="50" t="str">
        <f t="shared" si="103"/>
        <v/>
      </c>
      <c r="FE56" s="50" t="str">
        <f t="shared" si="103"/>
        <v/>
      </c>
      <c r="FF56" s="50" t="str">
        <f t="shared" si="103"/>
        <v/>
      </c>
      <c r="FG56" s="50" t="str">
        <f t="shared" si="103"/>
        <v/>
      </c>
      <c r="FH56" s="50" t="str">
        <f t="shared" si="103"/>
        <v/>
      </c>
      <c r="FI56" s="50" t="str">
        <f t="shared" si="103"/>
        <v/>
      </c>
      <c r="FJ56" s="50" t="str">
        <f t="shared" si="103"/>
        <v/>
      </c>
      <c r="FK56" s="50" t="str">
        <f t="shared" si="103"/>
        <v/>
      </c>
      <c r="FL56" s="50" t="str">
        <f t="shared" si="103"/>
        <v/>
      </c>
      <c r="FM56" s="50" t="str">
        <f t="shared" si="103"/>
        <v/>
      </c>
      <c r="FN56" s="50" t="str">
        <f t="shared" si="103"/>
        <v/>
      </c>
      <c r="FO56" s="50" t="str">
        <f t="shared" si="103"/>
        <v/>
      </c>
      <c r="FP56" s="50" t="str">
        <f t="shared" si="103"/>
        <v/>
      </c>
      <c r="FQ56" s="50" t="str">
        <f t="shared" si="103"/>
        <v/>
      </c>
      <c r="FR56" s="50" t="str">
        <f t="shared" si="103"/>
        <v/>
      </c>
      <c r="FS56" s="50" t="str">
        <f t="shared" si="104"/>
        <v/>
      </c>
      <c r="FT56" s="50" t="str">
        <f t="shared" si="104"/>
        <v/>
      </c>
      <c r="FU56" s="50" t="str">
        <f t="shared" si="104"/>
        <v/>
      </c>
      <c r="FV56" s="50" t="str">
        <f t="shared" si="104"/>
        <v/>
      </c>
      <c r="FW56" s="50" t="str">
        <f t="shared" si="104"/>
        <v/>
      </c>
      <c r="FX56" s="50" t="str">
        <f t="shared" si="104"/>
        <v/>
      </c>
      <c r="FY56" s="50" t="str">
        <f t="shared" si="104"/>
        <v/>
      </c>
      <c r="FZ56" s="50" t="str">
        <f t="shared" si="104"/>
        <v/>
      </c>
      <c r="GA56" s="50" t="str">
        <f t="shared" si="104"/>
        <v/>
      </c>
      <c r="GB56" s="50" t="str">
        <f t="shared" si="104"/>
        <v/>
      </c>
      <c r="GC56" s="50" t="str">
        <f t="shared" si="104"/>
        <v/>
      </c>
      <c r="GD56" s="50" t="str">
        <f t="shared" si="104"/>
        <v/>
      </c>
      <c r="GE56" s="50" t="str">
        <f t="shared" si="104"/>
        <v/>
      </c>
      <c r="GF56" s="50" t="str">
        <f t="shared" si="104"/>
        <v/>
      </c>
      <c r="GG56" s="50" t="str">
        <f t="shared" si="104"/>
        <v/>
      </c>
      <c r="GH56" s="50" t="str">
        <f t="shared" si="104"/>
        <v/>
      </c>
      <c r="GI56" s="50" t="str">
        <f t="shared" si="104"/>
        <v/>
      </c>
      <c r="GJ56" s="50" t="str">
        <f t="shared" si="104"/>
        <v/>
      </c>
      <c r="GK56" s="50" t="str">
        <f t="shared" si="104"/>
        <v/>
      </c>
      <c r="GL56" s="50" t="str">
        <f t="shared" si="104"/>
        <v/>
      </c>
      <c r="GM56" s="50" t="str">
        <f t="shared" si="104"/>
        <v/>
      </c>
      <c r="GN56" s="50" t="str">
        <f t="shared" si="104"/>
        <v/>
      </c>
      <c r="GO56" s="50" t="str">
        <f t="shared" si="104"/>
        <v/>
      </c>
      <c r="GP56" s="50" t="str">
        <f t="shared" si="104"/>
        <v/>
      </c>
      <c r="GQ56" s="50" t="str">
        <f t="shared" si="104"/>
        <v/>
      </c>
      <c r="GR56" s="50" t="str">
        <f t="shared" si="104"/>
        <v/>
      </c>
      <c r="GS56" s="50" t="str">
        <f t="shared" si="104"/>
        <v/>
      </c>
      <c r="GT56" s="50" t="str">
        <f t="shared" si="104"/>
        <v/>
      </c>
      <c r="GU56" s="50" t="str">
        <f t="shared" si="104"/>
        <v/>
      </c>
      <c r="GV56" s="50" t="str">
        <f t="shared" si="104"/>
        <v/>
      </c>
      <c r="GW56" s="50" t="str">
        <f t="shared" si="104"/>
        <v/>
      </c>
      <c r="GX56" s="50" t="str">
        <f t="shared" si="104"/>
        <v/>
      </c>
      <c r="GY56" s="50" t="str">
        <f t="shared" si="104"/>
        <v/>
      </c>
      <c r="GZ56" s="50" t="str">
        <f t="shared" si="104"/>
        <v/>
      </c>
      <c r="HA56" s="50" t="str">
        <f t="shared" si="104"/>
        <v/>
      </c>
      <c r="HB56" s="50" t="str">
        <f t="shared" si="104"/>
        <v/>
      </c>
      <c r="HC56" s="50" t="str">
        <f t="shared" si="104"/>
        <v/>
      </c>
      <c r="HD56" s="50" t="str">
        <f t="shared" si="104"/>
        <v/>
      </c>
      <c r="HE56" s="50" t="str">
        <f t="shared" si="104"/>
        <v/>
      </c>
      <c r="HF56" s="50" t="str">
        <f t="shared" si="104"/>
        <v/>
      </c>
      <c r="HG56" s="50" t="str">
        <f t="shared" si="104"/>
        <v/>
      </c>
      <c r="HH56" s="50" t="str">
        <f t="shared" si="104"/>
        <v/>
      </c>
      <c r="HI56" s="50" t="str">
        <f t="shared" si="104"/>
        <v/>
      </c>
      <c r="HJ56" s="50" t="str">
        <f t="shared" si="104"/>
        <v/>
      </c>
      <c r="HK56" s="50" t="str">
        <f t="shared" si="104"/>
        <v/>
      </c>
      <c r="HL56" s="50" t="str">
        <f t="shared" si="104"/>
        <v/>
      </c>
      <c r="HM56" s="50" t="str">
        <f t="shared" si="104"/>
        <v/>
      </c>
      <c r="HN56" s="50" t="str">
        <f t="shared" si="104"/>
        <v/>
      </c>
      <c r="HO56" s="50" t="str">
        <f t="shared" si="104"/>
        <v/>
      </c>
      <c r="HP56" s="50" t="str">
        <f t="shared" si="104"/>
        <v/>
      </c>
      <c r="HQ56" s="50" t="str">
        <f t="shared" si="104"/>
        <v/>
      </c>
      <c r="HR56" s="112" t="str">
        <f t="shared" si="104"/>
        <v/>
      </c>
    </row>
    <row r="57" spans="1:226" ht="11.1" customHeight="1" x14ac:dyDescent="0.25">
      <c r="A57" s="26"/>
      <c r="B57" s="27"/>
      <c r="C57" s="28" t="str">
        <f>IF(A57=0,"",VLOOKUP(A57,[2]CO!$A$3:$F$5327,2,0))</f>
        <v/>
      </c>
      <c r="D57" s="29"/>
      <c r="E57" s="29"/>
      <c r="F57" s="101" t="str">
        <f t="shared" si="94"/>
        <v/>
      </c>
      <c r="G57" s="30" t="str">
        <f>IF(A57=0,"",VLOOKUP(A57,[2]CO!$A$3:$F$5327,3,0))</f>
        <v/>
      </c>
      <c r="H57" s="95"/>
      <c r="I57" s="31"/>
      <c r="J57" s="31"/>
      <c r="K57" s="31"/>
      <c r="L57" s="31"/>
      <c r="M57" s="32" t="str">
        <f t="shared" si="95"/>
        <v/>
      </c>
      <c r="N57" s="32" t="str">
        <f>IF(B57=0,"",IF(H57="M",HLOOKUP(B57,$Y$12:$DT$13,2),IF(A57=0,"",VLOOKUP(A57,[2]CO!$A$3:$F$5327,4,0))))</f>
        <v/>
      </c>
      <c r="O57" s="32" t="str">
        <f t="shared" si="16"/>
        <v/>
      </c>
      <c r="P57" s="33"/>
      <c r="Q57" s="34" t="str">
        <f t="shared" si="96"/>
        <v/>
      </c>
      <c r="R57" s="35"/>
      <c r="T57" s="53" t="str">
        <f>IF(A57=0,"",VLOOKUP(A57,[2]CO!$A$3:$F$5318,5,0))</f>
        <v/>
      </c>
      <c r="U57" s="54">
        <f t="shared" si="57"/>
        <v>0</v>
      </c>
      <c r="V57" s="24"/>
      <c r="W57" s="25"/>
      <c r="X57" s="25"/>
      <c r="Y57" s="64" t="str">
        <f t="shared" si="97"/>
        <v/>
      </c>
      <c r="Z57" s="55" t="str">
        <f t="shared" si="97"/>
        <v/>
      </c>
      <c r="AA57" s="55" t="str">
        <f t="shared" si="97"/>
        <v/>
      </c>
      <c r="AB57" s="55" t="str">
        <f t="shared" si="97"/>
        <v/>
      </c>
      <c r="AC57" s="55" t="str">
        <f t="shared" si="97"/>
        <v/>
      </c>
      <c r="AD57" s="55" t="str">
        <f t="shared" si="97"/>
        <v/>
      </c>
      <c r="AE57" s="55" t="str">
        <f t="shared" si="97"/>
        <v/>
      </c>
      <c r="AF57" s="55" t="str">
        <f t="shared" si="97"/>
        <v/>
      </c>
      <c r="AG57" s="55" t="str">
        <f t="shared" si="97"/>
        <v/>
      </c>
      <c r="AH57" s="55" t="str">
        <f t="shared" si="97"/>
        <v/>
      </c>
      <c r="AI57" s="55" t="str">
        <f t="shared" si="97"/>
        <v/>
      </c>
      <c r="AJ57" s="55" t="str">
        <f t="shared" si="97"/>
        <v/>
      </c>
      <c r="AK57" s="55" t="str">
        <f t="shared" si="97"/>
        <v/>
      </c>
      <c r="AL57" s="55" t="str">
        <f t="shared" si="97"/>
        <v/>
      </c>
      <c r="AM57" s="55" t="str">
        <f t="shared" si="97"/>
        <v/>
      </c>
      <c r="AN57" s="55" t="str">
        <f t="shared" si="97"/>
        <v/>
      </c>
      <c r="AO57" s="55" t="str">
        <f t="shared" si="98"/>
        <v/>
      </c>
      <c r="AP57" s="55" t="str">
        <f t="shared" si="98"/>
        <v/>
      </c>
      <c r="AQ57" s="55" t="str">
        <f t="shared" si="98"/>
        <v/>
      </c>
      <c r="AR57" s="55" t="str">
        <f t="shared" si="98"/>
        <v/>
      </c>
      <c r="AS57" s="55" t="str">
        <f t="shared" si="98"/>
        <v/>
      </c>
      <c r="AT57" s="55" t="str">
        <f t="shared" si="98"/>
        <v/>
      </c>
      <c r="AU57" s="55" t="str">
        <f t="shared" si="98"/>
        <v/>
      </c>
      <c r="AV57" s="55" t="str">
        <f t="shared" si="98"/>
        <v/>
      </c>
      <c r="AW57" s="55" t="str">
        <f t="shared" si="98"/>
        <v/>
      </c>
      <c r="AX57" s="55" t="str">
        <f t="shared" si="98"/>
        <v/>
      </c>
      <c r="AY57" s="55" t="str">
        <f t="shared" si="98"/>
        <v/>
      </c>
      <c r="AZ57" s="55" t="str">
        <f t="shared" si="98"/>
        <v/>
      </c>
      <c r="BA57" s="55" t="str">
        <f t="shared" si="98"/>
        <v/>
      </c>
      <c r="BB57" s="55" t="str">
        <f t="shared" si="98"/>
        <v/>
      </c>
      <c r="BC57" s="55" t="str">
        <f t="shared" si="98"/>
        <v/>
      </c>
      <c r="BD57" s="55" t="str">
        <f t="shared" si="98"/>
        <v/>
      </c>
      <c r="BE57" s="55" t="str">
        <f t="shared" si="99"/>
        <v/>
      </c>
      <c r="BF57" s="55" t="str">
        <f t="shared" si="99"/>
        <v/>
      </c>
      <c r="BG57" s="55" t="str">
        <f t="shared" si="99"/>
        <v/>
      </c>
      <c r="BH57" s="55" t="str">
        <f t="shared" si="99"/>
        <v/>
      </c>
      <c r="BI57" s="55" t="str">
        <f t="shared" si="99"/>
        <v/>
      </c>
      <c r="BJ57" s="55" t="str">
        <f t="shared" si="99"/>
        <v/>
      </c>
      <c r="BK57" s="55" t="str">
        <f t="shared" si="99"/>
        <v/>
      </c>
      <c r="BL57" s="55" t="str">
        <f t="shared" si="99"/>
        <v/>
      </c>
      <c r="BM57" s="55" t="str">
        <f t="shared" si="99"/>
        <v/>
      </c>
      <c r="BN57" s="55" t="str">
        <f t="shared" si="99"/>
        <v/>
      </c>
      <c r="BO57" s="55" t="str">
        <f t="shared" si="99"/>
        <v/>
      </c>
      <c r="BP57" s="55" t="str">
        <f t="shared" si="99"/>
        <v/>
      </c>
      <c r="BQ57" s="55" t="str">
        <f t="shared" si="99"/>
        <v/>
      </c>
      <c r="BR57" s="55" t="str">
        <f t="shared" si="99"/>
        <v/>
      </c>
      <c r="BS57" s="55" t="str">
        <f t="shared" si="99"/>
        <v/>
      </c>
      <c r="BT57" s="55" t="str">
        <f t="shared" si="99"/>
        <v/>
      </c>
      <c r="BU57" s="55" t="str">
        <f t="shared" si="100"/>
        <v/>
      </c>
      <c r="BV57" s="55" t="str">
        <f t="shared" si="100"/>
        <v/>
      </c>
      <c r="BW57" s="55" t="str">
        <f t="shared" si="100"/>
        <v/>
      </c>
      <c r="BX57" s="55" t="str">
        <f t="shared" si="100"/>
        <v/>
      </c>
      <c r="BY57" s="55" t="str">
        <f t="shared" si="100"/>
        <v/>
      </c>
      <c r="BZ57" s="55" t="str">
        <f t="shared" si="100"/>
        <v/>
      </c>
      <c r="CA57" s="55" t="str">
        <f t="shared" si="100"/>
        <v/>
      </c>
      <c r="CB57" s="55" t="str">
        <f t="shared" si="100"/>
        <v/>
      </c>
      <c r="CC57" s="55" t="str">
        <f t="shared" si="100"/>
        <v/>
      </c>
      <c r="CD57" s="55" t="str">
        <f t="shared" si="100"/>
        <v/>
      </c>
      <c r="CE57" s="55" t="str">
        <f t="shared" si="100"/>
        <v/>
      </c>
      <c r="CF57" s="55" t="str">
        <f t="shared" si="100"/>
        <v/>
      </c>
      <c r="CG57" s="55" t="str">
        <f t="shared" si="100"/>
        <v/>
      </c>
      <c r="CH57" s="55" t="str">
        <f t="shared" si="100"/>
        <v/>
      </c>
      <c r="CI57" s="55" t="str">
        <f t="shared" si="100"/>
        <v/>
      </c>
      <c r="CJ57" s="55" t="str">
        <f t="shared" si="100"/>
        <v/>
      </c>
      <c r="CK57" s="55" t="str">
        <f t="shared" si="100"/>
        <v/>
      </c>
      <c r="CL57" s="55" t="str">
        <f t="shared" si="100"/>
        <v/>
      </c>
      <c r="CM57" s="55" t="str">
        <f t="shared" si="100"/>
        <v/>
      </c>
      <c r="CN57" s="55" t="str">
        <f t="shared" si="100"/>
        <v/>
      </c>
      <c r="CO57" s="55" t="str">
        <f t="shared" si="100"/>
        <v/>
      </c>
      <c r="CP57" s="55" t="str">
        <f t="shared" si="100"/>
        <v/>
      </c>
      <c r="CQ57" s="55" t="str">
        <f t="shared" si="100"/>
        <v/>
      </c>
      <c r="CR57" s="55" t="str">
        <f t="shared" si="100"/>
        <v/>
      </c>
      <c r="CS57" s="55" t="str">
        <f t="shared" si="100"/>
        <v/>
      </c>
      <c r="CT57" s="55" t="str">
        <f t="shared" si="100"/>
        <v/>
      </c>
      <c r="CU57" s="55" t="str">
        <f t="shared" si="100"/>
        <v/>
      </c>
      <c r="CV57" s="55" t="str">
        <f t="shared" si="100"/>
        <v/>
      </c>
      <c r="CW57" s="55" t="str">
        <f t="shared" si="100"/>
        <v/>
      </c>
      <c r="CX57" s="55" t="str">
        <f t="shared" si="100"/>
        <v/>
      </c>
      <c r="CY57" s="55" t="str">
        <f t="shared" si="100"/>
        <v/>
      </c>
      <c r="CZ57" s="55" t="str">
        <f t="shared" si="100"/>
        <v/>
      </c>
      <c r="DA57" s="55" t="str">
        <f t="shared" si="100"/>
        <v/>
      </c>
      <c r="DB57" s="55" t="str">
        <f t="shared" si="100"/>
        <v/>
      </c>
      <c r="DC57" s="55" t="str">
        <f t="shared" si="100"/>
        <v/>
      </c>
      <c r="DD57" s="55" t="str">
        <f t="shared" si="100"/>
        <v/>
      </c>
      <c r="DE57" s="55" t="str">
        <f t="shared" si="100"/>
        <v/>
      </c>
      <c r="DF57" s="55" t="str">
        <f t="shared" si="100"/>
        <v/>
      </c>
      <c r="DG57" s="55" t="str">
        <f t="shared" si="100"/>
        <v/>
      </c>
      <c r="DH57" s="55" t="str">
        <f t="shared" si="100"/>
        <v/>
      </c>
      <c r="DI57" s="55" t="str">
        <f t="shared" si="100"/>
        <v/>
      </c>
      <c r="DJ57" s="55" t="str">
        <f t="shared" si="100"/>
        <v/>
      </c>
      <c r="DK57" s="55" t="str">
        <f t="shared" si="100"/>
        <v/>
      </c>
      <c r="DL57" s="55" t="str">
        <f t="shared" si="100"/>
        <v/>
      </c>
      <c r="DM57" s="55" t="str">
        <f t="shared" si="100"/>
        <v/>
      </c>
      <c r="DN57" s="55" t="str">
        <f t="shared" si="100"/>
        <v/>
      </c>
      <c r="DO57" s="55" t="str">
        <f t="shared" si="100"/>
        <v/>
      </c>
      <c r="DP57" s="55" t="str">
        <f t="shared" ref="DP57:DT59" si="105">IF($B57=DP$12,$U57,"")</f>
        <v/>
      </c>
      <c r="DQ57" s="55" t="str">
        <f t="shared" si="105"/>
        <v/>
      </c>
      <c r="DR57" s="55" t="str">
        <f t="shared" si="105"/>
        <v/>
      </c>
      <c r="DS57" s="55" t="str">
        <f t="shared" si="105"/>
        <v/>
      </c>
      <c r="DT57" s="106" t="str">
        <f t="shared" si="105"/>
        <v/>
      </c>
      <c r="DU57" s="54"/>
      <c r="DV57" s="25"/>
      <c r="DW57" s="61" t="str">
        <f t="shared" si="101"/>
        <v/>
      </c>
      <c r="DX57" s="50" t="str">
        <f t="shared" si="101"/>
        <v/>
      </c>
      <c r="DY57" s="50" t="str">
        <f t="shared" si="101"/>
        <v/>
      </c>
      <c r="DZ57" s="50" t="str">
        <f t="shared" si="101"/>
        <v/>
      </c>
      <c r="EA57" s="50" t="str">
        <f t="shared" si="101"/>
        <v/>
      </c>
      <c r="EB57" s="50" t="str">
        <f t="shared" si="101"/>
        <v/>
      </c>
      <c r="EC57" s="50" t="str">
        <f t="shared" si="101"/>
        <v/>
      </c>
      <c r="ED57" s="50" t="str">
        <f t="shared" si="101"/>
        <v/>
      </c>
      <c r="EE57" s="50" t="str">
        <f t="shared" si="101"/>
        <v/>
      </c>
      <c r="EF57" s="50" t="str">
        <f t="shared" si="101"/>
        <v/>
      </c>
      <c r="EG57" s="50" t="str">
        <f t="shared" si="101"/>
        <v/>
      </c>
      <c r="EH57" s="50" t="str">
        <f t="shared" si="101"/>
        <v/>
      </c>
      <c r="EI57" s="50" t="str">
        <f t="shared" si="101"/>
        <v/>
      </c>
      <c r="EJ57" s="50" t="str">
        <f t="shared" si="101"/>
        <v/>
      </c>
      <c r="EK57" s="50" t="str">
        <f t="shared" si="101"/>
        <v/>
      </c>
      <c r="EL57" s="50" t="str">
        <f t="shared" si="101"/>
        <v/>
      </c>
      <c r="EM57" s="50" t="str">
        <f t="shared" si="102"/>
        <v/>
      </c>
      <c r="EN57" s="50" t="str">
        <f t="shared" si="102"/>
        <v/>
      </c>
      <c r="EO57" s="50" t="str">
        <f t="shared" si="102"/>
        <v/>
      </c>
      <c r="EP57" s="50" t="str">
        <f t="shared" si="102"/>
        <v/>
      </c>
      <c r="EQ57" s="50" t="str">
        <f t="shared" si="102"/>
        <v/>
      </c>
      <c r="ER57" s="50" t="str">
        <f t="shared" si="102"/>
        <v/>
      </c>
      <c r="ES57" s="50" t="str">
        <f t="shared" si="102"/>
        <v/>
      </c>
      <c r="ET57" s="50" t="str">
        <f t="shared" si="102"/>
        <v/>
      </c>
      <c r="EU57" s="50" t="str">
        <f t="shared" si="102"/>
        <v/>
      </c>
      <c r="EV57" s="50" t="str">
        <f t="shared" si="102"/>
        <v/>
      </c>
      <c r="EW57" s="50" t="str">
        <f t="shared" si="102"/>
        <v/>
      </c>
      <c r="EX57" s="50" t="str">
        <f t="shared" si="102"/>
        <v/>
      </c>
      <c r="EY57" s="50" t="str">
        <f t="shared" si="102"/>
        <v/>
      </c>
      <c r="EZ57" s="50" t="str">
        <f t="shared" si="102"/>
        <v/>
      </c>
      <c r="FA57" s="50" t="str">
        <f t="shared" si="102"/>
        <v/>
      </c>
      <c r="FB57" s="50" t="str">
        <f t="shared" si="102"/>
        <v/>
      </c>
      <c r="FC57" s="50" t="str">
        <f t="shared" si="103"/>
        <v/>
      </c>
      <c r="FD57" s="50" t="str">
        <f t="shared" si="103"/>
        <v/>
      </c>
      <c r="FE57" s="50" t="str">
        <f t="shared" si="103"/>
        <v/>
      </c>
      <c r="FF57" s="50" t="str">
        <f t="shared" si="103"/>
        <v/>
      </c>
      <c r="FG57" s="50" t="str">
        <f t="shared" si="103"/>
        <v/>
      </c>
      <c r="FH57" s="50" t="str">
        <f t="shared" si="103"/>
        <v/>
      </c>
      <c r="FI57" s="50" t="str">
        <f t="shared" si="103"/>
        <v/>
      </c>
      <c r="FJ57" s="50" t="str">
        <f t="shared" si="103"/>
        <v/>
      </c>
      <c r="FK57" s="50" t="str">
        <f t="shared" si="103"/>
        <v/>
      </c>
      <c r="FL57" s="50" t="str">
        <f t="shared" si="103"/>
        <v/>
      </c>
      <c r="FM57" s="50" t="str">
        <f t="shared" si="103"/>
        <v/>
      </c>
      <c r="FN57" s="50" t="str">
        <f t="shared" si="103"/>
        <v/>
      </c>
      <c r="FO57" s="50" t="str">
        <f t="shared" si="103"/>
        <v/>
      </c>
      <c r="FP57" s="50" t="str">
        <f t="shared" si="103"/>
        <v/>
      </c>
      <c r="FQ57" s="50" t="str">
        <f t="shared" si="103"/>
        <v/>
      </c>
      <c r="FR57" s="50" t="str">
        <f t="shared" si="103"/>
        <v/>
      </c>
      <c r="FS57" s="50" t="str">
        <f t="shared" si="104"/>
        <v/>
      </c>
      <c r="FT57" s="50" t="str">
        <f t="shared" si="104"/>
        <v/>
      </c>
      <c r="FU57" s="50" t="str">
        <f t="shared" si="104"/>
        <v/>
      </c>
      <c r="FV57" s="50" t="str">
        <f t="shared" si="104"/>
        <v/>
      </c>
      <c r="FW57" s="50" t="str">
        <f t="shared" si="104"/>
        <v/>
      </c>
      <c r="FX57" s="50" t="str">
        <f t="shared" si="104"/>
        <v/>
      </c>
      <c r="FY57" s="50" t="str">
        <f t="shared" si="104"/>
        <v/>
      </c>
      <c r="FZ57" s="50" t="str">
        <f t="shared" si="104"/>
        <v/>
      </c>
      <c r="GA57" s="50" t="str">
        <f t="shared" si="104"/>
        <v/>
      </c>
      <c r="GB57" s="50" t="str">
        <f t="shared" si="104"/>
        <v/>
      </c>
      <c r="GC57" s="50" t="str">
        <f t="shared" si="104"/>
        <v/>
      </c>
      <c r="GD57" s="50" t="str">
        <f t="shared" si="104"/>
        <v/>
      </c>
      <c r="GE57" s="50" t="str">
        <f t="shared" si="104"/>
        <v/>
      </c>
      <c r="GF57" s="50" t="str">
        <f t="shared" si="104"/>
        <v/>
      </c>
      <c r="GG57" s="50" t="str">
        <f t="shared" si="104"/>
        <v/>
      </c>
      <c r="GH57" s="50" t="str">
        <f t="shared" si="104"/>
        <v/>
      </c>
      <c r="GI57" s="50" t="str">
        <f t="shared" si="104"/>
        <v/>
      </c>
      <c r="GJ57" s="50" t="str">
        <f t="shared" si="104"/>
        <v/>
      </c>
      <c r="GK57" s="50" t="str">
        <f t="shared" si="104"/>
        <v/>
      </c>
      <c r="GL57" s="50" t="str">
        <f t="shared" si="104"/>
        <v/>
      </c>
      <c r="GM57" s="50" t="str">
        <f t="shared" si="104"/>
        <v/>
      </c>
      <c r="GN57" s="50" t="str">
        <f t="shared" si="104"/>
        <v/>
      </c>
      <c r="GO57" s="50" t="str">
        <f t="shared" si="104"/>
        <v/>
      </c>
      <c r="GP57" s="50" t="str">
        <f t="shared" si="104"/>
        <v/>
      </c>
      <c r="GQ57" s="50" t="str">
        <f t="shared" si="104"/>
        <v/>
      </c>
      <c r="GR57" s="50" t="str">
        <f t="shared" si="104"/>
        <v/>
      </c>
      <c r="GS57" s="50" t="str">
        <f t="shared" si="104"/>
        <v/>
      </c>
      <c r="GT57" s="50" t="str">
        <f t="shared" si="104"/>
        <v/>
      </c>
      <c r="GU57" s="50" t="str">
        <f t="shared" si="104"/>
        <v/>
      </c>
      <c r="GV57" s="50" t="str">
        <f t="shared" si="104"/>
        <v/>
      </c>
      <c r="GW57" s="50" t="str">
        <f t="shared" si="104"/>
        <v/>
      </c>
      <c r="GX57" s="50" t="str">
        <f t="shared" si="104"/>
        <v/>
      </c>
      <c r="GY57" s="50" t="str">
        <f t="shared" si="104"/>
        <v/>
      </c>
      <c r="GZ57" s="50" t="str">
        <f t="shared" si="104"/>
        <v/>
      </c>
      <c r="HA57" s="50" t="str">
        <f t="shared" si="104"/>
        <v/>
      </c>
      <c r="HB57" s="50" t="str">
        <f t="shared" si="104"/>
        <v/>
      </c>
      <c r="HC57" s="50" t="str">
        <f t="shared" si="104"/>
        <v/>
      </c>
      <c r="HD57" s="50" t="str">
        <f t="shared" si="104"/>
        <v/>
      </c>
      <c r="HE57" s="50" t="str">
        <f t="shared" si="104"/>
        <v/>
      </c>
      <c r="HF57" s="50" t="str">
        <f t="shared" si="104"/>
        <v/>
      </c>
      <c r="HG57" s="50" t="str">
        <f t="shared" si="104"/>
        <v/>
      </c>
      <c r="HH57" s="50" t="str">
        <f t="shared" si="104"/>
        <v/>
      </c>
      <c r="HI57" s="50" t="str">
        <f t="shared" si="104"/>
        <v/>
      </c>
      <c r="HJ57" s="50" t="str">
        <f t="shared" si="104"/>
        <v/>
      </c>
      <c r="HK57" s="50" t="str">
        <f t="shared" si="104"/>
        <v/>
      </c>
      <c r="HL57" s="50" t="str">
        <f t="shared" si="104"/>
        <v/>
      </c>
      <c r="HM57" s="50" t="str">
        <f t="shared" si="104"/>
        <v/>
      </c>
      <c r="HN57" s="50" t="str">
        <f t="shared" ref="HN57:HR59" si="106">IF($B57=HN$12,$O57,"")</f>
        <v/>
      </c>
      <c r="HO57" s="50" t="str">
        <f t="shared" si="106"/>
        <v/>
      </c>
      <c r="HP57" s="50" t="str">
        <f t="shared" si="106"/>
        <v/>
      </c>
      <c r="HQ57" s="50" t="str">
        <f t="shared" si="106"/>
        <v/>
      </c>
      <c r="HR57" s="112" t="str">
        <f t="shared" si="106"/>
        <v/>
      </c>
    </row>
    <row r="58" spans="1:226" ht="11.1" customHeight="1" x14ac:dyDescent="0.25">
      <c r="A58" s="26"/>
      <c r="B58" s="27"/>
      <c r="C58" s="28" t="str">
        <f>IF(A58=0,"",VLOOKUP(A58,[2]CO!$A$3:$F$5327,2,0))</f>
        <v/>
      </c>
      <c r="D58" s="29"/>
      <c r="E58" s="29"/>
      <c r="F58" s="101" t="str">
        <f t="shared" si="94"/>
        <v/>
      </c>
      <c r="G58" s="30" t="str">
        <f>IF(A58=0,"",VLOOKUP(A58,[2]CO!$A$3:$F$5327,3,0))</f>
        <v/>
      </c>
      <c r="H58" s="95"/>
      <c r="I58" s="31"/>
      <c r="J58" s="31"/>
      <c r="K58" s="31"/>
      <c r="L58" s="31"/>
      <c r="M58" s="32" t="str">
        <f t="shared" si="95"/>
        <v/>
      </c>
      <c r="N58" s="32" t="str">
        <f>IF(B58=0,"",IF(H58="M",HLOOKUP(B58,$Y$12:$DT$13,2),IF(A58=0,"",VLOOKUP(A58,[2]CO!$A$3:$F$5327,4,0))))</f>
        <v/>
      </c>
      <c r="O58" s="32" t="str">
        <f t="shared" si="16"/>
        <v/>
      </c>
      <c r="P58" s="33"/>
      <c r="Q58" s="34" t="str">
        <f t="shared" si="96"/>
        <v/>
      </c>
      <c r="R58" s="35"/>
      <c r="T58" s="53" t="str">
        <f>IF(A58=0,"",VLOOKUP(A58,[2]CO!$A$3:$F$5318,5,0))</f>
        <v/>
      </c>
      <c r="U58" s="54">
        <f t="shared" si="57"/>
        <v>0</v>
      </c>
      <c r="V58" s="24"/>
      <c r="W58" s="25"/>
      <c r="X58" s="25"/>
      <c r="Y58" s="64" t="str">
        <f t="shared" si="97"/>
        <v/>
      </c>
      <c r="Z58" s="55" t="str">
        <f t="shared" si="97"/>
        <v/>
      </c>
      <c r="AA58" s="55" t="str">
        <f t="shared" si="97"/>
        <v/>
      </c>
      <c r="AB58" s="55" t="str">
        <f t="shared" si="97"/>
        <v/>
      </c>
      <c r="AC58" s="55" t="str">
        <f t="shared" si="97"/>
        <v/>
      </c>
      <c r="AD58" s="55" t="str">
        <f t="shared" si="97"/>
        <v/>
      </c>
      <c r="AE58" s="55" t="str">
        <f t="shared" si="97"/>
        <v/>
      </c>
      <c r="AF58" s="55" t="str">
        <f t="shared" si="97"/>
        <v/>
      </c>
      <c r="AG58" s="55" t="str">
        <f t="shared" si="97"/>
        <v/>
      </c>
      <c r="AH58" s="55" t="str">
        <f t="shared" si="97"/>
        <v/>
      </c>
      <c r="AI58" s="55" t="str">
        <f t="shared" si="97"/>
        <v/>
      </c>
      <c r="AJ58" s="55" t="str">
        <f t="shared" si="97"/>
        <v/>
      </c>
      <c r="AK58" s="55" t="str">
        <f t="shared" si="97"/>
        <v/>
      </c>
      <c r="AL58" s="55" t="str">
        <f t="shared" si="97"/>
        <v/>
      </c>
      <c r="AM58" s="55" t="str">
        <f t="shared" si="97"/>
        <v/>
      </c>
      <c r="AN58" s="55" t="str">
        <f t="shared" si="97"/>
        <v/>
      </c>
      <c r="AO58" s="55" t="str">
        <f t="shared" si="98"/>
        <v/>
      </c>
      <c r="AP58" s="55" t="str">
        <f t="shared" si="98"/>
        <v/>
      </c>
      <c r="AQ58" s="55" t="str">
        <f t="shared" si="98"/>
        <v/>
      </c>
      <c r="AR58" s="55" t="str">
        <f t="shared" si="98"/>
        <v/>
      </c>
      <c r="AS58" s="55" t="str">
        <f t="shared" si="98"/>
        <v/>
      </c>
      <c r="AT58" s="55" t="str">
        <f t="shared" si="98"/>
        <v/>
      </c>
      <c r="AU58" s="55" t="str">
        <f t="shared" si="98"/>
        <v/>
      </c>
      <c r="AV58" s="55" t="str">
        <f t="shared" si="98"/>
        <v/>
      </c>
      <c r="AW58" s="55" t="str">
        <f t="shared" si="98"/>
        <v/>
      </c>
      <c r="AX58" s="55" t="str">
        <f t="shared" si="98"/>
        <v/>
      </c>
      <c r="AY58" s="55" t="str">
        <f t="shared" si="98"/>
        <v/>
      </c>
      <c r="AZ58" s="55" t="str">
        <f t="shared" si="98"/>
        <v/>
      </c>
      <c r="BA58" s="55" t="str">
        <f t="shared" si="98"/>
        <v/>
      </c>
      <c r="BB58" s="55" t="str">
        <f t="shared" si="98"/>
        <v/>
      </c>
      <c r="BC58" s="55" t="str">
        <f t="shared" si="98"/>
        <v/>
      </c>
      <c r="BD58" s="55" t="str">
        <f t="shared" si="98"/>
        <v/>
      </c>
      <c r="BE58" s="55" t="str">
        <f t="shared" si="99"/>
        <v/>
      </c>
      <c r="BF58" s="55" t="str">
        <f t="shared" si="99"/>
        <v/>
      </c>
      <c r="BG58" s="55" t="str">
        <f t="shared" si="99"/>
        <v/>
      </c>
      <c r="BH58" s="55" t="str">
        <f t="shared" si="99"/>
        <v/>
      </c>
      <c r="BI58" s="55" t="str">
        <f t="shared" si="99"/>
        <v/>
      </c>
      <c r="BJ58" s="55" t="str">
        <f t="shared" si="99"/>
        <v/>
      </c>
      <c r="BK58" s="55" t="str">
        <f t="shared" si="99"/>
        <v/>
      </c>
      <c r="BL58" s="55" t="str">
        <f t="shared" si="99"/>
        <v/>
      </c>
      <c r="BM58" s="55" t="str">
        <f t="shared" si="99"/>
        <v/>
      </c>
      <c r="BN58" s="55" t="str">
        <f t="shared" si="99"/>
        <v/>
      </c>
      <c r="BO58" s="55" t="str">
        <f t="shared" si="99"/>
        <v/>
      </c>
      <c r="BP58" s="55" t="str">
        <f t="shared" si="99"/>
        <v/>
      </c>
      <c r="BQ58" s="55" t="str">
        <f t="shared" si="99"/>
        <v/>
      </c>
      <c r="BR58" s="55" t="str">
        <f t="shared" si="99"/>
        <v/>
      </c>
      <c r="BS58" s="55" t="str">
        <f t="shared" si="99"/>
        <v/>
      </c>
      <c r="BT58" s="55" t="str">
        <f t="shared" si="99"/>
        <v/>
      </c>
      <c r="BU58" s="55" t="str">
        <f t="shared" ref="BU58:DP59" si="107">IF($B58=BU$12,$U58,"")</f>
        <v/>
      </c>
      <c r="BV58" s="55" t="str">
        <f t="shared" si="107"/>
        <v/>
      </c>
      <c r="BW58" s="55" t="str">
        <f t="shared" si="107"/>
        <v/>
      </c>
      <c r="BX58" s="55" t="str">
        <f t="shared" si="107"/>
        <v/>
      </c>
      <c r="BY58" s="55" t="str">
        <f t="shared" si="107"/>
        <v/>
      </c>
      <c r="BZ58" s="55" t="str">
        <f t="shared" si="107"/>
        <v/>
      </c>
      <c r="CA58" s="55" t="str">
        <f t="shared" si="107"/>
        <v/>
      </c>
      <c r="CB58" s="55" t="str">
        <f t="shared" si="107"/>
        <v/>
      </c>
      <c r="CC58" s="55" t="str">
        <f t="shared" si="107"/>
        <v/>
      </c>
      <c r="CD58" s="55" t="str">
        <f t="shared" si="107"/>
        <v/>
      </c>
      <c r="CE58" s="55" t="str">
        <f t="shared" si="107"/>
        <v/>
      </c>
      <c r="CF58" s="55" t="str">
        <f t="shared" si="107"/>
        <v/>
      </c>
      <c r="CG58" s="55" t="str">
        <f t="shared" si="107"/>
        <v/>
      </c>
      <c r="CH58" s="55" t="str">
        <f t="shared" si="107"/>
        <v/>
      </c>
      <c r="CI58" s="55" t="str">
        <f t="shared" si="107"/>
        <v/>
      </c>
      <c r="CJ58" s="55" t="str">
        <f t="shared" si="107"/>
        <v/>
      </c>
      <c r="CK58" s="55" t="str">
        <f t="shared" si="107"/>
        <v/>
      </c>
      <c r="CL58" s="55" t="str">
        <f t="shared" si="107"/>
        <v/>
      </c>
      <c r="CM58" s="55" t="str">
        <f t="shared" si="107"/>
        <v/>
      </c>
      <c r="CN58" s="55" t="str">
        <f t="shared" si="107"/>
        <v/>
      </c>
      <c r="CO58" s="55" t="str">
        <f t="shared" si="107"/>
        <v/>
      </c>
      <c r="CP58" s="55" t="str">
        <f t="shared" si="107"/>
        <v/>
      </c>
      <c r="CQ58" s="55" t="str">
        <f t="shared" si="107"/>
        <v/>
      </c>
      <c r="CR58" s="55" t="str">
        <f t="shared" si="107"/>
        <v/>
      </c>
      <c r="CS58" s="55" t="str">
        <f t="shared" si="107"/>
        <v/>
      </c>
      <c r="CT58" s="55" t="str">
        <f t="shared" si="107"/>
        <v/>
      </c>
      <c r="CU58" s="55" t="str">
        <f t="shared" si="107"/>
        <v/>
      </c>
      <c r="CV58" s="55" t="str">
        <f t="shared" si="107"/>
        <v/>
      </c>
      <c r="CW58" s="55" t="str">
        <f t="shared" si="107"/>
        <v/>
      </c>
      <c r="CX58" s="55" t="str">
        <f t="shared" si="107"/>
        <v/>
      </c>
      <c r="CY58" s="55" t="str">
        <f t="shared" si="107"/>
        <v/>
      </c>
      <c r="CZ58" s="55" t="str">
        <f t="shared" si="107"/>
        <v/>
      </c>
      <c r="DA58" s="55" t="str">
        <f t="shared" si="107"/>
        <v/>
      </c>
      <c r="DB58" s="55" t="str">
        <f t="shared" si="107"/>
        <v/>
      </c>
      <c r="DC58" s="55" t="str">
        <f t="shared" si="107"/>
        <v/>
      </c>
      <c r="DD58" s="55" t="str">
        <f t="shared" si="107"/>
        <v/>
      </c>
      <c r="DE58" s="55" t="str">
        <f t="shared" si="107"/>
        <v/>
      </c>
      <c r="DF58" s="55" t="str">
        <f t="shared" si="107"/>
        <v/>
      </c>
      <c r="DG58" s="55" t="str">
        <f t="shared" si="107"/>
        <v/>
      </c>
      <c r="DH58" s="55" t="str">
        <f t="shared" si="107"/>
        <v/>
      </c>
      <c r="DI58" s="55" t="str">
        <f t="shared" si="107"/>
        <v/>
      </c>
      <c r="DJ58" s="55" t="str">
        <f t="shared" si="107"/>
        <v/>
      </c>
      <c r="DK58" s="55" t="str">
        <f t="shared" si="107"/>
        <v/>
      </c>
      <c r="DL58" s="55" t="str">
        <f t="shared" si="107"/>
        <v/>
      </c>
      <c r="DM58" s="55" t="str">
        <f t="shared" si="107"/>
        <v/>
      </c>
      <c r="DN58" s="55" t="str">
        <f t="shared" si="107"/>
        <v/>
      </c>
      <c r="DO58" s="55" t="str">
        <f t="shared" si="107"/>
        <v/>
      </c>
      <c r="DP58" s="55" t="str">
        <f t="shared" si="105"/>
        <v/>
      </c>
      <c r="DQ58" s="55" t="str">
        <f t="shared" si="105"/>
        <v/>
      </c>
      <c r="DR58" s="55" t="str">
        <f t="shared" si="105"/>
        <v/>
      </c>
      <c r="DS58" s="55" t="str">
        <f t="shared" si="105"/>
        <v/>
      </c>
      <c r="DT58" s="106" t="str">
        <f t="shared" si="105"/>
        <v/>
      </c>
      <c r="DU58" s="54"/>
      <c r="DV58" s="25"/>
      <c r="DW58" s="61" t="str">
        <f t="shared" si="101"/>
        <v/>
      </c>
      <c r="DX58" s="50" t="str">
        <f t="shared" si="101"/>
        <v/>
      </c>
      <c r="DY58" s="50" t="str">
        <f t="shared" si="101"/>
        <v/>
      </c>
      <c r="DZ58" s="50" t="str">
        <f t="shared" si="101"/>
        <v/>
      </c>
      <c r="EA58" s="50" t="str">
        <f t="shared" si="101"/>
        <v/>
      </c>
      <c r="EB58" s="50" t="str">
        <f t="shared" si="101"/>
        <v/>
      </c>
      <c r="EC58" s="50" t="str">
        <f t="shared" si="101"/>
        <v/>
      </c>
      <c r="ED58" s="50" t="str">
        <f t="shared" si="101"/>
        <v/>
      </c>
      <c r="EE58" s="50" t="str">
        <f t="shared" si="101"/>
        <v/>
      </c>
      <c r="EF58" s="50" t="str">
        <f t="shared" si="101"/>
        <v/>
      </c>
      <c r="EG58" s="50" t="str">
        <f t="shared" si="101"/>
        <v/>
      </c>
      <c r="EH58" s="50" t="str">
        <f t="shared" si="101"/>
        <v/>
      </c>
      <c r="EI58" s="50" t="str">
        <f t="shared" si="101"/>
        <v/>
      </c>
      <c r="EJ58" s="50" t="str">
        <f t="shared" si="101"/>
        <v/>
      </c>
      <c r="EK58" s="50" t="str">
        <f t="shared" si="101"/>
        <v/>
      </c>
      <c r="EL58" s="50" t="str">
        <f t="shared" si="101"/>
        <v/>
      </c>
      <c r="EM58" s="50" t="str">
        <f t="shared" si="102"/>
        <v/>
      </c>
      <c r="EN58" s="50" t="str">
        <f t="shared" si="102"/>
        <v/>
      </c>
      <c r="EO58" s="50" t="str">
        <f t="shared" si="102"/>
        <v/>
      </c>
      <c r="EP58" s="50" t="str">
        <f t="shared" si="102"/>
        <v/>
      </c>
      <c r="EQ58" s="50" t="str">
        <f t="shared" si="102"/>
        <v/>
      </c>
      <c r="ER58" s="50" t="str">
        <f t="shared" si="102"/>
        <v/>
      </c>
      <c r="ES58" s="50" t="str">
        <f t="shared" si="102"/>
        <v/>
      </c>
      <c r="ET58" s="50" t="str">
        <f t="shared" si="102"/>
        <v/>
      </c>
      <c r="EU58" s="50" t="str">
        <f t="shared" si="102"/>
        <v/>
      </c>
      <c r="EV58" s="50" t="str">
        <f t="shared" si="102"/>
        <v/>
      </c>
      <c r="EW58" s="50" t="str">
        <f t="shared" si="102"/>
        <v/>
      </c>
      <c r="EX58" s="50" t="str">
        <f t="shared" si="102"/>
        <v/>
      </c>
      <c r="EY58" s="50" t="str">
        <f t="shared" si="102"/>
        <v/>
      </c>
      <c r="EZ58" s="50" t="str">
        <f t="shared" si="102"/>
        <v/>
      </c>
      <c r="FA58" s="50" t="str">
        <f t="shared" si="102"/>
        <v/>
      </c>
      <c r="FB58" s="50" t="str">
        <f t="shared" si="102"/>
        <v/>
      </c>
      <c r="FC58" s="50" t="str">
        <f t="shared" si="103"/>
        <v/>
      </c>
      <c r="FD58" s="50" t="str">
        <f t="shared" si="103"/>
        <v/>
      </c>
      <c r="FE58" s="50" t="str">
        <f t="shared" si="103"/>
        <v/>
      </c>
      <c r="FF58" s="50" t="str">
        <f t="shared" si="103"/>
        <v/>
      </c>
      <c r="FG58" s="50" t="str">
        <f t="shared" si="103"/>
        <v/>
      </c>
      <c r="FH58" s="50" t="str">
        <f t="shared" si="103"/>
        <v/>
      </c>
      <c r="FI58" s="50" t="str">
        <f t="shared" si="103"/>
        <v/>
      </c>
      <c r="FJ58" s="50" t="str">
        <f t="shared" si="103"/>
        <v/>
      </c>
      <c r="FK58" s="50" t="str">
        <f t="shared" si="103"/>
        <v/>
      </c>
      <c r="FL58" s="50" t="str">
        <f t="shared" si="103"/>
        <v/>
      </c>
      <c r="FM58" s="50" t="str">
        <f t="shared" si="103"/>
        <v/>
      </c>
      <c r="FN58" s="50" t="str">
        <f t="shared" si="103"/>
        <v/>
      </c>
      <c r="FO58" s="50" t="str">
        <f t="shared" si="103"/>
        <v/>
      </c>
      <c r="FP58" s="50" t="str">
        <f t="shared" si="103"/>
        <v/>
      </c>
      <c r="FQ58" s="50" t="str">
        <f t="shared" si="103"/>
        <v/>
      </c>
      <c r="FR58" s="50" t="str">
        <f t="shared" si="103"/>
        <v/>
      </c>
      <c r="FS58" s="50" t="str">
        <f t="shared" ref="FS58:HN59" si="108">IF($B58=FS$12,$O58,"")</f>
        <v/>
      </c>
      <c r="FT58" s="50" t="str">
        <f t="shared" si="108"/>
        <v/>
      </c>
      <c r="FU58" s="50" t="str">
        <f t="shared" si="108"/>
        <v/>
      </c>
      <c r="FV58" s="50" t="str">
        <f t="shared" si="108"/>
        <v/>
      </c>
      <c r="FW58" s="50" t="str">
        <f t="shared" si="108"/>
        <v/>
      </c>
      <c r="FX58" s="50" t="str">
        <f t="shared" si="108"/>
        <v/>
      </c>
      <c r="FY58" s="50" t="str">
        <f t="shared" si="108"/>
        <v/>
      </c>
      <c r="FZ58" s="50" t="str">
        <f t="shared" si="108"/>
        <v/>
      </c>
      <c r="GA58" s="50" t="str">
        <f t="shared" si="108"/>
        <v/>
      </c>
      <c r="GB58" s="50" t="str">
        <f t="shared" si="108"/>
        <v/>
      </c>
      <c r="GC58" s="50" t="str">
        <f t="shared" si="108"/>
        <v/>
      </c>
      <c r="GD58" s="50" t="str">
        <f t="shared" si="108"/>
        <v/>
      </c>
      <c r="GE58" s="50" t="str">
        <f t="shared" si="108"/>
        <v/>
      </c>
      <c r="GF58" s="50" t="str">
        <f t="shared" si="108"/>
        <v/>
      </c>
      <c r="GG58" s="50" t="str">
        <f t="shared" si="108"/>
        <v/>
      </c>
      <c r="GH58" s="50" t="str">
        <f t="shared" si="108"/>
        <v/>
      </c>
      <c r="GI58" s="50" t="str">
        <f t="shared" si="108"/>
        <v/>
      </c>
      <c r="GJ58" s="50" t="str">
        <f t="shared" si="108"/>
        <v/>
      </c>
      <c r="GK58" s="50" t="str">
        <f t="shared" si="108"/>
        <v/>
      </c>
      <c r="GL58" s="50" t="str">
        <f t="shared" si="108"/>
        <v/>
      </c>
      <c r="GM58" s="50" t="str">
        <f t="shared" si="108"/>
        <v/>
      </c>
      <c r="GN58" s="50" t="str">
        <f t="shared" si="108"/>
        <v/>
      </c>
      <c r="GO58" s="50" t="str">
        <f t="shared" si="108"/>
        <v/>
      </c>
      <c r="GP58" s="50" t="str">
        <f t="shared" si="108"/>
        <v/>
      </c>
      <c r="GQ58" s="50" t="str">
        <f t="shared" si="108"/>
        <v/>
      </c>
      <c r="GR58" s="50" t="str">
        <f t="shared" si="108"/>
        <v/>
      </c>
      <c r="GS58" s="50" t="str">
        <f t="shared" si="108"/>
        <v/>
      </c>
      <c r="GT58" s="50" t="str">
        <f t="shared" si="108"/>
        <v/>
      </c>
      <c r="GU58" s="50" t="str">
        <f t="shared" si="108"/>
        <v/>
      </c>
      <c r="GV58" s="50" t="str">
        <f t="shared" si="108"/>
        <v/>
      </c>
      <c r="GW58" s="50" t="str">
        <f t="shared" si="108"/>
        <v/>
      </c>
      <c r="GX58" s="50" t="str">
        <f t="shared" si="108"/>
        <v/>
      </c>
      <c r="GY58" s="50" t="str">
        <f t="shared" si="108"/>
        <v/>
      </c>
      <c r="GZ58" s="50" t="str">
        <f t="shared" si="108"/>
        <v/>
      </c>
      <c r="HA58" s="50" t="str">
        <f t="shared" si="108"/>
        <v/>
      </c>
      <c r="HB58" s="50" t="str">
        <f t="shared" si="108"/>
        <v/>
      </c>
      <c r="HC58" s="50" t="str">
        <f t="shared" si="108"/>
        <v/>
      </c>
      <c r="HD58" s="50" t="str">
        <f t="shared" si="108"/>
        <v/>
      </c>
      <c r="HE58" s="50" t="str">
        <f t="shared" si="108"/>
        <v/>
      </c>
      <c r="HF58" s="50" t="str">
        <f t="shared" si="108"/>
        <v/>
      </c>
      <c r="HG58" s="50" t="str">
        <f t="shared" si="108"/>
        <v/>
      </c>
      <c r="HH58" s="50" t="str">
        <f t="shared" si="108"/>
        <v/>
      </c>
      <c r="HI58" s="50" t="str">
        <f t="shared" si="108"/>
        <v/>
      </c>
      <c r="HJ58" s="50" t="str">
        <f t="shared" si="108"/>
        <v/>
      </c>
      <c r="HK58" s="50" t="str">
        <f t="shared" si="108"/>
        <v/>
      </c>
      <c r="HL58" s="50" t="str">
        <f t="shared" si="108"/>
        <v/>
      </c>
      <c r="HM58" s="50" t="str">
        <f t="shared" si="108"/>
        <v/>
      </c>
      <c r="HN58" s="50" t="str">
        <f t="shared" si="106"/>
        <v/>
      </c>
      <c r="HO58" s="50" t="str">
        <f t="shared" si="106"/>
        <v/>
      </c>
      <c r="HP58" s="50" t="str">
        <f t="shared" si="106"/>
        <v/>
      </c>
      <c r="HQ58" s="50" t="str">
        <f t="shared" si="106"/>
        <v/>
      </c>
      <c r="HR58" s="112" t="str">
        <f t="shared" si="106"/>
        <v/>
      </c>
    </row>
    <row r="59" spans="1:226" ht="11.1" customHeight="1" thickBot="1" x14ac:dyDescent="0.3">
      <c r="A59" s="36"/>
      <c r="B59" s="37"/>
      <c r="C59" s="38" t="str">
        <f>IF(A59=0,"",VLOOKUP(A59,[2]CO!$A$3:$F$5327,2,0))</f>
        <v/>
      </c>
      <c r="D59" s="39"/>
      <c r="E59" s="39"/>
      <c r="F59" s="103" t="str">
        <f t="shared" si="94"/>
        <v/>
      </c>
      <c r="G59" s="40" t="str">
        <f>IF(A59=0,"",VLOOKUP(A59,[2]CO!$A$3:$F$5327,3,0))</f>
        <v/>
      </c>
      <c r="H59" s="97"/>
      <c r="I59" s="41"/>
      <c r="J59" s="41"/>
      <c r="K59" s="41"/>
      <c r="L59" s="41"/>
      <c r="M59" s="42" t="str">
        <f>IF(L59=0,"",PRODUCT(I59:L59))</f>
        <v/>
      </c>
      <c r="N59" s="42" t="str">
        <f>IF(B59=0,"",IF(H59="M",HLOOKUP(B59,$Y$12:$DT$13,2),IF(A59=0,"",VLOOKUP(A59,[2]CO!$A$3:$F$5327,4,0))))</f>
        <v/>
      </c>
      <c r="O59" s="42" t="str">
        <f t="shared" si="16"/>
        <v/>
      </c>
      <c r="P59" s="37"/>
      <c r="Q59" s="43" t="str">
        <f t="shared" si="96"/>
        <v/>
      </c>
      <c r="R59" s="44"/>
      <c r="T59" s="53" t="str">
        <f>IF(A59=0,"",VLOOKUP(A59,[2]CO!$A$3:$F$5318,5,0))</f>
        <v/>
      </c>
      <c r="U59" s="54">
        <f t="shared" si="57"/>
        <v>0</v>
      </c>
      <c r="V59" s="24"/>
      <c r="W59" s="24"/>
      <c r="X59" s="24"/>
      <c r="Y59" s="76" t="str">
        <f t="shared" si="97"/>
        <v/>
      </c>
      <c r="Z59" s="77" t="str">
        <f t="shared" si="97"/>
        <v/>
      </c>
      <c r="AA59" s="77" t="str">
        <f t="shared" si="97"/>
        <v/>
      </c>
      <c r="AB59" s="77" t="str">
        <f t="shared" si="97"/>
        <v/>
      </c>
      <c r="AC59" s="77" t="str">
        <f t="shared" si="97"/>
        <v/>
      </c>
      <c r="AD59" s="77" t="str">
        <f t="shared" si="97"/>
        <v/>
      </c>
      <c r="AE59" s="77" t="str">
        <f t="shared" si="97"/>
        <v/>
      </c>
      <c r="AF59" s="77" t="str">
        <f t="shared" si="97"/>
        <v/>
      </c>
      <c r="AG59" s="77" t="str">
        <f t="shared" si="97"/>
        <v/>
      </c>
      <c r="AH59" s="77" t="str">
        <f t="shared" si="97"/>
        <v/>
      </c>
      <c r="AI59" s="77" t="str">
        <f t="shared" si="97"/>
        <v/>
      </c>
      <c r="AJ59" s="77" t="str">
        <f t="shared" si="97"/>
        <v/>
      </c>
      <c r="AK59" s="77" t="str">
        <f t="shared" si="97"/>
        <v/>
      </c>
      <c r="AL59" s="77" t="str">
        <f t="shared" si="97"/>
        <v/>
      </c>
      <c r="AM59" s="77" t="str">
        <f t="shared" si="97"/>
        <v/>
      </c>
      <c r="AN59" s="77" t="str">
        <f t="shared" si="97"/>
        <v/>
      </c>
      <c r="AO59" s="77" t="str">
        <f t="shared" si="98"/>
        <v/>
      </c>
      <c r="AP59" s="77" t="str">
        <f t="shared" si="98"/>
        <v/>
      </c>
      <c r="AQ59" s="77" t="str">
        <f t="shared" si="98"/>
        <v/>
      </c>
      <c r="AR59" s="77" t="str">
        <f t="shared" si="98"/>
        <v/>
      </c>
      <c r="AS59" s="77" t="str">
        <f t="shared" si="98"/>
        <v/>
      </c>
      <c r="AT59" s="77" t="str">
        <f t="shared" si="98"/>
        <v/>
      </c>
      <c r="AU59" s="77" t="str">
        <f t="shared" si="98"/>
        <v/>
      </c>
      <c r="AV59" s="77" t="str">
        <f t="shared" si="98"/>
        <v/>
      </c>
      <c r="AW59" s="77" t="str">
        <f t="shared" si="98"/>
        <v/>
      </c>
      <c r="AX59" s="77" t="str">
        <f t="shared" si="98"/>
        <v/>
      </c>
      <c r="AY59" s="77" t="str">
        <f t="shared" si="98"/>
        <v/>
      </c>
      <c r="AZ59" s="77" t="str">
        <f t="shared" si="98"/>
        <v/>
      </c>
      <c r="BA59" s="77" t="str">
        <f t="shared" si="98"/>
        <v/>
      </c>
      <c r="BB59" s="77" t="str">
        <f t="shared" si="98"/>
        <v/>
      </c>
      <c r="BC59" s="77" t="str">
        <f t="shared" si="98"/>
        <v/>
      </c>
      <c r="BD59" s="77" t="str">
        <f t="shared" si="98"/>
        <v/>
      </c>
      <c r="BE59" s="77" t="str">
        <f t="shared" si="99"/>
        <v/>
      </c>
      <c r="BF59" s="77" t="str">
        <f t="shared" si="99"/>
        <v/>
      </c>
      <c r="BG59" s="77" t="str">
        <f t="shared" si="99"/>
        <v/>
      </c>
      <c r="BH59" s="77" t="str">
        <f t="shared" si="99"/>
        <v/>
      </c>
      <c r="BI59" s="77" t="str">
        <f t="shared" si="99"/>
        <v/>
      </c>
      <c r="BJ59" s="77" t="str">
        <f t="shared" si="99"/>
        <v/>
      </c>
      <c r="BK59" s="77" t="str">
        <f t="shared" si="99"/>
        <v/>
      </c>
      <c r="BL59" s="77" t="str">
        <f t="shared" si="99"/>
        <v/>
      </c>
      <c r="BM59" s="77" t="str">
        <f t="shared" si="99"/>
        <v/>
      </c>
      <c r="BN59" s="77" t="str">
        <f t="shared" si="99"/>
        <v/>
      </c>
      <c r="BO59" s="77" t="str">
        <f t="shared" si="99"/>
        <v/>
      </c>
      <c r="BP59" s="77" t="str">
        <f t="shared" si="99"/>
        <v/>
      </c>
      <c r="BQ59" s="77" t="str">
        <f t="shared" si="99"/>
        <v/>
      </c>
      <c r="BR59" s="77" t="str">
        <f t="shared" si="99"/>
        <v/>
      </c>
      <c r="BS59" s="77" t="str">
        <f t="shared" si="99"/>
        <v/>
      </c>
      <c r="BT59" s="77" t="str">
        <f t="shared" si="99"/>
        <v/>
      </c>
      <c r="BU59" s="77" t="str">
        <f t="shared" si="107"/>
        <v/>
      </c>
      <c r="BV59" s="77" t="str">
        <f t="shared" si="107"/>
        <v/>
      </c>
      <c r="BW59" s="77" t="str">
        <f t="shared" si="107"/>
        <v/>
      </c>
      <c r="BX59" s="77" t="str">
        <f t="shared" si="107"/>
        <v/>
      </c>
      <c r="BY59" s="77" t="str">
        <f t="shared" si="107"/>
        <v/>
      </c>
      <c r="BZ59" s="77" t="str">
        <f t="shared" si="107"/>
        <v/>
      </c>
      <c r="CA59" s="77" t="str">
        <f t="shared" si="107"/>
        <v/>
      </c>
      <c r="CB59" s="77" t="str">
        <f t="shared" si="107"/>
        <v/>
      </c>
      <c r="CC59" s="77" t="str">
        <f t="shared" si="107"/>
        <v/>
      </c>
      <c r="CD59" s="77" t="str">
        <f t="shared" si="107"/>
        <v/>
      </c>
      <c r="CE59" s="77" t="str">
        <f t="shared" si="107"/>
        <v/>
      </c>
      <c r="CF59" s="77" t="str">
        <f t="shared" si="107"/>
        <v/>
      </c>
      <c r="CG59" s="77" t="str">
        <f t="shared" si="107"/>
        <v/>
      </c>
      <c r="CH59" s="77" t="str">
        <f t="shared" si="107"/>
        <v/>
      </c>
      <c r="CI59" s="77" t="str">
        <f t="shared" si="107"/>
        <v/>
      </c>
      <c r="CJ59" s="77" t="str">
        <f t="shared" si="107"/>
        <v/>
      </c>
      <c r="CK59" s="77" t="str">
        <f t="shared" si="107"/>
        <v/>
      </c>
      <c r="CL59" s="77" t="str">
        <f t="shared" si="107"/>
        <v/>
      </c>
      <c r="CM59" s="77" t="str">
        <f t="shared" si="107"/>
        <v/>
      </c>
      <c r="CN59" s="77" t="str">
        <f t="shared" si="107"/>
        <v/>
      </c>
      <c r="CO59" s="77" t="str">
        <f t="shared" si="107"/>
        <v/>
      </c>
      <c r="CP59" s="77" t="str">
        <f t="shared" si="107"/>
        <v/>
      </c>
      <c r="CQ59" s="77" t="str">
        <f t="shared" si="107"/>
        <v/>
      </c>
      <c r="CR59" s="77" t="str">
        <f t="shared" si="107"/>
        <v/>
      </c>
      <c r="CS59" s="77" t="str">
        <f t="shared" si="107"/>
        <v/>
      </c>
      <c r="CT59" s="77" t="str">
        <f t="shared" si="107"/>
        <v/>
      </c>
      <c r="CU59" s="77" t="str">
        <f t="shared" si="107"/>
        <v/>
      </c>
      <c r="CV59" s="77" t="str">
        <f t="shared" si="107"/>
        <v/>
      </c>
      <c r="CW59" s="77" t="str">
        <f t="shared" si="107"/>
        <v/>
      </c>
      <c r="CX59" s="77" t="str">
        <f t="shared" si="107"/>
        <v/>
      </c>
      <c r="CY59" s="77" t="str">
        <f t="shared" si="107"/>
        <v/>
      </c>
      <c r="CZ59" s="77" t="str">
        <f t="shared" si="107"/>
        <v/>
      </c>
      <c r="DA59" s="77" t="str">
        <f t="shared" si="107"/>
        <v/>
      </c>
      <c r="DB59" s="77" t="str">
        <f t="shared" si="107"/>
        <v/>
      </c>
      <c r="DC59" s="77" t="str">
        <f t="shared" si="107"/>
        <v/>
      </c>
      <c r="DD59" s="77" t="str">
        <f t="shared" si="107"/>
        <v/>
      </c>
      <c r="DE59" s="77" t="str">
        <f t="shared" si="107"/>
        <v/>
      </c>
      <c r="DF59" s="77" t="str">
        <f t="shared" si="107"/>
        <v/>
      </c>
      <c r="DG59" s="77" t="str">
        <f t="shared" si="107"/>
        <v/>
      </c>
      <c r="DH59" s="77" t="str">
        <f t="shared" si="107"/>
        <v/>
      </c>
      <c r="DI59" s="77" t="str">
        <f t="shared" si="107"/>
        <v/>
      </c>
      <c r="DJ59" s="77" t="str">
        <f t="shared" si="107"/>
        <v/>
      </c>
      <c r="DK59" s="77" t="str">
        <f t="shared" si="107"/>
        <v/>
      </c>
      <c r="DL59" s="77" t="str">
        <f t="shared" si="107"/>
        <v/>
      </c>
      <c r="DM59" s="77" t="str">
        <f t="shared" si="107"/>
        <v/>
      </c>
      <c r="DN59" s="77" t="str">
        <f t="shared" si="107"/>
        <v/>
      </c>
      <c r="DO59" s="77" t="str">
        <f t="shared" si="107"/>
        <v/>
      </c>
      <c r="DP59" s="77" t="str">
        <f t="shared" si="107"/>
        <v/>
      </c>
      <c r="DQ59" s="77" t="str">
        <f t="shared" si="105"/>
        <v/>
      </c>
      <c r="DR59" s="77" t="str">
        <f t="shared" si="105"/>
        <v/>
      </c>
      <c r="DS59" s="77" t="str">
        <f t="shared" si="105"/>
        <v/>
      </c>
      <c r="DT59" s="107" t="str">
        <f t="shared" si="105"/>
        <v/>
      </c>
      <c r="DU59" s="54"/>
      <c r="DV59" s="21"/>
      <c r="DW59" s="78" t="str">
        <f t="shared" si="101"/>
        <v/>
      </c>
      <c r="DX59" s="79" t="str">
        <f t="shared" si="101"/>
        <v/>
      </c>
      <c r="DY59" s="79" t="str">
        <f t="shared" si="101"/>
        <v/>
      </c>
      <c r="DZ59" s="79" t="str">
        <f t="shared" si="101"/>
        <v/>
      </c>
      <c r="EA59" s="79" t="str">
        <f t="shared" si="101"/>
        <v/>
      </c>
      <c r="EB59" s="79" t="str">
        <f t="shared" si="101"/>
        <v/>
      </c>
      <c r="EC59" s="79" t="str">
        <f t="shared" si="101"/>
        <v/>
      </c>
      <c r="ED59" s="79" t="str">
        <f t="shared" si="101"/>
        <v/>
      </c>
      <c r="EE59" s="79" t="str">
        <f t="shared" si="101"/>
        <v/>
      </c>
      <c r="EF59" s="79" t="str">
        <f t="shared" si="101"/>
        <v/>
      </c>
      <c r="EG59" s="79" t="str">
        <f t="shared" si="101"/>
        <v/>
      </c>
      <c r="EH59" s="79" t="str">
        <f t="shared" si="101"/>
        <v/>
      </c>
      <c r="EI59" s="79" t="str">
        <f t="shared" si="101"/>
        <v/>
      </c>
      <c r="EJ59" s="79" t="str">
        <f t="shared" si="101"/>
        <v/>
      </c>
      <c r="EK59" s="79" t="str">
        <f t="shared" si="101"/>
        <v/>
      </c>
      <c r="EL59" s="79" t="str">
        <f t="shared" si="101"/>
        <v/>
      </c>
      <c r="EM59" s="79" t="str">
        <f t="shared" si="102"/>
        <v/>
      </c>
      <c r="EN59" s="79" t="str">
        <f t="shared" si="102"/>
        <v/>
      </c>
      <c r="EO59" s="79" t="str">
        <f t="shared" si="102"/>
        <v/>
      </c>
      <c r="EP59" s="79" t="str">
        <f t="shared" si="102"/>
        <v/>
      </c>
      <c r="EQ59" s="79" t="str">
        <f t="shared" si="102"/>
        <v/>
      </c>
      <c r="ER59" s="79" t="str">
        <f t="shared" si="102"/>
        <v/>
      </c>
      <c r="ES59" s="79" t="str">
        <f t="shared" si="102"/>
        <v/>
      </c>
      <c r="ET59" s="79" t="str">
        <f t="shared" si="102"/>
        <v/>
      </c>
      <c r="EU59" s="79" t="str">
        <f t="shared" si="102"/>
        <v/>
      </c>
      <c r="EV59" s="79" t="str">
        <f t="shared" si="102"/>
        <v/>
      </c>
      <c r="EW59" s="79" t="str">
        <f t="shared" si="102"/>
        <v/>
      </c>
      <c r="EX59" s="79" t="str">
        <f t="shared" si="102"/>
        <v/>
      </c>
      <c r="EY59" s="79" t="str">
        <f t="shared" si="102"/>
        <v/>
      </c>
      <c r="EZ59" s="79" t="str">
        <f t="shared" si="102"/>
        <v/>
      </c>
      <c r="FA59" s="79" t="str">
        <f t="shared" si="102"/>
        <v/>
      </c>
      <c r="FB59" s="79" t="str">
        <f t="shared" si="102"/>
        <v/>
      </c>
      <c r="FC59" s="79" t="str">
        <f t="shared" si="103"/>
        <v/>
      </c>
      <c r="FD59" s="79" t="str">
        <f t="shared" si="103"/>
        <v/>
      </c>
      <c r="FE59" s="79" t="str">
        <f t="shared" si="103"/>
        <v/>
      </c>
      <c r="FF59" s="79" t="str">
        <f t="shared" si="103"/>
        <v/>
      </c>
      <c r="FG59" s="79" t="str">
        <f t="shared" si="103"/>
        <v/>
      </c>
      <c r="FH59" s="79" t="str">
        <f t="shared" si="103"/>
        <v/>
      </c>
      <c r="FI59" s="79" t="str">
        <f t="shared" si="103"/>
        <v/>
      </c>
      <c r="FJ59" s="79" t="str">
        <f t="shared" si="103"/>
        <v/>
      </c>
      <c r="FK59" s="79" t="str">
        <f t="shared" si="103"/>
        <v/>
      </c>
      <c r="FL59" s="79" t="str">
        <f t="shared" si="103"/>
        <v/>
      </c>
      <c r="FM59" s="79" t="str">
        <f t="shared" si="103"/>
        <v/>
      </c>
      <c r="FN59" s="79" t="str">
        <f t="shared" si="103"/>
        <v/>
      </c>
      <c r="FO59" s="79" t="str">
        <f t="shared" si="103"/>
        <v/>
      </c>
      <c r="FP59" s="79" t="str">
        <f t="shared" si="103"/>
        <v/>
      </c>
      <c r="FQ59" s="79" t="str">
        <f t="shared" si="103"/>
        <v/>
      </c>
      <c r="FR59" s="79" t="str">
        <f t="shared" si="103"/>
        <v/>
      </c>
      <c r="FS59" s="79" t="str">
        <f t="shared" si="108"/>
        <v/>
      </c>
      <c r="FT59" s="79" t="str">
        <f t="shared" si="108"/>
        <v/>
      </c>
      <c r="FU59" s="79" t="str">
        <f t="shared" si="108"/>
        <v/>
      </c>
      <c r="FV59" s="79" t="str">
        <f t="shared" si="108"/>
        <v/>
      </c>
      <c r="FW59" s="79" t="str">
        <f t="shared" si="108"/>
        <v/>
      </c>
      <c r="FX59" s="79" t="str">
        <f t="shared" si="108"/>
        <v/>
      </c>
      <c r="FY59" s="79" t="str">
        <f t="shared" si="108"/>
        <v/>
      </c>
      <c r="FZ59" s="79" t="str">
        <f t="shared" si="108"/>
        <v/>
      </c>
      <c r="GA59" s="79" t="str">
        <f t="shared" si="108"/>
        <v/>
      </c>
      <c r="GB59" s="79" t="str">
        <f t="shared" si="108"/>
        <v/>
      </c>
      <c r="GC59" s="79" t="str">
        <f t="shared" si="108"/>
        <v/>
      </c>
      <c r="GD59" s="79" t="str">
        <f t="shared" si="108"/>
        <v/>
      </c>
      <c r="GE59" s="79" t="str">
        <f t="shared" si="108"/>
        <v/>
      </c>
      <c r="GF59" s="79" t="str">
        <f t="shared" si="108"/>
        <v/>
      </c>
      <c r="GG59" s="79" t="str">
        <f t="shared" si="108"/>
        <v/>
      </c>
      <c r="GH59" s="79" t="str">
        <f t="shared" si="108"/>
        <v/>
      </c>
      <c r="GI59" s="79" t="str">
        <f t="shared" si="108"/>
        <v/>
      </c>
      <c r="GJ59" s="79" t="str">
        <f t="shared" si="108"/>
        <v/>
      </c>
      <c r="GK59" s="79" t="str">
        <f t="shared" si="108"/>
        <v/>
      </c>
      <c r="GL59" s="79" t="str">
        <f t="shared" si="108"/>
        <v/>
      </c>
      <c r="GM59" s="79" t="str">
        <f t="shared" si="108"/>
        <v/>
      </c>
      <c r="GN59" s="79" t="str">
        <f t="shared" si="108"/>
        <v/>
      </c>
      <c r="GO59" s="79" t="str">
        <f t="shared" si="108"/>
        <v/>
      </c>
      <c r="GP59" s="79" t="str">
        <f t="shared" si="108"/>
        <v/>
      </c>
      <c r="GQ59" s="79" t="str">
        <f t="shared" si="108"/>
        <v/>
      </c>
      <c r="GR59" s="79" t="str">
        <f t="shared" si="108"/>
        <v/>
      </c>
      <c r="GS59" s="79" t="str">
        <f t="shared" si="108"/>
        <v/>
      </c>
      <c r="GT59" s="79" t="str">
        <f t="shared" si="108"/>
        <v/>
      </c>
      <c r="GU59" s="79" t="str">
        <f t="shared" si="108"/>
        <v/>
      </c>
      <c r="GV59" s="79" t="str">
        <f t="shared" si="108"/>
        <v/>
      </c>
      <c r="GW59" s="79" t="str">
        <f t="shared" si="108"/>
        <v/>
      </c>
      <c r="GX59" s="79" t="str">
        <f t="shared" si="108"/>
        <v/>
      </c>
      <c r="GY59" s="79" t="str">
        <f t="shared" si="108"/>
        <v/>
      </c>
      <c r="GZ59" s="79" t="str">
        <f t="shared" si="108"/>
        <v/>
      </c>
      <c r="HA59" s="79" t="str">
        <f t="shared" si="108"/>
        <v/>
      </c>
      <c r="HB59" s="79" t="str">
        <f t="shared" si="108"/>
        <v/>
      </c>
      <c r="HC59" s="79" t="str">
        <f t="shared" si="108"/>
        <v/>
      </c>
      <c r="HD59" s="79" t="str">
        <f t="shared" si="108"/>
        <v/>
      </c>
      <c r="HE59" s="79" t="str">
        <f t="shared" si="108"/>
        <v/>
      </c>
      <c r="HF59" s="79" t="str">
        <f t="shared" si="108"/>
        <v/>
      </c>
      <c r="HG59" s="79" t="str">
        <f t="shared" si="108"/>
        <v/>
      </c>
      <c r="HH59" s="79" t="str">
        <f t="shared" si="108"/>
        <v/>
      </c>
      <c r="HI59" s="79" t="str">
        <f t="shared" si="108"/>
        <v/>
      </c>
      <c r="HJ59" s="79" t="str">
        <f t="shared" si="108"/>
        <v/>
      </c>
      <c r="HK59" s="79" t="str">
        <f t="shared" si="108"/>
        <v/>
      </c>
      <c r="HL59" s="79" t="str">
        <f t="shared" si="108"/>
        <v/>
      </c>
      <c r="HM59" s="79" t="str">
        <f t="shared" si="108"/>
        <v/>
      </c>
      <c r="HN59" s="79" t="str">
        <f t="shared" si="108"/>
        <v/>
      </c>
      <c r="HO59" s="79" t="str">
        <f t="shared" si="106"/>
        <v/>
      </c>
      <c r="HP59" s="79" t="str">
        <f t="shared" si="106"/>
        <v/>
      </c>
      <c r="HQ59" s="79" t="str">
        <f t="shared" si="106"/>
        <v/>
      </c>
      <c r="HR59" s="113" t="str">
        <f t="shared" si="106"/>
        <v/>
      </c>
    </row>
    <row r="60" spans="1:226" ht="10.199999999999999" customHeight="1" x14ac:dyDescent="0.25">
      <c r="A60" s="45"/>
      <c r="B60" s="23"/>
      <c r="C60" s="23" t="str">
        <f>IF(A60=0,"",VLOOKUP(A60,#REF!,2,0))</f>
        <v/>
      </c>
      <c r="D60" s="23"/>
      <c r="E60" s="23"/>
      <c r="F60" s="23"/>
      <c r="G60" s="23"/>
      <c r="H60" s="23"/>
      <c r="I60" s="46"/>
      <c r="J60" s="46"/>
      <c r="K60" s="46"/>
      <c r="L60" s="46"/>
      <c r="M60" s="47"/>
      <c r="N60" s="47"/>
      <c r="O60" s="47"/>
      <c r="P60" s="23"/>
      <c r="Q60" s="23"/>
      <c r="R60" s="23"/>
      <c r="T60" s="21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2"/>
      <c r="EU60" s="22"/>
      <c r="EV60" s="22"/>
    </row>
    <row r="61" spans="1:226" x14ac:dyDescent="0.25">
      <c r="A61" s="45"/>
      <c r="B61" s="23"/>
      <c r="C61" s="23"/>
      <c r="D61" s="23"/>
      <c r="E61" s="23"/>
      <c r="F61" s="23"/>
      <c r="G61" s="23"/>
      <c r="H61" s="23"/>
      <c r="I61" s="46"/>
      <c r="J61" s="46"/>
      <c r="K61" s="46"/>
      <c r="L61" s="46"/>
      <c r="M61" s="47"/>
      <c r="N61" s="47"/>
      <c r="O61" s="48" t="s">
        <v>17</v>
      </c>
      <c r="P61" s="49"/>
      <c r="Q61" s="104">
        <f>SUM(Q53:Q59)</f>
        <v>803.495</v>
      </c>
      <c r="R61" s="104">
        <f>SUM(R53:R59)</f>
        <v>0</v>
      </c>
      <c r="T61" s="21"/>
      <c r="U61" s="24"/>
      <c r="V61" s="24"/>
      <c r="W61" s="24"/>
      <c r="X61" s="24"/>
      <c r="EV61" s="22"/>
    </row>
    <row r="62" spans="1:226" x14ac:dyDescent="0.25">
      <c r="A62" s="45"/>
      <c r="B62" s="23"/>
      <c r="C62" s="23"/>
      <c r="D62" s="23"/>
      <c r="E62" s="23"/>
      <c r="F62" s="23"/>
      <c r="G62" s="23"/>
      <c r="H62" s="23"/>
      <c r="I62" s="46"/>
      <c r="J62" s="46"/>
      <c r="K62" s="46"/>
      <c r="L62" s="46"/>
      <c r="M62" s="47"/>
      <c r="N62" s="47"/>
      <c r="O62" s="47"/>
      <c r="P62" s="23"/>
      <c r="Q62" s="23"/>
      <c r="R62" s="23"/>
      <c r="T62" s="21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2"/>
      <c r="EU62" s="22"/>
      <c r="EV62" s="22"/>
    </row>
    <row r="63" spans="1:226" x14ac:dyDescent="0.25">
      <c r="A63" s="45"/>
      <c r="B63" s="23"/>
      <c r="C63" s="23"/>
      <c r="D63" s="23"/>
      <c r="E63" s="23"/>
      <c r="F63" s="23"/>
      <c r="G63" s="23"/>
      <c r="H63" s="23"/>
      <c r="I63" s="46"/>
      <c r="J63" s="46"/>
      <c r="K63" s="46"/>
      <c r="L63" s="46"/>
      <c r="M63" s="47"/>
      <c r="N63" s="47"/>
      <c r="O63" s="48" t="s">
        <v>18</v>
      </c>
      <c r="P63" s="23"/>
      <c r="Q63" s="104">
        <f>Q29+Q49+Q61</f>
        <v>23445.722999999998</v>
      </c>
      <c r="R63" s="104"/>
      <c r="T63" s="21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2"/>
      <c r="EU63" s="22"/>
      <c r="EV63" s="22"/>
    </row>
    <row r="64" spans="1:226" ht="10.199999999999999" customHeight="1" x14ac:dyDescent="0.25"/>
    <row r="65" ht="10.199999999999999" customHeight="1" x14ac:dyDescent="0.25"/>
    <row r="66" ht="10.199999999999999" customHeight="1" x14ac:dyDescent="0.25"/>
    <row r="1047596" spans="9:9" x14ac:dyDescent="0.25">
      <c r="I1047596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2026-06-23T18:28:29Z</dcterms:modified>
</cp:coreProperties>
</file>